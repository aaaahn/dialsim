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hn/Desktop/"/>
    </mc:Choice>
  </mc:AlternateContent>
  <xr:revisionPtr revIDLastSave="0" documentId="8_{BD160A12-C346-434D-99DC-793369EB89EC}" xr6:coauthVersionLast="47" xr6:coauthVersionMax="47" xr10:uidLastSave="{00000000-0000-0000-0000-000000000000}"/>
  <bookViews>
    <workbookView xWindow="1000" yWindow="26540" windowWidth="42200" windowHeight="22580" xr2:uid="{00000000-000D-0000-FFFF-FFFF00000000}"/>
  </bookViews>
  <sheets>
    <sheet name="Interface" sheetId="1" r:id="rId1"/>
    <sheet name="Calculations" sheetId="2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2" i="2" l="1"/>
  <c r="E8" i="1" s="1"/>
  <c r="E10" i="1"/>
  <c r="F4" i="2"/>
  <c r="F9" i="2"/>
  <c r="F16" i="2"/>
  <c r="C6" i="2"/>
  <c r="AA17" i="2"/>
  <c r="I6" i="2"/>
  <c r="I7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F10" i="2"/>
  <c r="S17" i="2" s="1"/>
  <c r="F5" i="2"/>
  <c r="F19" i="2"/>
  <c r="F8" i="2"/>
  <c r="K12" i="2"/>
  <c r="F11" i="2"/>
  <c r="K13" i="2"/>
  <c r="K14" i="2"/>
  <c r="K15" i="2"/>
  <c r="K16" i="2"/>
  <c r="K17" i="2"/>
  <c r="K18" i="2"/>
  <c r="K19" i="2"/>
  <c r="K20" i="2"/>
  <c r="V20" i="2" s="1"/>
  <c r="U20" i="2" s="1"/>
  <c r="K21" i="2"/>
  <c r="K22" i="2"/>
  <c r="K23" i="2"/>
  <c r="K24" i="2"/>
  <c r="K25" i="2"/>
  <c r="K26" i="2"/>
  <c r="K27" i="2"/>
  <c r="K28" i="2"/>
  <c r="V28" i="2" s="1"/>
  <c r="U28" i="2" s="1"/>
  <c r="K29" i="2"/>
  <c r="K30" i="2"/>
  <c r="K31" i="2"/>
  <c r="K32" i="2"/>
  <c r="K33" i="2"/>
  <c r="K34" i="2"/>
  <c r="K35" i="2"/>
  <c r="K36" i="2"/>
  <c r="V36" i="2" s="1"/>
  <c r="U36" i="2" s="1"/>
  <c r="K37" i="2"/>
  <c r="K38" i="2"/>
  <c r="K39" i="2"/>
  <c r="K40" i="2"/>
  <c r="K41" i="2"/>
  <c r="K42" i="2"/>
  <c r="K43" i="2"/>
  <c r="K44" i="2"/>
  <c r="V44" i="2" s="1"/>
  <c r="U44" i="2" s="1"/>
  <c r="K45" i="2"/>
  <c r="K46" i="2"/>
  <c r="K47" i="2"/>
  <c r="K48" i="2"/>
  <c r="K49" i="2"/>
  <c r="K50" i="2"/>
  <c r="K51" i="2"/>
  <c r="K52" i="2"/>
  <c r="V52" i="2" s="1"/>
  <c r="U52" i="2" s="1"/>
  <c r="K53" i="2"/>
  <c r="K54" i="2"/>
  <c r="K55" i="2"/>
  <c r="K56" i="2"/>
  <c r="K57" i="2"/>
  <c r="K58" i="2"/>
  <c r="K59" i="2"/>
  <c r="K60" i="2"/>
  <c r="V60" i="2" s="1"/>
  <c r="U60" i="2" s="1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V76" i="2" s="1"/>
  <c r="U76" i="2" s="1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V92" i="2" s="1"/>
  <c r="U92" i="2" s="1"/>
  <c r="K93" i="2"/>
  <c r="K94" i="2"/>
  <c r="K95" i="2"/>
  <c r="K96" i="2"/>
  <c r="V96" i="2" s="1"/>
  <c r="U96" i="2" s="1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S110" i="2"/>
  <c r="K110" i="2"/>
  <c r="K111" i="2"/>
  <c r="S112" i="2"/>
  <c r="K112" i="2"/>
  <c r="K113" i="2"/>
  <c r="S114" i="2"/>
  <c r="K114" i="2"/>
  <c r="S115" i="2"/>
  <c r="K115" i="2"/>
  <c r="S116" i="2"/>
  <c r="K116" i="2"/>
  <c r="K117" i="2"/>
  <c r="S118" i="2"/>
  <c r="K118" i="2"/>
  <c r="K119" i="2"/>
  <c r="K120" i="2"/>
  <c r="K121" i="2"/>
  <c r="K122" i="2"/>
  <c r="S123" i="2"/>
  <c r="K123" i="2"/>
  <c r="S124" i="2"/>
  <c r="K124" i="2"/>
  <c r="K125" i="2"/>
  <c r="S126" i="2"/>
  <c r="K126" i="2"/>
  <c r="S127" i="2"/>
  <c r="K127" i="2"/>
  <c r="S128" i="2"/>
  <c r="K128" i="2"/>
  <c r="K129" i="2"/>
  <c r="S130" i="2"/>
  <c r="K130" i="2"/>
  <c r="S131" i="2"/>
  <c r="K131" i="2"/>
  <c r="S132" i="2"/>
  <c r="K132" i="2"/>
  <c r="K133" i="2"/>
  <c r="S134" i="2"/>
  <c r="K134" i="2"/>
  <c r="S135" i="2"/>
  <c r="K135" i="2"/>
  <c r="S136" i="2"/>
  <c r="K136" i="2"/>
  <c r="K137" i="2"/>
  <c r="S138" i="2"/>
  <c r="K138" i="2"/>
  <c r="S139" i="2"/>
  <c r="K139" i="2"/>
  <c r="S140" i="2"/>
  <c r="K140" i="2"/>
  <c r="K141" i="2"/>
  <c r="S142" i="2"/>
  <c r="K142" i="2"/>
  <c r="S143" i="2"/>
  <c r="K143" i="2"/>
  <c r="S144" i="2"/>
  <c r="K144" i="2"/>
  <c r="K145" i="2"/>
  <c r="S146" i="2"/>
  <c r="K146" i="2"/>
  <c r="S147" i="2"/>
  <c r="K147" i="2"/>
  <c r="S148" i="2"/>
  <c r="K148" i="2"/>
  <c r="K149" i="2"/>
  <c r="S150" i="2"/>
  <c r="K150" i="2"/>
  <c r="S151" i="2"/>
  <c r="K151" i="2"/>
  <c r="S152" i="2"/>
  <c r="K152" i="2"/>
  <c r="K153" i="2"/>
  <c r="S154" i="2"/>
  <c r="K154" i="2"/>
  <c r="S155" i="2"/>
  <c r="K155" i="2"/>
  <c r="S156" i="2"/>
  <c r="K156" i="2"/>
  <c r="K157" i="2"/>
  <c r="S158" i="2"/>
  <c r="K158" i="2"/>
  <c r="S159" i="2"/>
  <c r="K159" i="2"/>
  <c r="S160" i="2"/>
  <c r="K160" i="2"/>
  <c r="S161" i="2"/>
  <c r="K161" i="2"/>
  <c r="S162" i="2"/>
  <c r="K162" i="2"/>
  <c r="S163" i="2"/>
  <c r="K163" i="2"/>
  <c r="S164" i="2"/>
  <c r="K164" i="2"/>
  <c r="S165" i="2"/>
  <c r="K165" i="2"/>
  <c r="S166" i="2"/>
  <c r="K166" i="2"/>
  <c r="S167" i="2"/>
  <c r="K167" i="2"/>
  <c r="S168" i="2"/>
  <c r="K168" i="2"/>
  <c r="S169" i="2"/>
  <c r="K169" i="2"/>
  <c r="S170" i="2"/>
  <c r="K170" i="2"/>
  <c r="S171" i="2"/>
  <c r="K171" i="2"/>
  <c r="S172" i="2"/>
  <c r="K172" i="2"/>
  <c r="S173" i="2"/>
  <c r="K173" i="2"/>
  <c r="S174" i="2"/>
  <c r="K174" i="2"/>
  <c r="S175" i="2"/>
  <c r="K175" i="2"/>
  <c r="S176" i="2"/>
  <c r="K176" i="2"/>
  <c r="S177" i="2"/>
  <c r="K177" i="2"/>
  <c r="S178" i="2"/>
  <c r="K178" i="2"/>
  <c r="S179" i="2"/>
  <c r="K179" i="2"/>
  <c r="S180" i="2"/>
  <c r="K180" i="2"/>
  <c r="S181" i="2"/>
  <c r="K181" i="2"/>
  <c r="S182" i="2"/>
  <c r="K182" i="2"/>
  <c r="S183" i="2"/>
  <c r="K183" i="2"/>
  <c r="S184" i="2"/>
  <c r="K184" i="2"/>
  <c r="S185" i="2"/>
  <c r="K185" i="2"/>
  <c r="S186" i="2"/>
  <c r="K186" i="2"/>
  <c r="S187" i="2"/>
  <c r="K187" i="2"/>
  <c r="S188" i="2"/>
  <c r="K188" i="2"/>
  <c r="S189" i="2"/>
  <c r="K189" i="2"/>
  <c r="S190" i="2"/>
  <c r="K190" i="2"/>
  <c r="S191" i="2"/>
  <c r="K191" i="2"/>
  <c r="S192" i="2"/>
  <c r="K192" i="2"/>
  <c r="S193" i="2"/>
  <c r="K193" i="2"/>
  <c r="S194" i="2"/>
  <c r="K194" i="2"/>
  <c r="S195" i="2"/>
  <c r="K195" i="2"/>
  <c r="S196" i="2"/>
  <c r="K196" i="2"/>
  <c r="S197" i="2"/>
  <c r="K197" i="2"/>
  <c r="S198" i="2"/>
  <c r="K198" i="2"/>
  <c r="S199" i="2"/>
  <c r="K199" i="2"/>
  <c r="S200" i="2"/>
  <c r="K200" i="2"/>
  <c r="S201" i="2"/>
  <c r="K201" i="2"/>
  <c r="S202" i="2"/>
  <c r="K202" i="2"/>
  <c r="S203" i="2"/>
  <c r="K203" i="2"/>
  <c r="S204" i="2"/>
  <c r="K204" i="2"/>
  <c r="S205" i="2"/>
  <c r="K205" i="2"/>
  <c r="S206" i="2"/>
  <c r="K206" i="2"/>
  <c r="S207" i="2"/>
  <c r="K207" i="2"/>
  <c r="S208" i="2"/>
  <c r="K208" i="2"/>
  <c r="S209" i="2"/>
  <c r="K209" i="2"/>
  <c r="S210" i="2"/>
  <c r="K210" i="2"/>
  <c r="S211" i="2"/>
  <c r="K211" i="2"/>
  <c r="S212" i="2"/>
  <c r="K212" i="2"/>
  <c r="S213" i="2"/>
  <c r="K213" i="2"/>
  <c r="S214" i="2"/>
  <c r="K214" i="2"/>
  <c r="S215" i="2"/>
  <c r="K215" i="2"/>
  <c r="S216" i="2"/>
  <c r="K216" i="2"/>
  <c r="S217" i="2"/>
  <c r="K217" i="2"/>
  <c r="S218" i="2"/>
  <c r="K218" i="2"/>
  <c r="S219" i="2"/>
  <c r="K219" i="2"/>
  <c r="S220" i="2"/>
  <c r="K220" i="2"/>
  <c r="S221" i="2"/>
  <c r="K221" i="2"/>
  <c r="S222" i="2"/>
  <c r="K222" i="2"/>
  <c r="S223" i="2"/>
  <c r="K223" i="2"/>
  <c r="S224" i="2"/>
  <c r="K224" i="2"/>
  <c r="S225" i="2"/>
  <c r="K225" i="2"/>
  <c r="S226" i="2"/>
  <c r="K226" i="2"/>
  <c r="S227" i="2"/>
  <c r="K227" i="2"/>
  <c r="S228" i="2"/>
  <c r="K228" i="2"/>
  <c r="S229" i="2"/>
  <c r="K229" i="2"/>
  <c r="S230" i="2"/>
  <c r="K230" i="2"/>
  <c r="S231" i="2"/>
  <c r="K231" i="2"/>
  <c r="S232" i="2"/>
  <c r="K232" i="2"/>
  <c r="S233" i="2"/>
  <c r="K233" i="2"/>
  <c r="S234" i="2"/>
  <c r="K234" i="2"/>
  <c r="S235" i="2"/>
  <c r="K235" i="2"/>
  <c r="S236" i="2"/>
  <c r="K236" i="2"/>
  <c r="S237" i="2"/>
  <c r="K237" i="2"/>
  <c r="S238" i="2"/>
  <c r="K238" i="2"/>
  <c r="S239" i="2"/>
  <c r="K239" i="2"/>
  <c r="S240" i="2"/>
  <c r="K240" i="2"/>
  <c r="S241" i="2"/>
  <c r="K241" i="2"/>
  <c r="S242" i="2"/>
  <c r="K242" i="2"/>
  <c r="S243" i="2"/>
  <c r="K243" i="2"/>
  <c r="S244" i="2"/>
  <c r="K244" i="2"/>
  <c r="S245" i="2"/>
  <c r="K245" i="2"/>
  <c r="S246" i="2"/>
  <c r="K246" i="2"/>
  <c r="S247" i="2"/>
  <c r="K247" i="2"/>
  <c r="S248" i="2"/>
  <c r="K248" i="2"/>
  <c r="S249" i="2"/>
  <c r="K249" i="2"/>
  <c r="S250" i="2"/>
  <c r="K250" i="2"/>
  <c r="S251" i="2"/>
  <c r="K251" i="2"/>
  <c r="S252" i="2"/>
  <c r="K252" i="2"/>
  <c r="S253" i="2"/>
  <c r="K253" i="2"/>
  <c r="S254" i="2"/>
  <c r="K254" i="2"/>
  <c r="S255" i="2"/>
  <c r="K255" i="2"/>
  <c r="S256" i="2"/>
  <c r="K256" i="2"/>
  <c r="S257" i="2"/>
  <c r="K257" i="2"/>
  <c r="S258" i="2"/>
  <c r="K258" i="2"/>
  <c r="S259" i="2"/>
  <c r="K259" i="2"/>
  <c r="S260" i="2"/>
  <c r="K260" i="2"/>
  <c r="S261" i="2"/>
  <c r="K261" i="2"/>
  <c r="S262" i="2"/>
  <c r="K262" i="2"/>
  <c r="S263" i="2"/>
  <c r="K263" i="2"/>
  <c r="S264" i="2"/>
  <c r="K264" i="2"/>
  <c r="S265" i="2"/>
  <c r="K265" i="2"/>
  <c r="S266" i="2"/>
  <c r="K266" i="2"/>
  <c r="S267" i="2"/>
  <c r="K267" i="2"/>
  <c r="S268" i="2"/>
  <c r="K268" i="2"/>
  <c r="S269" i="2"/>
  <c r="K269" i="2"/>
  <c r="S270" i="2"/>
  <c r="K270" i="2"/>
  <c r="S271" i="2"/>
  <c r="K271" i="2"/>
  <c r="S272" i="2"/>
  <c r="K272" i="2"/>
  <c r="S273" i="2"/>
  <c r="K273" i="2"/>
  <c r="S274" i="2"/>
  <c r="K274" i="2"/>
  <c r="S275" i="2"/>
  <c r="K275" i="2"/>
  <c r="S276" i="2"/>
  <c r="K276" i="2"/>
  <c r="S277" i="2"/>
  <c r="K277" i="2"/>
  <c r="S278" i="2"/>
  <c r="K278" i="2"/>
  <c r="S279" i="2"/>
  <c r="K279" i="2"/>
  <c r="S280" i="2"/>
  <c r="K280" i="2"/>
  <c r="S281" i="2"/>
  <c r="K281" i="2"/>
  <c r="S282" i="2"/>
  <c r="K282" i="2"/>
  <c r="S283" i="2"/>
  <c r="K283" i="2"/>
  <c r="S284" i="2"/>
  <c r="K284" i="2"/>
  <c r="S285" i="2"/>
  <c r="K285" i="2"/>
  <c r="S286" i="2"/>
  <c r="K286" i="2"/>
  <c r="S287" i="2"/>
  <c r="K287" i="2"/>
  <c r="S288" i="2"/>
  <c r="K288" i="2"/>
  <c r="S289" i="2"/>
  <c r="K289" i="2"/>
  <c r="S290" i="2"/>
  <c r="K290" i="2"/>
  <c r="S291" i="2"/>
  <c r="K291" i="2"/>
  <c r="S292" i="2"/>
  <c r="K292" i="2"/>
  <c r="S293" i="2"/>
  <c r="K293" i="2"/>
  <c r="S294" i="2"/>
  <c r="K294" i="2"/>
  <c r="S295" i="2"/>
  <c r="K295" i="2"/>
  <c r="S296" i="2"/>
  <c r="K296" i="2"/>
  <c r="S297" i="2"/>
  <c r="K297" i="2"/>
  <c r="S298" i="2"/>
  <c r="K298" i="2"/>
  <c r="S299" i="2"/>
  <c r="K299" i="2"/>
  <c r="S300" i="2"/>
  <c r="K300" i="2"/>
  <c r="S301" i="2"/>
  <c r="K301" i="2"/>
  <c r="S302" i="2"/>
  <c r="K302" i="2"/>
  <c r="S303" i="2"/>
  <c r="K303" i="2"/>
  <c r="S304" i="2"/>
  <c r="K304" i="2"/>
  <c r="S305" i="2"/>
  <c r="K305" i="2"/>
  <c r="S306" i="2"/>
  <c r="K306" i="2"/>
  <c r="S307" i="2"/>
  <c r="K307" i="2"/>
  <c r="S308" i="2"/>
  <c r="K308" i="2"/>
  <c r="S309" i="2"/>
  <c r="K309" i="2"/>
  <c r="S310" i="2"/>
  <c r="K310" i="2"/>
  <c r="S311" i="2"/>
  <c r="K311" i="2"/>
  <c r="S312" i="2"/>
  <c r="K312" i="2"/>
  <c r="S313" i="2"/>
  <c r="K313" i="2"/>
  <c r="S314" i="2"/>
  <c r="K314" i="2"/>
  <c r="S315" i="2"/>
  <c r="K315" i="2"/>
  <c r="S316" i="2"/>
  <c r="K316" i="2"/>
  <c r="S317" i="2"/>
  <c r="K317" i="2"/>
  <c r="S318" i="2"/>
  <c r="K318" i="2"/>
  <c r="S319" i="2"/>
  <c r="K319" i="2"/>
  <c r="S320" i="2"/>
  <c r="K320" i="2"/>
  <c r="S321" i="2"/>
  <c r="K321" i="2"/>
  <c r="S322" i="2"/>
  <c r="K322" i="2"/>
  <c r="S323" i="2"/>
  <c r="K323" i="2"/>
  <c r="S324" i="2"/>
  <c r="K324" i="2"/>
  <c r="S325" i="2"/>
  <c r="K325" i="2"/>
  <c r="S326" i="2"/>
  <c r="K326" i="2"/>
  <c r="S327" i="2"/>
  <c r="K327" i="2"/>
  <c r="S328" i="2"/>
  <c r="K328" i="2"/>
  <c r="S329" i="2"/>
  <c r="K329" i="2"/>
  <c r="S330" i="2"/>
  <c r="K330" i="2"/>
  <c r="S331" i="2"/>
  <c r="K331" i="2"/>
  <c r="S332" i="2"/>
  <c r="K332" i="2"/>
  <c r="S333" i="2"/>
  <c r="K333" i="2"/>
  <c r="S334" i="2"/>
  <c r="K334" i="2"/>
  <c r="S335" i="2"/>
  <c r="K335" i="2"/>
  <c r="S336" i="2"/>
  <c r="K336" i="2"/>
  <c r="S337" i="2"/>
  <c r="K337" i="2"/>
  <c r="S338" i="2"/>
  <c r="K338" i="2"/>
  <c r="S339" i="2"/>
  <c r="K339" i="2"/>
  <c r="S340" i="2"/>
  <c r="K340" i="2"/>
  <c r="S341" i="2"/>
  <c r="K341" i="2"/>
  <c r="S342" i="2"/>
  <c r="K342" i="2"/>
  <c r="S343" i="2"/>
  <c r="K343" i="2"/>
  <c r="S344" i="2"/>
  <c r="K344" i="2"/>
  <c r="S345" i="2"/>
  <c r="K345" i="2"/>
  <c r="S346" i="2"/>
  <c r="K346" i="2"/>
  <c r="S347" i="2"/>
  <c r="K347" i="2"/>
  <c r="S348" i="2"/>
  <c r="K348" i="2"/>
  <c r="S349" i="2"/>
  <c r="K349" i="2"/>
  <c r="S350" i="2"/>
  <c r="K350" i="2"/>
  <c r="S351" i="2"/>
  <c r="K351" i="2"/>
  <c r="S352" i="2"/>
  <c r="K352" i="2"/>
  <c r="S353" i="2"/>
  <c r="K353" i="2"/>
  <c r="S354" i="2"/>
  <c r="K354" i="2"/>
  <c r="S355" i="2"/>
  <c r="K355" i="2"/>
  <c r="S356" i="2"/>
  <c r="K356" i="2"/>
  <c r="S357" i="2"/>
  <c r="K357" i="2"/>
  <c r="S358" i="2"/>
  <c r="K358" i="2"/>
  <c r="S359" i="2"/>
  <c r="K359" i="2"/>
  <c r="S360" i="2"/>
  <c r="K360" i="2"/>
  <c r="S361" i="2"/>
  <c r="K361" i="2"/>
  <c r="S362" i="2"/>
  <c r="K362" i="2"/>
  <c r="S363" i="2"/>
  <c r="K363" i="2"/>
  <c r="S364" i="2"/>
  <c r="K364" i="2"/>
  <c r="S365" i="2"/>
  <c r="K365" i="2"/>
  <c r="S366" i="2"/>
  <c r="K366" i="2"/>
  <c r="S367" i="2"/>
  <c r="K367" i="2"/>
  <c r="S368" i="2"/>
  <c r="K368" i="2"/>
  <c r="S369" i="2"/>
  <c r="K369" i="2"/>
  <c r="S370" i="2"/>
  <c r="K370" i="2"/>
  <c r="S371" i="2"/>
  <c r="K371" i="2"/>
  <c r="S372" i="2"/>
  <c r="K372" i="2"/>
  <c r="S373" i="2"/>
  <c r="K373" i="2"/>
  <c r="S374" i="2"/>
  <c r="K374" i="2"/>
  <c r="S375" i="2"/>
  <c r="K375" i="2"/>
  <c r="S376" i="2"/>
  <c r="K376" i="2"/>
  <c r="S377" i="2"/>
  <c r="K377" i="2"/>
  <c r="S378" i="2"/>
  <c r="K378" i="2"/>
  <c r="S379" i="2"/>
  <c r="K379" i="2"/>
  <c r="S380" i="2"/>
  <c r="K380" i="2"/>
  <c r="S381" i="2"/>
  <c r="K381" i="2"/>
  <c r="S382" i="2"/>
  <c r="K382" i="2"/>
  <c r="S383" i="2"/>
  <c r="K383" i="2"/>
  <c r="S384" i="2"/>
  <c r="K384" i="2"/>
  <c r="S385" i="2"/>
  <c r="K385" i="2"/>
  <c r="S386" i="2"/>
  <c r="K386" i="2"/>
  <c r="S387" i="2"/>
  <c r="K387" i="2"/>
  <c r="S388" i="2"/>
  <c r="K388" i="2"/>
  <c r="S389" i="2"/>
  <c r="K389" i="2"/>
  <c r="S390" i="2"/>
  <c r="K390" i="2"/>
  <c r="S391" i="2"/>
  <c r="K391" i="2"/>
  <c r="S392" i="2"/>
  <c r="K392" i="2"/>
  <c r="S393" i="2"/>
  <c r="K393" i="2"/>
  <c r="S394" i="2"/>
  <c r="K394" i="2"/>
  <c r="S395" i="2"/>
  <c r="K395" i="2"/>
  <c r="S396" i="2"/>
  <c r="K396" i="2"/>
  <c r="S397" i="2"/>
  <c r="K397" i="2"/>
  <c r="S398" i="2"/>
  <c r="K398" i="2"/>
  <c r="S399" i="2"/>
  <c r="K399" i="2"/>
  <c r="S400" i="2"/>
  <c r="K400" i="2"/>
  <c r="S401" i="2"/>
  <c r="K401" i="2"/>
  <c r="S402" i="2"/>
  <c r="K402" i="2"/>
  <c r="S403" i="2"/>
  <c r="K403" i="2"/>
  <c r="S404" i="2"/>
  <c r="K404" i="2"/>
  <c r="S405" i="2"/>
  <c r="K405" i="2"/>
  <c r="S406" i="2"/>
  <c r="K406" i="2"/>
  <c r="S407" i="2"/>
  <c r="K407" i="2"/>
  <c r="S408" i="2"/>
  <c r="K408" i="2"/>
  <c r="S409" i="2"/>
  <c r="K409" i="2"/>
  <c r="S410" i="2"/>
  <c r="K410" i="2"/>
  <c r="S411" i="2"/>
  <c r="K411" i="2"/>
  <c r="S412" i="2"/>
  <c r="K412" i="2"/>
  <c r="S413" i="2"/>
  <c r="K413" i="2"/>
  <c r="S414" i="2"/>
  <c r="K414" i="2"/>
  <c r="S415" i="2"/>
  <c r="K415" i="2"/>
  <c r="S416" i="2"/>
  <c r="K416" i="2"/>
  <c r="S417" i="2"/>
  <c r="K417" i="2"/>
  <c r="S418" i="2"/>
  <c r="K418" i="2"/>
  <c r="S419" i="2"/>
  <c r="K419" i="2"/>
  <c r="S420" i="2"/>
  <c r="K420" i="2"/>
  <c r="S421" i="2"/>
  <c r="K421" i="2"/>
  <c r="S422" i="2"/>
  <c r="K422" i="2"/>
  <c r="S423" i="2"/>
  <c r="K423" i="2"/>
  <c r="S424" i="2"/>
  <c r="K424" i="2"/>
  <c r="S425" i="2"/>
  <c r="K425" i="2"/>
  <c r="S426" i="2"/>
  <c r="K426" i="2"/>
  <c r="S427" i="2"/>
  <c r="K427" i="2"/>
  <c r="S428" i="2"/>
  <c r="K428" i="2"/>
  <c r="S429" i="2"/>
  <c r="K429" i="2"/>
  <c r="S430" i="2"/>
  <c r="K430" i="2"/>
  <c r="S431" i="2"/>
  <c r="K431" i="2"/>
  <c r="S432" i="2"/>
  <c r="K432" i="2"/>
  <c r="S433" i="2"/>
  <c r="K433" i="2"/>
  <c r="S434" i="2"/>
  <c r="K434" i="2"/>
  <c r="S435" i="2"/>
  <c r="K435" i="2"/>
  <c r="S436" i="2"/>
  <c r="K436" i="2"/>
  <c r="S437" i="2"/>
  <c r="K437" i="2"/>
  <c r="S438" i="2"/>
  <c r="K438" i="2"/>
  <c r="S439" i="2"/>
  <c r="K439" i="2"/>
  <c r="S440" i="2"/>
  <c r="K440" i="2"/>
  <c r="S441" i="2"/>
  <c r="K441" i="2"/>
  <c r="S442" i="2"/>
  <c r="K442" i="2"/>
  <c r="S443" i="2"/>
  <c r="K443" i="2"/>
  <c r="S444" i="2"/>
  <c r="K444" i="2"/>
  <c r="S445" i="2"/>
  <c r="K445" i="2"/>
  <c r="S446" i="2"/>
  <c r="K446" i="2"/>
  <c r="S447" i="2"/>
  <c r="K447" i="2"/>
  <c r="S448" i="2"/>
  <c r="K448" i="2"/>
  <c r="S449" i="2"/>
  <c r="K449" i="2"/>
  <c r="S450" i="2"/>
  <c r="K450" i="2"/>
  <c r="S451" i="2"/>
  <c r="K451" i="2"/>
  <c r="S452" i="2"/>
  <c r="K452" i="2"/>
  <c r="S453" i="2"/>
  <c r="K453" i="2"/>
  <c r="S454" i="2"/>
  <c r="K454" i="2"/>
  <c r="S455" i="2"/>
  <c r="K455" i="2"/>
  <c r="S456" i="2"/>
  <c r="K456" i="2"/>
  <c r="S457" i="2"/>
  <c r="K457" i="2"/>
  <c r="S458" i="2"/>
  <c r="K458" i="2"/>
  <c r="S459" i="2"/>
  <c r="K459" i="2"/>
  <c r="S460" i="2"/>
  <c r="K460" i="2"/>
  <c r="S461" i="2"/>
  <c r="K461" i="2"/>
  <c r="S462" i="2"/>
  <c r="K462" i="2"/>
  <c r="S463" i="2"/>
  <c r="K463" i="2"/>
  <c r="S464" i="2"/>
  <c r="K464" i="2"/>
  <c r="S465" i="2"/>
  <c r="K465" i="2"/>
  <c r="S466" i="2"/>
  <c r="K466" i="2"/>
  <c r="S467" i="2"/>
  <c r="K467" i="2"/>
  <c r="S468" i="2"/>
  <c r="K468" i="2"/>
  <c r="S469" i="2"/>
  <c r="K469" i="2"/>
  <c r="S470" i="2"/>
  <c r="K470" i="2"/>
  <c r="S471" i="2"/>
  <c r="K471" i="2"/>
  <c r="S472" i="2"/>
  <c r="K472" i="2"/>
  <c r="S473" i="2"/>
  <c r="K473" i="2"/>
  <c r="S474" i="2"/>
  <c r="K474" i="2"/>
  <c r="S475" i="2"/>
  <c r="K475" i="2"/>
  <c r="S476" i="2"/>
  <c r="K476" i="2"/>
  <c r="S477" i="2"/>
  <c r="K477" i="2"/>
  <c r="S478" i="2"/>
  <c r="K478" i="2"/>
  <c r="S479" i="2"/>
  <c r="K479" i="2"/>
  <c r="S480" i="2"/>
  <c r="K480" i="2"/>
  <c r="S481" i="2"/>
  <c r="K481" i="2"/>
  <c r="S482" i="2"/>
  <c r="K482" i="2"/>
  <c r="S483" i="2"/>
  <c r="K483" i="2"/>
  <c r="S484" i="2"/>
  <c r="K484" i="2"/>
  <c r="S485" i="2"/>
  <c r="K485" i="2"/>
  <c r="S486" i="2"/>
  <c r="K486" i="2"/>
  <c r="S487" i="2"/>
  <c r="K487" i="2"/>
  <c r="S488" i="2"/>
  <c r="K488" i="2"/>
  <c r="S489" i="2"/>
  <c r="K489" i="2"/>
  <c r="S490" i="2"/>
  <c r="K490" i="2"/>
  <c r="S491" i="2"/>
  <c r="K491" i="2"/>
  <c r="S492" i="2"/>
  <c r="K492" i="2"/>
  <c r="S493" i="2"/>
  <c r="K493" i="2"/>
  <c r="S494" i="2"/>
  <c r="K494" i="2"/>
  <c r="S495" i="2"/>
  <c r="K495" i="2"/>
  <c r="S496" i="2"/>
  <c r="K496" i="2"/>
  <c r="S497" i="2"/>
  <c r="K497" i="2"/>
  <c r="S498" i="2"/>
  <c r="K498" i="2"/>
  <c r="S499" i="2"/>
  <c r="K499" i="2"/>
  <c r="S500" i="2"/>
  <c r="K500" i="2"/>
  <c r="S501" i="2"/>
  <c r="K501" i="2"/>
  <c r="S502" i="2"/>
  <c r="K502" i="2"/>
  <c r="S503" i="2"/>
  <c r="K503" i="2"/>
  <c r="S504" i="2"/>
  <c r="K504" i="2"/>
  <c r="S505" i="2"/>
  <c r="K505" i="2"/>
  <c r="S506" i="2"/>
  <c r="K506" i="2"/>
  <c r="S507" i="2"/>
  <c r="K507" i="2"/>
  <c r="S508" i="2"/>
  <c r="K508" i="2"/>
  <c r="S509" i="2"/>
  <c r="K509" i="2"/>
  <c r="S510" i="2"/>
  <c r="K510" i="2"/>
  <c r="S511" i="2"/>
  <c r="K511" i="2"/>
  <c r="S512" i="2"/>
  <c r="K512" i="2"/>
  <c r="S513" i="2"/>
  <c r="K513" i="2"/>
  <c r="S514" i="2"/>
  <c r="K514" i="2"/>
  <c r="S515" i="2"/>
  <c r="K515" i="2"/>
  <c r="S516" i="2"/>
  <c r="K516" i="2"/>
  <c r="S517" i="2"/>
  <c r="K517" i="2"/>
  <c r="S518" i="2"/>
  <c r="K518" i="2"/>
  <c r="S519" i="2"/>
  <c r="K519" i="2"/>
  <c r="S520" i="2"/>
  <c r="K520" i="2"/>
  <c r="S521" i="2"/>
  <c r="K521" i="2"/>
  <c r="S522" i="2"/>
  <c r="K522" i="2"/>
  <c r="S523" i="2"/>
  <c r="K523" i="2"/>
  <c r="S524" i="2"/>
  <c r="K524" i="2"/>
  <c r="S525" i="2"/>
  <c r="K525" i="2"/>
  <c r="S526" i="2"/>
  <c r="K526" i="2"/>
  <c r="S527" i="2"/>
  <c r="K527" i="2"/>
  <c r="S528" i="2"/>
  <c r="K528" i="2"/>
  <c r="S529" i="2"/>
  <c r="K529" i="2"/>
  <c r="S530" i="2"/>
  <c r="K530" i="2"/>
  <c r="S531" i="2"/>
  <c r="K531" i="2"/>
  <c r="S532" i="2"/>
  <c r="K532" i="2"/>
  <c r="S533" i="2"/>
  <c r="K533" i="2"/>
  <c r="S534" i="2"/>
  <c r="K534" i="2"/>
  <c r="S535" i="2"/>
  <c r="K535" i="2"/>
  <c r="S536" i="2"/>
  <c r="K536" i="2"/>
  <c r="S537" i="2"/>
  <c r="K537" i="2"/>
  <c r="S538" i="2"/>
  <c r="K538" i="2"/>
  <c r="S539" i="2"/>
  <c r="K539" i="2"/>
  <c r="S540" i="2"/>
  <c r="K540" i="2"/>
  <c r="S541" i="2"/>
  <c r="K541" i="2"/>
  <c r="S542" i="2"/>
  <c r="K542" i="2"/>
  <c r="S543" i="2"/>
  <c r="K543" i="2"/>
  <c r="S544" i="2"/>
  <c r="K544" i="2"/>
  <c r="S545" i="2"/>
  <c r="K545" i="2"/>
  <c r="S546" i="2"/>
  <c r="K546" i="2"/>
  <c r="S547" i="2"/>
  <c r="K547" i="2"/>
  <c r="S548" i="2"/>
  <c r="K548" i="2"/>
  <c r="S549" i="2"/>
  <c r="K549" i="2"/>
  <c r="S550" i="2"/>
  <c r="K550" i="2"/>
  <c r="S551" i="2"/>
  <c r="K551" i="2"/>
  <c r="S552" i="2"/>
  <c r="K552" i="2"/>
  <c r="S553" i="2"/>
  <c r="K553" i="2"/>
  <c r="S554" i="2"/>
  <c r="K554" i="2"/>
  <c r="S555" i="2"/>
  <c r="K555" i="2"/>
  <c r="S556" i="2"/>
  <c r="K556" i="2"/>
  <c r="S557" i="2"/>
  <c r="K557" i="2"/>
  <c r="S558" i="2"/>
  <c r="K558" i="2"/>
  <c r="S559" i="2"/>
  <c r="K559" i="2"/>
  <c r="S560" i="2"/>
  <c r="K560" i="2"/>
  <c r="S561" i="2"/>
  <c r="K561" i="2"/>
  <c r="S562" i="2"/>
  <c r="K562" i="2"/>
  <c r="S563" i="2"/>
  <c r="K563" i="2"/>
  <c r="S564" i="2"/>
  <c r="K564" i="2"/>
  <c r="S565" i="2"/>
  <c r="K565" i="2"/>
  <c r="S566" i="2"/>
  <c r="K566" i="2"/>
  <c r="S567" i="2"/>
  <c r="K567" i="2"/>
  <c r="S568" i="2"/>
  <c r="K568" i="2"/>
  <c r="S569" i="2"/>
  <c r="K569" i="2"/>
  <c r="S570" i="2"/>
  <c r="K570" i="2"/>
  <c r="S571" i="2"/>
  <c r="K571" i="2"/>
  <c r="S572" i="2"/>
  <c r="K572" i="2"/>
  <c r="S573" i="2"/>
  <c r="K573" i="2"/>
  <c r="S574" i="2"/>
  <c r="K574" i="2"/>
  <c r="S575" i="2"/>
  <c r="K575" i="2"/>
  <c r="S576" i="2"/>
  <c r="K576" i="2"/>
  <c r="S577" i="2"/>
  <c r="K577" i="2"/>
  <c r="S578" i="2"/>
  <c r="K578" i="2"/>
  <c r="S579" i="2"/>
  <c r="K579" i="2"/>
  <c r="S580" i="2"/>
  <c r="K580" i="2"/>
  <c r="S581" i="2"/>
  <c r="K581" i="2"/>
  <c r="S582" i="2"/>
  <c r="K582" i="2"/>
  <c r="S583" i="2"/>
  <c r="K583" i="2"/>
  <c r="S584" i="2"/>
  <c r="K584" i="2"/>
  <c r="S585" i="2"/>
  <c r="K585" i="2"/>
  <c r="S586" i="2"/>
  <c r="K586" i="2"/>
  <c r="S587" i="2"/>
  <c r="K587" i="2"/>
  <c r="S588" i="2"/>
  <c r="K588" i="2"/>
  <c r="S589" i="2"/>
  <c r="K589" i="2"/>
  <c r="S590" i="2"/>
  <c r="K590" i="2"/>
  <c r="S591" i="2"/>
  <c r="K591" i="2"/>
  <c r="S592" i="2"/>
  <c r="K592" i="2"/>
  <c r="S593" i="2"/>
  <c r="K593" i="2"/>
  <c r="S594" i="2"/>
  <c r="K594" i="2"/>
  <c r="S595" i="2"/>
  <c r="K595" i="2"/>
  <c r="S596" i="2"/>
  <c r="K596" i="2"/>
  <c r="S597" i="2"/>
  <c r="K597" i="2"/>
  <c r="S598" i="2"/>
  <c r="K598" i="2"/>
  <c r="S599" i="2"/>
  <c r="K599" i="2"/>
  <c r="S600" i="2"/>
  <c r="K600" i="2"/>
  <c r="S601" i="2"/>
  <c r="K601" i="2"/>
  <c r="S602" i="2"/>
  <c r="K602" i="2"/>
  <c r="S603" i="2"/>
  <c r="K603" i="2"/>
  <c r="S604" i="2"/>
  <c r="K604" i="2"/>
  <c r="S605" i="2"/>
  <c r="K605" i="2"/>
  <c r="S606" i="2"/>
  <c r="K606" i="2"/>
  <c r="S607" i="2"/>
  <c r="K607" i="2"/>
  <c r="S608" i="2"/>
  <c r="K608" i="2"/>
  <c r="S609" i="2"/>
  <c r="K609" i="2"/>
  <c r="S610" i="2"/>
  <c r="K610" i="2"/>
  <c r="S611" i="2"/>
  <c r="K611" i="2"/>
  <c r="S612" i="2"/>
  <c r="K612" i="2"/>
  <c r="S613" i="2"/>
  <c r="K613" i="2"/>
  <c r="S614" i="2"/>
  <c r="K614" i="2"/>
  <c r="S615" i="2"/>
  <c r="K615" i="2"/>
  <c r="S616" i="2"/>
  <c r="K616" i="2"/>
  <c r="S617" i="2"/>
  <c r="K617" i="2"/>
  <c r="S618" i="2"/>
  <c r="K618" i="2"/>
  <c r="S619" i="2"/>
  <c r="K619" i="2"/>
  <c r="S620" i="2"/>
  <c r="K620" i="2"/>
  <c r="S621" i="2"/>
  <c r="K621" i="2"/>
  <c r="S622" i="2"/>
  <c r="K622" i="2"/>
  <c r="S623" i="2"/>
  <c r="K623" i="2"/>
  <c r="S624" i="2"/>
  <c r="K624" i="2"/>
  <c r="S625" i="2"/>
  <c r="K625" i="2"/>
  <c r="S626" i="2"/>
  <c r="K626" i="2"/>
  <c r="S627" i="2"/>
  <c r="K627" i="2"/>
  <c r="S628" i="2"/>
  <c r="K628" i="2"/>
  <c r="S629" i="2"/>
  <c r="K629" i="2"/>
  <c r="S630" i="2"/>
  <c r="K630" i="2"/>
  <c r="S631" i="2"/>
  <c r="K631" i="2"/>
  <c r="S632" i="2"/>
  <c r="K632" i="2"/>
  <c r="S633" i="2"/>
  <c r="K633" i="2"/>
  <c r="S634" i="2"/>
  <c r="K634" i="2"/>
  <c r="S635" i="2"/>
  <c r="K635" i="2"/>
  <c r="S636" i="2"/>
  <c r="K636" i="2"/>
  <c r="S637" i="2"/>
  <c r="K637" i="2"/>
  <c r="S638" i="2"/>
  <c r="K638" i="2"/>
  <c r="S639" i="2"/>
  <c r="K639" i="2"/>
  <c r="S640" i="2"/>
  <c r="K640" i="2"/>
  <c r="S641" i="2"/>
  <c r="K641" i="2"/>
  <c r="S642" i="2"/>
  <c r="K642" i="2"/>
  <c r="S643" i="2"/>
  <c r="K643" i="2"/>
  <c r="S644" i="2"/>
  <c r="K644" i="2"/>
  <c r="S645" i="2"/>
  <c r="K645" i="2"/>
  <c r="S646" i="2"/>
  <c r="K646" i="2"/>
  <c r="S647" i="2"/>
  <c r="K647" i="2"/>
  <c r="S648" i="2"/>
  <c r="K648" i="2"/>
  <c r="S649" i="2"/>
  <c r="K649" i="2"/>
  <c r="S650" i="2"/>
  <c r="K650" i="2"/>
  <c r="S651" i="2"/>
  <c r="K651" i="2"/>
  <c r="S652" i="2"/>
  <c r="K652" i="2"/>
  <c r="S653" i="2"/>
  <c r="K653" i="2"/>
  <c r="S654" i="2"/>
  <c r="K654" i="2"/>
  <c r="S655" i="2"/>
  <c r="K655" i="2"/>
  <c r="S656" i="2"/>
  <c r="K656" i="2"/>
  <c r="S657" i="2"/>
  <c r="K657" i="2"/>
  <c r="S658" i="2"/>
  <c r="K658" i="2"/>
  <c r="S659" i="2"/>
  <c r="K659" i="2"/>
  <c r="S660" i="2"/>
  <c r="K660" i="2"/>
  <c r="S661" i="2"/>
  <c r="K661" i="2"/>
  <c r="S662" i="2"/>
  <c r="K662" i="2"/>
  <c r="S663" i="2"/>
  <c r="K663" i="2"/>
  <c r="S664" i="2"/>
  <c r="K664" i="2"/>
  <c r="S665" i="2"/>
  <c r="K665" i="2"/>
  <c r="S666" i="2"/>
  <c r="K666" i="2"/>
  <c r="S667" i="2"/>
  <c r="K667" i="2"/>
  <c r="S668" i="2"/>
  <c r="K668" i="2"/>
  <c r="S669" i="2"/>
  <c r="K669" i="2"/>
  <c r="S670" i="2"/>
  <c r="K670" i="2"/>
  <c r="S671" i="2"/>
  <c r="K671" i="2"/>
  <c r="S672" i="2"/>
  <c r="K672" i="2"/>
  <c r="S673" i="2"/>
  <c r="K673" i="2"/>
  <c r="S674" i="2"/>
  <c r="K674" i="2"/>
  <c r="S675" i="2"/>
  <c r="K675" i="2"/>
  <c r="S676" i="2"/>
  <c r="K676" i="2"/>
  <c r="S677" i="2"/>
  <c r="K677" i="2"/>
  <c r="S678" i="2"/>
  <c r="K678" i="2"/>
  <c r="S679" i="2"/>
  <c r="K679" i="2"/>
  <c r="S680" i="2"/>
  <c r="K680" i="2"/>
  <c r="S681" i="2"/>
  <c r="K681" i="2"/>
  <c r="S682" i="2"/>
  <c r="K682" i="2"/>
  <c r="S683" i="2"/>
  <c r="K683" i="2"/>
  <c r="S684" i="2"/>
  <c r="K684" i="2"/>
  <c r="S685" i="2"/>
  <c r="K685" i="2"/>
  <c r="S686" i="2"/>
  <c r="K686" i="2"/>
  <c r="S687" i="2"/>
  <c r="K687" i="2"/>
  <c r="S688" i="2"/>
  <c r="K688" i="2"/>
  <c r="S689" i="2"/>
  <c r="K689" i="2"/>
  <c r="S690" i="2"/>
  <c r="K690" i="2"/>
  <c r="S691" i="2"/>
  <c r="K691" i="2"/>
  <c r="S692" i="2"/>
  <c r="K692" i="2"/>
  <c r="S693" i="2"/>
  <c r="K693" i="2"/>
  <c r="S694" i="2"/>
  <c r="K694" i="2"/>
  <c r="S695" i="2"/>
  <c r="K695" i="2"/>
  <c r="S696" i="2"/>
  <c r="K696" i="2"/>
  <c r="S697" i="2"/>
  <c r="K697" i="2"/>
  <c r="S698" i="2"/>
  <c r="K698" i="2"/>
  <c r="S699" i="2"/>
  <c r="K699" i="2"/>
  <c r="S700" i="2"/>
  <c r="K700" i="2"/>
  <c r="S701" i="2"/>
  <c r="K701" i="2"/>
  <c r="S702" i="2"/>
  <c r="K702" i="2"/>
  <c r="S703" i="2"/>
  <c r="K703" i="2"/>
  <c r="S704" i="2"/>
  <c r="K704" i="2"/>
  <c r="S705" i="2"/>
  <c r="K705" i="2"/>
  <c r="S706" i="2"/>
  <c r="K706" i="2"/>
  <c r="S707" i="2"/>
  <c r="K707" i="2"/>
  <c r="S708" i="2"/>
  <c r="K708" i="2"/>
  <c r="S709" i="2"/>
  <c r="K709" i="2"/>
  <c r="S710" i="2"/>
  <c r="K710" i="2"/>
  <c r="S711" i="2"/>
  <c r="K711" i="2"/>
  <c r="S712" i="2"/>
  <c r="K712" i="2"/>
  <c r="S713" i="2"/>
  <c r="K713" i="2"/>
  <c r="S714" i="2"/>
  <c r="K714" i="2"/>
  <c r="S715" i="2"/>
  <c r="K715" i="2"/>
  <c r="S716" i="2"/>
  <c r="K716" i="2"/>
  <c r="S717" i="2"/>
  <c r="K717" i="2"/>
  <c r="S718" i="2"/>
  <c r="K718" i="2"/>
  <c r="S719" i="2"/>
  <c r="K719" i="2"/>
  <c r="S720" i="2"/>
  <c r="K720" i="2"/>
  <c r="S721" i="2"/>
  <c r="K721" i="2"/>
  <c r="S722" i="2"/>
  <c r="K722" i="2"/>
  <c r="S723" i="2"/>
  <c r="K723" i="2"/>
  <c r="S724" i="2"/>
  <c r="K724" i="2"/>
  <c r="S725" i="2"/>
  <c r="K725" i="2"/>
  <c r="S726" i="2"/>
  <c r="K726" i="2"/>
  <c r="S727" i="2"/>
  <c r="K727" i="2"/>
  <c r="S728" i="2"/>
  <c r="K728" i="2"/>
  <c r="S729" i="2"/>
  <c r="K729" i="2"/>
  <c r="S730" i="2"/>
  <c r="K730" i="2"/>
  <c r="S731" i="2"/>
  <c r="K731" i="2"/>
  <c r="S732" i="2"/>
  <c r="K732" i="2"/>
  <c r="S733" i="2"/>
  <c r="K733" i="2"/>
  <c r="S734" i="2"/>
  <c r="K734" i="2"/>
  <c r="S735" i="2"/>
  <c r="K735" i="2"/>
  <c r="S736" i="2"/>
  <c r="K736" i="2"/>
  <c r="S737" i="2"/>
  <c r="K737" i="2"/>
  <c r="S738" i="2"/>
  <c r="K738" i="2"/>
  <c r="S739" i="2"/>
  <c r="K739" i="2"/>
  <c r="S740" i="2"/>
  <c r="K740" i="2"/>
  <c r="S741" i="2"/>
  <c r="K741" i="2"/>
  <c r="S742" i="2"/>
  <c r="K742" i="2"/>
  <c r="S743" i="2"/>
  <c r="K743" i="2"/>
  <c r="S744" i="2"/>
  <c r="K744" i="2"/>
  <c r="S745" i="2"/>
  <c r="K745" i="2"/>
  <c r="S746" i="2"/>
  <c r="K746" i="2"/>
  <c r="S747" i="2"/>
  <c r="K747" i="2"/>
  <c r="S748" i="2"/>
  <c r="K748" i="2"/>
  <c r="S749" i="2"/>
  <c r="K749" i="2"/>
  <c r="S750" i="2"/>
  <c r="K750" i="2"/>
  <c r="S751" i="2"/>
  <c r="K751" i="2"/>
  <c r="S752" i="2"/>
  <c r="K752" i="2"/>
  <c r="S753" i="2"/>
  <c r="K753" i="2"/>
  <c r="S754" i="2"/>
  <c r="K754" i="2"/>
  <c r="S755" i="2"/>
  <c r="K755" i="2"/>
  <c r="S756" i="2"/>
  <c r="K756" i="2"/>
  <c r="S757" i="2"/>
  <c r="K757" i="2"/>
  <c r="S758" i="2"/>
  <c r="K758" i="2"/>
  <c r="S759" i="2"/>
  <c r="K759" i="2"/>
  <c r="S760" i="2"/>
  <c r="K760" i="2"/>
  <c r="S761" i="2"/>
  <c r="K761" i="2"/>
  <c r="S762" i="2"/>
  <c r="K762" i="2"/>
  <c r="S763" i="2"/>
  <c r="K763" i="2"/>
  <c r="S764" i="2"/>
  <c r="K764" i="2"/>
  <c r="S765" i="2"/>
  <c r="K765" i="2"/>
  <c r="S766" i="2"/>
  <c r="K766" i="2"/>
  <c r="S767" i="2"/>
  <c r="K767" i="2"/>
  <c r="S768" i="2"/>
  <c r="K768" i="2"/>
  <c r="S769" i="2"/>
  <c r="K769" i="2"/>
  <c r="S770" i="2"/>
  <c r="K770" i="2"/>
  <c r="S771" i="2"/>
  <c r="K771" i="2"/>
  <c r="S772" i="2"/>
  <c r="K772" i="2"/>
  <c r="S773" i="2"/>
  <c r="K773" i="2"/>
  <c r="S774" i="2"/>
  <c r="K774" i="2"/>
  <c r="S775" i="2"/>
  <c r="K775" i="2"/>
  <c r="S776" i="2"/>
  <c r="K776" i="2"/>
  <c r="S777" i="2"/>
  <c r="K777" i="2"/>
  <c r="S778" i="2"/>
  <c r="K778" i="2"/>
  <c r="S779" i="2"/>
  <c r="K779" i="2"/>
  <c r="S780" i="2"/>
  <c r="K780" i="2"/>
  <c r="S781" i="2"/>
  <c r="K781" i="2"/>
  <c r="S782" i="2"/>
  <c r="K782" i="2"/>
  <c r="S783" i="2"/>
  <c r="K783" i="2"/>
  <c r="S784" i="2"/>
  <c r="K784" i="2"/>
  <c r="S785" i="2"/>
  <c r="K785" i="2"/>
  <c r="S786" i="2"/>
  <c r="K786" i="2"/>
  <c r="S787" i="2"/>
  <c r="K787" i="2"/>
  <c r="S788" i="2"/>
  <c r="K788" i="2"/>
  <c r="S789" i="2"/>
  <c r="K789" i="2"/>
  <c r="S790" i="2"/>
  <c r="K790" i="2"/>
  <c r="S791" i="2"/>
  <c r="K791" i="2"/>
  <c r="S792" i="2"/>
  <c r="K792" i="2"/>
  <c r="S793" i="2"/>
  <c r="K793" i="2"/>
  <c r="S794" i="2"/>
  <c r="K794" i="2"/>
  <c r="S795" i="2"/>
  <c r="K795" i="2"/>
  <c r="S796" i="2"/>
  <c r="K796" i="2"/>
  <c r="S797" i="2"/>
  <c r="K797" i="2"/>
  <c r="S798" i="2"/>
  <c r="K798" i="2"/>
  <c r="S799" i="2"/>
  <c r="K799" i="2"/>
  <c r="S800" i="2"/>
  <c r="K800" i="2"/>
  <c r="S801" i="2"/>
  <c r="K801" i="2"/>
  <c r="S802" i="2"/>
  <c r="K802" i="2"/>
  <c r="S803" i="2"/>
  <c r="K803" i="2"/>
  <c r="S804" i="2"/>
  <c r="K804" i="2"/>
  <c r="S805" i="2"/>
  <c r="K805" i="2"/>
  <c r="S806" i="2"/>
  <c r="K806" i="2"/>
  <c r="S807" i="2"/>
  <c r="K807" i="2"/>
  <c r="S808" i="2"/>
  <c r="K808" i="2"/>
  <c r="S809" i="2"/>
  <c r="K809" i="2"/>
  <c r="S810" i="2"/>
  <c r="K810" i="2"/>
  <c r="S811" i="2"/>
  <c r="K811" i="2"/>
  <c r="S812" i="2"/>
  <c r="K812" i="2"/>
  <c r="S813" i="2"/>
  <c r="K813" i="2"/>
  <c r="S814" i="2"/>
  <c r="K814" i="2"/>
  <c r="S815" i="2"/>
  <c r="K815" i="2"/>
  <c r="S816" i="2"/>
  <c r="K816" i="2"/>
  <c r="S817" i="2"/>
  <c r="K817" i="2"/>
  <c r="S818" i="2"/>
  <c r="K818" i="2"/>
  <c r="S819" i="2"/>
  <c r="K819" i="2"/>
  <c r="S820" i="2"/>
  <c r="K820" i="2"/>
  <c r="S821" i="2"/>
  <c r="K821" i="2"/>
  <c r="S822" i="2"/>
  <c r="K822" i="2"/>
  <c r="S823" i="2"/>
  <c r="K823" i="2"/>
  <c r="S824" i="2"/>
  <c r="K824" i="2"/>
  <c r="S825" i="2"/>
  <c r="K825" i="2"/>
  <c r="S826" i="2"/>
  <c r="K826" i="2"/>
  <c r="S827" i="2"/>
  <c r="K827" i="2"/>
  <c r="S828" i="2"/>
  <c r="K828" i="2"/>
  <c r="S829" i="2"/>
  <c r="K829" i="2"/>
  <c r="S830" i="2"/>
  <c r="K830" i="2"/>
  <c r="S831" i="2"/>
  <c r="K831" i="2"/>
  <c r="S832" i="2"/>
  <c r="K832" i="2"/>
  <c r="S833" i="2"/>
  <c r="K833" i="2"/>
  <c r="S834" i="2"/>
  <c r="K834" i="2"/>
  <c r="S835" i="2"/>
  <c r="K835" i="2"/>
  <c r="S836" i="2"/>
  <c r="K836" i="2"/>
  <c r="S837" i="2"/>
  <c r="K837" i="2"/>
  <c r="S838" i="2"/>
  <c r="K838" i="2"/>
  <c r="S839" i="2"/>
  <c r="K839" i="2"/>
  <c r="S840" i="2"/>
  <c r="K840" i="2"/>
  <c r="S841" i="2"/>
  <c r="K841" i="2"/>
  <c r="S842" i="2"/>
  <c r="K842" i="2"/>
  <c r="S843" i="2"/>
  <c r="K843" i="2"/>
  <c r="S844" i="2"/>
  <c r="K844" i="2"/>
  <c r="S845" i="2"/>
  <c r="K845" i="2"/>
  <c r="S846" i="2"/>
  <c r="K846" i="2"/>
  <c r="S847" i="2"/>
  <c r="K847" i="2"/>
  <c r="S848" i="2"/>
  <c r="K848" i="2"/>
  <c r="S849" i="2"/>
  <c r="K849" i="2"/>
  <c r="S850" i="2"/>
  <c r="K850" i="2"/>
  <c r="S851" i="2"/>
  <c r="K851" i="2"/>
  <c r="S852" i="2"/>
  <c r="K852" i="2"/>
  <c r="S853" i="2"/>
  <c r="K853" i="2"/>
  <c r="S854" i="2"/>
  <c r="K854" i="2"/>
  <c r="S855" i="2"/>
  <c r="K855" i="2"/>
  <c r="S856" i="2"/>
  <c r="K856" i="2"/>
  <c r="S857" i="2"/>
  <c r="K857" i="2"/>
  <c r="S858" i="2"/>
  <c r="K858" i="2"/>
  <c r="S859" i="2"/>
  <c r="K859" i="2"/>
  <c r="S860" i="2"/>
  <c r="K860" i="2"/>
  <c r="S861" i="2"/>
  <c r="K861" i="2"/>
  <c r="S862" i="2"/>
  <c r="K862" i="2"/>
  <c r="S863" i="2"/>
  <c r="K863" i="2"/>
  <c r="S864" i="2"/>
  <c r="K864" i="2"/>
  <c r="S865" i="2"/>
  <c r="K865" i="2"/>
  <c r="S866" i="2"/>
  <c r="K866" i="2"/>
  <c r="S867" i="2"/>
  <c r="K867" i="2"/>
  <c r="S868" i="2"/>
  <c r="K868" i="2"/>
  <c r="S869" i="2"/>
  <c r="K869" i="2"/>
  <c r="S870" i="2"/>
  <c r="K870" i="2"/>
  <c r="S871" i="2"/>
  <c r="K871" i="2"/>
  <c r="S872" i="2"/>
  <c r="K872" i="2"/>
  <c r="S873" i="2"/>
  <c r="K873" i="2"/>
  <c r="S874" i="2"/>
  <c r="K874" i="2"/>
  <c r="S875" i="2"/>
  <c r="K875" i="2"/>
  <c r="S876" i="2"/>
  <c r="K876" i="2"/>
  <c r="S877" i="2"/>
  <c r="K877" i="2"/>
  <c r="S878" i="2"/>
  <c r="K878" i="2"/>
  <c r="S879" i="2"/>
  <c r="K879" i="2"/>
  <c r="S880" i="2"/>
  <c r="K880" i="2"/>
  <c r="S881" i="2"/>
  <c r="K881" i="2"/>
  <c r="S882" i="2"/>
  <c r="K882" i="2"/>
  <c r="S883" i="2"/>
  <c r="K883" i="2"/>
  <c r="S884" i="2"/>
  <c r="K884" i="2"/>
  <c r="S885" i="2"/>
  <c r="K885" i="2"/>
  <c r="S886" i="2"/>
  <c r="K886" i="2"/>
  <c r="S887" i="2"/>
  <c r="K887" i="2"/>
  <c r="S888" i="2"/>
  <c r="K888" i="2"/>
  <c r="S889" i="2"/>
  <c r="K889" i="2"/>
  <c r="S890" i="2"/>
  <c r="K890" i="2"/>
  <c r="S891" i="2"/>
  <c r="K891" i="2"/>
  <c r="S892" i="2"/>
  <c r="K892" i="2"/>
  <c r="S893" i="2"/>
  <c r="K893" i="2"/>
  <c r="S894" i="2"/>
  <c r="K894" i="2"/>
  <c r="S895" i="2"/>
  <c r="K895" i="2"/>
  <c r="S896" i="2"/>
  <c r="K896" i="2"/>
  <c r="S897" i="2"/>
  <c r="K897" i="2"/>
  <c r="S898" i="2"/>
  <c r="K898" i="2"/>
  <c r="S899" i="2"/>
  <c r="K899" i="2"/>
  <c r="S900" i="2"/>
  <c r="K900" i="2"/>
  <c r="S901" i="2"/>
  <c r="K901" i="2"/>
  <c r="S902" i="2"/>
  <c r="K902" i="2"/>
  <c r="S903" i="2"/>
  <c r="K903" i="2"/>
  <c r="S904" i="2"/>
  <c r="K904" i="2"/>
  <c r="S905" i="2"/>
  <c r="K905" i="2"/>
  <c r="S906" i="2"/>
  <c r="K906" i="2"/>
  <c r="S907" i="2"/>
  <c r="K907" i="2"/>
  <c r="S908" i="2"/>
  <c r="K908" i="2"/>
  <c r="S909" i="2"/>
  <c r="K909" i="2"/>
  <c r="S910" i="2"/>
  <c r="K910" i="2"/>
  <c r="S911" i="2"/>
  <c r="K911" i="2"/>
  <c r="S912" i="2"/>
  <c r="K912" i="2"/>
  <c r="S913" i="2"/>
  <c r="K913" i="2"/>
  <c r="S914" i="2"/>
  <c r="K914" i="2"/>
  <c r="S915" i="2"/>
  <c r="K915" i="2"/>
  <c r="S916" i="2"/>
  <c r="K916" i="2"/>
  <c r="S917" i="2"/>
  <c r="K917" i="2"/>
  <c r="S918" i="2"/>
  <c r="K918" i="2"/>
  <c r="S919" i="2"/>
  <c r="K919" i="2"/>
  <c r="S920" i="2"/>
  <c r="K920" i="2"/>
  <c r="S921" i="2"/>
  <c r="K921" i="2"/>
  <c r="S922" i="2"/>
  <c r="K922" i="2"/>
  <c r="S923" i="2"/>
  <c r="K923" i="2"/>
  <c r="S924" i="2"/>
  <c r="K924" i="2"/>
  <c r="S925" i="2"/>
  <c r="K925" i="2"/>
  <c r="S926" i="2"/>
  <c r="K926" i="2"/>
  <c r="S927" i="2"/>
  <c r="K927" i="2"/>
  <c r="S928" i="2"/>
  <c r="K928" i="2"/>
  <c r="S929" i="2"/>
  <c r="K929" i="2"/>
  <c r="S930" i="2"/>
  <c r="K930" i="2"/>
  <c r="S931" i="2"/>
  <c r="K931" i="2"/>
  <c r="S932" i="2"/>
  <c r="K932" i="2"/>
  <c r="S933" i="2"/>
  <c r="K933" i="2"/>
  <c r="S934" i="2"/>
  <c r="K934" i="2"/>
  <c r="S935" i="2"/>
  <c r="K935" i="2"/>
  <c r="S936" i="2"/>
  <c r="K936" i="2"/>
  <c r="S937" i="2"/>
  <c r="K937" i="2"/>
  <c r="S938" i="2"/>
  <c r="K938" i="2"/>
  <c r="S939" i="2"/>
  <c r="K939" i="2"/>
  <c r="S940" i="2"/>
  <c r="K940" i="2"/>
  <c r="S941" i="2"/>
  <c r="K941" i="2"/>
  <c r="S942" i="2"/>
  <c r="K942" i="2"/>
  <c r="S943" i="2"/>
  <c r="K943" i="2"/>
  <c r="S944" i="2"/>
  <c r="K944" i="2"/>
  <c r="S945" i="2"/>
  <c r="K945" i="2"/>
  <c r="S946" i="2"/>
  <c r="K946" i="2"/>
  <c r="S947" i="2"/>
  <c r="K947" i="2"/>
  <c r="S948" i="2"/>
  <c r="K948" i="2"/>
  <c r="S949" i="2"/>
  <c r="K949" i="2"/>
  <c r="S950" i="2"/>
  <c r="K950" i="2"/>
  <c r="S951" i="2"/>
  <c r="K951" i="2"/>
  <c r="S952" i="2"/>
  <c r="K952" i="2"/>
  <c r="S953" i="2"/>
  <c r="K953" i="2"/>
  <c r="S954" i="2"/>
  <c r="K954" i="2"/>
  <c r="S955" i="2"/>
  <c r="K955" i="2"/>
  <c r="S956" i="2"/>
  <c r="K956" i="2"/>
  <c r="S957" i="2"/>
  <c r="K957" i="2"/>
  <c r="S958" i="2"/>
  <c r="K958" i="2"/>
  <c r="S959" i="2"/>
  <c r="K959" i="2"/>
  <c r="S960" i="2"/>
  <c r="K960" i="2"/>
  <c r="S961" i="2"/>
  <c r="K961" i="2"/>
  <c r="S962" i="2"/>
  <c r="K962" i="2"/>
  <c r="S963" i="2"/>
  <c r="K963" i="2"/>
  <c r="S964" i="2"/>
  <c r="K964" i="2"/>
  <c r="S965" i="2"/>
  <c r="K965" i="2"/>
  <c r="S966" i="2"/>
  <c r="K966" i="2"/>
  <c r="S967" i="2"/>
  <c r="K967" i="2"/>
  <c r="S968" i="2"/>
  <c r="K968" i="2"/>
  <c r="S969" i="2"/>
  <c r="K969" i="2"/>
  <c r="S970" i="2"/>
  <c r="K970" i="2"/>
  <c r="S971" i="2"/>
  <c r="K971" i="2"/>
  <c r="S972" i="2"/>
  <c r="K972" i="2"/>
  <c r="S973" i="2"/>
  <c r="K973" i="2"/>
  <c r="S974" i="2"/>
  <c r="K974" i="2"/>
  <c r="S975" i="2"/>
  <c r="K975" i="2"/>
  <c r="S976" i="2"/>
  <c r="K976" i="2"/>
  <c r="S977" i="2"/>
  <c r="K977" i="2"/>
  <c r="S978" i="2"/>
  <c r="K978" i="2"/>
  <c r="S979" i="2"/>
  <c r="K979" i="2"/>
  <c r="S980" i="2"/>
  <c r="K980" i="2"/>
  <c r="S981" i="2"/>
  <c r="K981" i="2"/>
  <c r="S982" i="2"/>
  <c r="K982" i="2"/>
  <c r="S983" i="2"/>
  <c r="K983" i="2"/>
  <c r="S984" i="2"/>
  <c r="K984" i="2"/>
  <c r="S985" i="2"/>
  <c r="K985" i="2"/>
  <c r="S986" i="2"/>
  <c r="K986" i="2"/>
  <c r="S987" i="2"/>
  <c r="K987" i="2"/>
  <c r="S988" i="2"/>
  <c r="K988" i="2"/>
  <c r="S989" i="2"/>
  <c r="K989" i="2"/>
  <c r="S990" i="2"/>
  <c r="K990" i="2"/>
  <c r="S991" i="2"/>
  <c r="K991" i="2"/>
  <c r="S992" i="2"/>
  <c r="K992" i="2"/>
  <c r="S993" i="2"/>
  <c r="K993" i="2"/>
  <c r="S994" i="2"/>
  <c r="K994" i="2"/>
  <c r="S995" i="2"/>
  <c r="K995" i="2"/>
  <c r="S996" i="2"/>
  <c r="K996" i="2"/>
  <c r="S997" i="2"/>
  <c r="K997" i="2"/>
  <c r="S998" i="2"/>
  <c r="K998" i="2"/>
  <c r="S999" i="2"/>
  <c r="K999" i="2"/>
  <c r="S1000" i="2"/>
  <c r="K1000" i="2"/>
  <c r="S1001" i="2"/>
  <c r="K1001" i="2"/>
  <c r="S1002" i="2"/>
  <c r="K1002" i="2"/>
  <c r="S1003" i="2"/>
  <c r="K1003" i="2"/>
  <c r="S1004" i="2"/>
  <c r="K1004" i="2"/>
  <c r="S1005" i="2"/>
  <c r="K1005" i="2"/>
  <c r="S1006" i="2"/>
  <c r="K1006" i="2"/>
  <c r="S1007" i="2"/>
  <c r="K1007" i="2"/>
  <c r="S1008" i="2"/>
  <c r="K1008" i="2"/>
  <c r="S1009" i="2"/>
  <c r="K1009" i="2"/>
  <c r="S1010" i="2"/>
  <c r="K1010" i="2"/>
  <c r="S1011" i="2"/>
  <c r="K1011" i="2"/>
  <c r="I5" i="2"/>
  <c r="AB16" i="2"/>
  <c r="AC5" i="2"/>
  <c r="AE5" i="2"/>
  <c r="AA22" i="2"/>
  <c r="AA28" i="2"/>
  <c r="AB28" i="2" s="1"/>
  <c r="AA23" i="2"/>
  <c r="AA29" i="2"/>
  <c r="AB29" i="2" s="1"/>
  <c r="AL5" i="2"/>
  <c r="AP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AL307" i="2"/>
  <c r="AL308" i="2"/>
  <c r="AL309" i="2"/>
  <c r="AL310" i="2"/>
  <c r="AL311" i="2"/>
  <c r="AL312" i="2"/>
  <c r="AL313" i="2"/>
  <c r="AL314" i="2"/>
  <c r="AL315" i="2"/>
  <c r="AL316" i="2"/>
  <c r="AL317" i="2"/>
  <c r="AL318" i="2"/>
  <c r="AL319" i="2"/>
  <c r="AL320" i="2"/>
  <c r="AL321" i="2"/>
  <c r="AL322" i="2"/>
  <c r="AL323" i="2"/>
  <c r="AL324" i="2"/>
  <c r="AL325" i="2"/>
  <c r="AL326" i="2"/>
  <c r="AL327" i="2"/>
  <c r="AL328" i="2"/>
  <c r="AL329" i="2"/>
  <c r="AL330" i="2"/>
  <c r="AL331" i="2"/>
  <c r="AL332" i="2"/>
  <c r="AL333" i="2"/>
  <c r="AL334" i="2"/>
  <c r="AL335" i="2"/>
  <c r="AL336" i="2"/>
  <c r="AL337" i="2"/>
  <c r="AL338" i="2"/>
  <c r="AL339" i="2"/>
  <c r="AL340" i="2"/>
  <c r="AL341" i="2"/>
  <c r="AL342" i="2"/>
  <c r="AL343" i="2"/>
  <c r="AL344" i="2"/>
  <c r="AL345" i="2"/>
  <c r="AL346" i="2"/>
  <c r="AL347" i="2"/>
  <c r="AL348" i="2"/>
  <c r="AL349" i="2"/>
  <c r="AL350" i="2"/>
  <c r="AL351" i="2"/>
  <c r="AL352" i="2"/>
  <c r="AL353" i="2"/>
  <c r="AL354" i="2"/>
  <c r="AL355" i="2"/>
  <c r="AL356" i="2"/>
  <c r="AL357" i="2"/>
  <c r="AL358" i="2"/>
  <c r="AL359" i="2"/>
  <c r="AL360" i="2"/>
  <c r="AL361" i="2"/>
  <c r="AL362" i="2"/>
  <c r="AL363" i="2"/>
  <c r="AL364" i="2"/>
  <c r="AL365" i="2"/>
  <c r="AL366" i="2"/>
  <c r="AL367" i="2"/>
  <c r="AL368" i="2"/>
  <c r="AL369" i="2"/>
  <c r="AL370" i="2"/>
  <c r="AL371" i="2"/>
  <c r="AL372" i="2"/>
  <c r="AL373" i="2"/>
  <c r="AL374" i="2"/>
  <c r="AL375" i="2"/>
  <c r="AL376" i="2"/>
  <c r="AL377" i="2"/>
  <c r="AL378" i="2"/>
  <c r="AL379" i="2"/>
  <c r="AL380" i="2"/>
  <c r="AL381" i="2"/>
  <c r="AL382" i="2"/>
  <c r="AL383" i="2"/>
  <c r="AL384" i="2"/>
  <c r="AL385" i="2"/>
  <c r="AL386" i="2"/>
  <c r="AL387" i="2"/>
  <c r="AL388" i="2"/>
  <c r="AL389" i="2"/>
  <c r="AL390" i="2"/>
  <c r="AL391" i="2"/>
  <c r="AL392" i="2"/>
  <c r="AL393" i="2"/>
  <c r="AL394" i="2"/>
  <c r="AL395" i="2"/>
  <c r="AL396" i="2"/>
  <c r="AL397" i="2"/>
  <c r="AL398" i="2"/>
  <c r="AL399" i="2"/>
  <c r="AL400" i="2"/>
  <c r="AL401" i="2"/>
  <c r="AL402" i="2"/>
  <c r="AL403" i="2"/>
  <c r="AL404" i="2"/>
  <c r="AL405" i="2"/>
  <c r="AL406" i="2"/>
  <c r="AL407" i="2"/>
  <c r="AL408" i="2"/>
  <c r="AL409" i="2"/>
  <c r="AL410" i="2"/>
  <c r="AL411" i="2"/>
  <c r="AL412" i="2"/>
  <c r="AL413" i="2"/>
  <c r="AL414" i="2"/>
  <c r="AL415" i="2"/>
  <c r="AL416" i="2"/>
  <c r="AL417" i="2"/>
  <c r="AL418" i="2"/>
  <c r="AL419" i="2"/>
  <c r="AL420" i="2"/>
  <c r="AL421" i="2"/>
  <c r="AL422" i="2"/>
  <c r="AL423" i="2"/>
  <c r="AL424" i="2"/>
  <c r="AL425" i="2"/>
  <c r="AL426" i="2"/>
  <c r="AL427" i="2"/>
  <c r="AL428" i="2"/>
  <c r="AL429" i="2"/>
  <c r="AL430" i="2"/>
  <c r="AL431" i="2"/>
  <c r="AL432" i="2"/>
  <c r="AL433" i="2"/>
  <c r="AL434" i="2"/>
  <c r="AL435" i="2"/>
  <c r="AL436" i="2"/>
  <c r="AL437" i="2"/>
  <c r="AL438" i="2"/>
  <c r="AL439" i="2"/>
  <c r="AL440" i="2"/>
  <c r="AL441" i="2"/>
  <c r="AL442" i="2"/>
  <c r="AL443" i="2"/>
  <c r="AL444" i="2"/>
  <c r="AL445" i="2"/>
  <c r="AL446" i="2"/>
  <c r="AL447" i="2"/>
  <c r="AL448" i="2"/>
  <c r="AL449" i="2"/>
  <c r="AL450" i="2"/>
  <c r="AL451" i="2"/>
  <c r="AL452" i="2"/>
  <c r="AL453" i="2"/>
  <c r="AL454" i="2"/>
  <c r="AL455" i="2"/>
  <c r="AL456" i="2"/>
  <c r="AL457" i="2"/>
  <c r="AL458" i="2"/>
  <c r="AL459" i="2"/>
  <c r="AL460" i="2"/>
  <c r="AL461" i="2"/>
  <c r="AL462" i="2"/>
  <c r="AL463" i="2"/>
  <c r="AL464" i="2"/>
  <c r="AL465" i="2"/>
  <c r="AL466" i="2"/>
  <c r="AL467" i="2"/>
  <c r="AL468" i="2"/>
  <c r="AL469" i="2"/>
  <c r="AL470" i="2"/>
  <c r="AL471" i="2"/>
  <c r="AL472" i="2"/>
  <c r="AL473" i="2"/>
  <c r="AL474" i="2"/>
  <c r="AL475" i="2"/>
  <c r="AL476" i="2"/>
  <c r="AL477" i="2"/>
  <c r="AL478" i="2"/>
  <c r="AL479" i="2"/>
  <c r="AL480" i="2"/>
  <c r="AL481" i="2"/>
  <c r="AL482" i="2"/>
  <c r="AL483" i="2"/>
  <c r="AL484" i="2"/>
  <c r="AL485" i="2"/>
  <c r="AL486" i="2"/>
  <c r="AL487" i="2"/>
  <c r="AL488" i="2"/>
  <c r="AL489" i="2"/>
  <c r="AL490" i="2"/>
  <c r="AL491" i="2"/>
  <c r="AL492" i="2"/>
  <c r="AL493" i="2"/>
  <c r="AL494" i="2"/>
  <c r="AL495" i="2"/>
  <c r="AL496" i="2"/>
  <c r="AL497" i="2"/>
  <c r="AL498" i="2"/>
  <c r="AL499" i="2"/>
  <c r="AL500" i="2"/>
  <c r="AL501" i="2"/>
  <c r="AL502" i="2"/>
  <c r="AL503" i="2"/>
  <c r="AL504" i="2"/>
  <c r="AL505" i="2"/>
  <c r="AL506" i="2"/>
  <c r="AL507" i="2"/>
  <c r="AL508" i="2"/>
  <c r="AL509" i="2"/>
  <c r="AL510" i="2"/>
  <c r="AL511" i="2"/>
  <c r="AL512" i="2"/>
  <c r="AL513" i="2"/>
  <c r="AL514" i="2"/>
  <c r="AL515" i="2"/>
  <c r="AL516" i="2"/>
  <c r="AL517" i="2"/>
  <c r="AL518" i="2"/>
  <c r="AL519" i="2"/>
  <c r="AL520" i="2"/>
  <c r="AL521" i="2"/>
  <c r="AL522" i="2"/>
  <c r="AL523" i="2"/>
  <c r="AL524" i="2"/>
  <c r="AL525" i="2"/>
  <c r="AL526" i="2"/>
  <c r="AL527" i="2"/>
  <c r="AL528" i="2"/>
  <c r="AL529" i="2"/>
  <c r="AL530" i="2"/>
  <c r="AL531" i="2"/>
  <c r="AL532" i="2"/>
  <c r="AL533" i="2"/>
  <c r="AL534" i="2"/>
  <c r="AL535" i="2"/>
  <c r="AL536" i="2"/>
  <c r="AL537" i="2"/>
  <c r="AL538" i="2"/>
  <c r="AL539" i="2"/>
  <c r="AL540" i="2"/>
  <c r="AL541" i="2"/>
  <c r="AL542" i="2"/>
  <c r="AL543" i="2"/>
  <c r="AL544" i="2"/>
  <c r="AL545" i="2"/>
  <c r="AL546" i="2"/>
  <c r="AL547" i="2"/>
  <c r="AL548" i="2"/>
  <c r="AL549" i="2"/>
  <c r="AL550" i="2"/>
  <c r="AL551" i="2"/>
  <c r="AL552" i="2"/>
  <c r="AL553" i="2"/>
  <c r="AL554" i="2"/>
  <c r="AL555" i="2"/>
  <c r="AL556" i="2"/>
  <c r="AL557" i="2"/>
  <c r="AL558" i="2"/>
  <c r="AL559" i="2"/>
  <c r="AL560" i="2"/>
  <c r="AL561" i="2"/>
  <c r="AL562" i="2"/>
  <c r="AL563" i="2"/>
  <c r="AL564" i="2"/>
  <c r="AL565" i="2"/>
  <c r="AL566" i="2"/>
  <c r="AL567" i="2"/>
  <c r="AL568" i="2"/>
  <c r="AL569" i="2"/>
  <c r="AL570" i="2"/>
  <c r="AL571" i="2"/>
  <c r="AL572" i="2"/>
  <c r="AL573" i="2"/>
  <c r="AL574" i="2"/>
  <c r="AL575" i="2"/>
  <c r="AL576" i="2"/>
  <c r="AL577" i="2"/>
  <c r="AL578" i="2"/>
  <c r="AL579" i="2"/>
  <c r="AL580" i="2"/>
  <c r="AL581" i="2"/>
  <c r="AL582" i="2"/>
  <c r="AL583" i="2"/>
  <c r="AL584" i="2"/>
  <c r="AL585" i="2"/>
  <c r="AL586" i="2"/>
  <c r="AL587" i="2"/>
  <c r="AL588" i="2"/>
  <c r="AL589" i="2"/>
  <c r="AL590" i="2"/>
  <c r="AL591" i="2"/>
  <c r="AL592" i="2"/>
  <c r="AL593" i="2"/>
  <c r="AL594" i="2"/>
  <c r="AL595" i="2"/>
  <c r="AL596" i="2"/>
  <c r="AL597" i="2"/>
  <c r="AL598" i="2"/>
  <c r="AL599" i="2"/>
  <c r="AL600" i="2"/>
  <c r="AL601" i="2"/>
  <c r="AL602" i="2"/>
  <c r="AL603" i="2"/>
  <c r="AL604" i="2"/>
  <c r="AL605" i="2"/>
  <c r="AL606" i="2"/>
  <c r="AL607" i="2"/>
  <c r="AL608" i="2"/>
  <c r="AL609" i="2"/>
  <c r="AL610" i="2"/>
  <c r="AL611" i="2"/>
  <c r="AL612" i="2"/>
  <c r="AL613" i="2"/>
  <c r="AL614" i="2"/>
  <c r="AL615" i="2"/>
  <c r="AL616" i="2"/>
  <c r="AL617" i="2"/>
  <c r="AL618" i="2"/>
  <c r="AL619" i="2"/>
  <c r="AL620" i="2"/>
  <c r="AL621" i="2"/>
  <c r="AL622" i="2"/>
  <c r="AL623" i="2"/>
  <c r="AL624" i="2"/>
  <c r="AL625" i="2"/>
  <c r="AL626" i="2"/>
  <c r="AL627" i="2"/>
  <c r="AL628" i="2"/>
  <c r="AL629" i="2"/>
  <c r="AL630" i="2"/>
  <c r="AL631" i="2"/>
  <c r="AL632" i="2"/>
  <c r="AL633" i="2"/>
  <c r="AL634" i="2"/>
  <c r="AL635" i="2"/>
  <c r="AL636" i="2"/>
  <c r="AL637" i="2"/>
  <c r="AL638" i="2"/>
  <c r="AL639" i="2"/>
  <c r="AL640" i="2"/>
  <c r="AL641" i="2"/>
  <c r="AL642" i="2"/>
  <c r="AL643" i="2"/>
  <c r="AL644" i="2"/>
  <c r="AL645" i="2"/>
  <c r="AL646" i="2"/>
  <c r="AL647" i="2"/>
  <c r="AL648" i="2"/>
  <c r="AL649" i="2"/>
  <c r="AL650" i="2"/>
  <c r="AL651" i="2"/>
  <c r="AL652" i="2"/>
  <c r="AL653" i="2"/>
  <c r="AL654" i="2"/>
  <c r="AL655" i="2"/>
  <c r="AL656" i="2"/>
  <c r="AL657" i="2"/>
  <c r="AL658" i="2"/>
  <c r="AL659" i="2"/>
  <c r="AL660" i="2"/>
  <c r="AL661" i="2"/>
  <c r="AL662" i="2"/>
  <c r="AL663" i="2"/>
  <c r="AL664" i="2"/>
  <c r="AL665" i="2"/>
  <c r="AL666" i="2"/>
  <c r="AL667" i="2"/>
  <c r="AL668" i="2"/>
  <c r="AL669" i="2"/>
  <c r="AL670" i="2"/>
  <c r="AL671" i="2"/>
  <c r="AL672" i="2"/>
  <c r="AL673" i="2"/>
  <c r="AL674" i="2"/>
  <c r="AL675" i="2"/>
  <c r="AL676" i="2"/>
  <c r="AL677" i="2"/>
  <c r="AL678" i="2"/>
  <c r="AL679" i="2"/>
  <c r="AL680" i="2"/>
  <c r="AL681" i="2"/>
  <c r="AL682" i="2"/>
  <c r="AL683" i="2"/>
  <c r="AL684" i="2"/>
  <c r="AL685" i="2"/>
  <c r="AL686" i="2"/>
  <c r="AL687" i="2"/>
  <c r="AL688" i="2"/>
  <c r="AL689" i="2"/>
  <c r="AL690" i="2"/>
  <c r="AL691" i="2"/>
  <c r="AL692" i="2"/>
  <c r="AL693" i="2"/>
  <c r="AL694" i="2"/>
  <c r="AL695" i="2"/>
  <c r="AL696" i="2"/>
  <c r="AL697" i="2"/>
  <c r="AL698" i="2"/>
  <c r="AL699" i="2"/>
  <c r="AL700" i="2"/>
  <c r="AL701" i="2"/>
  <c r="AL702" i="2"/>
  <c r="AL703" i="2"/>
  <c r="AL704" i="2"/>
  <c r="AL705" i="2"/>
  <c r="AL706" i="2"/>
  <c r="AL707" i="2"/>
  <c r="AL708" i="2"/>
  <c r="AL709" i="2"/>
  <c r="AL710" i="2"/>
  <c r="AL711" i="2"/>
  <c r="AL712" i="2"/>
  <c r="AL713" i="2"/>
  <c r="AL714" i="2"/>
  <c r="AL715" i="2"/>
  <c r="AL716" i="2"/>
  <c r="AL717" i="2"/>
  <c r="AL718" i="2"/>
  <c r="AL719" i="2"/>
  <c r="AL720" i="2"/>
  <c r="AL721" i="2"/>
  <c r="AL722" i="2"/>
  <c r="AL723" i="2"/>
  <c r="AL724" i="2"/>
  <c r="AL725" i="2"/>
  <c r="AL726" i="2"/>
  <c r="AL727" i="2"/>
  <c r="AL728" i="2"/>
  <c r="AL729" i="2"/>
  <c r="AL730" i="2"/>
  <c r="AL731" i="2"/>
  <c r="AL732" i="2"/>
  <c r="AL733" i="2"/>
  <c r="AL734" i="2"/>
  <c r="AL735" i="2"/>
  <c r="AL736" i="2"/>
  <c r="AL737" i="2"/>
  <c r="AL738" i="2"/>
  <c r="AL739" i="2"/>
  <c r="AL740" i="2"/>
  <c r="AL741" i="2"/>
  <c r="AL742" i="2"/>
  <c r="AL743" i="2"/>
  <c r="AL744" i="2"/>
  <c r="AL745" i="2"/>
  <c r="AL746" i="2"/>
  <c r="AL747" i="2"/>
  <c r="AL748" i="2"/>
  <c r="AL749" i="2"/>
  <c r="AL750" i="2"/>
  <c r="AL751" i="2"/>
  <c r="AL752" i="2"/>
  <c r="AL753" i="2"/>
  <c r="AL754" i="2"/>
  <c r="AL755" i="2"/>
  <c r="AL756" i="2"/>
  <c r="AL757" i="2"/>
  <c r="AL758" i="2"/>
  <c r="AL759" i="2"/>
  <c r="AL760" i="2"/>
  <c r="AL761" i="2"/>
  <c r="AL762" i="2"/>
  <c r="AL763" i="2"/>
  <c r="AL764" i="2"/>
  <c r="AL765" i="2"/>
  <c r="AL766" i="2"/>
  <c r="AL767" i="2"/>
  <c r="AL768" i="2"/>
  <c r="AL769" i="2"/>
  <c r="AL770" i="2"/>
  <c r="AL771" i="2"/>
  <c r="AL772" i="2"/>
  <c r="AL773" i="2"/>
  <c r="AL774" i="2"/>
  <c r="AL775" i="2"/>
  <c r="AL776" i="2"/>
  <c r="AL777" i="2"/>
  <c r="AL778" i="2"/>
  <c r="AL779" i="2"/>
  <c r="AL780" i="2"/>
  <c r="AL781" i="2"/>
  <c r="AL782" i="2"/>
  <c r="AL783" i="2"/>
  <c r="AL784" i="2"/>
  <c r="AL785" i="2"/>
  <c r="AL786" i="2"/>
  <c r="AL787" i="2"/>
  <c r="AL788" i="2"/>
  <c r="AL789" i="2"/>
  <c r="AL790" i="2"/>
  <c r="AL791" i="2"/>
  <c r="AL792" i="2"/>
  <c r="AL793" i="2"/>
  <c r="AL794" i="2"/>
  <c r="AL795" i="2"/>
  <c r="AL796" i="2"/>
  <c r="AL797" i="2"/>
  <c r="AL798" i="2"/>
  <c r="AL799" i="2"/>
  <c r="AL800" i="2"/>
  <c r="AL801" i="2"/>
  <c r="AL802" i="2"/>
  <c r="AL803" i="2"/>
  <c r="AL804" i="2"/>
  <c r="AL805" i="2"/>
  <c r="AL806" i="2"/>
  <c r="AL807" i="2"/>
  <c r="AL808" i="2"/>
  <c r="AL809" i="2"/>
  <c r="AL810" i="2"/>
  <c r="AL811" i="2"/>
  <c r="AL812" i="2"/>
  <c r="AL813" i="2"/>
  <c r="AL814" i="2"/>
  <c r="AL815" i="2"/>
  <c r="AL816" i="2"/>
  <c r="AL817" i="2"/>
  <c r="AL818" i="2"/>
  <c r="AL819" i="2"/>
  <c r="AL820" i="2"/>
  <c r="AL821" i="2"/>
  <c r="AL822" i="2"/>
  <c r="AL823" i="2"/>
  <c r="AL824" i="2"/>
  <c r="AL825" i="2"/>
  <c r="AL826" i="2"/>
  <c r="AL827" i="2"/>
  <c r="AL828" i="2"/>
  <c r="AL829" i="2"/>
  <c r="AL830" i="2"/>
  <c r="AL831" i="2"/>
  <c r="AL832" i="2"/>
  <c r="AL833" i="2"/>
  <c r="AL834" i="2"/>
  <c r="AL835" i="2"/>
  <c r="AL836" i="2"/>
  <c r="AL837" i="2"/>
  <c r="AL838" i="2"/>
  <c r="AL839" i="2"/>
  <c r="AL840" i="2"/>
  <c r="AL841" i="2"/>
  <c r="AL842" i="2"/>
  <c r="AL843" i="2"/>
  <c r="AL844" i="2"/>
  <c r="AL845" i="2"/>
  <c r="AL846" i="2"/>
  <c r="AL847" i="2"/>
  <c r="AL848" i="2"/>
  <c r="AL849" i="2"/>
  <c r="AL850" i="2"/>
  <c r="AL851" i="2"/>
  <c r="AL852" i="2"/>
  <c r="AL853" i="2"/>
  <c r="AL854" i="2"/>
  <c r="AL855" i="2"/>
  <c r="AL856" i="2"/>
  <c r="AL857" i="2"/>
  <c r="AL858" i="2"/>
  <c r="AL859" i="2"/>
  <c r="AL860" i="2"/>
  <c r="AL861" i="2"/>
  <c r="AL862" i="2"/>
  <c r="AL863" i="2"/>
  <c r="AL864" i="2"/>
  <c r="AL865" i="2"/>
  <c r="AL866" i="2"/>
  <c r="AL867" i="2"/>
  <c r="AL868" i="2"/>
  <c r="AL869" i="2"/>
  <c r="AL870" i="2"/>
  <c r="AL871" i="2"/>
  <c r="AL872" i="2"/>
  <c r="AL873" i="2"/>
  <c r="AL874" i="2"/>
  <c r="AL875" i="2"/>
  <c r="AL876" i="2"/>
  <c r="AL877" i="2"/>
  <c r="AL878" i="2"/>
  <c r="AL879" i="2"/>
  <c r="AL880" i="2"/>
  <c r="AL881" i="2"/>
  <c r="AL882" i="2"/>
  <c r="AL883" i="2"/>
  <c r="AL884" i="2"/>
  <c r="AL885" i="2"/>
  <c r="AL886" i="2"/>
  <c r="AL887" i="2"/>
  <c r="AL888" i="2"/>
  <c r="AL889" i="2"/>
  <c r="AL890" i="2"/>
  <c r="AL891" i="2"/>
  <c r="AL892" i="2"/>
  <c r="AL893" i="2"/>
  <c r="AL894" i="2"/>
  <c r="AL895" i="2"/>
  <c r="AL896" i="2"/>
  <c r="AL897" i="2"/>
  <c r="AL898" i="2"/>
  <c r="AL899" i="2"/>
  <c r="AL900" i="2"/>
  <c r="AL901" i="2"/>
  <c r="AL902" i="2"/>
  <c r="AL903" i="2"/>
  <c r="AL904" i="2"/>
  <c r="AL905" i="2"/>
  <c r="AL906" i="2"/>
  <c r="AL907" i="2"/>
  <c r="AL908" i="2"/>
  <c r="AL909" i="2"/>
  <c r="AL910" i="2"/>
  <c r="AL911" i="2"/>
  <c r="AL912" i="2"/>
  <c r="AL913" i="2"/>
  <c r="AL914" i="2"/>
  <c r="AL915" i="2"/>
  <c r="AL916" i="2"/>
  <c r="AL917" i="2"/>
  <c r="AL918" i="2"/>
  <c r="AL919" i="2"/>
  <c r="AL920" i="2"/>
  <c r="AL921" i="2"/>
  <c r="AL922" i="2"/>
  <c r="AL923" i="2"/>
  <c r="AL924" i="2"/>
  <c r="AL925" i="2"/>
  <c r="AL926" i="2"/>
  <c r="AL927" i="2"/>
  <c r="AL928" i="2"/>
  <c r="AL929" i="2"/>
  <c r="AL930" i="2"/>
  <c r="AL931" i="2"/>
  <c r="AL932" i="2"/>
  <c r="AL933" i="2"/>
  <c r="AL934" i="2"/>
  <c r="AL935" i="2"/>
  <c r="AL936" i="2"/>
  <c r="AL937" i="2"/>
  <c r="AL938" i="2"/>
  <c r="AL939" i="2"/>
  <c r="AL940" i="2"/>
  <c r="AL941" i="2"/>
  <c r="AL942" i="2"/>
  <c r="AL943" i="2"/>
  <c r="AL944" i="2"/>
  <c r="AL945" i="2"/>
  <c r="AL946" i="2"/>
  <c r="AL947" i="2"/>
  <c r="AL948" i="2"/>
  <c r="AL949" i="2"/>
  <c r="AL950" i="2"/>
  <c r="AL951" i="2"/>
  <c r="AL952" i="2"/>
  <c r="AL953" i="2"/>
  <c r="AL954" i="2"/>
  <c r="AL955" i="2"/>
  <c r="AL956" i="2"/>
  <c r="AL957" i="2"/>
  <c r="AL958" i="2"/>
  <c r="AL959" i="2"/>
  <c r="AL960" i="2"/>
  <c r="AL961" i="2"/>
  <c r="AL962" i="2"/>
  <c r="AL963" i="2"/>
  <c r="AL964" i="2"/>
  <c r="AL965" i="2"/>
  <c r="AL966" i="2"/>
  <c r="AL967" i="2"/>
  <c r="AL968" i="2"/>
  <c r="AL969" i="2"/>
  <c r="AL970" i="2"/>
  <c r="AL971" i="2"/>
  <c r="AL972" i="2"/>
  <c r="AL973" i="2"/>
  <c r="AL974" i="2"/>
  <c r="AL975" i="2"/>
  <c r="AL976" i="2"/>
  <c r="AL977" i="2"/>
  <c r="AL978" i="2"/>
  <c r="AL979" i="2"/>
  <c r="AL980" i="2"/>
  <c r="AL981" i="2"/>
  <c r="AL982" i="2"/>
  <c r="AL983" i="2"/>
  <c r="AL984" i="2"/>
  <c r="AL985" i="2"/>
  <c r="AL986" i="2"/>
  <c r="AL987" i="2"/>
  <c r="AL988" i="2"/>
  <c r="AL989" i="2"/>
  <c r="AL990" i="2"/>
  <c r="AL991" i="2"/>
  <c r="AL992" i="2"/>
  <c r="AL993" i="2"/>
  <c r="AL994" i="2"/>
  <c r="AL995" i="2"/>
  <c r="AL996" i="2"/>
  <c r="AL997" i="2"/>
  <c r="AL998" i="2"/>
  <c r="AL999" i="2"/>
  <c r="AL1000" i="2"/>
  <c r="AL1001" i="2"/>
  <c r="AL1002" i="2"/>
  <c r="AL1003" i="2"/>
  <c r="AL1004" i="2"/>
  <c r="AL1005" i="2"/>
  <c r="AL1006" i="2"/>
  <c r="AL1007" i="2"/>
  <c r="AL1008" i="2"/>
  <c r="AL1009" i="2"/>
  <c r="AL1010" i="2"/>
  <c r="AL1011" i="2"/>
  <c r="AL1012" i="2"/>
  <c r="AL1013" i="2"/>
  <c r="AL1014" i="2"/>
  <c r="AL1015" i="2"/>
  <c r="AL1016" i="2"/>
  <c r="AL1017" i="2"/>
  <c r="AL1018" i="2"/>
  <c r="AL1019" i="2"/>
  <c r="AL1020" i="2"/>
  <c r="AL1021" i="2"/>
  <c r="AL1022" i="2"/>
  <c r="AL1023" i="2"/>
  <c r="AL1024" i="2"/>
  <c r="AL1025" i="2"/>
  <c r="AL1026" i="2"/>
  <c r="AL1027" i="2"/>
  <c r="AL1028" i="2"/>
  <c r="AL1029" i="2"/>
  <c r="AL1030" i="2"/>
  <c r="AL1031" i="2"/>
  <c r="AL1032" i="2"/>
  <c r="AL1033" i="2"/>
  <c r="AL1034" i="2"/>
  <c r="AL1035" i="2"/>
  <c r="AL1036" i="2"/>
  <c r="AL1037" i="2"/>
  <c r="AL1038" i="2"/>
  <c r="AL1039" i="2"/>
  <c r="AL1040" i="2"/>
  <c r="AL1041" i="2"/>
  <c r="AL1042" i="2"/>
  <c r="AL1043" i="2"/>
  <c r="AL1044" i="2"/>
  <c r="AL1045" i="2"/>
  <c r="AL1046" i="2"/>
  <c r="AL1047" i="2"/>
  <c r="AL1048" i="2"/>
  <c r="AL1049" i="2"/>
  <c r="AL1050" i="2"/>
  <c r="AL1051" i="2"/>
  <c r="AL1052" i="2"/>
  <c r="AL1053" i="2"/>
  <c r="AL1054" i="2"/>
  <c r="AL1055" i="2"/>
  <c r="AL1056" i="2"/>
  <c r="AL1057" i="2"/>
  <c r="AL1058" i="2"/>
  <c r="AL1059" i="2"/>
  <c r="AL1060" i="2"/>
  <c r="AL1061" i="2"/>
  <c r="AL1062" i="2"/>
  <c r="AL1063" i="2"/>
  <c r="AL1064" i="2"/>
  <c r="AL1065" i="2"/>
  <c r="AL1066" i="2"/>
  <c r="AL1067" i="2"/>
  <c r="AL1068" i="2"/>
  <c r="AL1069" i="2"/>
  <c r="AL1070" i="2"/>
  <c r="AL1071" i="2"/>
  <c r="AL1072" i="2"/>
  <c r="AL1073" i="2"/>
  <c r="AL1074" i="2"/>
  <c r="AL1075" i="2"/>
  <c r="AL1076" i="2"/>
  <c r="AL1077" i="2"/>
  <c r="AL1078" i="2"/>
  <c r="AL1079" i="2"/>
  <c r="AL1080" i="2"/>
  <c r="AL1081" i="2"/>
  <c r="AL1082" i="2"/>
  <c r="AL1083" i="2"/>
  <c r="AL1084" i="2"/>
  <c r="AL1085" i="2"/>
  <c r="AL1086" i="2"/>
  <c r="AL1087" i="2"/>
  <c r="AL1088" i="2"/>
  <c r="AL1089" i="2"/>
  <c r="AL1090" i="2"/>
  <c r="AL1091" i="2"/>
  <c r="AL1092" i="2"/>
  <c r="AL1093" i="2"/>
  <c r="AL1094" i="2"/>
  <c r="AL1095" i="2"/>
  <c r="AL1096" i="2"/>
  <c r="AL1097" i="2"/>
  <c r="AL1098" i="2"/>
  <c r="AL1099" i="2"/>
  <c r="AL1100" i="2"/>
  <c r="AL1101" i="2"/>
  <c r="AL1102" i="2"/>
  <c r="AL1103" i="2"/>
  <c r="AL1104" i="2"/>
  <c r="AL1105" i="2"/>
  <c r="AL1106" i="2"/>
  <c r="AL1107" i="2"/>
  <c r="AL1108" i="2"/>
  <c r="AL1109" i="2"/>
  <c r="AL1110" i="2"/>
  <c r="AL1111" i="2"/>
  <c r="AL1112" i="2"/>
  <c r="AL1113" i="2"/>
  <c r="AL1114" i="2"/>
  <c r="AL1115" i="2"/>
  <c r="AL1116" i="2"/>
  <c r="AL1117" i="2"/>
  <c r="AL1118" i="2"/>
  <c r="AL1119" i="2"/>
  <c r="AL1120" i="2"/>
  <c r="AL1121" i="2"/>
  <c r="AL1122" i="2"/>
  <c r="AL1123" i="2"/>
  <c r="AL1124" i="2"/>
  <c r="AL1125" i="2"/>
  <c r="AL1126" i="2"/>
  <c r="AL1127" i="2"/>
  <c r="AL1128" i="2"/>
  <c r="AL1129" i="2"/>
  <c r="AL1130" i="2"/>
  <c r="AL1131" i="2"/>
  <c r="AL1132" i="2"/>
  <c r="AL1133" i="2"/>
  <c r="AL1134" i="2"/>
  <c r="AL1135" i="2"/>
  <c r="AL1136" i="2"/>
  <c r="AL1137" i="2"/>
  <c r="AL1138" i="2"/>
  <c r="AL1139" i="2"/>
  <c r="AL1140" i="2"/>
  <c r="AL1141" i="2"/>
  <c r="AL1142" i="2"/>
  <c r="AL1143" i="2"/>
  <c r="AL1144" i="2"/>
  <c r="AL1145" i="2"/>
  <c r="AL1146" i="2"/>
  <c r="AL1147" i="2"/>
  <c r="AL1148" i="2"/>
  <c r="AL1149" i="2"/>
  <c r="AL1150" i="2"/>
  <c r="AL1151" i="2"/>
  <c r="AL1152" i="2"/>
  <c r="AL1153" i="2"/>
  <c r="AL1154" i="2"/>
  <c r="AL1155" i="2"/>
  <c r="AL1156" i="2"/>
  <c r="AL1157" i="2"/>
  <c r="AL1158" i="2"/>
  <c r="AL1159" i="2"/>
  <c r="AL1160" i="2"/>
  <c r="AL1161" i="2"/>
  <c r="AL1162" i="2"/>
  <c r="AL1163" i="2"/>
  <c r="AL1164" i="2"/>
  <c r="AL1165" i="2"/>
  <c r="AL1166" i="2"/>
  <c r="AL1167" i="2"/>
  <c r="AL1168" i="2"/>
  <c r="AL1169" i="2"/>
  <c r="AL1170" i="2"/>
  <c r="AL1171" i="2"/>
  <c r="AL1172" i="2"/>
  <c r="AL1173" i="2"/>
  <c r="AL1174" i="2"/>
  <c r="AL1175" i="2"/>
  <c r="AL1176" i="2"/>
  <c r="AL1177" i="2"/>
  <c r="AL1178" i="2"/>
  <c r="AL1179" i="2"/>
  <c r="AL1180" i="2"/>
  <c r="AL1181" i="2"/>
  <c r="AL1182" i="2"/>
  <c r="AL1183" i="2"/>
  <c r="AL1184" i="2"/>
  <c r="AL1185" i="2"/>
  <c r="AL1186" i="2"/>
  <c r="AL1187" i="2"/>
  <c r="AL1188" i="2"/>
  <c r="AL1189" i="2"/>
  <c r="AL1190" i="2"/>
  <c r="AL1191" i="2"/>
  <c r="AL1192" i="2"/>
  <c r="AL1193" i="2"/>
  <c r="AL1194" i="2"/>
  <c r="AL1195" i="2"/>
  <c r="AL1196" i="2"/>
  <c r="AL1197" i="2"/>
  <c r="AL1198" i="2"/>
  <c r="AL1199" i="2"/>
  <c r="AL1200" i="2"/>
  <c r="AL1201" i="2"/>
  <c r="AL1202" i="2"/>
  <c r="AL1203" i="2"/>
  <c r="AL1204" i="2"/>
  <c r="AL1205" i="2"/>
  <c r="AL1206" i="2"/>
  <c r="AL1207" i="2"/>
  <c r="AL1208" i="2"/>
  <c r="AL1209" i="2"/>
  <c r="AL1210" i="2"/>
  <c r="AL1211" i="2"/>
  <c r="AL1212" i="2"/>
  <c r="AL1213" i="2"/>
  <c r="AL1214" i="2"/>
  <c r="AL1215" i="2"/>
  <c r="AL1216" i="2"/>
  <c r="AL1217" i="2"/>
  <c r="AL1218" i="2"/>
  <c r="AL1219" i="2"/>
  <c r="AL1220" i="2"/>
  <c r="AL1221" i="2"/>
  <c r="AL1222" i="2"/>
  <c r="AL1223" i="2"/>
  <c r="AL1224" i="2"/>
  <c r="AL1225" i="2"/>
  <c r="AL1226" i="2"/>
  <c r="AL1227" i="2"/>
  <c r="AL1228" i="2"/>
  <c r="AL1229" i="2"/>
  <c r="AL1230" i="2"/>
  <c r="AL1231" i="2"/>
  <c r="AL1232" i="2"/>
  <c r="AL1233" i="2"/>
  <c r="AL1234" i="2"/>
  <c r="AL1235" i="2"/>
  <c r="AL1236" i="2"/>
  <c r="AL1237" i="2"/>
  <c r="AL1238" i="2"/>
  <c r="AL1239" i="2"/>
  <c r="AL1240" i="2"/>
  <c r="AL1241" i="2"/>
  <c r="AL1242" i="2"/>
  <c r="AL1243" i="2"/>
  <c r="AL1244" i="2"/>
  <c r="AL1245" i="2"/>
  <c r="AL1246" i="2"/>
  <c r="AL1247" i="2"/>
  <c r="AL1248" i="2"/>
  <c r="AL1249" i="2"/>
  <c r="AL1250" i="2"/>
  <c r="AL1251" i="2"/>
  <c r="AL1252" i="2"/>
  <c r="AL1253" i="2"/>
  <c r="AL1254" i="2"/>
  <c r="AL1255" i="2"/>
  <c r="AL1256" i="2"/>
  <c r="AL1257" i="2"/>
  <c r="AL1258" i="2"/>
  <c r="AL1259" i="2"/>
  <c r="AL1260" i="2"/>
  <c r="AL1261" i="2"/>
  <c r="AL1262" i="2"/>
  <c r="AL1263" i="2"/>
  <c r="AL1264" i="2"/>
  <c r="AL1265" i="2"/>
  <c r="AL1266" i="2"/>
  <c r="AL1267" i="2"/>
  <c r="AL1268" i="2"/>
  <c r="AL1269" i="2"/>
  <c r="AL1270" i="2"/>
  <c r="AL1271" i="2"/>
  <c r="AL1272" i="2"/>
  <c r="AL1273" i="2"/>
  <c r="AL1274" i="2"/>
  <c r="AL1275" i="2"/>
  <c r="AL1276" i="2"/>
  <c r="AL1277" i="2"/>
  <c r="AL1278" i="2"/>
  <c r="AL1279" i="2"/>
  <c r="AL1280" i="2"/>
  <c r="AL1281" i="2"/>
  <c r="AL1282" i="2"/>
  <c r="AL1283" i="2"/>
  <c r="AL1284" i="2"/>
  <c r="AL1285" i="2"/>
  <c r="AL1286" i="2"/>
  <c r="AL1287" i="2"/>
  <c r="AL1288" i="2"/>
  <c r="AL1289" i="2"/>
  <c r="AL1290" i="2"/>
  <c r="AL1291" i="2"/>
  <c r="AL1292" i="2"/>
  <c r="AL1293" i="2"/>
  <c r="AL1294" i="2"/>
  <c r="AL1295" i="2"/>
  <c r="AL1296" i="2"/>
  <c r="AL1297" i="2"/>
  <c r="AL1298" i="2"/>
  <c r="AL1299" i="2"/>
  <c r="AL1300" i="2"/>
  <c r="AL1301" i="2"/>
  <c r="AL1302" i="2"/>
  <c r="AL1303" i="2"/>
  <c r="AL1304" i="2"/>
  <c r="AL1305" i="2"/>
  <c r="AL1306" i="2"/>
  <c r="AL1307" i="2"/>
  <c r="AL1308" i="2"/>
  <c r="AL1309" i="2"/>
  <c r="AL1310" i="2"/>
  <c r="AL1311" i="2"/>
  <c r="AL1312" i="2"/>
  <c r="AL1313" i="2"/>
  <c r="AL1314" i="2"/>
  <c r="AL1315" i="2"/>
  <c r="AL1316" i="2"/>
  <c r="AL1317" i="2"/>
  <c r="AL1318" i="2"/>
  <c r="AL1319" i="2"/>
  <c r="AL1320" i="2"/>
  <c r="AL1321" i="2"/>
  <c r="AL1322" i="2"/>
  <c r="AL1323" i="2"/>
  <c r="AL1324" i="2"/>
  <c r="AL1325" i="2"/>
  <c r="AL1326" i="2"/>
  <c r="AL1327" i="2"/>
  <c r="AL1328" i="2"/>
  <c r="AL1329" i="2"/>
  <c r="AL1330" i="2"/>
  <c r="AL1331" i="2"/>
  <c r="AL1332" i="2"/>
  <c r="AL1333" i="2"/>
  <c r="AL1334" i="2"/>
  <c r="AL1335" i="2"/>
  <c r="AL1336" i="2"/>
  <c r="AL1337" i="2"/>
  <c r="AL1338" i="2"/>
  <c r="AL1339" i="2"/>
  <c r="AL1340" i="2"/>
  <c r="AL1341" i="2"/>
  <c r="AL1342" i="2"/>
  <c r="AL1343" i="2"/>
  <c r="AL1344" i="2"/>
  <c r="AL1345" i="2"/>
  <c r="AL1346" i="2"/>
  <c r="AL1347" i="2"/>
  <c r="AL1348" i="2"/>
  <c r="AL1349" i="2"/>
  <c r="AL1350" i="2"/>
  <c r="AL1351" i="2"/>
  <c r="AL1352" i="2"/>
  <c r="AL1353" i="2"/>
  <c r="AL1354" i="2"/>
  <c r="AL1355" i="2"/>
  <c r="AL1356" i="2"/>
  <c r="AL1357" i="2"/>
  <c r="AL1358" i="2"/>
  <c r="AL1359" i="2"/>
  <c r="AL1360" i="2"/>
  <c r="AL1361" i="2"/>
  <c r="AL1362" i="2"/>
  <c r="AL1363" i="2"/>
  <c r="AL1364" i="2"/>
  <c r="AL1365" i="2"/>
  <c r="AL1366" i="2"/>
  <c r="AL1367" i="2"/>
  <c r="AL1368" i="2"/>
  <c r="AL1369" i="2"/>
  <c r="AL1370" i="2"/>
  <c r="AL1371" i="2"/>
  <c r="AL1372" i="2"/>
  <c r="AL1373" i="2"/>
  <c r="AL1374" i="2"/>
  <c r="AL1375" i="2"/>
  <c r="AL1376" i="2"/>
  <c r="AL1377" i="2"/>
  <c r="AL1378" i="2"/>
  <c r="AL1379" i="2"/>
  <c r="AL1380" i="2"/>
  <c r="AL1381" i="2"/>
  <c r="AL1382" i="2"/>
  <c r="AL1383" i="2"/>
  <c r="AL1384" i="2"/>
  <c r="AL1385" i="2"/>
  <c r="AL1386" i="2"/>
  <c r="AL1387" i="2"/>
  <c r="AL1388" i="2"/>
  <c r="AL1389" i="2"/>
  <c r="AL1390" i="2"/>
  <c r="AL1391" i="2"/>
  <c r="AL1392" i="2"/>
  <c r="AL1393" i="2"/>
  <c r="AL1394" i="2"/>
  <c r="AL1395" i="2"/>
  <c r="AL1396" i="2"/>
  <c r="AL1397" i="2"/>
  <c r="AL1398" i="2"/>
  <c r="AL1399" i="2"/>
  <c r="AL1400" i="2"/>
  <c r="AL1401" i="2"/>
  <c r="AL1402" i="2"/>
  <c r="AL1403" i="2"/>
  <c r="AL1404" i="2"/>
  <c r="AL1405" i="2"/>
  <c r="AL1406" i="2"/>
  <c r="AL1407" i="2"/>
  <c r="AL1408" i="2"/>
  <c r="AL1409" i="2"/>
  <c r="AL1410" i="2"/>
  <c r="AL1411" i="2"/>
  <c r="AL1412" i="2"/>
  <c r="AL1413" i="2"/>
  <c r="AL1414" i="2"/>
  <c r="AL1415" i="2"/>
  <c r="AL1416" i="2"/>
  <c r="AL1417" i="2"/>
  <c r="AL1418" i="2"/>
  <c r="AL1419" i="2"/>
  <c r="AL1420" i="2"/>
  <c r="AL1421" i="2"/>
  <c r="AL1422" i="2"/>
  <c r="AL1423" i="2"/>
  <c r="AL1424" i="2"/>
  <c r="AL1425" i="2"/>
  <c r="AL1426" i="2"/>
  <c r="AL1427" i="2"/>
  <c r="AL1428" i="2"/>
  <c r="AL1429" i="2"/>
  <c r="AL1430" i="2"/>
  <c r="AL1431" i="2"/>
  <c r="AL1432" i="2"/>
  <c r="AL1433" i="2"/>
  <c r="AL1434" i="2"/>
  <c r="AL1435" i="2"/>
  <c r="AL1436" i="2"/>
  <c r="AL1437" i="2"/>
  <c r="AL1438" i="2"/>
  <c r="AL1439" i="2"/>
  <c r="AL1440" i="2"/>
  <c r="AL1441" i="2"/>
  <c r="AL1442" i="2"/>
  <c r="AL1443" i="2"/>
  <c r="AL1444" i="2"/>
  <c r="AL1445" i="2"/>
  <c r="AL1446" i="2"/>
  <c r="AL1447" i="2"/>
  <c r="AL1448" i="2"/>
  <c r="AL1449" i="2"/>
  <c r="AL1450" i="2"/>
  <c r="AL1451" i="2"/>
  <c r="AL1452" i="2"/>
  <c r="AL1453" i="2"/>
  <c r="AL1454" i="2"/>
  <c r="AL1455" i="2"/>
  <c r="AL1456" i="2"/>
  <c r="AL1457" i="2"/>
  <c r="AL1458" i="2"/>
  <c r="AL1459" i="2"/>
  <c r="AL1460" i="2"/>
  <c r="AL1461" i="2"/>
  <c r="AL1462" i="2"/>
  <c r="AL1463" i="2"/>
  <c r="AL1464" i="2"/>
  <c r="AL1465" i="2"/>
  <c r="AL1466" i="2"/>
  <c r="AL1467" i="2"/>
  <c r="AL1468" i="2"/>
  <c r="AL1469" i="2"/>
  <c r="AL1470" i="2"/>
  <c r="AL1471" i="2"/>
  <c r="AL1472" i="2"/>
  <c r="AL1473" i="2"/>
  <c r="AL1474" i="2"/>
  <c r="AL1475" i="2"/>
  <c r="AL1476" i="2"/>
  <c r="AL1477" i="2"/>
  <c r="AL1478" i="2"/>
  <c r="AL1479" i="2"/>
  <c r="AL1480" i="2"/>
  <c r="AL1481" i="2"/>
  <c r="AL1482" i="2"/>
  <c r="AL1483" i="2"/>
  <c r="AL1484" i="2"/>
  <c r="AL1485" i="2"/>
  <c r="AL1486" i="2"/>
  <c r="AL1487" i="2"/>
  <c r="AL1488" i="2"/>
  <c r="AL1489" i="2"/>
  <c r="AL1490" i="2"/>
  <c r="AL1491" i="2"/>
  <c r="AL1492" i="2"/>
  <c r="AL1493" i="2"/>
  <c r="AL1494" i="2"/>
  <c r="AL1495" i="2"/>
  <c r="AL1496" i="2"/>
  <c r="AL1497" i="2"/>
  <c r="AL1498" i="2"/>
  <c r="AL1499" i="2"/>
  <c r="AL1500" i="2"/>
  <c r="AL1501" i="2"/>
  <c r="AL1502" i="2"/>
  <c r="AL1503" i="2"/>
  <c r="AL1504" i="2"/>
  <c r="AL1505" i="2"/>
  <c r="AL1506" i="2"/>
  <c r="AL1507" i="2"/>
  <c r="AL1508" i="2"/>
  <c r="AL1509" i="2"/>
  <c r="AL1510" i="2"/>
  <c r="AL1511" i="2"/>
  <c r="AL1512" i="2"/>
  <c r="AL1513" i="2"/>
  <c r="AL1514" i="2"/>
  <c r="AL1515" i="2"/>
  <c r="AL1516" i="2"/>
  <c r="AL1517" i="2"/>
  <c r="AL1518" i="2"/>
  <c r="AL1519" i="2"/>
  <c r="AL1520" i="2"/>
  <c r="AL1521" i="2"/>
  <c r="AL1522" i="2"/>
  <c r="AL1523" i="2"/>
  <c r="AL1524" i="2"/>
  <c r="AL1525" i="2"/>
  <c r="AL1526" i="2"/>
  <c r="AL1527" i="2"/>
  <c r="AL1528" i="2"/>
  <c r="AL1529" i="2"/>
  <c r="AL1530" i="2"/>
  <c r="AL1531" i="2"/>
  <c r="AL1532" i="2"/>
  <c r="AL1533" i="2"/>
  <c r="AL1534" i="2"/>
  <c r="AL1535" i="2"/>
  <c r="AL1536" i="2"/>
  <c r="AL1537" i="2"/>
  <c r="AL1538" i="2"/>
  <c r="AL1539" i="2"/>
  <c r="AL1540" i="2"/>
  <c r="AL1541" i="2"/>
  <c r="AL1542" i="2"/>
  <c r="AL1543" i="2"/>
  <c r="AL1544" i="2"/>
  <c r="AL1545" i="2"/>
  <c r="AL1546" i="2"/>
  <c r="AL1547" i="2"/>
  <c r="AL1548" i="2"/>
  <c r="AL1549" i="2"/>
  <c r="AL1550" i="2"/>
  <c r="AL1551" i="2"/>
  <c r="AL1552" i="2"/>
  <c r="AL1553" i="2"/>
  <c r="AL1554" i="2"/>
  <c r="AL1555" i="2"/>
  <c r="AL1556" i="2"/>
  <c r="AL1557" i="2"/>
  <c r="AL1558" i="2"/>
  <c r="AL1559" i="2"/>
  <c r="AL1560" i="2"/>
  <c r="AL1561" i="2"/>
  <c r="AL1562" i="2"/>
  <c r="AL1563" i="2"/>
  <c r="AL1564" i="2"/>
  <c r="AL1565" i="2"/>
  <c r="AL1566" i="2"/>
  <c r="AL1567" i="2"/>
  <c r="AL1568" i="2"/>
  <c r="AL1569" i="2"/>
  <c r="AL1570" i="2"/>
  <c r="AL1571" i="2"/>
  <c r="AL1572" i="2"/>
  <c r="AL1573" i="2"/>
  <c r="AL1574" i="2"/>
  <c r="AL1575" i="2"/>
  <c r="AL1576" i="2"/>
  <c r="AL1577" i="2"/>
  <c r="AL1578" i="2"/>
  <c r="AL1579" i="2"/>
  <c r="AL1580" i="2"/>
  <c r="AL1581" i="2"/>
  <c r="AL1582" i="2"/>
  <c r="AL1583" i="2"/>
  <c r="AL1584" i="2"/>
  <c r="AL1585" i="2"/>
  <c r="AL1586" i="2"/>
  <c r="AL1587" i="2"/>
  <c r="AL1588" i="2"/>
  <c r="AL1589" i="2"/>
  <c r="AL1590" i="2"/>
  <c r="AL1591" i="2"/>
  <c r="AL1592" i="2"/>
  <c r="AL1593" i="2"/>
  <c r="AL1594" i="2"/>
  <c r="AL1595" i="2"/>
  <c r="AL1596" i="2"/>
  <c r="AL1597" i="2"/>
  <c r="AL1598" i="2"/>
  <c r="AL1599" i="2"/>
  <c r="AL1600" i="2"/>
  <c r="AL1601" i="2"/>
  <c r="AL1602" i="2"/>
  <c r="AL1603" i="2"/>
  <c r="AL1604" i="2"/>
  <c r="AL1605" i="2"/>
  <c r="AL1606" i="2"/>
  <c r="AL1607" i="2"/>
  <c r="AL1608" i="2"/>
  <c r="AL1609" i="2"/>
  <c r="AL1610" i="2"/>
  <c r="AL1611" i="2"/>
  <c r="AL1612" i="2"/>
  <c r="AL1613" i="2"/>
  <c r="AL1614" i="2"/>
  <c r="AL1615" i="2"/>
  <c r="AL1616" i="2"/>
  <c r="AL1617" i="2"/>
  <c r="AL1618" i="2"/>
  <c r="AL1619" i="2"/>
  <c r="AL1620" i="2"/>
  <c r="AL1621" i="2"/>
  <c r="AL1622" i="2"/>
  <c r="AL1623" i="2"/>
  <c r="AL1624" i="2"/>
  <c r="AL1625" i="2"/>
  <c r="AL1626" i="2"/>
  <c r="AL1627" i="2"/>
  <c r="AL1628" i="2"/>
  <c r="AL1629" i="2"/>
  <c r="AL1630" i="2"/>
  <c r="AL1631" i="2"/>
  <c r="AL1632" i="2"/>
  <c r="AL1633" i="2"/>
  <c r="AL1634" i="2"/>
  <c r="AL1635" i="2"/>
  <c r="AL1636" i="2"/>
  <c r="AL1637" i="2"/>
  <c r="AL1638" i="2"/>
  <c r="AL1639" i="2"/>
  <c r="AL1640" i="2"/>
  <c r="AL1641" i="2"/>
  <c r="AL1642" i="2"/>
  <c r="AL1643" i="2"/>
  <c r="AL1644" i="2"/>
  <c r="AL1645" i="2"/>
  <c r="AL1646" i="2"/>
  <c r="AL1647" i="2"/>
  <c r="AL1648" i="2"/>
  <c r="AL1649" i="2"/>
  <c r="AL1650" i="2"/>
  <c r="AL1651" i="2"/>
  <c r="AL1652" i="2"/>
  <c r="AL1653" i="2"/>
  <c r="AL1654" i="2"/>
  <c r="AL1655" i="2"/>
  <c r="AL1656" i="2"/>
  <c r="AL1657" i="2"/>
  <c r="AL1658" i="2"/>
  <c r="AL1659" i="2"/>
  <c r="AL1660" i="2"/>
  <c r="AL1661" i="2"/>
  <c r="AL1662" i="2"/>
  <c r="AL1663" i="2"/>
  <c r="AL1664" i="2"/>
  <c r="AL1665" i="2"/>
  <c r="AL1666" i="2"/>
  <c r="AL1667" i="2"/>
  <c r="AL1668" i="2"/>
  <c r="AL1669" i="2"/>
  <c r="AL1670" i="2"/>
  <c r="AL1671" i="2"/>
  <c r="AL1672" i="2"/>
  <c r="AL1673" i="2"/>
  <c r="AL1674" i="2"/>
  <c r="AL1675" i="2"/>
  <c r="AL1676" i="2"/>
  <c r="AL1677" i="2"/>
  <c r="AL1678" i="2"/>
  <c r="AL1679" i="2"/>
  <c r="AL1680" i="2"/>
  <c r="AL1681" i="2"/>
  <c r="AL1682" i="2"/>
  <c r="AL1683" i="2"/>
  <c r="AL1684" i="2"/>
  <c r="AL1685" i="2"/>
  <c r="AL1686" i="2"/>
  <c r="AL1687" i="2"/>
  <c r="AL1688" i="2"/>
  <c r="AL1689" i="2"/>
  <c r="AC6" i="2"/>
  <c r="AC7" i="2"/>
  <c r="AC8" i="2"/>
  <c r="AD8" i="2"/>
  <c r="AC9" i="2"/>
  <c r="AC10" i="2"/>
  <c r="AD10" i="2" s="1"/>
  <c r="AC11" i="2"/>
  <c r="AD11" i="2" s="1"/>
  <c r="AA26" i="2"/>
  <c r="AB26" i="2" s="1"/>
  <c r="AE10" i="2"/>
  <c r="AF10" i="2" s="1"/>
  <c r="AE11" i="2"/>
  <c r="AF11" i="2" s="1"/>
  <c r="AE8" i="2"/>
  <c r="AF8" i="2" s="1"/>
  <c r="AK1090" i="2"/>
  <c r="AE9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E6" i="2"/>
  <c r="AF6" i="2" s="1"/>
  <c r="AK610" i="2"/>
  <c r="AE7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A37" i="2"/>
  <c r="AA34" i="2"/>
  <c r="AQ9" i="2"/>
  <c r="AA33" i="2"/>
  <c r="AA31" i="2"/>
  <c r="AA27" i="2"/>
  <c r="AB27" i="2" s="1"/>
  <c r="AK164" i="2"/>
  <c r="AK644" i="2"/>
  <c r="AK1124" i="2"/>
  <c r="AQ5" i="2"/>
  <c r="AV5" i="2"/>
  <c r="AG15" i="2"/>
  <c r="AY9" i="2"/>
  <c r="AY5" i="2"/>
  <c r="AL6" i="2"/>
  <c r="AQ6" i="2"/>
  <c r="AV6" i="2"/>
  <c r="AV7" i="2"/>
  <c r="AV8" i="2"/>
  <c r="AK9" i="2"/>
  <c r="AV9" i="2"/>
  <c r="AK10" i="2"/>
  <c r="AV10" i="2"/>
  <c r="AX10" i="2"/>
  <c r="AY10" i="2"/>
  <c r="AK11" i="2"/>
  <c r="AV11" i="2"/>
  <c r="AX11" i="2"/>
  <c r="AY11" i="2"/>
  <c r="AK12" i="2"/>
  <c r="AX12" i="2"/>
  <c r="AY12" i="2"/>
  <c r="AK13" i="2"/>
  <c r="AX13" i="2"/>
  <c r="AY13" i="2"/>
  <c r="AK14" i="2"/>
  <c r="AT14" i="2"/>
  <c r="AX14" i="2"/>
  <c r="AY14" i="2"/>
  <c r="AA15" i="2"/>
  <c r="AK15" i="2"/>
  <c r="AX15" i="2"/>
  <c r="AY15" i="2"/>
  <c r="AK16" i="2"/>
  <c r="AX16" i="2"/>
  <c r="AY16" i="2"/>
  <c r="AK17" i="2"/>
  <c r="AX17" i="2"/>
  <c r="AY17" i="2"/>
  <c r="AK18" i="2"/>
  <c r="AX18" i="2"/>
  <c r="AY18" i="2"/>
  <c r="AK19" i="2"/>
  <c r="AX19" i="2"/>
  <c r="AY19" i="2"/>
  <c r="F20" i="2"/>
  <c r="AK20" i="2"/>
  <c r="AX20" i="2"/>
  <c r="AY20" i="2"/>
  <c r="AK21" i="2"/>
  <c r="AX21" i="2"/>
  <c r="AY21" i="2"/>
  <c r="AK22" i="2"/>
  <c r="AX22" i="2"/>
  <c r="AY22" i="2"/>
  <c r="AK23" i="2"/>
  <c r="AX23" i="2"/>
  <c r="AY23" i="2"/>
  <c r="AK24" i="2"/>
  <c r="AX24" i="2"/>
  <c r="AY24" i="2"/>
  <c r="AK25" i="2"/>
  <c r="AX25" i="2"/>
  <c r="AY25" i="2"/>
  <c r="AK26" i="2"/>
  <c r="AX26" i="2"/>
  <c r="AY26" i="2"/>
  <c r="AK27" i="2"/>
  <c r="AX27" i="2"/>
  <c r="AY27" i="2"/>
  <c r="AK28" i="2"/>
  <c r="AX28" i="2"/>
  <c r="AY28" i="2"/>
  <c r="AK29" i="2"/>
  <c r="AX29" i="2"/>
  <c r="AY29" i="2"/>
  <c r="AK30" i="2"/>
  <c r="AX30" i="2"/>
  <c r="AY30" i="2"/>
  <c r="AK31" i="2"/>
  <c r="AX31" i="2"/>
  <c r="AY31" i="2"/>
  <c r="AK32" i="2"/>
  <c r="AX32" i="2"/>
  <c r="AY32" i="2"/>
  <c r="AK33" i="2"/>
  <c r="AX33" i="2"/>
  <c r="AY33" i="2"/>
  <c r="AK34" i="2"/>
  <c r="AX34" i="2"/>
  <c r="AY34" i="2"/>
  <c r="AK35" i="2"/>
  <c r="AX35" i="2"/>
  <c r="AY35" i="2"/>
  <c r="AA36" i="2"/>
  <c r="AK36" i="2"/>
  <c r="AX36" i="2"/>
  <c r="AY36" i="2"/>
  <c r="AK37" i="2"/>
  <c r="AX37" i="2"/>
  <c r="AY37" i="2"/>
  <c r="AK38" i="2"/>
  <c r="AX38" i="2"/>
  <c r="AY38" i="2"/>
  <c r="AK39" i="2"/>
  <c r="AX39" i="2"/>
  <c r="AY39" i="2"/>
  <c r="AK40" i="2"/>
  <c r="AX40" i="2"/>
  <c r="AY40" i="2"/>
  <c r="AK41" i="2"/>
  <c r="AX41" i="2"/>
  <c r="AY41" i="2"/>
  <c r="AK42" i="2"/>
  <c r="AX42" i="2"/>
  <c r="AY42" i="2"/>
  <c r="AK43" i="2"/>
  <c r="AX43" i="2"/>
  <c r="AY43" i="2"/>
  <c r="AK44" i="2"/>
  <c r="AX44" i="2"/>
  <c r="AY44" i="2"/>
  <c r="AK45" i="2"/>
  <c r="AX45" i="2"/>
  <c r="AY45" i="2"/>
  <c r="AK46" i="2"/>
  <c r="AX46" i="2"/>
  <c r="AY46" i="2"/>
  <c r="AK47" i="2"/>
  <c r="AX47" i="2"/>
  <c r="AY47" i="2"/>
  <c r="AK48" i="2"/>
  <c r="AX48" i="2"/>
  <c r="AY48" i="2"/>
  <c r="AK49" i="2"/>
  <c r="AX49" i="2"/>
  <c r="AY49" i="2"/>
  <c r="AK50" i="2"/>
  <c r="AX50" i="2"/>
  <c r="AY50" i="2"/>
  <c r="AK51" i="2"/>
  <c r="AX51" i="2"/>
  <c r="AY51" i="2"/>
  <c r="AK52" i="2"/>
  <c r="AX52" i="2"/>
  <c r="AY52" i="2"/>
  <c r="AK53" i="2"/>
  <c r="AX53" i="2"/>
  <c r="AY53" i="2"/>
  <c r="AK54" i="2"/>
  <c r="AX54" i="2"/>
  <c r="AY54" i="2"/>
  <c r="AK55" i="2"/>
  <c r="AX55" i="2"/>
  <c r="AY55" i="2"/>
  <c r="AK56" i="2"/>
  <c r="AX56" i="2"/>
  <c r="AY56" i="2"/>
  <c r="AK57" i="2"/>
  <c r="AX57" i="2"/>
  <c r="AY57" i="2"/>
  <c r="AK58" i="2"/>
  <c r="AX58" i="2"/>
  <c r="AY58" i="2"/>
  <c r="AK59" i="2"/>
  <c r="AX59" i="2"/>
  <c r="AY59" i="2"/>
  <c r="AK60" i="2"/>
  <c r="AX60" i="2"/>
  <c r="AY60" i="2"/>
  <c r="AK61" i="2"/>
  <c r="AX61" i="2"/>
  <c r="AY61" i="2"/>
  <c r="AK62" i="2"/>
  <c r="AX62" i="2"/>
  <c r="AY62" i="2"/>
  <c r="AK63" i="2"/>
  <c r="AX63" i="2"/>
  <c r="AY63" i="2"/>
  <c r="AK64" i="2"/>
  <c r="AX64" i="2"/>
  <c r="AY64" i="2"/>
  <c r="AK65" i="2"/>
  <c r="AX65" i="2"/>
  <c r="AY65" i="2"/>
  <c r="AK66" i="2"/>
  <c r="AX66" i="2"/>
  <c r="AY66" i="2"/>
  <c r="AK67" i="2"/>
  <c r="AX67" i="2"/>
  <c r="AY67" i="2"/>
  <c r="AK68" i="2"/>
  <c r="AX68" i="2"/>
  <c r="AY68" i="2"/>
  <c r="AK69" i="2"/>
  <c r="AX69" i="2"/>
  <c r="AY69" i="2"/>
  <c r="AK70" i="2"/>
  <c r="AX70" i="2"/>
  <c r="AY70" i="2"/>
  <c r="AK71" i="2"/>
  <c r="AX71" i="2"/>
  <c r="AY71" i="2"/>
  <c r="AK72" i="2"/>
  <c r="AX72" i="2"/>
  <c r="AY72" i="2"/>
  <c r="AK73" i="2"/>
  <c r="AX73" i="2"/>
  <c r="AY73" i="2"/>
  <c r="AK74" i="2"/>
  <c r="AX74" i="2"/>
  <c r="AY74" i="2"/>
  <c r="AK75" i="2"/>
  <c r="AX75" i="2"/>
  <c r="AY75" i="2"/>
  <c r="AK76" i="2"/>
  <c r="AX76" i="2"/>
  <c r="AY76" i="2"/>
  <c r="AK77" i="2"/>
  <c r="AX77" i="2"/>
  <c r="AY77" i="2"/>
  <c r="AK78" i="2"/>
  <c r="AX78" i="2"/>
  <c r="AY78" i="2"/>
  <c r="AK79" i="2"/>
  <c r="AX79" i="2"/>
  <c r="AY79" i="2"/>
  <c r="AK80" i="2"/>
  <c r="AX80" i="2"/>
  <c r="AY80" i="2"/>
  <c r="AK81" i="2"/>
  <c r="AX81" i="2"/>
  <c r="AY81" i="2"/>
  <c r="AK82" i="2"/>
  <c r="AX82" i="2"/>
  <c r="AY82" i="2"/>
  <c r="AK83" i="2"/>
  <c r="AX83" i="2"/>
  <c r="AY83" i="2"/>
  <c r="AK84" i="2"/>
  <c r="AX84" i="2"/>
  <c r="AY84" i="2"/>
  <c r="AK85" i="2"/>
  <c r="AX85" i="2"/>
  <c r="AY85" i="2"/>
  <c r="AK86" i="2"/>
  <c r="AX86" i="2"/>
  <c r="AY86" i="2"/>
  <c r="AK87" i="2"/>
  <c r="AX87" i="2"/>
  <c r="AY87" i="2"/>
  <c r="AK88" i="2"/>
  <c r="AX88" i="2"/>
  <c r="AY88" i="2"/>
  <c r="AK89" i="2"/>
  <c r="AX89" i="2"/>
  <c r="AY89" i="2"/>
  <c r="AK90" i="2"/>
  <c r="AX90" i="2"/>
  <c r="AY90" i="2"/>
  <c r="AK91" i="2"/>
  <c r="AX91" i="2"/>
  <c r="AY91" i="2"/>
  <c r="AK92" i="2"/>
  <c r="AX92" i="2"/>
  <c r="AY92" i="2"/>
  <c r="AK93" i="2"/>
  <c r="AX93" i="2"/>
  <c r="AY93" i="2"/>
  <c r="AK94" i="2"/>
  <c r="AX94" i="2"/>
  <c r="AY94" i="2"/>
  <c r="AK95" i="2"/>
  <c r="AX95" i="2"/>
  <c r="AY95" i="2"/>
  <c r="AK96" i="2"/>
  <c r="AX96" i="2"/>
  <c r="AY96" i="2"/>
  <c r="AK97" i="2"/>
  <c r="AX97" i="2"/>
  <c r="AY97" i="2"/>
  <c r="AK98" i="2"/>
  <c r="AX98" i="2"/>
  <c r="AY98" i="2"/>
  <c r="AK99" i="2"/>
  <c r="AX99" i="2"/>
  <c r="AY99" i="2"/>
  <c r="AK100" i="2"/>
  <c r="AX100" i="2"/>
  <c r="AY100" i="2"/>
  <c r="AK101" i="2"/>
  <c r="AX101" i="2"/>
  <c r="AY101" i="2"/>
  <c r="AK102" i="2"/>
  <c r="AX102" i="2"/>
  <c r="AY102" i="2"/>
  <c r="AK103" i="2"/>
  <c r="AX103" i="2"/>
  <c r="AY103" i="2"/>
  <c r="AK104" i="2"/>
  <c r="AX104" i="2"/>
  <c r="AY104" i="2"/>
  <c r="AK105" i="2"/>
  <c r="AX105" i="2"/>
  <c r="AY105" i="2"/>
  <c r="AK106" i="2"/>
  <c r="AX106" i="2"/>
  <c r="AY106" i="2"/>
  <c r="AK107" i="2"/>
  <c r="AX107" i="2"/>
  <c r="AY107" i="2"/>
  <c r="AK108" i="2"/>
  <c r="AX108" i="2"/>
  <c r="AY108" i="2"/>
  <c r="AK109" i="2"/>
  <c r="AX109" i="2"/>
  <c r="AY109" i="2"/>
  <c r="AK110" i="2"/>
  <c r="AX110" i="2"/>
  <c r="AY110" i="2"/>
  <c r="AK111" i="2"/>
  <c r="AX111" i="2"/>
  <c r="AY111" i="2"/>
  <c r="AK112" i="2"/>
  <c r="AX112" i="2"/>
  <c r="AY112" i="2"/>
  <c r="AK113" i="2"/>
  <c r="AX113" i="2"/>
  <c r="AY113" i="2"/>
  <c r="AK114" i="2"/>
  <c r="AX114" i="2"/>
  <c r="AY114" i="2"/>
  <c r="AK115" i="2"/>
  <c r="AX115" i="2"/>
  <c r="AY115" i="2"/>
  <c r="AK116" i="2"/>
  <c r="AX116" i="2"/>
  <c r="AY116" i="2"/>
  <c r="AK117" i="2"/>
  <c r="AX117" i="2"/>
  <c r="AY117" i="2"/>
  <c r="AK118" i="2"/>
  <c r="AX118" i="2"/>
  <c r="AY118" i="2"/>
  <c r="AK119" i="2"/>
  <c r="AX119" i="2"/>
  <c r="AY119" i="2"/>
  <c r="AK120" i="2"/>
  <c r="AX120" i="2"/>
  <c r="AY120" i="2"/>
  <c r="AK121" i="2"/>
  <c r="AX121" i="2"/>
  <c r="AY121" i="2"/>
  <c r="AK122" i="2"/>
  <c r="AX122" i="2"/>
  <c r="AY122" i="2"/>
  <c r="AK123" i="2"/>
  <c r="AX123" i="2"/>
  <c r="AY123" i="2"/>
  <c r="AK124" i="2"/>
  <c r="AX124" i="2"/>
  <c r="AY124" i="2"/>
  <c r="AK125" i="2"/>
  <c r="AX125" i="2"/>
  <c r="AY125" i="2"/>
  <c r="AK126" i="2"/>
  <c r="AX126" i="2"/>
  <c r="AY126" i="2"/>
  <c r="AK127" i="2"/>
  <c r="AX127" i="2"/>
  <c r="AY127" i="2"/>
  <c r="AK128" i="2"/>
  <c r="AX128" i="2"/>
  <c r="AY128" i="2"/>
  <c r="AK129" i="2"/>
  <c r="AX129" i="2"/>
  <c r="AY129" i="2"/>
  <c r="AX130" i="2"/>
  <c r="AY130" i="2"/>
  <c r="AX131" i="2"/>
  <c r="AY131" i="2"/>
  <c r="AX132" i="2"/>
  <c r="AY132" i="2"/>
  <c r="AX133" i="2"/>
  <c r="AY133" i="2"/>
  <c r="AX134" i="2"/>
  <c r="AY134" i="2"/>
  <c r="AX135" i="2"/>
  <c r="AY135" i="2"/>
  <c r="AX136" i="2"/>
  <c r="AY136" i="2"/>
  <c r="AX137" i="2"/>
  <c r="AY137" i="2"/>
  <c r="AX138" i="2"/>
  <c r="AY138" i="2"/>
  <c r="AX139" i="2"/>
  <c r="AY139" i="2"/>
  <c r="AX140" i="2"/>
  <c r="AY140" i="2"/>
  <c r="AX141" i="2"/>
  <c r="AY141" i="2"/>
  <c r="AX142" i="2"/>
  <c r="AY142" i="2"/>
  <c r="AX143" i="2"/>
  <c r="AY143" i="2"/>
  <c r="AX144" i="2"/>
  <c r="AY144" i="2"/>
  <c r="AX145" i="2"/>
  <c r="AY145" i="2"/>
  <c r="AX146" i="2"/>
  <c r="AY146" i="2"/>
  <c r="AX147" i="2"/>
  <c r="AY147" i="2"/>
  <c r="AX148" i="2"/>
  <c r="AY148" i="2"/>
  <c r="AX149" i="2"/>
  <c r="AY149" i="2"/>
  <c r="AX150" i="2"/>
  <c r="AY150" i="2"/>
  <c r="AX151" i="2"/>
  <c r="AY151" i="2"/>
  <c r="AX152" i="2"/>
  <c r="AY152" i="2"/>
  <c r="AX153" i="2"/>
  <c r="AY153" i="2"/>
  <c r="AX154" i="2"/>
  <c r="AY154" i="2"/>
  <c r="AX155" i="2"/>
  <c r="AY155" i="2"/>
  <c r="AX156" i="2"/>
  <c r="AY156" i="2"/>
  <c r="AX157" i="2"/>
  <c r="AY157" i="2"/>
  <c r="AX158" i="2"/>
  <c r="AY158" i="2"/>
  <c r="AX159" i="2"/>
  <c r="AY159" i="2"/>
  <c r="AX160" i="2"/>
  <c r="AY160" i="2"/>
  <c r="AX161" i="2"/>
  <c r="AY161" i="2"/>
  <c r="AX162" i="2"/>
  <c r="AY162" i="2"/>
  <c r="AX163" i="2"/>
  <c r="AY163" i="2"/>
  <c r="AX164" i="2"/>
  <c r="AY164" i="2"/>
  <c r="AK165" i="2"/>
  <c r="AX165" i="2"/>
  <c r="AY165" i="2"/>
  <c r="AK166" i="2"/>
  <c r="AX166" i="2"/>
  <c r="AY166" i="2"/>
  <c r="AK167" i="2"/>
  <c r="AX167" i="2"/>
  <c r="AY167" i="2"/>
  <c r="AK168" i="2"/>
  <c r="AX168" i="2"/>
  <c r="AY168" i="2"/>
  <c r="AK169" i="2"/>
  <c r="AX169" i="2"/>
  <c r="AY169" i="2"/>
  <c r="AK170" i="2"/>
  <c r="AX170" i="2"/>
  <c r="AY170" i="2"/>
  <c r="AK171" i="2"/>
  <c r="AX171" i="2"/>
  <c r="AY171" i="2"/>
  <c r="AK172" i="2"/>
  <c r="AX172" i="2"/>
  <c r="AY172" i="2"/>
  <c r="AK173" i="2"/>
  <c r="AX173" i="2"/>
  <c r="AY173" i="2"/>
  <c r="AK174" i="2"/>
  <c r="AX174" i="2"/>
  <c r="AY174" i="2"/>
  <c r="AK175" i="2"/>
  <c r="AX175" i="2"/>
  <c r="AY175" i="2"/>
  <c r="AK176" i="2"/>
  <c r="AX176" i="2"/>
  <c r="AY176" i="2"/>
  <c r="AK177" i="2"/>
  <c r="AX177" i="2"/>
  <c r="AY177" i="2"/>
  <c r="AK178" i="2"/>
  <c r="AX178" i="2"/>
  <c r="AY178" i="2"/>
  <c r="AK179" i="2"/>
  <c r="AX179" i="2"/>
  <c r="AY179" i="2"/>
  <c r="AK180" i="2"/>
  <c r="AX180" i="2"/>
  <c r="AY180" i="2"/>
  <c r="AK181" i="2"/>
  <c r="AX181" i="2"/>
  <c r="AY181" i="2"/>
  <c r="AK182" i="2"/>
  <c r="AX182" i="2"/>
  <c r="AY182" i="2"/>
  <c r="AK183" i="2"/>
  <c r="AX183" i="2"/>
  <c r="AY183" i="2"/>
  <c r="AK184" i="2"/>
  <c r="AX184" i="2"/>
  <c r="AY184" i="2"/>
  <c r="AK185" i="2"/>
  <c r="AX185" i="2"/>
  <c r="AY185" i="2"/>
  <c r="AK186" i="2"/>
  <c r="AX186" i="2"/>
  <c r="AY186" i="2"/>
  <c r="AK187" i="2"/>
  <c r="AX187" i="2"/>
  <c r="AY187" i="2"/>
  <c r="AK188" i="2"/>
  <c r="AX188" i="2"/>
  <c r="AY188" i="2"/>
  <c r="AK189" i="2"/>
  <c r="AX189" i="2"/>
  <c r="AY189" i="2"/>
  <c r="AK190" i="2"/>
  <c r="AX190" i="2"/>
  <c r="AY190" i="2"/>
  <c r="AK191" i="2"/>
  <c r="AX191" i="2"/>
  <c r="AY191" i="2"/>
  <c r="AK192" i="2"/>
  <c r="AX192" i="2"/>
  <c r="AY192" i="2"/>
  <c r="AK193" i="2"/>
  <c r="AX193" i="2"/>
  <c r="AY193" i="2"/>
  <c r="AK194" i="2"/>
  <c r="AX194" i="2"/>
  <c r="AY194" i="2"/>
  <c r="AK195" i="2"/>
  <c r="AX195" i="2"/>
  <c r="AY195" i="2"/>
  <c r="AK196" i="2"/>
  <c r="AX196" i="2"/>
  <c r="AY196" i="2"/>
  <c r="AK197" i="2"/>
  <c r="AX197" i="2"/>
  <c r="AY197" i="2"/>
  <c r="AK198" i="2"/>
  <c r="AX198" i="2"/>
  <c r="AY198" i="2"/>
  <c r="AK199" i="2"/>
  <c r="AX199" i="2"/>
  <c r="AY199" i="2"/>
  <c r="AK200" i="2"/>
  <c r="AX200" i="2"/>
  <c r="AY200" i="2"/>
  <c r="AK201" i="2"/>
  <c r="AX201" i="2"/>
  <c r="AY201" i="2"/>
  <c r="AK202" i="2"/>
  <c r="AX202" i="2"/>
  <c r="AY202" i="2"/>
  <c r="AK203" i="2"/>
  <c r="AX203" i="2"/>
  <c r="AY203" i="2"/>
  <c r="AK204" i="2"/>
  <c r="AX204" i="2"/>
  <c r="AY204" i="2"/>
  <c r="AK205" i="2"/>
  <c r="AX205" i="2"/>
  <c r="AY205" i="2"/>
  <c r="AK206" i="2"/>
  <c r="AX206" i="2"/>
  <c r="AY206" i="2"/>
  <c r="AK207" i="2"/>
  <c r="AX207" i="2"/>
  <c r="AY207" i="2"/>
  <c r="AK208" i="2"/>
  <c r="AX208" i="2"/>
  <c r="AY208" i="2"/>
  <c r="AK209" i="2"/>
  <c r="AX209" i="2"/>
  <c r="AY209" i="2"/>
  <c r="AK210" i="2"/>
  <c r="AX210" i="2"/>
  <c r="AY210" i="2"/>
  <c r="AK211" i="2"/>
  <c r="AX211" i="2"/>
  <c r="AY211" i="2"/>
  <c r="AK212" i="2"/>
  <c r="AX212" i="2"/>
  <c r="AY212" i="2"/>
  <c r="AK213" i="2"/>
  <c r="AX213" i="2"/>
  <c r="AY213" i="2"/>
  <c r="AK214" i="2"/>
  <c r="AX214" i="2"/>
  <c r="AY214" i="2"/>
  <c r="AK215" i="2"/>
  <c r="AX215" i="2"/>
  <c r="AY215" i="2"/>
  <c r="AK216" i="2"/>
  <c r="AX216" i="2"/>
  <c r="AY216" i="2"/>
  <c r="AK217" i="2"/>
  <c r="AX217" i="2"/>
  <c r="AY217" i="2"/>
  <c r="AK218" i="2"/>
  <c r="AX218" i="2"/>
  <c r="AY218" i="2"/>
  <c r="AK219" i="2"/>
  <c r="AX219" i="2"/>
  <c r="AY219" i="2"/>
  <c r="AK220" i="2"/>
  <c r="AX220" i="2"/>
  <c r="AY220" i="2"/>
  <c r="AK221" i="2"/>
  <c r="AX221" i="2"/>
  <c r="AY221" i="2"/>
  <c r="AK222" i="2"/>
  <c r="AX222" i="2"/>
  <c r="AY222" i="2"/>
  <c r="AK223" i="2"/>
  <c r="AX223" i="2"/>
  <c r="AY223" i="2"/>
  <c r="AK224" i="2"/>
  <c r="AX224" i="2"/>
  <c r="AY224" i="2"/>
  <c r="AK225" i="2"/>
  <c r="AX225" i="2"/>
  <c r="AY225" i="2"/>
  <c r="AK226" i="2"/>
  <c r="AX226" i="2"/>
  <c r="AY226" i="2"/>
  <c r="AK227" i="2"/>
  <c r="AX227" i="2"/>
  <c r="AY227" i="2"/>
  <c r="AK228" i="2"/>
  <c r="AX228" i="2"/>
  <c r="AY228" i="2"/>
  <c r="AK229" i="2"/>
  <c r="AX229" i="2"/>
  <c r="AY229" i="2"/>
  <c r="AK230" i="2"/>
  <c r="AX230" i="2"/>
  <c r="AY230" i="2"/>
  <c r="AK231" i="2"/>
  <c r="AX231" i="2"/>
  <c r="AY231" i="2"/>
  <c r="AK232" i="2"/>
  <c r="AX232" i="2"/>
  <c r="AY232" i="2"/>
  <c r="AK233" i="2"/>
  <c r="AX233" i="2"/>
  <c r="AY233" i="2"/>
  <c r="AK234" i="2"/>
  <c r="AX234" i="2"/>
  <c r="AY234" i="2"/>
  <c r="AK235" i="2"/>
  <c r="AX235" i="2"/>
  <c r="AY235" i="2"/>
  <c r="AK236" i="2"/>
  <c r="AX236" i="2"/>
  <c r="AY236" i="2"/>
  <c r="AK237" i="2"/>
  <c r="AX237" i="2"/>
  <c r="AY237" i="2"/>
  <c r="AK238" i="2"/>
  <c r="AX238" i="2"/>
  <c r="AY238" i="2"/>
  <c r="AK239" i="2"/>
  <c r="AX239" i="2"/>
  <c r="AY239" i="2"/>
  <c r="AK240" i="2"/>
  <c r="AX240" i="2"/>
  <c r="AY240" i="2"/>
  <c r="AK241" i="2"/>
  <c r="AX241" i="2"/>
  <c r="AY241" i="2"/>
  <c r="AK242" i="2"/>
  <c r="AX242" i="2"/>
  <c r="AY242" i="2"/>
  <c r="AK243" i="2"/>
  <c r="AX243" i="2"/>
  <c r="AY243" i="2"/>
  <c r="AK244" i="2"/>
  <c r="AX244" i="2"/>
  <c r="AY244" i="2"/>
  <c r="AK245" i="2"/>
  <c r="AX245" i="2"/>
  <c r="AY245" i="2"/>
  <c r="AK246" i="2"/>
  <c r="AX246" i="2"/>
  <c r="AY246" i="2"/>
  <c r="AK247" i="2"/>
  <c r="AX247" i="2"/>
  <c r="AY247" i="2"/>
  <c r="AK248" i="2"/>
  <c r="AX248" i="2"/>
  <c r="AY248" i="2"/>
  <c r="AK249" i="2"/>
  <c r="AX249" i="2"/>
  <c r="AY249" i="2"/>
  <c r="AK250" i="2"/>
  <c r="AX250" i="2"/>
  <c r="AY250" i="2"/>
  <c r="AK251" i="2"/>
  <c r="AX251" i="2"/>
  <c r="AY251" i="2"/>
  <c r="AK252" i="2"/>
  <c r="AX252" i="2"/>
  <c r="AY252" i="2"/>
  <c r="AK253" i="2"/>
  <c r="AX253" i="2"/>
  <c r="AY253" i="2"/>
  <c r="AK254" i="2"/>
  <c r="AX254" i="2"/>
  <c r="AY254" i="2"/>
  <c r="AK255" i="2"/>
  <c r="AX255" i="2"/>
  <c r="AY255" i="2"/>
  <c r="AK256" i="2"/>
  <c r="AX256" i="2"/>
  <c r="AY256" i="2"/>
  <c r="AK257" i="2"/>
  <c r="AX257" i="2"/>
  <c r="AY257" i="2"/>
  <c r="AK258" i="2"/>
  <c r="AX258" i="2"/>
  <c r="AY258" i="2"/>
  <c r="AK259" i="2"/>
  <c r="AX259" i="2"/>
  <c r="AY259" i="2"/>
  <c r="AK260" i="2"/>
  <c r="AX260" i="2"/>
  <c r="AY260" i="2"/>
  <c r="AK261" i="2"/>
  <c r="AX261" i="2"/>
  <c r="AY261" i="2"/>
  <c r="AK262" i="2"/>
  <c r="AX262" i="2"/>
  <c r="AY262" i="2"/>
  <c r="AK263" i="2"/>
  <c r="AX263" i="2"/>
  <c r="AY263" i="2"/>
  <c r="AK264" i="2"/>
  <c r="AX264" i="2"/>
  <c r="AY264" i="2"/>
  <c r="AK265" i="2"/>
  <c r="AX265" i="2"/>
  <c r="AY265" i="2"/>
  <c r="AK266" i="2"/>
  <c r="AX266" i="2"/>
  <c r="AY266" i="2"/>
  <c r="AK267" i="2"/>
  <c r="AX267" i="2"/>
  <c r="AY267" i="2"/>
  <c r="AK268" i="2"/>
  <c r="AX268" i="2"/>
  <c r="AY268" i="2"/>
  <c r="AK269" i="2"/>
  <c r="AX269" i="2"/>
  <c r="AY269" i="2"/>
  <c r="AK270" i="2"/>
  <c r="AX270" i="2"/>
  <c r="AY270" i="2"/>
  <c r="AK271" i="2"/>
  <c r="AX271" i="2"/>
  <c r="AY271" i="2"/>
  <c r="AK272" i="2"/>
  <c r="AX272" i="2"/>
  <c r="AY272" i="2"/>
  <c r="AK273" i="2"/>
  <c r="AX273" i="2"/>
  <c r="AY273" i="2"/>
  <c r="AK274" i="2"/>
  <c r="AX274" i="2"/>
  <c r="AY274" i="2"/>
  <c r="AK275" i="2"/>
  <c r="AX275" i="2"/>
  <c r="AY275" i="2"/>
  <c r="AK276" i="2"/>
  <c r="AX276" i="2"/>
  <c r="AY276" i="2"/>
  <c r="AK277" i="2"/>
  <c r="AX277" i="2"/>
  <c r="AY277" i="2"/>
  <c r="AK278" i="2"/>
  <c r="AX278" i="2"/>
  <c r="AY278" i="2"/>
  <c r="AK279" i="2"/>
  <c r="AX279" i="2"/>
  <c r="AY279" i="2"/>
  <c r="AK280" i="2"/>
  <c r="AX280" i="2"/>
  <c r="AY280" i="2"/>
  <c r="AK281" i="2"/>
  <c r="AX281" i="2"/>
  <c r="AY281" i="2"/>
  <c r="AK282" i="2"/>
  <c r="AX282" i="2"/>
  <c r="AY282" i="2"/>
  <c r="AK283" i="2"/>
  <c r="AX283" i="2"/>
  <c r="AY283" i="2"/>
  <c r="AK284" i="2"/>
  <c r="AX284" i="2"/>
  <c r="AY284" i="2"/>
  <c r="AK285" i="2"/>
  <c r="AX285" i="2"/>
  <c r="AY285" i="2"/>
  <c r="AK286" i="2"/>
  <c r="AX286" i="2"/>
  <c r="AY286" i="2"/>
  <c r="AK287" i="2"/>
  <c r="AX287" i="2"/>
  <c r="AY287" i="2"/>
  <c r="AK288" i="2"/>
  <c r="AX288" i="2"/>
  <c r="AY288" i="2"/>
  <c r="AK289" i="2"/>
  <c r="AX289" i="2"/>
  <c r="AY289" i="2"/>
  <c r="AK290" i="2"/>
  <c r="AX290" i="2"/>
  <c r="AY290" i="2"/>
  <c r="AK291" i="2"/>
  <c r="AX291" i="2"/>
  <c r="AY291" i="2"/>
  <c r="AK292" i="2"/>
  <c r="AX292" i="2"/>
  <c r="AY292" i="2"/>
  <c r="AK293" i="2"/>
  <c r="AX293" i="2"/>
  <c r="AY293" i="2"/>
  <c r="AK294" i="2"/>
  <c r="AX294" i="2"/>
  <c r="AY294" i="2"/>
  <c r="AK295" i="2"/>
  <c r="AX295" i="2"/>
  <c r="AY295" i="2"/>
  <c r="AK296" i="2"/>
  <c r="AX296" i="2"/>
  <c r="AY296" i="2"/>
  <c r="AK297" i="2"/>
  <c r="AX297" i="2"/>
  <c r="AY297" i="2"/>
  <c r="AK298" i="2"/>
  <c r="AX298" i="2"/>
  <c r="AY298" i="2"/>
  <c r="AK299" i="2"/>
  <c r="AX299" i="2"/>
  <c r="AY299" i="2"/>
  <c r="AK300" i="2"/>
  <c r="AX300" i="2"/>
  <c r="AY300" i="2"/>
  <c r="AK301" i="2"/>
  <c r="AX301" i="2"/>
  <c r="AY301" i="2"/>
  <c r="AK302" i="2"/>
  <c r="AX302" i="2"/>
  <c r="AY302" i="2"/>
  <c r="AK303" i="2"/>
  <c r="AX303" i="2"/>
  <c r="AY303" i="2"/>
  <c r="AK304" i="2"/>
  <c r="AX304" i="2"/>
  <c r="AY304" i="2"/>
  <c r="AK305" i="2"/>
  <c r="AX305" i="2"/>
  <c r="AY305" i="2"/>
  <c r="AK306" i="2"/>
  <c r="AX306" i="2"/>
  <c r="AY306" i="2"/>
  <c r="AK307" i="2"/>
  <c r="AX307" i="2"/>
  <c r="AY307" i="2"/>
  <c r="AK308" i="2"/>
  <c r="AX308" i="2"/>
  <c r="AY308" i="2"/>
  <c r="AK309" i="2"/>
  <c r="AX309" i="2"/>
  <c r="AY309" i="2"/>
  <c r="AK310" i="2"/>
  <c r="AX310" i="2"/>
  <c r="AY310" i="2"/>
  <c r="AK311" i="2"/>
  <c r="AX311" i="2"/>
  <c r="AY311" i="2"/>
  <c r="AK312" i="2"/>
  <c r="AX312" i="2"/>
  <c r="AY312" i="2"/>
  <c r="AK313" i="2"/>
  <c r="AX313" i="2"/>
  <c r="AY313" i="2"/>
  <c r="AK314" i="2"/>
  <c r="AX314" i="2"/>
  <c r="AY314" i="2"/>
  <c r="AK315" i="2"/>
  <c r="AX315" i="2"/>
  <c r="AY315" i="2"/>
  <c r="AK316" i="2"/>
  <c r="AX316" i="2"/>
  <c r="AY316" i="2"/>
  <c r="AK317" i="2"/>
  <c r="AX317" i="2"/>
  <c r="AY317" i="2"/>
  <c r="AK318" i="2"/>
  <c r="AX318" i="2"/>
  <c r="AY318" i="2"/>
  <c r="AK319" i="2"/>
  <c r="AX319" i="2"/>
  <c r="AY319" i="2"/>
  <c r="AK320" i="2"/>
  <c r="AX320" i="2"/>
  <c r="AY320" i="2"/>
  <c r="AK321" i="2"/>
  <c r="AX321" i="2"/>
  <c r="AY321" i="2"/>
  <c r="AK322" i="2"/>
  <c r="AX322" i="2"/>
  <c r="AY322" i="2"/>
  <c r="AK323" i="2"/>
  <c r="AX323" i="2"/>
  <c r="AY323" i="2"/>
  <c r="AK324" i="2"/>
  <c r="AX324" i="2"/>
  <c r="AY324" i="2"/>
  <c r="AK325" i="2"/>
  <c r="AX325" i="2"/>
  <c r="AY325" i="2"/>
  <c r="AK326" i="2"/>
  <c r="AX326" i="2"/>
  <c r="AY326" i="2"/>
  <c r="AK327" i="2"/>
  <c r="AX327" i="2"/>
  <c r="AY327" i="2"/>
  <c r="AK328" i="2"/>
  <c r="AX328" i="2"/>
  <c r="AY328" i="2"/>
  <c r="AK329" i="2"/>
  <c r="AX329" i="2"/>
  <c r="AY329" i="2"/>
  <c r="AK330" i="2"/>
  <c r="AX330" i="2"/>
  <c r="AY330" i="2"/>
  <c r="AK331" i="2"/>
  <c r="AX331" i="2"/>
  <c r="AY331" i="2"/>
  <c r="AK332" i="2"/>
  <c r="AX332" i="2"/>
  <c r="AY332" i="2"/>
  <c r="AK333" i="2"/>
  <c r="AX333" i="2"/>
  <c r="AY333" i="2"/>
  <c r="AK334" i="2"/>
  <c r="AX334" i="2"/>
  <c r="AY334" i="2"/>
  <c r="AK335" i="2"/>
  <c r="AX335" i="2"/>
  <c r="AY335" i="2"/>
  <c r="AK336" i="2"/>
  <c r="AX336" i="2"/>
  <c r="AY336" i="2"/>
  <c r="AK337" i="2"/>
  <c r="AX337" i="2"/>
  <c r="AY337" i="2"/>
  <c r="AK338" i="2"/>
  <c r="AX338" i="2"/>
  <c r="AY338" i="2"/>
  <c r="AK339" i="2"/>
  <c r="AX339" i="2"/>
  <c r="AY339" i="2"/>
  <c r="AK340" i="2"/>
  <c r="AX340" i="2"/>
  <c r="AY340" i="2"/>
  <c r="AK341" i="2"/>
  <c r="AX341" i="2"/>
  <c r="AY341" i="2"/>
  <c r="AK342" i="2"/>
  <c r="AX342" i="2"/>
  <c r="AY342" i="2"/>
  <c r="AK343" i="2"/>
  <c r="AX343" i="2"/>
  <c r="AY343" i="2"/>
  <c r="AK344" i="2"/>
  <c r="AX344" i="2"/>
  <c r="AY344" i="2"/>
  <c r="AK345" i="2"/>
  <c r="AX345" i="2"/>
  <c r="AY345" i="2"/>
  <c r="AK346" i="2"/>
  <c r="AX346" i="2"/>
  <c r="AY346" i="2"/>
  <c r="AK347" i="2"/>
  <c r="AX347" i="2"/>
  <c r="AY347" i="2"/>
  <c r="AK348" i="2"/>
  <c r="AX348" i="2"/>
  <c r="AY348" i="2"/>
  <c r="AK349" i="2"/>
  <c r="AX349" i="2"/>
  <c r="AY349" i="2"/>
  <c r="AK350" i="2"/>
  <c r="AX350" i="2"/>
  <c r="AY350" i="2"/>
  <c r="AK351" i="2"/>
  <c r="AX351" i="2"/>
  <c r="AY351" i="2"/>
  <c r="AK352" i="2"/>
  <c r="AX352" i="2"/>
  <c r="AY352" i="2"/>
  <c r="AK353" i="2"/>
  <c r="AX353" i="2"/>
  <c r="AY353" i="2"/>
  <c r="AK354" i="2"/>
  <c r="AX354" i="2"/>
  <c r="AY354" i="2"/>
  <c r="AK355" i="2"/>
  <c r="AX355" i="2"/>
  <c r="AY355" i="2"/>
  <c r="AK356" i="2"/>
  <c r="AX356" i="2"/>
  <c r="AY356" i="2"/>
  <c r="AK357" i="2"/>
  <c r="AX357" i="2"/>
  <c r="AY357" i="2"/>
  <c r="AK358" i="2"/>
  <c r="AX358" i="2"/>
  <c r="AY358" i="2"/>
  <c r="AK359" i="2"/>
  <c r="AX359" i="2"/>
  <c r="AY359" i="2"/>
  <c r="AK360" i="2"/>
  <c r="AX360" i="2"/>
  <c r="AY360" i="2"/>
  <c r="AK361" i="2"/>
  <c r="AX361" i="2"/>
  <c r="AY361" i="2"/>
  <c r="AK362" i="2"/>
  <c r="AX362" i="2"/>
  <c r="AY362" i="2"/>
  <c r="AK363" i="2"/>
  <c r="AX363" i="2"/>
  <c r="AY363" i="2"/>
  <c r="AK364" i="2"/>
  <c r="AX364" i="2"/>
  <c r="AY364" i="2"/>
  <c r="AK365" i="2"/>
  <c r="AX365" i="2"/>
  <c r="AY365" i="2"/>
  <c r="AK366" i="2"/>
  <c r="AX366" i="2"/>
  <c r="AY366" i="2"/>
  <c r="AK367" i="2"/>
  <c r="AX367" i="2"/>
  <c r="AY367" i="2"/>
  <c r="AK368" i="2"/>
  <c r="AX368" i="2"/>
  <c r="AY368" i="2"/>
  <c r="AK369" i="2"/>
  <c r="AX369" i="2"/>
  <c r="AY369" i="2"/>
  <c r="AK370" i="2"/>
  <c r="AX370" i="2"/>
  <c r="AY370" i="2"/>
  <c r="AK371" i="2"/>
  <c r="AX371" i="2"/>
  <c r="AY371" i="2"/>
  <c r="AK372" i="2"/>
  <c r="AX372" i="2"/>
  <c r="AY372" i="2"/>
  <c r="AK373" i="2"/>
  <c r="AX373" i="2"/>
  <c r="AY373" i="2"/>
  <c r="AK374" i="2"/>
  <c r="AX374" i="2"/>
  <c r="AY374" i="2"/>
  <c r="AK375" i="2"/>
  <c r="AX375" i="2"/>
  <c r="AY375" i="2"/>
  <c r="AK376" i="2"/>
  <c r="AX376" i="2"/>
  <c r="AY376" i="2"/>
  <c r="AK377" i="2"/>
  <c r="AX377" i="2"/>
  <c r="AY377" i="2"/>
  <c r="AK378" i="2"/>
  <c r="AX378" i="2"/>
  <c r="AY378" i="2"/>
  <c r="AK379" i="2"/>
  <c r="AX379" i="2"/>
  <c r="AY379" i="2"/>
  <c r="AK380" i="2"/>
  <c r="AX380" i="2"/>
  <c r="AY380" i="2"/>
  <c r="AK381" i="2"/>
  <c r="AX381" i="2"/>
  <c r="AY381" i="2"/>
  <c r="AK382" i="2"/>
  <c r="AX382" i="2"/>
  <c r="AY382" i="2"/>
  <c r="AK383" i="2"/>
  <c r="AX383" i="2"/>
  <c r="AY383" i="2"/>
  <c r="AK384" i="2"/>
  <c r="AX384" i="2"/>
  <c r="AY384" i="2"/>
  <c r="AK385" i="2"/>
  <c r="AX385" i="2"/>
  <c r="AY385" i="2"/>
  <c r="AK386" i="2"/>
  <c r="AX386" i="2"/>
  <c r="AY386" i="2"/>
  <c r="AK387" i="2"/>
  <c r="AX387" i="2"/>
  <c r="AY387" i="2"/>
  <c r="AK388" i="2"/>
  <c r="AX388" i="2"/>
  <c r="AY388" i="2"/>
  <c r="AK389" i="2"/>
  <c r="AX389" i="2"/>
  <c r="AY389" i="2"/>
  <c r="AK390" i="2"/>
  <c r="AX390" i="2"/>
  <c r="AY390" i="2"/>
  <c r="AK391" i="2"/>
  <c r="AX391" i="2"/>
  <c r="AY391" i="2"/>
  <c r="AK392" i="2"/>
  <c r="AX392" i="2"/>
  <c r="AY392" i="2"/>
  <c r="AK393" i="2"/>
  <c r="AX393" i="2"/>
  <c r="AY393" i="2"/>
  <c r="AK394" i="2"/>
  <c r="AX394" i="2"/>
  <c r="AY394" i="2"/>
  <c r="AK395" i="2"/>
  <c r="AX395" i="2"/>
  <c r="AY395" i="2"/>
  <c r="AK396" i="2"/>
  <c r="AX396" i="2"/>
  <c r="AY396" i="2"/>
  <c r="AK397" i="2"/>
  <c r="AX397" i="2"/>
  <c r="AY397" i="2"/>
  <c r="AK398" i="2"/>
  <c r="AX398" i="2"/>
  <c r="AY398" i="2"/>
  <c r="AK399" i="2"/>
  <c r="AX399" i="2"/>
  <c r="AY399" i="2"/>
  <c r="AK400" i="2"/>
  <c r="AX400" i="2"/>
  <c r="AY400" i="2"/>
  <c r="AK401" i="2"/>
  <c r="AX401" i="2"/>
  <c r="AY401" i="2"/>
  <c r="AK402" i="2"/>
  <c r="AX402" i="2"/>
  <c r="AY402" i="2"/>
  <c r="AK403" i="2"/>
  <c r="AX403" i="2"/>
  <c r="AY403" i="2"/>
  <c r="AK404" i="2"/>
  <c r="AX404" i="2"/>
  <c r="AY404" i="2"/>
  <c r="AK405" i="2"/>
  <c r="AX405" i="2"/>
  <c r="AY405" i="2"/>
  <c r="AK406" i="2"/>
  <c r="AX406" i="2"/>
  <c r="AY406" i="2"/>
  <c r="AK407" i="2"/>
  <c r="AX407" i="2"/>
  <c r="AY407" i="2"/>
  <c r="AK408" i="2"/>
  <c r="AX408" i="2"/>
  <c r="AY408" i="2"/>
  <c r="AK409" i="2"/>
  <c r="AX409" i="2"/>
  <c r="AY409" i="2"/>
  <c r="AK410" i="2"/>
  <c r="AX410" i="2"/>
  <c r="AY410" i="2"/>
  <c r="AK411" i="2"/>
  <c r="AX411" i="2"/>
  <c r="AY411" i="2"/>
  <c r="AK412" i="2"/>
  <c r="AX412" i="2"/>
  <c r="AY412" i="2"/>
  <c r="AK413" i="2"/>
  <c r="AX413" i="2"/>
  <c r="AY413" i="2"/>
  <c r="AK414" i="2"/>
  <c r="AX414" i="2"/>
  <c r="AY414" i="2"/>
  <c r="AK415" i="2"/>
  <c r="AX415" i="2"/>
  <c r="AY415" i="2"/>
  <c r="AK416" i="2"/>
  <c r="AX416" i="2"/>
  <c r="AY416" i="2"/>
  <c r="AK417" i="2"/>
  <c r="AX417" i="2"/>
  <c r="AY417" i="2"/>
  <c r="AK418" i="2"/>
  <c r="AX418" i="2"/>
  <c r="AY418" i="2"/>
  <c r="AK419" i="2"/>
  <c r="AX419" i="2"/>
  <c r="AY419" i="2"/>
  <c r="AK420" i="2"/>
  <c r="AX420" i="2"/>
  <c r="AY420" i="2"/>
  <c r="AK421" i="2"/>
  <c r="AX421" i="2"/>
  <c r="AY421" i="2"/>
  <c r="AK422" i="2"/>
  <c r="AX422" i="2"/>
  <c r="AY422" i="2"/>
  <c r="AK423" i="2"/>
  <c r="AX423" i="2"/>
  <c r="AY423" i="2"/>
  <c r="AK424" i="2"/>
  <c r="AX424" i="2"/>
  <c r="AY424" i="2"/>
  <c r="AK425" i="2"/>
  <c r="AX425" i="2"/>
  <c r="AY425" i="2"/>
  <c r="AK426" i="2"/>
  <c r="AX426" i="2"/>
  <c r="AY426" i="2"/>
  <c r="AK427" i="2"/>
  <c r="AX427" i="2"/>
  <c r="AY427" i="2"/>
  <c r="AK428" i="2"/>
  <c r="AX428" i="2"/>
  <c r="AY428" i="2"/>
  <c r="AK429" i="2"/>
  <c r="AX429" i="2"/>
  <c r="AY429" i="2"/>
  <c r="AK430" i="2"/>
  <c r="AX430" i="2"/>
  <c r="AY430" i="2"/>
  <c r="AK431" i="2"/>
  <c r="AX431" i="2"/>
  <c r="AY431" i="2"/>
  <c r="AK432" i="2"/>
  <c r="AX432" i="2"/>
  <c r="AY432" i="2"/>
  <c r="AK433" i="2"/>
  <c r="AX433" i="2"/>
  <c r="AY433" i="2"/>
  <c r="AK434" i="2"/>
  <c r="AX434" i="2"/>
  <c r="AY434" i="2"/>
  <c r="AK435" i="2"/>
  <c r="AX435" i="2"/>
  <c r="AY435" i="2"/>
  <c r="AK436" i="2"/>
  <c r="AX436" i="2"/>
  <c r="AY436" i="2"/>
  <c r="AK437" i="2"/>
  <c r="AX437" i="2"/>
  <c r="AY437" i="2"/>
  <c r="AK438" i="2"/>
  <c r="AX438" i="2"/>
  <c r="AY438" i="2"/>
  <c r="AK439" i="2"/>
  <c r="AX439" i="2"/>
  <c r="AY439" i="2"/>
  <c r="AK440" i="2"/>
  <c r="AX440" i="2"/>
  <c r="AY440" i="2"/>
  <c r="AK441" i="2"/>
  <c r="AX441" i="2"/>
  <c r="AY441" i="2"/>
  <c r="AK442" i="2"/>
  <c r="AX442" i="2"/>
  <c r="AY442" i="2"/>
  <c r="AK443" i="2"/>
  <c r="AX443" i="2"/>
  <c r="AY443" i="2"/>
  <c r="AK444" i="2"/>
  <c r="AX444" i="2"/>
  <c r="AY444" i="2"/>
  <c r="AK445" i="2"/>
  <c r="AX445" i="2"/>
  <c r="AY445" i="2"/>
  <c r="AK446" i="2"/>
  <c r="AX446" i="2"/>
  <c r="AY446" i="2"/>
  <c r="AK447" i="2"/>
  <c r="AX447" i="2"/>
  <c r="AY447" i="2"/>
  <c r="AK448" i="2"/>
  <c r="AX448" i="2"/>
  <c r="AY448" i="2"/>
  <c r="AK449" i="2"/>
  <c r="AX449" i="2"/>
  <c r="AY449" i="2"/>
  <c r="AK450" i="2"/>
  <c r="AX450" i="2"/>
  <c r="AY450" i="2"/>
  <c r="AK451" i="2"/>
  <c r="AX451" i="2"/>
  <c r="AY451" i="2"/>
  <c r="AK452" i="2"/>
  <c r="AX452" i="2"/>
  <c r="AY452" i="2"/>
  <c r="AK453" i="2"/>
  <c r="AX453" i="2"/>
  <c r="AY453" i="2"/>
  <c r="AK454" i="2"/>
  <c r="AX454" i="2"/>
  <c r="AY454" i="2"/>
  <c r="AK455" i="2"/>
  <c r="AX455" i="2"/>
  <c r="AY455" i="2"/>
  <c r="AK456" i="2"/>
  <c r="AX456" i="2"/>
  <c r="AY456" i="2"/>
  <c r="AK457" i="2"/>
  <c r="AX457" i="2"/>
  <c r="AY457" i="2"/>
  <c r="AK458" i="2"/>
  <c r="AX458" i="2"/>
  <c r="AY458" i="2"/>
  <c r="AK459" i="2"/>
  <c r="AX459" i="2"/>
  <c r="AY459" i="2"/>
  <c r="AK460" i="2"/>
  <c r="AX460" i="2"/>
  <c r="AY460" i="2"/>
  <c r="AK461" i="2"/>
  <c r="AX461" i="2"/>
  <c r="AY461" i="2"/>
  <c r="AK462" i="2"/>
  <c r="AX462" i="2"/>
  <c r="AY462" i="2"/>
  <c r="AK463" i="2"/>
  <c r="AX463" i="2"/>
  <c r="AY463" i="2"/>
  <c r="AK464" i="2"/>
  <c r="AX464" i="2"/>
  <c r="AY464" i="2"/>
  <c r="AK465" i="2"/>
  <c r="AX465" i="2"/>
  <c r="AY465" i="2"/>
  <c r="AK466" i="2"/>
  <c r="AX466" i="2"/>
  <c r="AY466" i="2"/>
  <c r="AK467" i="2"/>
  <c r="AX467" i="2"/>
  <c r="AY467" i="2"/>
  <c r="AK468" i="2"/>
  <c r="AX468" i="2"/>
  <c r="AY468" i="2"/>
  <c r="AK469" i="2"/>
  <c r="AX469" i="2"/>
  <c r="AY469" i="2"/>
  <c r="AK470" i="2"/>
  <c r="AX470" i="2"/>
  <c r="AY470" i="2"/>
  <c r="AK471" i="2"/>
  <c r="AX471" i="2"/>
  <c r="AY471" i="2"/>
  <c r="AK472" i="2"/>
  <c r="AX472" i="2"/>
  <c r="AY472" i="2"/>
  <c r="AK473" i="2"/>
  <c r="AX473" i="2"/>
  <c r="AY473" i="2"/>
  <c r="AK474" i="2"/>
  <c r="AX474" i="2"/>
  <c r="AY474" i="2"/>
  <c r="AK475" i="2"/>
  <c r="AX475" i="2"/>
  <c r="AY475" i="2"/>
  <c r="AK476" i="2"/>
  <c r="AX476" i="2"/>
  <c r="AY476" i="2"/>
  <c r="AK477" i="2"/>
  <c r="AX477" i="2"/>
  <c r="AY477" i="2"/>
  <c r="AK478" i="2"/>
  <c r="AX478" i="2"/>
  <c r="AY478" i="2"/>
  <c r="AK479" i="2"/>
  <c r="AX479" i="2"/>
  <c r="AY479" i="2"/>
  <c r="AK480" i="2"/>
  <c r="AX480" i="2"/>
  <c r="AY480" i="2"/>
  <c r="AK481" i="2"/>
  <c r="AX481" i="2"/>
  <c r="AY481" i="2"/>
  <c r="AK482" i="2"/>
  <c r="AX482" i="2"/>
  <c r="AY482" i="2"/>
  <c r="AK483" i="2"/>
  <c r="AX483" i="2"/>
  <c r="AY483" i="2"/>
  <c r="AK484" i="2"/>
  <c r="AX484" i="2"/>
  <c r="AY484" i="2"/>
  <c r="AK485" i="2"/>
  <c r="AX485" i="2"/>
  <c r="AY485" i="2"/>
  <c r="AK486" i="2"/>
  <c r="AX486" i="2"/>
  <c r="AY486" i="2"/>
  <c r="AK487" i="2"/>
  <c r="AX487" i="2"/>
  <c r="AY487" i="2"/>
  <c r="AK488" i="2"/>
  <c r="AX488" i="2"/>
  <c r="AY488" i="2"/>
  <c r="AK489" i="2"/>
  <c r="AX489" i="2"/>
  <c r="AY489" i="2"/>
  <c r="AK490" i="2"/>
  <c r="AX490" i="2"/>
  <c r="AY490" i="2"/>
  <c r="AK491" i="2"/>
  <c r="AX491" i="2"/>
  <c r="AY491" i="2"/>
  <c r="AK492" i="2"/>
  <c r="AX492" i="2"/>
  <c r="AY492" i="2"/>
  <c r="AK493" i="2"/>
  <c r="AX493" i="2"/>
  <c r="AY493" i="2"/>
  <c r="AK494" i="2"/>
  <c r="AX494" i="2"/>
  <c r="AY494" i="2"/>
  <c r="AK495" i="2"/>
  <c r="AX495" i="2"/>
  <c r="AY495" i="2"/>
  <c r="AK496" i="2"/>
  <c r="AX496" i="2"/>
  <c r="AY496" i="2"/>
  <c r="AK497" i="2"/>
  <c r="AX497" i="2"/>
  <c r="AY497" i="2"/>
  <c r="AK498" i="2"/>
  <c r="AX498" i="2"/>
  <c r="AY498" i="2"/>
  <c r="AK499" i="2"/>
  <c r="AX499" i="2"/>
  <c r="AY499" i="2"/>
  <c r="AK500" i="2"/>
  <c r="AX500" i="2"/>
  <c r="AY500" i="2"/>
  <c r="AK501" i="2"/>
  <c r="AX501" i="2"/>
  <c r="AY501" i="2"/>
  <c r="AK502" i="2"/>
  <c r="AX502" i="2"/>
  <c r="AY502" i="2"/>
  <c r="AK503" i="2"/>
  <c r="AX503" i="2"/>
  <c r="AY503" i="2"/>
  <c r="AK504" i="2"/>
  <c r="AX504" i="2"/>
  <c r="AY504" i="2"/>
  <c r="AK505" i="2"/>
  <c r="AX505" i="2"/>
  <c r="AY505" i="2"/>
  <c r="AK506" i="2"/>
  <c r="AX506" i="2"/>
  <c r="AY506" i="2"/>
  <c r="AK507" i="2"/>
  <c r="AX507" i="2"/>
  <c r="AY507" i="2"/>
  <c r="AK508" i="2"/>
  <c r="AX508" i="2"/>
  <c r="AY508" i="2"/>
  <c r="AK509" i="2"/>
  <c r="AX509" i="2"/>
  <c r="AY509" i="2"/>
  <c r="AK510" i="2"/>
  <c r="AX510" i="2"/>
  <c r="AY510" i="2"/>
  <c r="AK511" i="2"/>
  <c r="AX511" i="2"/>
  <c r="AY511" i="2"/>
  <c r="AK512" i="2"/>
  <c r="AX512" i="2"/>
  <c r="AY512" i="2"/>
  <c r="AK513" i="2"/>
  <c r="AX513" i="2"/>
  <c r="AY513" i="2"/>
  <c r="AK514" i="2"/>
  <c r="AX514" i="2"/>
  <c r="AY514" i="2"/>
  <c r="AK515" i="2"/>
  <c r="AX515" i="2"/>
  <c r="AY515" i="2"/>
  <c r="AK516" i="2"/>
  <c r="AX516" i="2"/>
  <c r="AY516" i="2"/>
  <c r="AK517" i="2"/>
  <c r="AX517" i="2"/>
  <c r="AY517" i="2"/>
  <c r="AK518" i="2"/>
  <c r="AX518" i="2"/>
  <c r="AY518" i="2"/>
  <c r="AK519" i="2"/>
  <c r="AX519" i="2"/>
  <c r="AY519" i="2"/>
  <c r="AK520" i="2"/>
  <c r="AX520" i="2"/>
  <c r="AY520" i="2"/>
  <c r="AK521" i="2"/>
  <c r="AX521" i="2"/>
  <c r="AY521" i="2"/>
  <c r="AK522" i="2"/>
  <c r="AX522" i="2"/>
  <c r="AY522" i="2"/>
  <c r="AK523" i="2"/>
  <c r="AX523" i="2"/>
  <c r="AY523" i="2"/>
  <c r="AK524" i="2"/>
  <c r="AX524" i="2"/>
  <c r="AY524" i="2"/>
  <c r="AK525" i="2"/>
  <c r="AX525" i="2"/>
  <c r="AY525" i="2"/>
  <c r="AK526" i="2"/>
  <c r="AX526" i="2"/>
  <c r="AY526" i="2"/>
  <c r="AK527" i="2"/>
  <c r="AX527" i="2"/>
  <c r="AY527" i="2"/>
  <c r="AK528" i="2"/>
  <c r="AX528" i="2"/>
  <c r="AY528" i="2"/>
  <c r="AK529" i="2"/>
  <c r="AX529" i="2"/>
  <c r="AY529" i="2"/>
  <c r="AK530" i="2"/>
  <c r="AX530" i="2"/>
  <c r="AY530" i="2"/>
  <c r="AK531" i="2"/>
  <c r="AX531" i="2"/>
  <c r="AY531" i="2"/>
  <c r="AK532" i="2"/>
  <c r="AX532" i="2"/>
  <c r="AY532" i="2"/>
  <c r="AK533" i="2"/>
  <c r="AX533" i="2"/>
  <c r="AY533" i="2"/>
  <c r="AK534" i="2"/>
  <c r="AX534" i="2"/>
  <c r="AY534" i="2"/>
  <c r="AK535" i="2"/>
  <c r="AX535" i="2"/>
  <c r="AY535" i="2"/>
  <c r="AK536" i="2"/>
  <c r="AX536" i="2"/>
  <c r="AY536" i="2"/>
  <c r="AK537" i="2"/>
  <c r="AX537" i="2"/>
  <c r="AY537" i="2"/>
  <c r="AK538" i="2"/>
  <c r="AX538" i="2"/>
  <c r="AY538" i="2"/>
  <c r="AK539" i="2"/>
  <c r="AX539" i="2"/>
  <c r="AY539" i="2"/>
  <c r="AK540" i="2"/>
  <c r="AX540" i="2"/>
  <c r="AY540" i="2"/>
  <c r="AK541" i="2"/>
  <c r="AX541" i="2"/>
  <c r="AY541" i="2"/>
  <c r="AK542" i="2"/>
  <c r="AX542" i="2"/>
  <c r="AY542" i="2"/>
  <c r="AK543" i="2"/>
  <c r="AX543" i="2"/>
  <c r="AY543" i="2"/>
  <c r="AK544" i="2"/>
  <c r="AX544" i="2"/>
  <c r="AY544" i="2"/>
  <c r="AK545" i="2"/>
  <c r="AX545" i="2"/>
  <c r="AY545" i="2"/>
  <c r="AK546" i="2"/>
  <c r="AX546" i="2"/>
  <c r="AY546" i="2"/>
  <c r="AK547" i="2"/>
  <c r="AX547" i="2"/>
  <c r="AY547" i="2"/>
  <c r="AK548" i="2"/>
  <c r="AX548" i="2"/>
  <c r="AY548" i="2"/>
  <c r="AK549" i="2"/>
  <c r="AX549" i="2"/>
  <c r="AY549" i="2"/>
  <c r="AK550" i="2"/>
  <c r="AX550" i="2"/>
  <c r="AY550" i="2"/>
  <c r="AK551" i="2"/>
  <c r="AX551" i="2"/>
  <c r="AY551" i="2"/>
  <c r="AK552" i="2"/>
  <c r="AX552" i="2"/>
  <c r="AY552" i="2"/>
  <c r="AK553" i="2"/>
  <c r="AX553" i="2"/>
  <c r="AY553" i="2"/>
  <c r="AK554" i="2"/>
  <c r="AX554" i="2"/>
  <c r="AY554" i="2"/>
  <c r="AK555" i="2"/>
  <c r="AX555" i="2"/>
  <c r="AY555" i="2"/>
  <c r="AK556" i="2"/>
  <c r="AX556" i="2"/>
  <c r="AY556" i="2"/>
  <c r="AK557" i="2"/>
  <c r="AX557" i="2"/>
  <c r="AY557" i="2"/>
  <c r="AK558" i="2"/>
  <c r="AX558" i="2"/>
  <c r="AY558" i="2"/>
  <c r="AK559" i="2"/>
  <c r="AX559" i="2"/>
  <c r="AY559" i="2"/>
  <c r="AK560" i="2"/>
  <c r="AX560" i="2"/>
  <c r="AY560" i="2"/>
  <c r="AK561" i="2"/>
  <c r="AX561" i="2"/>
  <c r="AY561" i="2"/>
  <c r="AK562" i="2"/>
  <c r="AX562" i="2"/>
  <c r="AY562" i="2"/>
  <c r="AK563" i="2"/>
  <c r="AX563" i="2"/>
  <c r="AY563" i="2"/>
  <c r="AK564" i="2"/>
  <c r="AX564" i="2"/>
  <c r="AY564" i="2"/>
  <c r="AK565" i="2"/>
  <c r="AX565" i="2"/>
  <c r="AY565" i="2"/>
  <c r="AK566" i="2"/>
  <c r="AX566" i="2"/>
  <c r="AY566" i="2"/>
  <c r="AK567" i="2"/>
  <c r="AX567" i="2"/>
  <c r="AY567" i="2"/>
  <c r="AK568" i="2"/>
  <c r="AX568" i="2"/>
  <c r="AY568" i="2"/>
  <c r="AK569" i="2"/>
  <c r="AX569" i="2"/>
  <c r="AY569" i="2"/>
  <c r="AK570" i="2"/>
  <c r="AX570" i="2"/>
  <c r="AY570" i="2"/>
  <c r="AK571" i="2"/>
  <c r="AX571" i="2"/>
  <c r="AY571" i="2"/>
  <c r="AK572" i="2"/>
  <c r="AX572" i="2"/>
  <c r="AY572" i="2"/>
  <c r="AK573" i="2"/>
  <c r="AX573" i="2"/>
  <c r="AY573" i="2"/>
  <c r="AK574" i="2"/>
  <c r="AX574" i="2"/>
  <c r="AY574" i="2"/>
  <c r="AK575" i="2"/>
  <c r="AX575" i="2"/>
  <c r="AY575" i="2"/>
  <c r="AK576" i="2"/>
  <c r="AX576" i="2"/>
  <c r="AY576" i="2"/>
  <c r="AK577" i="2"/>
  <c r="AX577" i="2"/>
  <c r="AY577" i="2"/>
  <c r="AK578" i="2"/>
  <c r="AX578" i="2"/>
  <c r="AY578" i="2"/>
  <c r="AK579" i="2"/>
  <c r="AX579" i="2"/>
  <c r="AY579" i="2"/>
  <c r="AK580" i="2"/>
  <c r="AX580" i="2"/>
  <c r="AY580" i="2"/>
  <c r="AK581" i="2"/>
  <c r="AX581" i="2"/>
  <c r="AY581" i="2"/>
  <c r="AK582" i="2"/>
  <c r="AX582" i="2"/>
  <c r="AY582" i="2"/>
  <c r="AK583" i="2"/>
  <c r="AX583" i="2"/>
  <c r="AY583" i="2"/>
  <c r="AK584" i="2"/>
  <c r="AX584" i="2"/>
  <c r="AY584" i="2"/>
  <c r="AK585" i="2"/>
  <c r="AX585" i="2"/>
  <c r="AY585" i="2"/>
  <c r="AK586" i="2"/>
  <c r="AX586" i="2"/>
  <c r="AY586" i="2"/>
  <c r="AK587" i="2"/>
  <c r="AX587" i="2"/>
  <c r="AY587" i="2"/>
  <c r="AK588" i="2"/>
  <c r="AX588" i="2"/>
  <c r="AY588" i="2"/>
  <c r="AK589" i="2"/>
  <c r="AX589" i="2"/>
  <c r="AY589" i="2"/>
  <c r="AK590" i="2"/>
  <c r="AX590" i="2"/>
  <c r="AY590" i="2"/>
  <c r="AK591" i="2"/>
  <c r="AX591" i="2"/>
  <c r="AY591" i="2"/>
  <c r="AK592" i="2"/>
  <c r="AX592" i="2"/>
  <c r="AY592" i="2"/>
  <c r="AK593" i="2"/>
  <c r="AX593" i="2"/>
  <c r="AY593" i="2"/>
  <c r="AK594" i="2"/>
  <c r="AX594" i="2"/>
  <c r="AY594" i="2"/>
  <c r="AK595" i="2"/>
  <c r="AX595" i="2"/>
  <c r="AY595" i="2"/>
  <c r="AK596" i="2"/>
  <c r="AX596" i="2"/>
  <c r="AY596" i="2"/>
  <c r="AK597" i="2"/>
  <c r="AX597" i="2"/>
  <c r="AY597" i="2"/>
  <c r="AK598" i="2"/>
  <c r="AX598" i="2"/>
  <c r="AY598" i="2"/>
  <c r="AK599" i="2"/>
  <c r="AX599" i="2"/>
  <c r="AY599" i="2"/>
  <c r="AK600" i="2"/>
  <c r="AX600" i="2"/>
  <c r="AY600" i="2"/>
  <c r="AK601" i="2"/>
  <c r="AX601" i="2"/>
  <c r="AY601" i="2"/>
  <c r="AK602" i="2"/>
  <c r="AX602" i="2"/>
  <c r="AY602" i="2"/>
  <c r="AK603" i="2"/>
  <c r="AX603" i="2"/>
  <c r="AY603" i="2"/>
  <c r="AK604" i="2"/>
  <c r="AX604" i="2"/>
  <c r="AY604" i="2"/>
  <c r="AK605" i="2"/>
  <c r="AX605" i="2"/>
  <c r="AY605" i="2"/>
  <c r="AK606" i="2"/>
  <c r="AX606" i="2"/>
  <c r="AY606" i="2"/>
  <c r="AK607" i="2"/>
  <c r="AX607" i="2"/>
  <c r="AY607" i="2"/>
  <c r="AK608" i="2"/>
  <c r="AX608" i="2"/>
  <c r="AY608" i="2"/>
  <c r="AK609" i="2"/>
  <c r="AX609" i="2"/>
  <c r="AY609" i="2"/>
  <c r="AX610" i="2"/>
  <c r="AY610" i="2"/>
  <c r="AX611" i="2"/>
  <c r="AY611" i="2"/>
  <c r="AX612" i="2"/>
  <c r="AY612" i="2"/>
  <c r="AX613" i="2"/>
  <c r="AY613" i="2"/>
  <c r="AX614" i="2"/>
  <c r="AY614" i="2"/>
  <c r="AX615" i="2"/>
  <c r="AY615" i="2"/>
  <c r="AX616" i="2"/>
  <c r="AY616" i="2"/>
  <c r="AX617" i="2"/>
  <c r="AY617" i="2"/>
  <c r="AX618" i="2"/>
  <c r="AY618" i="2"/>
  <c r="AX619" i="2"/>
  <c r="AY619" i="2"/>
  <c r="AX620" i="2"/>
  <c r="AY620" i="2"/>
  <c r="AX621" i="2"/>
  <c r="AY621" i="2"/>
  <c r="AX622" i="2"/>
  <c r="AY622" i="2"/>
  <c r="AX623" i="2"/>
  <c r="AY623" i="2"/>
  <c r="AX624" i="2"/>
  <c r="AY624" i="2"/>
  <c r="AX625" i="2"/>
  <c r="AY625" i="2"/>
  <c r="AX626" i="2"/>
  <c r="AY626" i="2"/>
  <c r="AX627" i="2"/>
  <c r="AY627" i="2"/>
  <c r="AX628" i="2"/>
  <c r="AY628" i="2"/>
  <c r="AX629" i="2"/>
  <c r="AY629" i="2"/>
  <c r="AX630" i="2"/>
  <c r="AY630" i="2"/>
  <c r="AX631" i="2"/>
  <c r="AY631" i="2"/>
  <c r="AX632" i="2"/>
  <c r="AY632" i="2"/>
  <c r="AX633" i="2"/>
  <c r="AY633" i="2"/>
  <c r="AX634" i="2"/>
  <c r="AY634" i="2"/>
  <c r="AX635" i="2"/>
  <c r="AY635" i="2"/>
  <c r="AX636" i="2"/>
  <c r="AY636" i="2"/>
  <c r="AX637" i="2"/>
  <c r="AY637" i="2"/>
  <c r="AX638" i="2"/>
  <c r="AY638" i="2"/>
  <c r="AX639" i="2"/>
  <c r="AY639" i="2"/>
  <c r="AX640" i="2"/>
  <c r="AY640" i="2"/>
  <c r="AX641" i="2"/>
  <c r="AY641" i="2"/>
  <c r="AX642" i="2"/>
  <c r="AY642" i="2"/>
  <c r="AX643" i="2"/>
  <c r="AY643" i="2"/>
  <c r="AX644" i="2"/>
  <c r="AY644" i="2"/>
  <c r="AK645" i="2"/>
  <c r="AX645" i="2"/>
  <c r="AY645" i="2"/>
  <c r="AK646" i="2"/>
  <c r="AX646" i="2"/>
  <c r="AY646" i="2"/>
  <c r="AK647" i="2"/>
  <c r="AX647" i="2"/>
  <c r="AY647" i="2"/>
  <c r="AK648" i="2"/>
  <c r="AX648" i="2"/>
  <c r="AY648" i="2"/>
  <c r="AK649" i="2"/>
  <c r="AX649" i="2"/>
  <c r="AY649" i="2"/>
  <c r="AK650" i="2"/>
  <c r="AX650" i="2"/>
  <c r="AY650" i="2"/>
  <c r="AK651" i="2"/>
  <c r="AX651" i="2"/>
  <c r="AY651" i="2"/>
  <c r="AK652" i="2"/>
  <c r="AX652" i="2"/>
  <c r="AY652" i="2"/>
  <c r="AK653" i="2"/>
  <c r="AX653" i="2"/>
  <c r="AY653" i="2"/>
  <c r="AK654" i="2"/>
  <c r="AX654" i="2"/>
  <c r="AY654" i="2"/>
  <c r="AK655" i="2"/>
  <c r="AX655" i="2"/>
  <c r="AY655" i="2"/>
  <c r="AK656" i="2"/>
  <c r="AX656" i="2"/>
  <c r="AY656" i="2"/>
  <c r="AK657" i="2"/>
  <c r="AX657" i="2"/>
  <c r="AY657" i="2"/>
  <c r="AK658" i="2"/>
  <c r="AX658" i="2"/>
  <c r="AY658" i="2"/>
  <c r="AK659" i="2"/>
  <c r="AX659" i="2"/>
  <c r="AY659" i="2"/>
  <c r="AK660" i="2"/>
  <c r="AX660" i="2"/>
  <c r="AY660" i="2"/>
  <c r="AK661" i="2"/>
  <c r="AX661" i="2"/>
  <c r="AY661" i="2"/>
  <c r="AK662" i="2"/>
  <c r="AX662" i="2"/>
  <c r="AY662" i="2"/>
  <c r="AK663" i="2"/>
  <c r="AX663" i="2"/>
  <c r="AY663" i="2"/>
  <c r="AK664" i="2"/>
  <c r="AX664" i="2"/>
  <c r="AY664" i="2"/>
  <c r="AK665" i="2"/>
  <c r="AX665" i="2"/>
  <c r="AY665" i="2"/>
  <c r="AK666" i="2"/>
  <c r="AX666" i="2"/>
  <c r="AY666" i="2"/>
  <c r="AK667" i="2"/>
  <c r="AX667" i="2"/>
  <c r="AY667" i="2"/>
  <c r="AK668" i="2"/>
  <c r="AX668" i="2"/>
  <c r="AY668" i="2"/>
  <c r="AK669" i="2"/>
  <c r="AX669" i="2"/>
  <c r="AY669" i="2"/>
  <c r="AK670" i="2"/>
  <c r="AX670" i="2"/>
  <c r="AY670" i="2"/>
  <c r="AK671" i="2"/>
  <c r="AX671" i="2"/>
  <c r="AY671" i="2"/>
  <c r="AK672" i="2"/>
  <c r="AX672" i="2"/>
  <c r="AY672" i="2"/>
  <c r="AK673" i="2"/>
  <c r="AX673" i="2"/>
  <c r="AY673" i="2"/>
  <c r="AK674" i="2"/>
  <c r="AX674" i="2"/>
  <c r="AY674" i="2"/>
  <c r="AK675" i="2"/>
  <c r="AX675" i="2"/>
  <c r="AY675" i="2"/>
  <c r="AK676" i="2"/>
  <c r="AX676" i="2"/>
  <c r="AY676" i="2"/>
  <c r="AK677" i="2"/>
  <c r="AX677" i="2"/>
  <c r="AY677" i="2"/>
  <c r="AK678" i="2"/>
  <c r="AX678" i="2"/>
  <c r="AY678" i="2"/>
  <c r="AK679" i="2"/>
  <c r="AX679" i="2"/>
  <c r="AY679" i="2"/>
  <c r="AK680" i="2"/>
  <c r="AX680" i="2"/>
  <c r="AY680" i="2"/>
  <c r="AK681" i="2"/>
  <c r="AX681" i="2"/>
  <c r="AY681" i="2"/>
  <c r="AK682" i="2"/>
  <c r="AX682" i="2"/>
  <c r="AY682" i="2"/>
  <c r="AK683" i="2"/>
  <c r="AX683" i="2"/>
  <c r="AY683" i="2"/>
  <c r="AK684" i="2"/>
  <c r="AX684" i="2"/>
  <c r="AY684" i="2"/>
  <c r="AK685" i="2"/>
  <c r="AX685" i="2"/>
  <c r="AY685" i="2"/>
  <c r="AK686" i="2"/>
  <c r="AX686" i="2"/>
  <c r="AY686" i="2"/>
  <c r="AK687" i="2"/>
  <c r="AX687" i="2"/>
  <c r="AY687" i="2"/>
  <c r="AK688" i="2"/>
  <c r="AX688" i="2"/>
  <c r="AY688" i="2"/>
  <c r="AK689" i="2"/>
  <c r="AX689" i="2"/>
  <c r="AY689" i="2"/>
  <c r="AK690" i="2"/>
  <c r="AX690" i="2"/>
  <c r="AY690" i="2"/>
  <c r="AK691" i="2"/>
  <c r="AX691" i="2"/>
  <c r="AY691" i="2"/>
  <c r="AK692" i="2"/>
  <c r="AX692" i="2"/>
  <c r="AY692" i="2"/>
  <c r="AK693" i="2"/>
  <c r="AX693" i="2"/>
  <c r="AY693" i="2"/>
  <c r="AK694" i="2"/>
  <c r="AX694" i="2"/>
  <c r="AY694" i="2"/>
  <c r="AK695" i="2"/>
  <c r="AX695" i="2"/>
  <c r="AY695" i="2"/>
  <c r="AK696" i="2"/>
  <c r="AX696" i="2"/>
  <c r="AY696" i="2"/>
  <c r="AK697" i="2"/>
  <c r="AX697" i="2"/>
  <c r="AY697" i="2"/>
  <c r="AK698" i="2"/>
  <c r="AX698" i="2"/>
  <c r="AY698" i="2"/>
  <c r="AK699" i="2"/>
  <c r="AX699" i="2"/>
  <c r="AY699" i="2"/>
  <c r="AK700" i="2"/>
  <c r="AX700" i="2"/>
  <c r="AY700" i="2"/>
  <c r="AK701" i="2"/>
  <c r="AX701" i="2"/>
  <c r="AY701" i="2"/>
  <c r="AK702" i="2"/>
  <c r="AX702" i="2"/>
  <c r="AY702" i="2"/>
  <c r="AK703" i="2"/>
  <c r="AX703" i="2"/>
  <c r="AY703" i="2"/>
  <c r="AK704" i="2"/>
  <c r="AX704" i="2"/>
  <c r="AY704" i="2"/>
  <c r="AK705" i="2"/>
  <c r="AX705" i="2"/>
  <c r="AY705" i="2"/>
  <c r="AK706" i="2"/>
  <c r="AX706" i="2"/>
  <c r="AY706" i="2"/>
  <c r="AK707" i="2"/>
  <c r="AX707" i="2"/>
  <c r="AY707" i="2"/>
  <c r="AK708" i="2"/>
  <c r="AX708" i="2"/>
  <c r="AY708" i="2"/>
  <c r="AK709" i="2"/>
  <c r="AX709" i="2"/>
  <c r="AY709" i="2"/>
  <c r="AK710" i="2"/>
  <c r="AX710" i="2"/>
  <c r="AY710" i="2"/>
  <c r="AK711" i="2"/>
  <c r="AX711" i="2"/>
  <c r="AY711" i="2"/>
  <c r="AK712" i="2"/>
  <c r="AX712" i="2"/>
  <c r="AY712" i="2"/>
  <c r="AK713" i="2"/>
  <c r="AX713" i="2"/>
  <c r="AY713" i="2"/>
  <c r="AK714" i="2"/>
  <c r="AX714" i="2"/>
  <c r="AY714" i="2"/>
  <c r="AK715" i="2"/>
  <c r="AX715" i="2"/>
  <c r="AY715" i="2"/>
  <c r="AK716" i="2"/>
  <c r="AX716" i="2"/>
  <c r="AY716" i="2"/>
  <c r="AK717" i="2"/>
  <c r="AX717" i="2"/>
  <c r="AY717" i="2"/>
  <c r="AK718" i="2"/>
  <c r="AX718" i="2"/>
  <c r="AY718" i="2"/>
  <c r="AK719" i="2"/>
  <c r="AX719" i="2"/>
  <c r="AY719" i="2"/>
  <c r="AK720" i="2"/>
  <c r="AX720" i="2"/>
  <c r="AY720" i="2"/>
  <c r="AK721" i="2"/>
  <c r="AX721" i="2"/>
  <c r="AY721" i="2"/>
  <c r="AK722" i="2"/>
  <c r="AX722" i="2"/>
  <c r="AY722" i="2"/>
  <c r="AK723" i="2"/>
  <c r="AX723" i="2"/>
  <c r="AY723" i="2"/>
  <c r="AK724" i="2"/>
  <c r="AX724" i="2"/>
  <c r="AY724" i="2"/>
  <c r="AK725" i="2"/>
  <c r="AX725" i="2"/>
  <c r="AY725" i="2"/>
  <c r="AK726" i="2"/>
  <c r="AX726" i="2"/>
  <c r="AY726" i="2"/>
  <c r="AK727" i="2"/>
  <c r="AX727" i="2"/>
  <c r="AY727" i="2"/>
  <c r="AK728" i="2"/>
  <c r="AX728" i="2"/>
  <c r="AY728" i="2"/>
  <c r="AK729" i="2"/>
  <c r="AX729" i="2"/>
  <c r="AY729" i="2"/>
  <c r="AK730" i="2"/>
  <c r="AX730" i="2"/>
  <c r="AY730" i="2"/>
  <c r="AK731" i="2"/>
  <c r="AX731" i="2"/>
  <c r="AY731" i="2"/>
  <c r="AK732" i="2"/>
  <c r="AX732" i="2"/>
  <c r="AY732" i="2"/>
  <c r="AK733" i="2"/>
  <c r="AX733" i="2"/>
  <c r="AY733" i="2"/>
  <c r="AK734" i="2"/>
  <c r="AX734" i="2"/>
  <c r="AY734" i="2"/>
  <c r="AK735" i="2"/>
  <c r="AX735" i="2"/>
  <c r="AY735" i="2"/>
  <c r="AK736" i="2"/>
  <c r="AX736" i="2"/>
  <c r="AY736" i="2"/>
  <c r="AK737" i="2"/>
  <c r="AX737" i="2"/>
  <c r="AY737" i="2"/>
  <c r="AK738" i="2"/>
  <c r="AX738" i="2"/>
  <c r="AY738" i="2"/>
  <c r="AK739" i="2"/>
  <c r="AX739" i="2"/>
  <c r="AY739" i="2"/>
  <c r="AK740" i="2"/>
  <c r="AX740" i="2"/>
  <c r="AY740" i="2"/>
  <c r="AK741" i="2"/>
  <c r="AX741" i="2"/>
  <c r="AY741" i="2"/>
  <c r="AK742" i="2"/>
  <c r="AX742" i="2"/>
  <c r="AY742" i="2"/>
  <c r="AK743" i="2"/>
  <c r="AX743" i="2"/>
  <c r="AY743" i="2"/>
  <c r="AK744" i="2"/>
  <c r="AX744" i="2"/>
  <c r="AY744" i="2"/>
  <c r="AK745" i="2"/>
  <c r="AX745" i="2"/>
  <c r="AY745" i="2"/>
  <c r="AK746" i="2"/>
  <c r="AX746" i="2"/>
  <c r="AY746" i="2"/>
  <c r="AK747" i="2"/>
  <c r="AX747" i="2"/>
  <c r="AY747" i="2"/>
  <c r="AK748" i="2"/>
  <c r="AX748" i="2"/>
  <c r="AY748" i="2"/>
  <c r="AK749" i="2"/>
  <c r="AX749" i="2"/>
  <c r="AY749" i="2"/>
  <c r="AK750" i="2"/>
  <c r="AX750" i="2"/>
  <c r="AY750" i="2"/>
  <c r="AK751" i="2"/>
  <c r="AX751" i="2"/>
  <c r="AY751" i="2"/>
  <c r="AK752" i="2"/>
  <c r="AX752" i="2"/>
  <c r="AY752" i="2"/>
  <c r="AK753" i="2"/>
  <c r="AX753" i="2"/>
  <c r="AY753" i="2"/>
  <c r="AK754" i="2"/>
  <c r="AX754" i="2"/>
  <c r="AY754" i="2"/>
  <c r="AK755" i="2"/>
  <c r="AX755" i="2"/>
  <c r="AY755" i="2"/>
  <c r="AK756" i="2"/>
  <c r="AX756" i="2"/>
  <c r="AY756" i="2"/>
  <c r="AK757" i="2"/>
  <c r="AX757" i="2"/>
  <c r="AY757" i="2"/>
  <c r="AK758" i="2"/>
  <c r="AX758" i="2"/>
  <c r="AY758" i="2"/>
  <c r="AK759" i="2"/>
  <c r="AX759" i="2"/>
  <c r="AY759" i="2"/>
  <c r="AK760" i="2"/>
  <c r="AX760" i="2"/>
  <c r="AY760" i="2"/>
  <c r="AK761" i="2"/>
  <c r="AX761" i="2"/>
  <c r="AY761" i="2"/>
  <c r="AK762" i="2"/>
  <c r="AX762" i="2"/>
  <c r="AY762" i="2"/>
  <c r="AK763" i="2"/>
  <c r="AX763" i="2"/>
  <c r="AY763" i="2"/>
  <c r="AK764" i="2"/>
  <c r="AX764" i="2"/>
  <c r="AY764" i="2"/>
  <c r="AK765" i="2"/>
  <c r="AX765" i="2"/>
  <c r="AY765" i="2"/>
  <c r="AK766" i="2"/>
  <c r="AX766" i="2"/>
  <c r="AY766" i="2"/>
  <c r="AK767" i="2"/>
  <c r="AX767" i="2"/>
  <c r="AY767" i="2"/>
  <c r="AK768" i="2"/>
  <c r="AX768" i="2"/>
  <c r="AY768" i="2"/>
  <c r="AK769" i="2"/>
  <c r="AX769" i="2"/>
  <c r="AY769" i="2"/>
  <c r="AK770" i="2"/>
  <c r="AX770" i="2"/>
  <c r="AY770" i="2"/>
  <c r="AK771" i="2"/>
  <c r="AX771" i="2"/>
  <c r="AY771" i="2"/>
  <c r="AK772" i="2"/>
  <c r="AX772" i="2"/>
  <c r="AY772" i="2"/>
  <c r="AK773" i="2"/>
  <c r="AX773" i="2"/>
  <c r="AY773" i="2"/>
  <c r="AK774" i="2"/>
  <c r="AX774" i="2"/>
  <c r="AY774" i="2"/>
  <c r="AK775" i="2"/>
  <c r="AX775" i="2"/>
  <c r="AY775" i="2"/>
  <c r="AK776" i="2"/>
  <c r="AX776" i="2"/>
  <c r="AY776" i="2"/>
  <c r="AK777" i="2"/>
  <c r="AX777" i="2"/>
  <c r="AY777" i="2"/>
  <c r="AK778" i="2"/>
  <c r="AX778" i="2"/>
  <c r="AY778" i="2"/>
  <c r="AK779" i="2"/>
  <c r="AX779" i="2"/>
  <c r="AY779" i="2"/>
  <c r="AK780" i="2"/>
  <c r="AX780" i="2"/>
  <c r="AY780" i="2"/>
  <c r="AK781" i="2"/>
  <c r="AX781" i="2"/>
  <c r="AY781" i="2"/>
  <c r="AK782" i="2"/>
  <c r="AX782" i="2"/>
  <c r="AY782" i="2"/>
  <c r="AK783" i="2"/>
  <c r="AX783" i="2"/>
  <c r="AY783" i="2"/>
  <c r="AK784" i="2"/>
  <c r="AX784" i="2"/>
  <c r="AY784" i="2"/>
  <c r="AK785" i="2"/>
  <c r="AX785" i="2"/>
  <c r="AY785" i="2"/>
  <c r="AK786" i="2"/>
  <c r="AX786" i="2"/>
  <c r="AY786" i="2"/>
  <c r="AK787" i="2"/>
  <c r="AX787" i="2"/>
  <c r="AY787" i="2"/>
  <c r="AK788" i="2"/>
  <c r="AX788" i="2"/>
  <c r="AY788" i="2"/>
  <c r="AK789" i="2"/>
  <c r="AX789" i="2"/>
  <c r="AY789" i="2"/>
  <c r="AK790" i="2"/>
  <c r="AX790" i="2"/>
  <c r="AY790" i="2"/>
  <c r="AK791" i="2"/>
  <c r="AX791" i="2"/>
  <c r="AY791" i="2"/>
  <c r="AK792" i="2"/>
  <c r="AX792" i="2"/>
  <c r="AY792" i="2"/>
  <c r="AK793" i="2"/>
  <c r="AX793" i="2"/>
  <c r="AY793" i="2"/>
  <c r="AK794" i="2"/>
  <c r="AX794" i="2"/>
  <c r="AY794" i="2"/>
  <c r="AK795" i="2"/>
  <c r="AX795" i="2"/>
  <c r="AY795" i="2"/>
  <c r="AK796" i="2"/>
  <c r="AX796" i="2"/>
  <c r="AY796" i="2"/>
  <c r="AK797" i="2"/>
  <c r="AX797" i="2"/>
  <c r="AY797" i="2"/>
  <c r="AK798" i="2"/>
  <c r="AX798" i="2"/>
  <c r="AY798" i="2"/>
  <c r="AK799" i="2"/>
  <c r="AX799" i="2"/>
  <c r="AY799" i="2"/>
  <c r="AK800" i="2"/>
  <c r="AX800" i="2"/>
  <c r="AY800" i="2"/>
  <c r="AK801" i="2"/>
  <c r="AX801" i="2"/>
  <c r="AY801" i="2"/>
  <c r="AK802" i="2"/>
  <c r="AX802" i="2"/>
  <c r="AY802" i="2"/>
  <c r="AK803" i="2"/>
  <c r="AX803" i="2"/>
  <c r="AY803" i="2"/>
  <c r="AK804" i="2"/>
  <c r="AX804" i="2"/>
  <c r="AY804" i="2"/>
  <c r="AK805" i="2"/>
  <c r="AX805" i="2"/>
  <c r="AY805" i="2"/>
  <c r="AK806" i="2"/>
  <c r="AX806" i="2"/>
  <c r="AY806" i="2"/>
  <c r="AK807" i="2"/>
  <c r="AX807" i="2"/>
  <c r="AY807" i="2"/>
  <c r="AK808" i="2"/>
  <c r="AX808" i="2"/>
  <c r="AY808" i="2"/>
  <c r="AK809" i="2"/>
  <c r="AX809" i="2"/>
  <c r="AY809" i="2"/>
  <c r="AK810" i="2"/>
  <c r="AX810" i="2"/>
  <c r="AY810" i="2"/>
  <c r="AK811" i="2"/>
  <c r="AX811" i="2"/>
  <c r="AY811" i="2"/>
  <c r="AK812" i="2"/>
  <c r="AX812" i="2"/>
  <c r="AY812" i="2"/>
  <c r="AK813" i="2"/>
  <c r="AX813" i="2"/>
  <c r="AY813" i="2"/>
  <c r="AK814" i="2"/>
  <c r="AX814" i="2"/>
  <c r="AY814" i="2"/>
  <c r="AK815" i="2"/>
  <c r="AX815" i="2"/>
  <c r="AY815" i="2"/>
  <c r="AK816" i="2"/>
  <c r="AX816" i="2"/>
  <c r="AY816" i="2"/>
  <c r="AK817" i="2"/>
  <c r="AX817" i="2"/>
  <c r="AY817" i="2"/>
  <c r="AK818" i="2"/>
  <c r="AX818" i="2"/>
  <c r="AY818" i="2"/>
  <c r="AK819" i="2"/>
  <c r="AX819" i="2"/>
  <c r="AY819" i="2"/>
  <c r="AK820" i="2"/>
  <c r="AX820" i="2"/>
  <c r="AY820" i="2"/>
  <c r="AK821" i="2"/>
  <c r="AX821" i="2"/>
  <c r="AY821" i="2"/>
  <c r="AK822" i="2"/>
  <c r="AX822" i="2"/>
  <c r="AY822" i="2"/>
  <c r="AK823" i="2"/>
  <c r="AX823" i="2"/>
  <c r="AY823" i="2"/>
  <c r="AK824" i="2"/>
  <c r="AX824" i="2"/>
  <c r="AY824" i="2"/>
  <c r="AK825" i="2"/>
  <c r="AX825" i="2"/>
  <c r="AY825" i="2"/>
  <c r="AK826" i="2"/>
  <c r="AX826" i="2"/>
  <c r="AY826" i="2"/>
  <c r="AK827" i="2"/>
  <c r="AX827" i="2"/>
  <c r="AY827" i="2"/>
  <c r="AK828" i="2"/>
  <c r="AX828" i="2"/>
  <c r="AY828" i="2"/>
  <c r="AK829" i="2"/>
  <c r="AX829" i="2"/>
  <c r="AY829" i="2"/>
  <c r="AK830" i="2"/>
  <c r="AX830" i="2"/>
  <c r="AY830" i="2"/>
  <c r="AK831" i="2"/>
  <c r="AX831" i="2"/>
  <c r="AY831" i="2"/>
  <c r="AK832" i="2"/>
  <c r="AX832" i="2"/>
  <c r="AY832" i="2"/>
  <c r="AK833" i="2"/>
  <c r="AX833" i="2"/>
  <c r="AY833" i="2"/>
  <c r="AK834" i="2"/>
  <c r="AX834" i="2"/>
  <c r="AY834" i="2"/>
  <c r="AK835" i="2"/>
  <c r="AX835" i="2"/>
  <c r="AY835" i="2"/>
  <c r="AK836" i="2"/>
  <c r="AX836" i="2"/>
  <c r="AY836" i="2"/>
  <c r="AK837" i="2"/>
  <c r="AX837" i="2"/>
  <c r="AY837" i="2"/>
  <c r="AK838" i="2"/>
  <c r="AX838" i="2"/>
  <c r="AY838" i="2"/>
  <c r="AK839" i="2"/>
  <c r="AX839" i="2"/>
  <c r="AY839" i="2"/>
  <c r="AK840" i="2"/>
  <c r="AX840" i="2"/>
  <c r="AY840" i="2"/>
  <c r="AK841" i="2"/>
  <c r="AX841" i="2"/>
  <c r="AY841" i="2"/>
  <c r="AK842" i="2"/>
  <c r="AX842" i="2"/>
  <c r="AY842" i="2"/>
  <c r="AK843" i="2"/>
  <c r="AX843" i="2"/>
  <c r="AY843" i="2"/>
  <c r="AK844" i="2"/>
  <c r="AX844" i="2"/>
  <c r="AY844" i="2"/>
  <c r="AK845" i="2"/>
  <c r="AX845" i="2"/>
  <c r="AY845" i="2"/>
  <c r="AK846" i="2"/>
  <c r="AX846" i="2"/>
  <c r="AY846" i="2"/>
  <c r="AK847" i="2"/>
  <c r="AX847" i="2"/>
  <c r="AY847" i="2"/>
  <c r="AK848" i="2"/>
  <c r="AX848" i="2"/>
  <c r="AY848" i="2"/>
  <c r="AK849" i="2"/>
  <c r="AX849" i="2"/>
  <c r="AY849" i="2"/>
  <c r="AK850" i="2"/>
  <c r="AX850" i="2"/>
  <c r="AY850" i="2"/>
  <c r="AK851" i="2"/>
  <c r="AX851" i="2"/>
  <c r="AY851" i="2"/>
  <c r="AK852" i="2"/>
  <c r="AX852" i="2"/>
  <c r="AY852" i="2"/>
  <c r="AK853" i="2"/>
  <c r="AX853" i="2"/>
  <c r="AY853" i="2"/>
  <c r="AK854" i="2"/>
  <c r="AX854" i="2"/>
  <c r="AY854" i="2"/>
  <c r="AK855" i="2"/>
  <c r="AX855" i="2"/>
  <c r="AY855" i="2"/>
  <c r="AK856" i="2"/>
  <c r="AX856" i="2"/>
  <c r="AY856" i="2"/>
  <c r="AK857" i="2"/>
  <c r="AX857" i="2"/>
  <c r="AY857" i="2"/>
  <c r="AK858" i="2"/>
  <c r="AX858" i="2"/>
  <c r="AY858" i="2"/>
  <c r="AK859" i="2"/>
  <c r="AX859" i="2"/>
  <c r="AY859" i="2"/>
  <c r="AK860" i="2"/>
  <c r="AX860" i="2"/>
  <c r="AY860" i="2"/>
  <c r="AK861" i="2"/>
  <c r="AX861" i="2"/>
  <c r="AY861" i="2"/>
  <c r="AK862" i="2"/>
  <c r="AX862" i="2"/>
  <c r="AY862" i="2"/>
  <c r="AK863" i="2"/>
  <c r="AX863" i="2"/>
  <c r="AY863" i="2"/>
  <c r="AK864" i="2"/>
  <c r="AX864" i="2"/>
  <c r="AY864" i="2"/>
  <c r="AK865" i="2"/>
  <c r="AX865" i="2"/>
  <c r="AY865" i="2"/>
  <c r="AK866" i="2"/>
  <c r="AX866" i="2"/>
  <c r="AY866" i="2"/>
  <c r="AK867" i="2"/>
  <c r="AX867" i="2"/>
  <c r="AY867" i="2"/>
  <c r="AK868" i="2"/>
  <c r="AX868" i="2"/>
  <c r="AY868" i="2"/>
  <c r="AK869" i="2"/>
  <c r="AX869" i="2"/>
  <c r="AY869" i="2"/>
  <c r="AK870" i="2"/>
  <c r="AX870" i="2"/>
  <c r="AY870" i="2"/>
  <c r="AK871" i="2"/>
  <c r="AX871" i="2"/>
  <c r="AY871" i="2"/>
  <c r="AK872" i="2"/>
  <c r="AX872" i="2"/>
  <c r="AY872" i="2"/>
  <c r="AK873" i="2"/>
  <c r="AX873" i="2"/>
  <c r="AY873" i="2"/>
  <c r="AK874" i="2"/>
  <c r="AX874" i="2"/>
  <c r="AY874" i="2"/>
  <c r="AK875" i="2"/>
  <c r="AX875" i="2"/>
  <c r="AY875" i="2"/>
  <c r="AK876" i="2"/>
  <c r="AX876" i="2"/>
  <c r="AY876" i="2"/>
  <c r="AK877" i="2"/>
  <c r="AX877" i="2"/>
  <c r="AY877" i="2"/>
  <c r="AK878" i="2"/>
  <c r="AX878" i="2"/>
  <c r="AY878" i="2"/>
  <c r="AK879" i="2"/>
  <c r="AX879" i="2"/>
  <c r="AY879" i="2"/>
  <c r="AK880" i="2"/>
  <c r="AX880" i="2"/>
  <c r="AY880" i="2"/>
  <c r="AK881" i="2"/>
  <c r="AX881" i="2"/>
  <c r="AY881" i="2"/>
  <c r="AK882" i="2"/>
  <c r="AX882" i="2"/>
  <c r="AY882" i="2"/>
  <c r="AK883" i="2"/>
  <c r="AX883" i="2"/>
  <c r="AY883" i="2"/>
  <c r="AK884" i="2"/>
  <c r="AX884" i="2"/>
  <c r="AY884" i="2"/>
  <c r="AK885" i="2"/>
  <c r="AX885" i="2"/>
  <c r="AY885" i="2"/>
  <c r="AK886" i="2"/>
  <c r="AX886" i="2"/>
  <c r="AY886" i="2"/>
  <c r="AK887" i="2"/>
  <c r="AX887" i="2"/>
  <c r="AY887" i="2"/>
  <c r="AK888" i="2"/>
  <c r="AX888" i="2"/>
  <c r="AY888" i="2"/>
  <c r="AK889" i="2"/>
  <c r="AX889" i="2"/>
  <c r="AY889" i="2"/>
  <c r="AK890" i="2"/>
  <c r="AX890" i="2"/>
  <c r="AY890" i="2"/>
  <c r="AK891" i="2"/>
  <c r="AX891" i="2"/>
  <c r="AY891" i="2"/>
  <c r="AK892" i="2"/>
  <c r="AX892" i="2"/>
  <c r="AY892" i="2"/>
  <c r="AK893" i="2"/>
  <c r="AX893" i="2"/>
  <c r="AY893" i="2"/>
  <c r="AK894" i="2"/>
  <c r="AX894" i="2"/>
  <c r="AY894" i="2"/>
  <c r="AK895" i="2"/>
  <c r="AX895" i="2"/>
  <c r="AY895" i="2"/>
  <c r="AK896" i="2"/>
  <c r="AX896" i="2"/>
  <c r="AY896" i="2"/>
  <c r="AK897" i="2"/>
  <c r="AX897" i="2"/>
  <c r="AY897" i="2"/>
  <c r="AK898" i="2"/>
  <c r="AX898" i="2"/>
  <c r="AY898" i="2"/>
  <c r="AK899" i="2"/>
  <c r="AX899" i="2"/>
  <c r="AY899" i="2"/>
  <c r="AK900" i="2"/>
  <c r="AX900" i="2"/>
  <c r="AY900" i="2"/>
  <c r="AK901" i="2"/>
  <c r="AX901" i="2"/>
  <c r="AY901" i="2"/>
  <c r="AK902" i="2"/>
  <c r="AX902" i="2"/>
  <c r="AY902" i="2"/>
  <c r="AK903" i="2"/>
  <c r="AX903" i="2"/>
  <c r="AY903" i="2"/>
  <c r="AK904" i="2"/>
  <c r="AX904" i="2"/>
  <c r="AY904" i="2"/>
  <c r="AK905" i="2"/>
  <c r="AX905" i="2"/>
  <c r="AY905" i="2"/>
  <c r="AK906" i="2"/>
  <c r="AX906" i="2"/>
  <c r="AY906" i="2"/>
  <c r="AK907" i="2"/>
  <c r="AX907" i="2"/>
  <c r="AY907" i="2"/>
  <c r="AK908" i="2"/>
  <c r="AX908" i="2"/>
  <c r="AY908" i="2"/>
  <c r="AK909" i="2"/>
  <c r="AX909" i="2"/>
  <c r="AY909" i="2"/>
  <c r="AK910" i="2"/>
  <c r="AX910" i="2"/>
  <c r="AY910" i="2"/>
  <c r="AK911" i="2"/>
  <c r="AX911" i="2"/>
  <c r="AY911" i="2"/>
  <c r="AK912" i="2"/>
  <c r="AX912" i="2"/>
  <c r="AY912" i="2"/>
  <c r="AK913" i="2"/>
  <c r="AX913" i="2"/>
  <c r="AY913" i="2"/>
  <c r="AK914" i="2"/>
  <c r="AX914" i="2"/>
  <c r="AY914" i="2"/>
  <c r="AK915" i="2"/>
  <c r="AX915" i="2"/>
  <c r="AY915" i="2"/>
  <c r="AK916" i="2"/>
  <c r="AX916" i="2"/>
  <c r="AY916" i="2"/>
  <c r="AK917" i="2"/>
  <c r="AX917" i="2"/>
  <c r="AY917" i="2"/>
  <c r="AK918" i="2"/>
  <c r="AX918" i="2"/>
  <c r="AY918" i="2"/>
  <c r="AK919" i="2"/>
  <c r="AX919" i="2"/>
  <c r="AY919" i="2"/>
  <c r="AK920" i="2"/>
  <c r="AX920" i="2"/>
  <c r="AY920" i="2"/>
  <c r="AK921" i="2"/>
  <c r="AX921" i="2"/>
  <c r="AY921" i="2"/>
  <c r="AK922" i="2"/>
  <c r="AX922" i="2"/>
  <c r="AY922" i="2"/>
  <c r="AK923" i="2"/>
  <c r="AX923" i="2"/>
  <c r="AY923" i="2"/>
  <c r="AK924" i="2"/>
  <c r="AX924" i="2"/>
  <c r="AY924" i="2"/>
  <c r="AK925" i="2"/>
  <c r="AX925" i="2"/>
  <c r="AY925" i="2"/>
  <c r="AK926" i="2"/>
  <c r="AX926" i="2"/>
  <c r="AY926" i="2"/>
  <c r="AK927" i="2"/>
  <c r="AX927" i="2"/>
  <c r="AY927" i="2"/>
  <c r="AK928" i="2"/>
  <c r="AX928" i="2"/>
  <c r="AY928" i="2"/>
  <c r="AK929" i="2"/>
  <c r="AX929" i="2"/>
  <c r="AY929" i="2"/>
  <c r="AK930" i="2"/>
  <c r="AX930" i="2"/>
  <c r="AY930" i="2"/>
  <c r="AK931" i="2"/>
  <c r="AX931" i="2"/>
  <c r="AY931" i="2"/>
  <c r="AK932" i="2"/>
  <c r="AX932" i="2"/>
  <c r="AY932" i="2"/>
  <c r="AK933" i="2"/>
  <c r="AX933" i="2"/>
  <c r="AY933" i="2"/>
  <c r="AK934" i="2"/>
  <c r="AX934" i="2"/>
  <c r="AY934" i="2"/>
  <c r="AK935" i="2"/>
  <c r="AX935" i="2"/>
  <c r="AY935" i="2"/>
  <c r="AK936" i="2"/>
  <c r="AX936" i="2"/>
  <c r="AY936" i="2"/>
  <c r="AK937" i="2"/>
  <c r="AX937" i="2"/>
  <c r="AY937" i="2"/>
  <c r="AK938" i="2"/>
  <c r="AX938" i="2"/>
  <c r="AY938" i="2"/>
  <c r="AK939" i="2"/>
  <c r="AX939" i="2"/>
  <c r="AY939" i="2"/>
  <c r="AK940" i="2"/>
  <c r="AX940" i="2"/>
  <c r="AY940" i="2"/>
  <c r="AK941" i="2"/>
  <c r="AX941" i="2"/>
  <c r="AY941" i="2"/>
  <c r="AK942" i="2"/>
  <c r="AX942" i="2"/>
  <c r="AY942" i="2"/>
  <c r="AK943" i="2"/>
  <c r="AX943" i="2"/>
  <c r="AY943" i="2"/>
  <c r="AK944" i="2"/>
  <c r="AX944" i="2"/>
  <c r="AY944" i="2"/>
  <c r="AK945" i="2"/>
  <c r="AX945" i="2"/>
  <c r="AY945" i="2"/>
  <c r="AK946" i="2"/>
  <c r="AX946" i="2"/>
  <c r="AY946" i="2"/>
  <c r="AK947" i="2"/>
  <c r="AX947" i="2"/>
  <c r="AY947" i="2"/>
  <c r="AK948" i="2"/>
  <c r="AX948" i="2"/>
  <c r="AY948" i="2"/>
  <c r="AK949" i="2"/>
  <c r="AX949" i="2"/>
  <c r="AY949" i="2"/>
  <c r="AK950" i="2"/>
  <c r="AX950" i="2"/>
  <c r="AY950" i="2"/>
  <c r="AK951" i="2"/>
  <c r="AX951" i="2"/>
  <c r="AY951" i="2"/>
  <c r="AK952" i="2"/>
  <c r="AX952" i="2"/>
  <c r="AY952" i="2"/>
  <c r="AK953" i="2"/>
  <c r="AX953" i="2"/>
  <c r="AY953" i="2"/>
  <c r="AK954" i="2"/>
  <c r="AX954" i="2"/>
  <c r="AY954" i="2"/>
  <c r="AK955" i="2"/>
  <c r="AX955" i="2"/>
  <c r="AY955" i="2"/>
  <c r="AK956" i="2"/>
  <c r="AX956" i="2"/>
  <c r="AY956" i="2"/>
  <c r="AK957" i="2"/>
  <c r="AX957" i="2"/>
  <c r="AY957" i="2"/>
  <c r="AK958" i="2"/>
  <c r="AX958" i="2"/>
  <c r="AY958" i="2"/>
  <c r="AK959" i="2"/>
  <c r="AX959" i="2"/>
  <c r="AY959" i="2"/>
  <c r="AK960" i="2"/>
  <c r="AX960" i="2"/>
  <c r="AY960" i="2"/>
  <c r="AK961" i="2"/>
  <c r="AX961" i="2"/>
  <c r="AY961" i="2"/>
  <c r="AK962" i="2"/>
  <c r="AX962" i="2"/>
  <c r="AY962" i="2"/>
  <c r="AK963" i="2"/>
  <c r="AX963" i="2"/>
  <c r="AY963" i="2"/>
  <c r="AK964" i="2"/>
  <c r="AX964" i="2"/>
  <c r="AY964" i="2"/>
  <c r="AK965" i="2"/>
  <c r="AX965" i="2"/>
  <c r="AY965" i="2"/>
  <c r="AK966" i="2"/>
  <c r="AX966" i="2"/>
  <c r="AY966" i="2"/>
  <c r="AK967" i="2"/>
  <c r="AX967" i="2"/>
  <c r="AY967" i="2"/>
  <c r="AK968" i="2"/>
  <c r="AX968" i="2"/>
  <c r="AY968" i="2"/>
  <c r="AK969" i="2"/>
  <c r="AX969" i="2"/>
  <c r="AY969" i="2"/>
  <c r="AK970" i="2"/>
  <c r="AX970" i="2"/>
  <c r="AY970" i="2"/>
  <c r="AK971" i="2"/>
  <c r="AX971" i="2"/>
  <c r="AY971" i="2"/>
  <c r="AK972" i="2"/>
  <c r="AX972" i="2"/>
  <c r="AY972" i="2"/>
  <c r="AK973" i="2"/>
  <c r="AX973" i="2"/>
  <c r="AY973" i="2"/>
  <c r="AK974" i="2"/>
  <c r="AX974" i="2"/>
  <c r="AY974" i="2"/>
  <c r="AK975" i="2"/>
  <c r="AX975" i="2"/>
  <c r="AY975" i="2"/>
  <c r="AK976" i="2"/>
  <c r="AX976" i="2"/>
  <c r="AY976" i="2"/>
  <c r="AK977" i="2"/>
  <c r="AX977" i="2"/>
  <c r="AY977" i="2"/>
  <c r="AK978" i="2"/>
  <c r="AX978" i="2"/>
  <c r="AY978" i="2"/>
  <c r="AK979" i="2"/>
  <c r="AX979" i="2"/>
  <c r="AY979" i="2"/>
  <c r="AK980" i="2"/>
  <c r="AX980" i="2"/>
  <c r="AY980" i="2"/>
  <c r="AK981" i="2"/>
  <c r="AX981" i="2"/>
  <c r="AY981" i="2"/>
  <c r="AK982" i="2"/>
  <c r="AX982" i="2"/>
  <c r="AY982" i="2"/>
  <c r="AK983" i="2"/>
  <c r="AX983" i="2"/>
  <c r="AY983" i="2"/>
  <c r="AK984" i="2"/>
  <c r="AX984" i="2"/>
  <c r="AY984" i="2"/>
  <c r="AK985" i="2"/>
  <c r="AX985" i="2"/>
  <c r="AY985" i="2"/>
  <c r="AK986" i="2"/>
  <c r="AX986" i="2"/>
  <c r="AY986" i="2"/>
  <c r="AK987" i="2"/>
  <c r="AX987" i="2"/>
  <c r="AY987" i="2"/>
  <c r="AK988" i="2"/>
  <c r="AX988" i="2"/>
  <c r="AY988" i="2"/>
  <c r="AK989" i="2"/>
  <c r="AX989" i="2"/>
  <c r="AY989" i="2"/>
  <c r="AK990" i="2"/>
  <c r="AX990" i="2"/>
  <c r="AY990" i="2"/>
  <c r="AK991" i="2"/>
  <c r="AX991" i="2"/>
  <c r="AY991" i="2"/>
  <c r="AK992" i="2"/>
  <c r="AX992" i="2"/>
  <c r="AY992" i="2"/>
  <c r="AK993" i="2"/>
  <c r="AX993" i="2"/>
  <c r="AY993" i="2"/>
  <c r="AK994" i="2"/>
  <c r="AX994" i="2"/>
  <c r="AY994" i="2"/>
  <c r="AK995" i="2"/>
  <c r="AX995" i="2"/>
  <c r="AY995" i="2"/>
  <c r="AK996" i="2"/>
  <c r="AX996" i="2"/>
  <c r="AY996" i="2"/>
  <c r="AK997" i="2"/>
  <c r="AX997" i="2"/>
  <c r="AY997" i="2"/>
  <c r="AK998" i="2"/>
  <c r="AX998" i="2"/>
  <c r="AY998" i="2"/>
  <c r="AK999" i="2"/>
  <c r="AX999" i="2"/>
  <c r="AY999" i="2"/>
  <c r="AK1000" i="2"/>
  <c r="AX1000" i="2"/>
  <c r="AY1000" i="2"/>
  <c r="AK1001" i="2"/>
  <c r="AX1001" i="2"/>
  <c r="AY1001" i="2"/>
  <c r="AK1002" i="2"/>
  <c r="AX1002" i="2"/>
  <c r="AY1002" i="2"/>
  <c r="AK1003" i="2"/>
  <c r="AX1003" i="2"/>
  <c r="AY1003" i="2"/>
  <c r="AK1004" i="2"/>
  <c r="AX1004" i="2"/>
  <c r="AY1004" i="2"/>
  <c r="AK1005" i="2"/>
  <c r="AX1005" i="2"/>
  <c r="AY1005" i="2"/>
  <c r="AK1006" i="2"/>
  <c r="AX1006" i="2"/>
  <c r="AY1006" i="2"/>
  <c r="AK1007" i="2"/>
  <c r="AX1007" i="2"/>
  <c r="AY1007" i="2"/>
  <c r="AK1008" i="2"/>
  <c r="AX1008" i="2"/>
  <c r="AY1008" i="2"/>
  <c r="AK1009" i="2"/>
  <c r="AX1009" i="2"/>
  <c r="AY1009" i="2"/>
  <c r="AK1010" i="2"/>
  <c r="AX1010" i="2"/>
  <c r="AY1010" i="2"/>
  <c r="AK1011" i="2"/>
  <c r="AX1011" i="2"/>
  <c r="AY1011" i="2"/>
  <c r="K1012" i="2"/>
  <c r="S1012" i="2"/>
  <c r="AK1012" i="2"/>
  <c r="AX1012" i="2"/>
  <c r="AY1012" i="2"/>
  <c r="AK1013" i="2"/>
  <c r="AX1013" i="2"/>
  <c r="AY1013" i="2"/>
  <c r="AK1014" i="2"/>
  <c r="AX1014" i="2"/>
  <c r="AY1014" i="2"/>
  <c r="AK1015" i="2"/>
  <c r="AX1015" i="2"/>
  <c r="AY1015" i="2"/>
  <c r="AK1016" i="2"/>
  <c r="AX1016" i="2"/>
  <c r="AY1016" i="2"/>
  <c r="AK1017" i="2"/>
  <c r="AX1017" i="2"/>
  <c r="AY1017" i="2"/>
  <c r="AK1018" i="2"/>
  <c r="AX1018" i="2"/>
  <c r="AY1018" i="2"/>
  <c r="AK1019" i="2"/>
  <c r="AX1019" i="2"/>
  <c r="AY1019" i="2"/>
  <c r="AK1020" i="2"/>
  <c r="AX1020" i="2"/>
  <c r="AY1020" i="2"/>
  <c r="AK1021" i="2"/>
  <c r="AX1021" i="2"/>
  <c r="AY1021" i="2"/>
  <c r="AK1022" i="2"/>
  <c r="AX1022" i="2"/>
  <c r="AY1022" i="2"/>
  <c r="AK1023" i="2"/>
  <c r="AX1023" i="2"/>
  <c r="AY1023" i="2"/>
  <c r="AK1024" i="2"/>
  <c r="AX1024" i="2"/>
  <c r="AY1024" i="2"/>
  <c r="AK1025" i="2"/>
  <c r="AX1025" i="2"/>
  <c r="AY1025" i="2"/>
  <c r="AK1026" i="2"/>
  <c r="AX1026" i="2"/>
  <c r="AY1026" i="2"/>
  <c r="AK1027" i="2"/>
  <c r="AX1027" i="2"/>
  <c r="AY1027" i="2"/>
  <c r="AK1028" i="2"/>
  <c r="AX1028" i="2"/>
  <c r="AY1028" i="2"/>
  <c r="AK1029" i="2"/>
  <c r="AX1029" i="2"/>
  <c r="AY1029" i="2"/>
  <c r="AK1030" i="2"/>
  <c r="AX1030" i="2"/>
  <c r="AY1030" i="2"/>
  <c r="AK1031" i="2"/>
  <c r="AX1031" i="2"/>
  <c r="AY1031" i="2"/>
  <c r="AK1032" i="2"/>
  <c r="AX1032" i="2"/>
  <c r="AY1032" i="2"/>
  <c r="AK1033" i="2"/>
  <c r="AX1033" i="2"/>
  <c r="AY1033" i="2"/>
  <c r="AK1034" i="2"/>
  <c r="AX1034" i="2"/>
  <c r="AY1034" i="2"/>
  <c r="AK1035" i="2"/>
  <c r="AX1035" i="2"/>
  <c r="AY1035" i="2"/>
  <c r="AK1036" i="2"/>
  <c r="AX1036" i="2"/>
  <c r="AY1036" i="2"/>
  <c r="AK1037" i="2"/>
  <c r="AX1037" i="2"/>
  <c r="AY1037" i="2"/>
  <c r="AK1038" i="2"/>
  <c r="AX1038" i="2"/>
  <c r="AY1038" i="2"/>
  <c r="AK1039" i="2"/>
  <c r="AX1039" i="2"/>
  <c r="AY1039" i="2"/>
  <c r="AK1040" i="2"/>
  <c r="AX1040" i="2"/>
  <c r="AY1040" i="2"/>
  <c r="AK1041" i="2"/>
  <c r="AX1041" i="2"/>
  <c r="AY1041" i="2"/>
  <c r="AK1042" i="2"/>
  <c r="AX1042" i="2"/>
  <c r="AY1042" i="2"/>
  <c r="AK1043" i="2"/>
  <c r="AX1043" i="2"/>
  <c r="AY1043" i="2"/>
  <c r="AK1044" i="2"/>
  <c r="AX1044" i="2"/>
  <c r="AY1044" i="2"/>
  <c r="AK1045" i="2"/>
  <c r="AX1045" i="2"/>
  <c r="AY1045" i="2"/>
  <c r="AK1046" i="2"/>
  <c r="AX1046" i="2"/>
  <c r="AY1046" i="2"/>
  <c r="AK1047" i="2"/>
  <c r="AX1047" i="2"/>
  <c r="AY1047" i="2"/>
  <c r="AK1048" i="2"/>
  <c r="AX1048" i="2"/>
  <c r="AY1048" i="2"/>
  <c r="AK1049" i="2"/>
  <c r="AX1049" i="2"/>
  <c r="AY1049" i="2"/>
  <c r="AK1050" i="2"/>
  <c r="AX1050" i="2"/>
  <c r="AY1050" i="2"/>
  <c r="AK1051" i="2"/>
  <c r="AX1051" i="2"/>
  <c r="AY1051" i="2"/>
  <c r="AK1052" i="2"/>
  <c r="AX1052" i="2"/>
  <c r="AY1052" i="2"/>
  <c r="AK1053" i="2"/>
  <c r="AX1053" i="2"/>
  <c r="AY1053" i="2"/>
  <c r="AK1054" i="2"/>
  <c r="AX1054" i="2"/>
  <c r="AY1054" i="2"/>
  <c r="AK1055" i="2"/>
  <c r="AX1055" i="2"/>
  <c r="AY1055" i="2"/>
  <c r="AK1056" i="2"/>
  <c r="AX1056" i="2"/>
  <c r="AY1056" i="2"/>
  <c r="AK1057" i="2"/>
  <c r="AX1057" i="2"/>
  <c r="AY1057" i="2"/>
  <c r="AK1058" i="2"/>
  <c r="AX1058" i="2"/>
  <c r="AY1058" i="2"/>
  <c r="AK1059" i="2"/>
  <c r="AX1059" i="2"/>
  <c r="AY1059" i="2"/>
  <c r="AK1060" i="2"/>
  <c r="AX1060" i="2"/>
  <c r="AY1060" i="2"/>
  <c r="AK1061" i="2"/>
  <c r="AX1061" i="2"/>
  <c r="AY1061" i="2"/>
  <c r="AK1062" i="2"/>
  <c r="AX1062" i="2"/>
  <c r="AY1062" i="2"/>
  <c r="AK1063" i="2"/>
  <c r="AX1063" i="2"/>
  <c r="AY1063" i="2"/>
  <c r="AK1064" i="2"/>
  <c r="AX1064" i="2"/>
  <c r="AY1064" i="2"/>
  <c r="AK1065" i="2"/>
  <c r="AX1065" i="2"/>
  <c r="AY1065" i="2"/>
  <c r="AK1066" i="2"/>
  <c r="AX1066" i="2"/>
  <c r="AY1066" i="2"/>
  <c r="AK1067" i="2"/>
  <c r="AX1067" i="2"/>
  <c r="AY1067" i="2"/>
  <c r="AK1068" i="2"/>
  <c r="AX1068" i="2"/>
  <c r="AY1068" i="2"/>
  <c r="AK1069" i="2"/>
  <c r="AX1069" i="2"/>
  <c r="AY1069" i="2"/>
  <c r="AK1070" i="2"/>
  <c r="AX1070" i="2"/>
  <c r="AY1070" i="2"/>
  <c r="AK1071" i="2"/>
  <c r="AX1071" i="2"/>
  <c r="AY1071" i="2"/>
  <c r="AK1072" i="2"/>
  <c r="AX1072" i="2"/>
  <c r="AY1072" i="2"/>
  <c r="AK1073" i="2"/>
  <c r="AX1073" i="2"/>
  <c r="AY1073" i="2"/>
  <c r="AK1074" i="2"/>
  <c r="AX1074" i="2"/>
  <c r="AY1074" i="2"/>
  <c r="AK1075" i="2"/>
  <c r="AX1075" i="2"/>
  <c r="AY1075" i="2"/>
  <c r="AK1076" i="2"/>
  <c r="AX1076" i="2"/>
  <c r="AY1076" i="2"/>
  <c r="AK1077" i="2"/>
  <c r="AX1077" i="2"/>
  <c r="AY1077" i="2"/>
  <c r="AK1078" i="2"/>
  <c r="AX1078" i="2"/>
  <c r="AY1078" i="2"/>
  <c r="AK1079" i="2"/>
  <c r="AX1079" i="2"/>
  <c r="AY1079" i="2"/>
  <c r="AK1080" i="2"/>
  <c r="AX1080" i="2"/>
  <c r="AY1080" i="2"/>
  <c r="AK1081" i="2"/>
  <c r="AX1081" i="2"/>
  <c r="AY1081" i="2"/>
  <c r="AK1082" i="2"/>
  <c r="AX1082" i="2"/>
  <c r="AY1082" i="2"/>
  <c r="AK1083" i="2"/>
  <c r="AX1083" i="2"/>
  <c r="AY1083" i="2"/>
  <c r="AK1084" i="2"/>
  <c r="AX1084" i="2"/>
  <c r="AY1084" i="2"/>
  <c r="AK1085" i="2"/>
  <c r="AX1085" i="2"/>
  <c r="AY1085" i="2"/>
  <c r="AK1086" i="2"/>
  <c r="AX1086" i="2"/>
  <c r="AY1086" i="2"/>
  <c r="AK1087" i="2"/>
  <c r="AX1087" i="2"/>
  <c r="AY1087" i="2"/>
  <c r="AK1088" i="2"/>
  <c r="AX1088" i="2"/>
  <c r="AY1088" i="2"/>
  <c r="AK1089" i="2"/>
  <c r="AX1089" i="2"/>
  <c r="AY1089" i="2"/>
  <c r="AX1090" i="2"/>
  <c r="AY1090" i="2"/>
  <c r="AX1091" i="2"/>
  <c r="AY1091" i="2"/>
  <c r="AX1092" i="2"/>
  <c r="AY1092" i="2"/>
  <c r="AX1093" i="2"/>
  <c r="AY1093" i="2"/>
  <c r="AX1094" i="2"/>
  <c r="AY1094" i="2"/>
  <c r="AX1095" i="2"/>
  <c r="AY1095" i="2"/>
  <c r="AX1096" i="2"/>
  <c r="AY1096" i="2"/>
  <c r="AX1097" i="2"/>
  <c r="AY1097" i="2"/>
  <c r="AX1098" i="2"/>
  <c r="AY1098" i="2"/>
  <c r="AX1099" i="2"/>
  <c r="AY1099" i="2"/>
  <c r="AX1100" i="2"/>
  <c r="AY1100" i="2"/>
  <c r="AX1101" i="2"/>
  <c r="AY1101" i="2"/>
  <c r="AX1102" i="2"/>
  <c r="AY1102" i="2"/>
  <c r="AX1103" i="2"/>
  <c r="AY1103" i="2"/>
  <c r="AX1104" i="2"/>
  <c r="AY1104" i="2"/>
  <c r="AX1105" i="2"/>
  <c r="AY1105" i="2"/>
  <c r="AX1106" i="2"/>
  <c r="AY1106" i="2"/>
  <c r="AX1107" i="2"/>
  <c r="AY1107" i="2"/>
  <c r="AX1108" i="2"/>
  <c r="AY1108" i="2"/>
  <c r="AX1109" i="2"/>
  <c r="AY1109" i="2"/>
  <c r="AX1110" i="2"/>
  <c r="AY1110" i="2"/>
  <c r="AX1111" i="2"/>
  <c r="AY1111" i="2"/>
  <c r="AX1112" i="2"/>
  <c r="AY1112" i="2"/>
  <c r="AX1113" i="2"/>
  <c r="AY1113" i="2"/>
  <c r="AX1114" i="2"/>
  <c r="AY1114" i="2"/>
  <c r="AX1115" i="2"/>
  <c r="AY1115" i="2"/>
  <c r="AX1116" i="2"/>
  <c r="AY1116" i="2"/>
  <c r="AX1117" i="2"/>
  <c r="AY1117" i="2"/>
  <c r="AX1118" i="2"/>
  <c r="AY1118" i="2"/>
  <c r="AX1119" i="2"/>
  <c r="AY1119" i="2"/>
  <c r="AX1120" i="2"/>
  <c r="AY1120" i="2"/>
  <c r="AX1121" i="2"/>
  <c r="AY1121" i="2"/>
  <c r="AX1122" i="2"/>
  <c r="AY1122" i="2"/>
  <c r="AX1123" i="2"/>
  <c r="AY1123" i="2"/>
  <c r="AX1124" i="2"/>
  <c r="AY1124" i="2"/>
  <c r="AK1125" i="2"/>
  <c r="AX1125" i="2"/>
  <c r="AY1125" i="2"/>
  <c r="AK1126" i="2"/>
  <c r="AX1126" i="2"/>
  <c r="AY1126" i="2"/>
  <c r="AK1127" i="2"/>
  <c r="AX1127" i="2"/>
  <c r="AY1127" i="2"/>
  <c r="AK1128" i="2"/>
  <c r="AX1128" i="2"/>
  <c r="AY1128" i="2"/>
  <c r="AK1129" i="2"/>
  <c r="AX1129" i="2"/>
  <c r="AY1129" i="2"/>
  <c r="AK1130" i="2"/>
  <c r="AX1130" i="2"/>
  <c r="AY1130" i="2"/>
  <c r="AK1131" i="2"/>
  <c r="AX1131" i="2"/>
  <c r="AY1131" i="2"/>
  <c r="AK1132" i="2"/>
  <c r="AX1132" i="2"/>
  <c r="AY1132" i="2"/>
  <c r="AK1133" i="2"/>
  <c r="AX1133" i="2"/>
  <c r="AY1133" i="2"/>
  <c r="AK1134" i="2"/>
  <c r="AX1134" i="2"/>
  <c r="AY1134" i="2"/>
  <c r="AK1135" i="2"/>
  <c r="AX1135" i="2"/>
  <c r="AY1135" i="2"/>
  <c r="AK1136" i="2"/>
  <c r="AX1136" i="2"/>
  <c r="AY1136" i="2"/>
  <c r="AK1137" i="2"/>
  <c r="AX1137" i="2"/>
  <c r="AY1137" i="2"/>
  <c r="AK1138" i="2"/>
  <c r="AX1138" i="2"/>
  <c r="AY1138" i="2"/>
  <c r="AK1139" i="2"/>
  <c r="AX1139" i="2"/>
  <c r="AY1139" i="2"/>
  <c r="AK1140" i="2"/>
  <c r="AX1140" i="2"/>
  <c r="AY1140" i="2"/>
  <c r="AK1141" i="2"/>
  <c r="AX1141" i="2"/>
  <c r="AY1141" i="2"/>
  <c r="AK1142" i="2"/>
  <c r="AX1142" i="2"/>
  <c r="AY1142" i="2"/>
  <c r="AK1143" i="2"/>
  <c r="AX1143" i="2"/>
  <c r="AY1143" i="2"/>
  <c r="AK1144" i="2"/>
  <c r="AX1144" i="2"/>
  <c r="AY1144" i="2"/>
  <c r="AK1145" i="2"/>
  <c r="AX1145" i="2"/>
  <c r="AY1145" i="2"/>
  <c r="AK1146" i="2"/>
  <c r="AX1146" i="2"/>
  <c r="AY1146" i="2"/>
  <c r="AK1147" i="2"/>
  <c r="AX1147" i="2"/>
  <c r="AY1147" i="2"/>
  <c r="AK1148" i="2"/>
  <c r="AX1148" i="2"/>
  <c r="AY1148" i="2"/>
  <c r="AK1149" i="2"/>
  <c r="AX1149" i="2"/>
  <c r="AY1149" i="2"/>
  <c r="AK1150" i="2"/>
  <c r="AX1150" i="2"/>
  <c r="AY1150" i="2"/>
  <c r="AK1151" i="2"/>
  <c r="AX1151" i="2"/>
  <c r="AY1151" i="2"/>
  <c r="AK1152" i="2"/>
  <c r="AX1152" i="2"/>
  <c r="AY1152" i="2"/>
  <c r="AK1153" i="2"/>
  <c r="AX1153" i="2"/>
  <c r="AY1153" i="2"/>
  <c r="AK1154" i="2"/>
  <c r="AX1154" i="2"/>
  <c r="AY1154" i="2"/>
  <c r="AK1155" i="2"/>
  <c r="AX1155" i="2"/>
  <c r="AY1155" i="2"/>
  <c r="AK1156" i="2"/>
  <c r="AX1156" i="2"/>
  <c r="AY1156" i="2"/>
  <c r="AK1157" i="2"/>
  <c r="AX1157" i="2"/>
  <c r="AY1157" i="2"/>
  <c r="AK1158" i="2"/>
  <c r="AX1158" i="2"/>
  <c r="AY1158" i="2"/>
  <c r="AK1159" i="2"/>
  <c r="AX1159" i="2"/>
  <c r="AY1159" i="2"/>
  <c r="AK1160" i="2"/>
  <c r="AX1160" i="2"/>
  <c r="AY1160" i="2"/>
  <c r="AK1161" i="2"/>
  <c r="AX1161" i="2"/>
  <c r="AY1161" i="2"/>
  <c r="AK1162" i="2"/>
  <c r="AX1162" i="2"/>
  <c r="AY1162" i="2"/>
  <c r="AK1163" i="2"/>
  <c r="AX1163" i="2"/>
  <c r="AY1163" i="2"/>
  <c r="AK1164" i="2"/>
  <c r="AX1164" i="2"/>
  <c r="AY1164" i="2"/>
  <c r="AK1165" i="2"/>
  <c r="AX1165" i="2"/>
  <c r="AY1165" i="2"/>
  <c r="AK1166" i="2"/>
  <c r="AX1166" i="2"/>
  <c r="AY1166" i="2"/>
  <c r="AK1167" i="2"/>
  <c r="AX1167" i="2"/>
  <c r="AY1167" i="2"/>
  <c r="AK1168" i="2"/>
  <c r="AX1168" i="2"/>
  <c r="AY1168" i="2"/>
  <c r="AK1169" i="2"/>
  <c r="AX1169" i="2"/>
  <c r="AY1169" i="2"/>
  <c r="AK1170" i="2"/>
  <c r="AX1170" i="2"/>
  <c r="AY1170" i="2"/>
  <c r="AK1171" i="2"/>
  <c r="AX1171" i="2"/>
  <c r="AY1171" i="2"/>
  <c r="AK1172" i="2"/>
  <c r="AX1172" i="2"/>
  <c r="AY1172" i="2"/>
  <c r="AK1173" i="2"/>
  <c r="AX1173" i="2"/>
  <c r="AY1173" i="2"/>
  <c r="AK1174" i="2"/>
  <c r="AX1174" i="2"/>
  <c r="AY1174" i="2"/>
  <c r="AK1175" i="2"/>
  <c r="AX1175" i="2"/>
  <c r="AY1175" i="2"/>
  <c r="AK1176" i="2"/>
  <c r="AX1176" i="2"/>
  <c r="AY1176" i="2"/>
  <c r="AK1177" i="2"/>
  <c r="AX1177" i="2"/>
  <c r="AY1177" i="2"/>
  <c r="AK1178" i="2"/>
  <c r="AX1178" i="2"/>
  <c r="AY1178" i="2"/>
  <c r="AK1179" i="2"/>
  <c r="AX1179" i="2"/>
  <c r="AY1179" i="2"/>
  <c r="AK1180" i="2"/>
  <c r="AX1180" i="2"/>
  <c r="AY1180" i="2"/>
  <c r="AK1181" i="2"/>
  <c r="AX1181" i="2"/>
  <c r="AY1181" i="2"/>
  <c r="AK1182" i="2"/>
  <c r="AX1182" i="2"/>
  <c r="AY1182" i="2"/>
  <c r="AK1183" i="2"/>
  <c r="AX1183" i="2"/>
  <c r="AY1183" i="2"/>
  <c r="AK1184" i="2"/>
  <c r="AX1184" i="2"/>
  <c r="AY1184" i="2"/>
  <c r="AK1185" i="2"/>
  <c r="AX1185" i="2"/>
  <c r="AY1185" i="2"/>
  <c r="AK1186" i="2"/>
  <c r="AX1186" i="2"/>
  <c r="AY1186" i="2"/>
  <c r="AK1187" i="2"/>
  <c r="AX1187" i="2"/>
  <c r="AY1187" i="2"/>
  <c r="AK1188" i="2"/>
  <c r="AX1188" i="2"/>
  <c r="AY1188" i="2"/>
  <c r="AK1189" i="2"/>
  <c r="AX1189" i="2"/>
  <c r="AY1189" i="2"/>
  <c r="AK1190" i="2"/>
  <c r="AX1190" i="2"/>
  <c r="AY1190" i="2"/>
  <c r="AK1191" i="2"/>
  <c r="AX1191" i="2"/>
  <c r="AY1191" i="2"/>
  <c r="AK1192" i="2"/>
  <c r="AX1192" i="2"/>
  <c r="AY1192" i="2"/>
  <c r="AK1193" i="2"/>
  <c r="AX1193" i="2"/>
  <c r="AY1193" i="2"/>
  <c r="AK1194" i="2"/>
  <c r="AX1194" i="2"/>
  <c r="AY1194" i="2"/>
  <c r="AK1195" i="2"/>
  <c r="AX1195" i="2"/>
  <c r="AY1195" i="2"/>
  <c r="AK1196" i="2"/>
  <c r="AX1196" i="2"/>
  <c r="AY1196" i="2"/>
  <c r="AK1197" i="2"/>
  <c r="AX1197" i="2"/>
  <c r="AY1197" i="2"/>
  <c r="AK1198" i="2"/>
  <c r="AX1198" i="2"/>
  <c r="AY1198" i="2"/>
  <c r="AK1199" i="2"/>
  <c r="AX1199" i="2"/>
  <c r="AY1199" i="2"/>
  <c r="AK1200" i="2"/>
  <c r="AX1200" i="2"/>
  <c r="AY1200" i="2"/>
  <c r="AK1201" i="2"/>
  <c r="AX1201" i="2"/>
  <c r="AY1201" i="2"/>
  <c r="AK1202" i="2"/>
  <c r="AX1202" i="2"/>
  <c r="AY1202" i="2"/>
  <c r="AK1203" i="2"/>
  <c r="AX1203" i="2"/>
  <c r="AY1203" i="2"/>
  <c r="AK1204" i="2"/>
  <c r="AX1204" i="2"/>
  <c r="AY1204" i="2"/>
  <c r="AK1205" i="2"/>
  <c r="AX1205" i="2"/>
  <c r="AY1205" i="2"/>
  <c r="AK1206" i="2"/>
  <c r="AX1206" i="2"/>
  <c r="AY1206" i="2"/>
  <c r="AK1207" i="2"/>
  <c r="AX1207" i="2"/>
  <c r="AY1207" i="2"/>
  <c r="AK1208" i="2"/>
  <c r="AX1208" i="2"/>
  <c r="AY1208" i="2"/>
  <c r="AK1209" i="2"/>
  <c r="AX1209" i="2"/>
  <c r="AY1209" i="2"/>
  <c r="AK1210" i="2"/>
  <c r="AX1210" i="2"/>
  <c r="AY1210" i="2"/>
  <c r="AK1211" i="2"/>
  <c r="AX1211" i="2"/>
  <c r="AY1211" i="2"/>
  <c r="AK1212" i="2"/>
  <c r="AX1212" i="2"/>
  <c r="AY1212" i="2"/>
  <c r="AK1213" i="2"/>
  <c r="AX1213" i="2"/>
  <c r="AY1213" i="2"/>
  <c r="AK1214" i="2"/>
  <c r="AX1214" i="2"/>
  <c r="AY1214" i="2"/>
  <c r="AK1215" i="2"/>
  <c r="AX1215" i="2"/>
  <c r="AY1215" i="2"/>
  <c r="AK1216" i="2"/>
  <c r="AX1216" i="2"/>
  <c r="AY1216" i="2"/>
  <c r="AK1217" i="2"/>
  <c r="AX1217" i="2"/>
  <c r="AY1217" i="2"/>
  <c r="AK1218" i="2"/>
  <c r="AX1218" i="2"/>
  <c r="AY1218" i="2"/>
  <c r="AK1219" i="2"/>
  <c r="AX1219" i="2"/>
  <c r="AY1219" i="2"/>
  <c r="AK1220" i="2"/>
  <c r="AX1220" i="2"/>
  <c r="AY1220" i="2"/>
  <c r="AK1221" i="2"/>
  <c r="AX1221" i="2"/>
  <c r="AY1221" i="2"/>
  <c r="AK1222" i="2"/>
  <c r="AX1222" i="2"/>
  <c r="AY1222" i="2"/>
  <c r="AK1223" i="2"/>
  <c r="AX1223" i="2"/>
  <c r="AY1223" i="2"/>
  <c r="AK1224" i="2"/>
  <c r="AX1224" i="2"/>
  <c r="AY1224" i="2"/>
  <c r="AK1225" i="2"/>
  <c r="AX1225" i="2"/>
  <c r="AY1225" i="2"/>
  <c r="AK1226" i="2"/>
  <c r="AX1226" i="2"/>
  <c r="AY1226" i="2"/>
  <c r="AK1227" i="2"/>
  <c r="AX1227" i="2"/>
  <c r="AY1227" i="2"/>
  <c r="AK1228" i="2"/>
  <c r="AX1228" i="2"/>
  <c r="AY1228" i="2"/>
  <c r="AK1229" i="2"/>
  <c r="AX1229" i="2"/>
  <c r="AY1229" i="2"/>
  <c r="AK1230" i="2"/>
  <c r="AX1230" i="2"/>
  <c r="AY1230" i="2"/>
  <c r="AK1231" i="2"/>
  <c r="AX1231" i="2"/>
  <c r="AY1231" i="2"/>
  <c r="AK1232" i="2"/>
  <c r="AX1232" i="2"/>
  <c r="AY1232" i="2"/>
  <c r="AK1233" i="2"/>
  <c r="AX1233" i="2"/>
  <c r="AY1233" i="2"/>
  <c r="AK1234" i="2"/>
  <c r="AX1234" i="2"/>
  <c r="AY1234" i="2"/>
  <c r="AK1235" i="2"/>
  <c r="AX1235" i="2"/>
  <c r="AY1235" i="2"/>
  <c r="AK1236" i="2"/>
  <c r="AX1236" i="2"/>
  <c r="AY1236" i="2"/>
  <c r="AK1237" i="2"/>
  <c r="AX1237" i="2"/>
  <c r="AY1237" i="2"/>
  <c r="AK1238" i="2"/>
  <c r="AX1238" i="2"/>
  <c r="AY1238" i="2"/>
  <c r="AK1239" i="2"/>
  <c r="AX1239" i="2"/>
  <c r="AY1239" i="2"/>
  <c r="AK1240" i="2"/>
  <c r="AX1240" i="2"/>
  <c r="AY1240" i="2"/>
  <c r="AK1241" i="2"/>
  <c r="AX1241" i="2"/>
  <c r="AY1241" i="2"/>
  <c r="AK1242" i="2"/>
  <c r="AX1242" i="2"/>
  <c r="AY1242" i="2"/>
  <c r="AK1243" i="2"/>
  <c r="AX1243" i="2"/>
  <c r="AY1243" i="2"/>
  <c r="AK1244" i="2"/>
  <c r="AX1244" i="2"/>
  <c r="AY1244" i="2"/>
  <c r="AK1245" i="2"/>
  <c r="AX1245" i="2"/>
  <c r="AY1245" i="2"/>
  <c r="AK1246" i="2"/>
  <c r="AX1246" i="2"/>
  <c r="AY1246" i="2"/>
  <c r="AK1247" i="2"/>
  <c r="AX1247" i="2"/>
  <c r="AY1247" i="2"/>
  <c r="AK1248" i="2"/>
  <c r="AX1248" i="2"/>
  <c r="AY1248" i="2"/>
  <c r="AK1249" i="2"/>
  <c r="AX1249" i="2"/>
  <c r="AY1249" i="2"/>
  <c r="AK1250" i="2"/>
  <c r="AX1250" i="2"/>
  <c r="AY1250" i="2"/>
  <c r="AK1251" i="2"/>
  <c r="AX1251" i="2"/>
  <c r="AY1251" i="2"/>
  <c r="AK1252" i="2"/>
  <c r="AX1252" i="2"/>
  <c r="AY1252" i="2"/>
  <c r="AK1253" i="2"/>
  <c r="AX1253" i="2"/>
  <c r="AY1253" i="2"/>
  <c r="AK1254" i="2"/>
  <c r="AX1254" i="2"/>
  <c r="AY1254" i="2"/>
  <c r="AK1255" i="2"/>
  <c r="AX1255" i="2"/>
  <c r="AY1255" i="2"/>
  <c r="AK1256" i="2"/>
  <c r="AX1256" i="2"/>
  <c r="AY1256" i="2"/>
  <c r="AK1257" i="2"/>
  <c r="AX1257" i="2"/>
  <c r="AY1257" i="2"/>
  <c r="AK1258" i="2"/>
  <c r="AX1258" i="2"/>
  <c r="AY1258" i="2"/>
  <c r="AK1259" i="2"/>
  <c r="AX1259" i="2"/>
  <c r="AY1259" i="2"/>
  <c r="AK1260" i="2"/>
  <c r="AX1260" i="2"/>
  <c r="AY1260" i="2"/>
  <c r="AK1261" i="2"/>
  <c r="AX1261" i="2"/>
  <c r="AY1261" i="2"/>
  <c r="AK1262" i="2"/>
  <c r="AX1262" i="2"/>
  <c r="AY1262" i="2"/>
  <c r="AK1263" i="2"/>
  <c r="AX1263" i="2"/>
  <c r="AY1263" i="2"/>
  <c r="AK1264" i="2"/>
  <c r="AX1264" i="2"/>
  <c r="AY1264" i="2"/>
  <c r="AK1265" i="2"/>
  <c r="AX1265" i="2"/>
  <c r="AY1265" i="2"/>
  <c r="AK1266" i="2"/>
  <c r="AX1266" i="2"/>
  <c r="AY1266" i="2"/>
  <c r="AK1267" i="2"/>
  <c r="AX1267" i="2"/>
  <c r="AY1267" i="2"/>
  <c r="AK1268" i="2"/>
  <c r="AX1268" i="2"/>
  <c r="AY1268" i="2"/>
  <c r="AK1269" i="2"/>
  <c r="AX1269" i="2"/>
  <c r="AY1269" i="2"/>
  <c r="AK1270" i="2"/>
  <c r="AX1270" i="2"/>
  <c r="AY1270" i="2"/>
  <c r="AK1271" i="2"/>
  <c r="AX1271" i="2"/>
  <c r="AY1271" i="2"/>
  <c r="AK1272" i="2"/>
  <c r="AX1272" i="2"/>
  <c r="AY1272" i="2"/>
  <c r="AK1273" i="2"/>
  <c r="AX1273" i="2"/>
  <c r="AY1273" i="2"/>
  <c r="AK1274" i="2"/>
  <c r="AX1274" i="2"/>
  <c r="AY1274" i="2"/>
  <c r="AK1275" i="2"/>
  <c r="AX1275" i="2"/>
  <c r="AY1275" i="2"/>
  <c r="AK1276" i="2"/>
  <c r="AX1276" i="2"/>
  <c r="AY1276" i="2"/>
  <c r="AK1277" i="2"/>
  <c r="AX1277" i="2"/>
  <c r="AY1277" i="2"/>
  <c r="AK1278" i="2"/>
  <c r="AX1278" i="2"/>
  <c r="AY1278" i="2"/>
  <c r="AK1279" i="2"/>
  <c r="AX1279" i="2"/>
  <c r="AY1279" i="2"/>
  <c r="AK1280" i="2"/>
  <c r="AX1280" i="2"/>
  <c r="AY1280" i="2"/>
  <c r="AK1281" i="2"/>
  <c r="AX1281" i="2"/>
  <c r="AY1281" i="2"/>
  <c r="AK1282" i="2"/>
  <c r="AX1282" i="2"/>
  <c r="AY1282" i="2"/>
  <c r="AK1283" i="2"/>
  <c r="AX1283" i="2"/>
  <c r="AY1283" i="2"/>
  <c r="AK1284" i="2"/>
  <c r="AX1284" i="2"/>
  <c r="AY1284" i="2"/>
  <c r="AK1285" i="2"/>
  <c r="AX1285" i="2"/>
  <c r="AY1285" i="2"/>
  <c r="AK1286" i="2"/>
  <c r="AX1286" i="2"/>
  <c r="AY1286" i="2"/>
  <c r="AK1287" i="2"/>
  <c r="AX1287" i="2"/>
  <c r="AY1287" i="2"/>
  <c r="AK1288" i="2"/>
  <c r="AX1288" i="2"/>
  <c r="AY1288" i="2"/>
  <c r="AK1289" i="2"/>
  <c r="AX1289" i="2"/>
  <c r="AY1289" i="2"/>
  <c r="AK1290" i="2"/>
  <c r="AX1290" i="2"/>
  <c r="AY1290" i="2"/>
  <c r="AK1291" i="2"/>
  <c r="AX1291" i="2"/>
  <c r="AY1291" i="2"/>
  <c r="AK1292" i="2"/>
  <c r="AX1292" i="2"/>
  <c r="AY1292" i="2"/>
  <c r="AK1293" i="2"/>
  <c r="AX1293" i="2"/>
  <c r="AY1293" i="2"/>
  <c r="AK1294" i="2"/>
  <c r="AX1294" i="2"/>
  <c r="AY1294" i="2"/>
  <c r="AK1295" i="2"/>
  <c r="AX1295" i="2"/>
  <c r="AY1295" i="2"/>
  <c r="AK1296" i="2"/>
  <c r="AX1296" i="2"/>
  <c r="AY1296" i="2"/>
  <c r="AK1297" i="2"/>
  <c r="AX1297" i="2"/>
  <c r="AY1297" i="2"/>
  <c r="AK1298" i="2"/>
  <c r="AX1298" i="2"/>
  <c r="AY1298" i="2"/>
  <c r="AK1299" i="2"/>
  <c r="AX1299" i="2"/>
  <c r="AY1299" i="2"/>
  <c r="AK1300" i="2"/>
  <c r="AX1300" i="2"/>
  <c r="AY1300" i="2"/>
  <c r="AK1301" i="2"/>
  <c r="AX1301" i="2"/>
  <c r="AY1301" i="2"/>
  <c r="AK1302" i="2"/>
  <c r="AX1302" i="2"/>
  <c r="AY1302" i="2"/>
  <c r="AK1303" i="2"/>
  <c r="AX1303" i="2"/>
  <c r="AY1303" i="2"/>
  <c r="AK1304" i="2"/>
  <c r="AX1304" i="2"/>
  <c r="AY1304" i="2"/>
  <c r="AK1305" i="2"/>
  <c r="AX1305" i="2"/>
  <c r="AY1305" i="2"/>
  <c r="AK1306" i="2"/>
  <c r="AX1306" i="2"/>
  <c r="AY1306" i="2"/>
  <c r="AK1307" i="2"/>
  <c r="AX1307" i="2"/>
  <c r="AY1307" i="2"/>
  <c r="AK1308" i="2"/>
  <c r="AX1308" i="2"/>
  <c r="AY1308" i="2"/>
  <c r="AK1309" i="2"/>
  <c r="AX1309" i="2"/>
  <c r="AY1309" i="2"/>
  <c r="AK1310" i="2"/>
  <c r="AX1310" i="2"/>
  <c r="AY1310" i="2"/>
  <c r="AK1311" i="2"/>
  <c r="AX1311" i="2"/>
  <c r="AY1311" i="2"/>
  <c r="AK1312" i="2"/>
  <c r="AX1312" i="2"/>
  <c r="AY1312" i="2"/>
  <c r="AK1313" i="2"/>
  <c r="AX1313" i="2"/>
  <c r="AY1313" i="2"/>
  <c r="AK1314" i="2"/>
  <c r="AX1314" i="2"/>
  <c r="AY1314" i="2"/>
  <c r="AK1315" i="2"/>
  <c r="AX1315" i="2"/>
  <c r="AY1315" i="2"/>
  <c r="AK1316" i="2"/>
  <c r="AX1316" i="2"/>
  <c r="AY1316" i="2"/>
  <c r="AK1317" i="2"/>
  <c r="AX1317" i="2"/>
  <c r="AY1317" i="2"/>
  <c r="AK1318" i="2"/>
  <c r="AX1318" i="2"/>
  <c r="AY1318" i="2"/>
  <c r="AK1319" i="2"/>
  <c r="AX1319" i="2"/>
  <c r="AY1319" i="2"/>
  <c r="AK1320" i="2"/>
  <c r="AX1320" i="2"/>
  <c r="AY1320" i="2"/>
  <c r="AK1321" i="2"/>
  <c r="AX1321" i="2"/>
  <c r="AY1321" i="2"/>
  <c r="AK1322" i="2"/>
  <c r="AX1322" i="2"/>
  <c r="AY1322" i="2"/>
  <c r="AK1323" i="2"/>
  <c r="AX1323" i="2"/>
  <c r="AY1323" i="2"/>
  <c r="AK1324" i="2"/>
  <c r="AX1324" i="2"/>
  <c r="AY1324" i="2"/>
  <c r="AK1325" i="2"/>
  <c r="AX1325" i="2"/>
  <c r="AY1325" i="2"/>
  <c r="AK1326" i="2"/>
  <c r="AX1326" i="2"/>
  <c r="AY1326" i="2"/>
  <c r="AK1327" i="2"/>
  <c r="AX1327" i="2"/>
  <c r="AY1327" i="2"/>
  <c r="AK1328" i="2"/>
  <c r="AX1328" i="2"/>
  <c r="AY1328" i="2"/>
  <c r="AK1329" i="2"/>
  <c r="AX1329" i="2"/>
  <c r="AY1329" i="2"/>
  <c r="AK1330" i="2"/>
  <c r="AX1330" i="2"/>
  <c r="AY1330" i="2"/>
  <c r="AK1331" i="2"/>
  <c r="AX1331" i="2"/>
  <c r="AY1331" i="2"/>
  <c r="AK1332" i="2"/>
  <c r="AX1332" i="2"/>
  <c r="AY1332" i="2"/>
  <c r="AK1333" i="2"/>
  <c r="AX1333" i="2"/>
  <c r="AY1333" i="2"/>
  <c r="AK1334" i="2"/>
  <c r="AX1334" i="2"/>
  <c r="AY1334" i="2"/>
  <c r="AK1335" i="2"/>
  <c r="AX1335" i="2"/>
  <c r="AY1335" i="2"/>
  <c r="AK1336" i="2"/>
  <c r="AX1336" i="2"/>
  <c r="AY1336" i="2"/>
  <c r="AK1337" i="2"/>
  <c r="AX1337" i="2"/>
  <c r="AY1337" i="2"/>
  <c r="AK1338" i="2"/>
  <c r="AX1338" i="2"/>
  <c r="AY1338" i="2"/>
  <c r="AK1339" i="2"/>
  <c r="AX1339" i="2"/>
  <c r="AY1339" i="2"/>
  <c r="AK1340" i="2"/>
  <c r="AX1340" i="2"/>
  <c r="AY1340" i="2"/>
  <c r="AK1341" i="2"/>
  <c r="AX1341" i="2"/>
  <c r="AY1341" i="2"/>
  <c r="AK1342" i="2"/>
  <c r="AX1342" i="2"/>
  <c r="AY1342" i="2"/>
  <c r="AK1343" i="2"/>
  <c r="AX1343" i="2"/>
  <c r="AY1343" i="2"/>
  <c r="AK1344" i="2"/>
  <c r="AX1344" i="2"/>
  <c r="AY1344" i="2"/>
  <c r="AK1345" i="2"/>
  <c r="AX1345" i="2"/>
  <c r="AY1345" i="2"/>
  <c r="AK1346" i="2"/>
  <c r="AX1346" i="2"/>
  <c r="AY1346" i="2"/>
  <c r="AK1347" i="2"/>
  <c r="AX1347" i="2"/>
  <c r="AY1347" i="2"/>
  <c r="AK1348" i="2"/>
  <c r="AX1348" i="2"/>
  <c r="AY1348" i="2"/>
  <c r="AK1349" i="2"/>
  <c r="AX1349" i="2"/>
  <c r="AY1349" i="2"/>
  <c r="AK1350" i="2"/>
  <c r="AX1350" i="2"/>
  <c r="AY1350" i="2"/>
  <c r="AK1351" i="2"/>
  <c r="AX1351" i="2"/>
  <c r="AY1351" i="2"/>
  <c r="AK1352" i="2"/>
  <c r="AX1352" i="2"/>
  <c r="AY1352" i="2"/>
  <c r="AK1353" i="2"/>
  <c r="AX1353" i="2"/>
  <c r="AY1353" i="2"/>
  <c r="AK1354" i="2"/>
  <c r="AX1354" i="2"/>
  <c r="AY1354" i="2"/>
  <c r="AK1355" i="2"/>
  <c r="AX1355" i="2"/>
  <c r="AY1355" i="2"/>
  <c r="AK1356" i="2"/>
  <c r="AX1356" i="2"/>
  <c r="AY1356" i="2"/>
  <c r="AK1357" i="2"/>
  <c r="AX1357" i="2"/>
  <c r="AY1357" i="2"/>
  <c r="AK1358" i="2"/>
  <c r="AX1358" i="2"/>
  <c r="AY1358" i="2"/>
  <c r="AK1359" i="2"/>
  <c r="AX1359" i="2"/>
  <c r="AY1359" i="2"/>
  <c r="AK1360" i="2"/>
  <c r="AX1360" i="2"/>
  <c r="AY1360" i="2"/>
  <c r="AK1361" i="2"/>
  <c r="AX1361" i="2"/>
  <c r="AY1361" i="2"/>
  <c r="AK1362" i="2"/>
  <c r="AX1362" i="2"/>
  <c r="AY1362" i="2"/>
  <c r="AK1363" i="2"/>
  <c r="AX1363" i="2"/>
  <c r="AY1363" i="2"/>
  <c r="AK1364" i="2"/>
  <c r="AX1364" i="2"/>
  <c r="AY1364" i="2"/>
  <c r="AK1365" i="2"/>
  <c r="AX1365" i="2"/>
  <c r="AY1365" i="2"/>
  <c r="AK1366" i="2"/>
  <c r="AX1366" i="2"/>
  <c r="AY1366" i="2"/>
  <c r="AK1367" i="2"/>
  <c r="AX1367" i="2"/>
  <c r="AY1367" i="2"/>
  <c r="AK1368" i="2"/>
  <c r="AX1368" i="2"/>
  <c r="AY1368" i="2"/>
  <c r="AK1369" i="2"/>
  <c r="AX1369" i="2"/>
  <c r="AY1369" i="2"/>
  <c r="AK1370" i="2"/>
  <c r="AX1370" i="2"/>
  <c r="AY1370" i="2"/>
  <c r="AK1371" i="2"/>
  <c r="AX1371" i="2"/>
  <c r="AY1371" i="2"/>
  <c r="AK1372" i="2"/>
  <c r="AX1372" i="2"/>
  <c r="AY1372" i="2"/>
  <c r="AK1373" i="2"/>
  <c r="AX1373" i="2"/>
  <c r="AY1373" i="2"/>
  <c r="AK1374" i="2"/>
  <c r="AX1374" i="2"/>
  <c r="AY1374" i="2"/>
  <c r="AK1375" i="2"/>
  <c r="AX1375" i="2"/>
  <c r="AY1375" i="2"/>
  <c r="AK1376" i="2"/>
  <c r="AX1376" i="2"/>
  <c r="AY1376" i="2"/>
  <c r="AK1377" i="2"/>
  <c r="AX1377" i="2"/>
  <c r="AY1377" i="2"/>
  <c r="AK1378" i="2"/>
  <c r="AX1378" i="2"/>
  <c r="AY1378" i="2"/>
  <c r="AK1379" i="2"/>
  <c r="AX1379" i="2"/>
  <c r="AY1379" i="2"/>
  <c r="AK1380" i="2"/>
  <c r="AX1380" i="2"/>
  <c r="AY1380" i="2"/>
  <c r="AK1381" i="2"/>
  <c r="AX1381" i="2"/>
  <c r="AY1381" i="2"/>
  <c r="AK1382" i="2"/>
  <c r="AX1382" i="2"/>
  <c r="AY1382" i="2"/>
  <c r="AK1383" i="2"/>
  <c r="AX1383" i="2"/>
  <c r="AY1383" i="2"/>
  <c r="AK1384" i="2"/>
  <c r="AX1384" i="2"/>
  <c r="AY1384" i="2"/>
  <c r="AK1385" i="2"/>
  <c r="AX1385" i="2"/>
  <c r="AY1385" i="2"/>
  <c r="AK1386" i="2"/>
  <c r="AX1386" i="2"/>
  <c r="AY1386" i="2"/>
  <c r="AK1387" i="2"/>
  <c r="AX1387" i="2"/>
  <c r="AY1387" i="2"/>
  <c r="AK1388" i="2"/>
  <c r="AX1388" i="2"/>
  <c r="AY1388" i="2"/>
  <c r="AK1389" i="2"/>
  <c r="AX1389" i="2"/>
  <c r="AY1389" i="2"/>
  <c r="AK1390" i="2"/>
  <c r="AX1390" i="2"/>
  <c r="AY1390" i="2"/>
  <c r="AK1391" i="2"/>
  <c r="AX1391" i="2"/>
  <c r="AY1391" i="2"/>
  <c r="AK1392" i="2"/>
  <c r="AX1392" i="2"/>
  <c r="AY1392" i="2"/>
  <c r="AK1393" i="2"/>
  <c r="AX1393" i="2"/>
  <c r="AY1393" i="2"/>
  <c r="AK1394" i="2"/>
  <c r="AX1394" i="2"/>
  <c r="AY1394" i="2"/>
  <c r="AK1395" i="2"/>
  <c r="AX1395" i="2"/>
  <c r="AY1395" i="2"/>
  <c r="AK1396" i="2"/>
  <c r="AX1396" i="2"/>
  <c r="AY1396" i="2"/>
  <c r="AK1397" i="2"/>
  <c r="AX1397" i="2"/>
  <c r="AY1397" i="2"/>
  <c r="AK1398" i="2"/>
  <c r="AX1398" i="2"/>
  <c r="AY1398" i="2"/>
  <c r="AK1399" i="2"/>
  <c r="AX1399" i="2"/>
  <c r="AY1399" i="2"/>
  <c r="AK1400" i="2"/>
  <c r="AX1400" i="2"/>
  <c r="AY1400" i="2"/>
  <c r="AK1401" i="2"/>
  <c r="AX1401" i="2"/>
  <c r="AY1401" i="2"/>
  <c r="AK1402" i="2"/>
  <c r="AX1402" i="2"/>
  <c r="AY1402" i="2"/>
  <c r="AK1403" i="2"/>
  <c r="AX1403" i="2"/>
  <c r="AY1403" i="2"/>
  <c r="AK1404" i="2"/>
  <c r="AX1404" i="2"/>
  <c r="AY1404" i="2"/>
  <c r="AK1405" i="2"/>
  <c r="AX1405" i="2"/>
  <c r="AY1405" i="2"/>
  <c r="AK1406" i="2"/>
  <c r="AX1406" i="2"/>
  <c r="AY1406" i="2"/>
  <c r="AK1407" i="2"/>
  <c r="AX1407" i="2"/>
  <c r="AY1407" i="2"/>
  <c r="AK1408" i="2"/>
  <c r="AX1408" i="2"/>
  <c r="AY1408" i="2"/>
  <c r="AK1409" i="2"/>
  <c r="AX1409" i="2"/>
  <c r="AY1409" i="2"/>
  <c r="AK1410" i="2"/>
  <c r="AX1410" i="2"/>
  <c r="AY1410" i="2"/>
  <c r="AK1411" i="2"/>
  <c r="AX1411" i="2"/>
  <c r="AY1411" i="2"/>
  <c r="AK1412" i="2"/>
  <c r="AX1412" i="2"/>
  <c r="AY1412" i="2"/>
  <c r="AK1413" i="2"/>
  <c r="AX1413" i="2"/>
  <c r="AY1413" i="2"/>
  <c r="AK1414" i="2"/>
  <c r="AX1414" i="2"/>
  <c r="AY1414" i="2"/>
  <c r="AK1415" i="2"/>
  <c r="AX1415" i="2"/>
  <c r="AY1415" i="2"/>
  <c r="AK1416" i="2"/>
  <c r="AX1416" i="2"/>
  <c r="AY1416" i="2"/>
  <c r="AK1417" i="2"/>
  <c r="AX1417" i="2"/>
  <c r="AY1417" i="2"/>
  <c r="AK1418" i="2"/>
  <c r="AX1418" i="2"/>
  <c r="AY1418" i="2"/>
  <c r="AK1419" i="2"/>
  <c r="AX1419" i="2"/>
  <c r="AY1419" i="2"/>
  <c r="AK1420" i="2"/>
  <c r="AX1420" i="2"/>
  <c r="AY1420" i="2"/>
  <c r="AK1421" i="2"/>
  <c r="AX1421" i="2"/>
  <c r="AY1421" i="2"/>
  <c r="AK1422" i="2"/>
  <c r="AX1422" i="2"/>
  <c r="AY1422" i="2"/>
  <c r="AK1423" i="2"/>
  <c r="AX1423" i="2"/>
  <c r="AY1423" i="2"/>
  <c r="AK1424" i="2"/>
  <c r="AX1424" i="2"/>
  <c r="AY1424" i="2"/>
  <c r="AK1425" i="2"/>
  <c r="AX1425" i="2"/>
  <c r="AY1425" i="2"/>
  <c r="AK1426" i="2"/>
  <c r="AX1426" i="2"/>
  <c r="AY1426" i="2"/>
  <c r="AK1427" i="2"/>
  <c r="AX1427" i="2"/>
  <c r="AY1427" i="2"/>
  <c r="AK1428" i="2"/>
  <c r="AX1428" i="2"/>
  <c r="AY1428" i="2"/>
  <c r="AK1429" i="2"/>
  <c r="AX1429" i="2"/>
  <c r="AY1429" i="2"/>
  <c r="AK1430" i="2"/>
  <c r="AX1430" i="2"/>
  <c r="AY1430" i="2"/>
  <c r="AK1431" i="2"/>
  <c r="AX1431" i="2"/>
  <c r="AY1431" i="2"/>
  <c r="AK1432" i="2"/>
  <c r="AX1432" i="2"/>
  <c r="AY1432" i="2"/>
  <c r="AK1433" i="2"/>
  <c r="AX1433" i="2"/>
  <c r="AY1433" i="2"/>
  <c r="AK1434" i="2"/>
  <c r="AX1434" i="2"/>
  <c r="AY1434" i="2"/>
  <c r="AK1435" i="2"/>
  <c r="AX1435" i="2"/>
  <c r="AY1435" i="2"/>
  <c r="AK1436" i="2"/>
  <c r="AX1436" i="2"/>
  <c r="AY1436" i="2"/>
  <c r="AK1437" i="2"/>
  <c r="AX1437" i="2"/>
  <c r="AY1437" i="2"/>
  <c r="AK1438" i="2"/>
  <c r="AX1438" i="2"/>
  <c r="AY1438" i="2"/>
  <c r="AK1439" i="2"/>
  <c r="AX1439" i="2"/>
  <c r="AY1439" i="2"/>
  <c r="AK1440" i="2"/>
  <c r="AX1440" i="2"/>
  <c r="AY1440" i="2"/>
  <c r="AK1441" i="2"/>
  <c r="AX1441" i="2"/>
  <c r="AY1441" i="2"/>
  <c r="AK1442" i="2"/>
  <c r="AX1442" i="2"/>
  <c r="AY1442" i="2"/>
  <c r="AK1443" i="2"/>
  <c r="AX1443" i="2"/>
  <c r="AY1443" i="2"/>
  <c r="AK1444" i="2"/>
  <c r="AX1444" i="2"/>
  <c r="AY1444" i="2"/>
  <c r="AK1445" i="2"/>
  <c r="AX1445" i="2"/>
  <c r="AY1445" i="2"/>
  <c r="AK1446" i="2"/>
  <c r="AX1446" i="2"/>
  <c r="AY1446" i="2"/>
  <c r="AK1447" i="2"/>
  <c r="AX1447" i="2"/>
  <c r="AY1447" i="2"/>
  <c r="AK1448" i="2"/>
  <c r="AX1448" i="2"/>
  <c r="AY1448" i="2"/>
  <c r="AK1449" i="2"/>
  <c r="AX1449" i="2"/>
  <c r="AY1449" i="2"/>
  <c r="AK1450" i="2"/>
  <c r="AX1450" i="2"/>
  <c r="AY1450" i="2"/>
  <c r="AK1451" i="2"/>
  <c r="AX1451" i="2"/>
  <c r="AY1451" i="2"/>
  <c r="AK1452" i="2"/>
  <c r="AX1452" i="2"/>
  <c r="AY1452" i="2"/>
  <c r="AK1453" i="2"/>
  <c r="AX1453" i="2"/>
  <c r="AY1453" i="2"/>
  <c r="AK1454" i="2"/>
  <c r="AX1454" i="2"/>
  <c r="AY1454" i="2"/>
  <c r="AK1455" i="2"/>
  <c r="AX1455" i="2"/>
  <c r="AY1455" i="2"/>
  <c r="AK1456" i="2"/>
  <c r="AX1456" i="2"/>
  <c r="AY1456" i="2"/>
  <c r="AK1457" i="2"/>
  <c r="AX1457" i="2"/>
  <c r="AY1457" i="2"/>
  <c r="AK1458" i="2"/>
  <c r="AX1458" i="2"/>
  <c r="AY1458" i="2"/>
  <c r="AK1459" i="2"/>
  <c r="AX1459" i="2"/>
  <c r="AY1459" i="2"/>
  <c r="AK1460" i="2"/>
  <c r="AX1460" i="2"/>
  <c r="AY1460" i="2"/>
  <c r="AK1461" i="2"/>
  <c r="AX1461" i="2"/>
  <c r="AY1461" i="2"/>
  <c r="AK1462" i="2"/>
  <c r="AX1462" i="2"/>
  <c r="AY1462" i="2"/>
  <c r="AK1463" i="2"/>
  <c r="AX1463" i="2"/>
  <c r="AY1463" i="2"/>
  <c r="AK1464" i="2"/>
  <c r="AX1464" i="2"/>
  <c r="AY1464" i="2"/>
  <c r="AK1465" i="2"/>
  <c r="AX1465" i="2"/>
  <c r="AY1465" i="2"/>
  <c r="AK1466" i="2"/>
  <c r="AX1466" i="2"/>
  <c r="AY1466" i="2"/>
  <c r="AK1467" i="2"/>
  <c r="AX1467" i="2"/>
  <c r="AY1467" i="2"/>
  <c r="AK1468" i="2"/>
  <c r="AX1468" i="2"/>
  <c r="AY1468" i="2"/>
  <c r="AK1469" i="2"/>
  <c r="AX1469" i="2"/>
  <c r="AY1469" i="2"/>
  <c r="AK1470" i="2"/>
  <c r="AX1470" i="2"/>
  <c r="AY1470" i="2"/>
  <c r="AK1471" i="2"/>
  <c r="AX1471" i="2"/>
  <c r="AY1471" i="2"/>
  <c r="AK1472" i="2"/>
  <c r="AX1472" i="2"/>
  <c r="AY1472" i="2"/>
  <c r="AK1473" i="2"/>
  <c r="AX1473" i="2"/>
  <c r="AY1473" i="2"/>
  <c r="AK1474" i="2"/>
  <c r="AX1474" i="2"/>
  <c r="AY1474" i="2"/>
  <c r="AK1475" i="2"/>
  <c r="AX1475" i="2"/>
  <c r="AY1475" i="2"/>
  <c r="AK1476" i="2"/>
  <c r="AX1476" i="2"/>
  <c r="AY1476" i="2"/>
  <c r="AK1477" i="2"/>
  <c r="AX1477" i="2"/>
  <c r="AY1477" i="2"/>
  <c r="AK1478" i="2"/>
  <c r="AX1478" i="2"/>
  <c r="AY1478" i="2"/>
  <c r="AK1479" i="2"/>
  <c r="AX1479" i="2"/>
  <c r="AY1479" i="2"/>
  <c r="AK1480" i="2"/>
  <c r="AX1480" i="2"/>
  <c r="AY1480" i="2"/>
  <c r="AK1481" i="2"/>
  <c r="AX1481" i="2"/>
  <c r="AY1481" i="2"/>
  <c r="AK1482" i="2"/>
  <c r="AX1482" i="2"/>
  <c r="AY1482" i="2"/>
  <c r="AK1483" i="2"/>
  <c r="AX1483" i="2"/>
  <c r="AY1483" i="2"/>
  <c r="AK1484" i="2"/>
  <c r="AX1484" i="2"/>
  <c r="AY1484" i="2"/>
  <c r="AK1485" i="2"/>
  <c r="AX1485" i="2"/>
  <c r="AY1485" i="2"/>
  <c r="AK1486" i="2"/>
  <c r="AX1486" i="2"/>
  <c r="AY1486" i="2"/>
  <c r="AK1487" i="2"/>
  <c r="AX1487" i="2"/>
  <c r="AY1487" i="2"/>
  <c r="AK1488" i="2"/>
  <c r="AX1488" i="2"/>
  <c r="AY1488" i="2"/>
  <c r="AK1489" i="2"/>
  <c r="AX1489" i="2"/>
  <c r="AY1489" i="2"/>
  <c r="AK1490" i="2"/>
  <c r="AX1490" i="2"/>
  <c r="AY1490" i="2"/>
  <c r="AK1491" i="2"/>
  <c r="AX1491" i="2"/>
  <c r="AY1491" i="2"/>
  <c r="AK1492" i="2"/>
  <c r="AX1492" i="2"/>
  <c r="AY1492" i="2"/>
  <c r="AK1493" i="2"/>
  <c r="AX1493" i="2"/>
  <c r="AY1493" i="2"/>
  <c r="AK1494" i="2"/>
  <c r="AX1494" i="2"/>
  <c r="AY1494" i="2"/>
  <c r="AK1495" i="2"/>
  <c r="AX1495" i="2"/>
  <c r="AY1495" i="2"/>
  <c r="AK1496" i="2"/>
  <c r="AX1496" i="2"/>
  <c r="AY1496" i="2"/>
  <c r="AK1497" i="2"/>
  <c r="AX1497" i="2"/>
  <c r="AY1497" i="2"/>
  <c r="AK1498" i="2"/>
  <c r="AX1498" i="2"/>
  <c r="AY1498" i="2"/>
  <c r="AK1499" i="2"/>
  <c r="AX1499" i="2"/>
  <c r="AY1499" i="2"/>
  <c r="AK1500" i="2"/>
  <c r="AX1500" i="2"/>
  <c r="AY1500" i="2"/>
  <c r="AK1501" i="2"/>
  <c r="AX1501" i="2"/>
  <c r="AY1501" i="2"/>
  <c r="AK1502" i="2"/>
  <c r="AX1502" i="2"/>
  <c r="AY1502" i="2"/>
  <c r="AK1503" i="2"/>
  <c r="AX1503" i="2"/>
  <c r="AY1503" i="2"/>
  <c r="AK1504" i="2"/>
  <c r="AX1504" i="2"/>
  <c r="AY1504" i="2"/>
  <c r="AK1505" i="2"/>
  <c r="AX1505" i="2"/>
  <c r="AY1505" i="2"/>
  <c r="AK1506" i="2"/>
  <c r="AX1506" i="2"/>
  <c r="AY1506" i="2"/>
  <c r="AK1507" i="2"/>
  <c r="AX1507" i="2"/>
  <c r="AY1507" i="2"/>
  <c r="AK1508" i="2"/>
  <c r="AX1508" i="2"/>
  <c r="AY1508" i="2"/>
  <c r="AK1509" i="2"/>
  <c r="AX1509" i="2"/>
  <c r="AY1509" i="2"/>
  <c r="AK1510" i="2"/>
  <c r="AX1510" i="2"/>
  <c r="AY1510" i="2"/>
  <c r="AK1511" i="2"/>
  <c r="AX1511" i="2"/>
  <c r="AY1511" i="2"/>
  <c r="AK1512" i="2"/>
  <c r="AX1512" i="2"/>
  <c r="AY1512" i="2"/>
  <c r="AK1513" i="2"/>
  <c r="AX1513" i="2"/>
  <c r="AY1513" i="2"/>
  <c r="AK1514" i="2"/>
  <c r="AX1514" i="2"/>
  <c r="AY1514" i="2"/>
  <c r="AK1515" i="2"/>
  <c r="AX1515" i="2"/>
  <c r="AY1515" i="2"/>
  <c r="AK1516" i="2"/>
  <c r="AX1516" i="2"/>
  <c r="AY1516" i="2"/>
  <c r="AK1517" i="2"/>
  <c r="AX1517" i="2"/>
  <c r="AY1517" i="2"/>
  <c r="AK1518" i="2"/>
  <c r="AX1518" i="2"/>
  <c r="AY1518" i="2"/>
  <c r="AK1519" i="2"/>
  <c r="AX1519" i="2"/>
  <c r="AY1519" i="2"/>
  <c r="AK1520" i="2"/>
  <c r="AX1520" i="2"/>
  <c r="AY1520" i="2"/>
  <c r="AK1521" i="2"/>
  <c r="AX1521" i="2"/>
  <c r="AY1521" i="2"/>
  <c r="AK1522" i="2"/>
  <c r="AX1522" i="2"/>
  <c r="AY1522" i="2"/>
  <c r="AK1523" i="2"/>
  <c r="AX1523" i="2"/>
  <c r="AY1523" i="2"/>
  <c r="AK1524" i="2"/>
  <c r="AX1524" i="2"/>
  <c r="AY1524" i="2"/>
  <c r="AK1525" i="2"/>
  <c r="AX1525" i="2"/>
  <c r="AY1525" i="2"/>
  <c r="AK1526" i="2"/>
  <c r="AX1526" i="2"/>
  <c r="AY1526" i="2"/>
  <c r="AK1527" i="2"/>
  <c r="AX1527" i="2"/>
  <c r="AY1527" i="2"/>
  <c r="AK1528" i="2"/>
  <c r="AX1528" i="2"/>
  <c r="AY1528" i="2"/>
  <c r="AK1529" i="2"/>
  <c r="AX1529" i="2"/>
  <c r="AY1529" i="2"/>
  <c r="AK1530" i="2"/>
  <c r="AX1530" i="2"/>
  <c r="AY1530" i="2"/>
  <c r="AK1531" i="2"/>
  <c r="AX1531" i="2"/>
  <c r="AY1531" i="2"/>
  <c r="AK1532" i="2"/>
  <c r="AX1532" i="2"/>
  <c r="AY1532" i="2"/>
  <c r="AK1533" i="2"/>
  <c r="AX1533" i="2"/>
  <c r="AY1533" i="2"/>
  <c r="AK1534" i="2"/>
  <c r="AX1534" i="2"/>
  <c r="AY1534" i="2"/>
  <c r="AK1535" i="2"/>
  <c r="AX1535" i="2"/>
  <c r="AY1535" i="2"/>
  <c r="AK1536" i="2"/>
  <c r="AX1536" i="2"/>
  <c r="AY1536" i="2"/>
  <c r="AK1537" i="2"/>
  <c r="AX1537" i="2"/>
  <c r="AY1537" i="2"/>
  <c r="AK1538" i="2"/>
  <c r="AX1538" i="2"/>
  <c r="AY1538" i="2"/>
  <c r="AK1539" i="2"/>
  <c r="AX1539" i="2"/>
  <c r="AY1539" i="2"/>
  <c r="AK1540" i="2"/>
  <c r="AX1540" i="2"/>
  <c r="AY1540" i="2"/>
  <c r="AK1541" i="2"/>
  <c r="AX1541" i="2"/>
  <c r="AY1541" i="2"/>
  <c r="AK1542" i="2"/>
  <c r="AX1542" i="2"/>
  <c r="AY1542" i="2"/>
  <c r="AK1543" i="2"/>
  <c r="AX1543" i="2"/>
  <c r="AY1543" i="2"/>
  <c r="AK1544" i="2"/>
  <c r="AX1544" i="2"/>
  <c r="AY1544" i="2"/>
  <c r="AK1545" i="2"/>
  <c r="AX1545" i="2"/>
  <c r="AY1545" i="2"/>
  <c r="AK1546" i="2"/>
  <c r="AX1546" i="2"/>
  <c r="AY1546" i="2"/>
  <c r="AK1547" i="2"/>
  <c r="AX1547" i="2"/>
  <c r="AY1547" i="2"/>
  <c r="AK1548" i="2"/>
  <c r="AX1548" i="2"/>
  <c r="AY1548" i="2"/>
  <c r="AK1549" i="2"/>
  <c r="AX1549" i="2"/>
  <c r="AY1549" i="2"/>
  <c r="AK1550" i="2"/>
  <c r="AX1550" i="2"/>
  <c r="AY1550" i="2"/>
  <c r="AK1551" i="2"/>
  <c r="AX1551" i="2"/>
  <c r="AY1551" i="2"/>
  <c r="AK1552" i="2"/>
  <c r="AX1552" i="2"/>
  <c r="AY1552" i="2"/>
  <c r="AK1553" i="2"/>
  <c r="AX1553" i="2"/>
  <c r="AY1553" i="2"/>
  <c r="AK1554" i="2"/>
  <c r="AX1554" i="2"/>
  <c r="AY1554" i="2"/>
  <c r="AK1555" i="2"/>
  <c r="AX1555" i="2"/>
  <c r="AY1555" i="2"/>
  <c r="AK1556" i="2"/>
  <c r="AX1556" i="2"/>
  <c r="AY1556" i="2"/>
  <c r="AK1557" i="2"/>
  <c r="AX1557" i="2"/>
  <c r="AY1557" i="2"/>
  <c r="AK1558" i="2"/>
  <c r="AX1558" i="2"/>
  <c r="AY1558" i="2"/>
  <c r="AK1559" i="2"/>
  <c r="AX1559" i="2"/>
  <c r="AY1559" i="2"/>
  <c r="AK1560" i="2"/>
  <c r="AX1560" i="2"/>
  <c r="AY1560" i="2"/>
  <c r="AK1561" i="2"/>
  <c r="AX1561" i="2"/>
  <c r="AY1561" i="2"/>
  <c r="AK1562" i="2"/>
  <c r="AX1562" i="2"/>
  <c r="AY1562" i="2"/>
  <c r="AK1563" i="2"/>
  <c r="AX1563" i="2"/>
  <c r="AY1563" i="2"/>
  <c r="AK1564" i="2"/>
  <c r="AX1564" i="2"/>
  <c r="AY1564" i="2"/>
  <c r="AK1565" i="2"/>
  <c r="AX1565" i="2"/>
  <c r="AY1565" i="2"/>
  <c r="AK1566" i="2"/>
  <c r="AX1566" i="2"/>
  <c r="AY1566" i="2"/>
  <c r="AK1567" i="2"/>
  <c r="AX1567" i="2"/>
  <c r="AY1567" i="2"/>
  <c r="AK1568" i="2"/>
  <c r="AX1568" i="2"/>
  <c r="AY1568" i="2"/>
  <c r="AK1569" i="2"/>
  <c r="AX1569" i="2"/>
  <c r="AY1569" i="2"/>
  <c r="AK1570" i="2"/>
  <c r="AX1570" i="2"/>
  <c r="AY1570" i="2"/>
  <c r="AK1571" i="2"/>
  <c r="AX1571" i="2"/>
  <c r="AY1571" i="2"/>
  <c r="AK1572" i="2"/>
  <c r="AX1572" i="2"/>
  <c r="AY1572" i="2"/>
  <c r="AK1573" i="2"/>
  <c r="AX1573" i="2"/>
  <c r="AY1573" i="2"/>
  <c r="AK1574" i="2"/>
  <c r="AX1574" i="2"/>
  <c r="AY1574" i="2"/>
  <c r="AK1575" i="2"/>
  <c r="AX1575" i="2"/>
  <c r="AY1575" i="2"/>
  <c r="AK1576" i="2"/>
  <c r="AX1576" i="2"/>
  <c r="AY1576" i="2"/>
  <c r="AK1577" i="2"/>
  <c r="AX1577" i="2"/>
  <c r="AY1577" i="2"/>
  <c r="AK1578" i="2"/>
  <c r="AX1578" i="2"/>
  <c r="AY1578" i="2"/>
  <c r="AK1579" i="2"/>
  <c r="AX1579" i="2"/>
  <c r="AY1579" i="2"/>
  <c r="AK1580" i="2"/>
  <c r="AX1580" i="2"/>
  <c r="AY1580" i="2"/>
  <c r="AK1581" i="2"/>
  <c r="AX1581" i="2"/>
  <c r="AY1581" i="2"/>
  <c r="AK1582" i="2"/>
  <c r="AX1582" i="2"/>
  <c r="AY1582" i="2"/>
  <c r="AK1583" i="2"/>
  <c r="AX1583" i="2"/>
  <c r="AY1583" i="2"/>
  <c r="AK1584" i="2"/>
  <c r="AX1584" i="2"/>
  <c r="AY1584" i="2"/>
  <c r="AK1585" i="2"/>
  <c r="AX1585" i="2"/>
  <c r="AY1585" i="2"/>
  <c r="AK1586" i="2"/>
  <c r="AX1586" i="2"/>
  <c r="AY1586" i="2"/>
  <c r="AK1587" i="2"/>
  <c r="AX1587" i="2"/>
  <c r="AY1587" i="2"/>
  <c r="AK1588" i="2"/>
  <c r="AX1588" i="2"/>
  <c r="AY1588" i="2"/>
  <c r="AK1589" i="2"/>
  <c r="AX1589" i="2"/>
  <c r="AY1589" i="2"/>
  <c r="AK1590" i="2"/>
  <c r="AX1590" i="2"/>
  <c r="AY1590" i="2"/>
  <c r="AK1591" i="2"/>
  <c r="AX1591" i="2"/>
  <c r="AY1591" i="2"/>
  <c r="AK1592" i="2"/>
  <c r="AX1592" i="2"/>
  <c r="AY1592" i="2"/>
  <c r="AK1593" i="2"/>
  <c r="AX1593" i="2"/>
  <c r="AY1593" i="2"/>
  <c r="AK1594" i="2"/>
  <c r="AX1594" i="2"/>
  <c r="AY1594" i="2"/>
  <c r="AK1595" i="2"/>
  <c r="AX1595" i="2"/>
  <c r="AY1595" i="2"/>
  <c r="AK1596" i="2"/>
  <c r="AX1596" i="2"/>
  <c r="AY1596" i="2"/>
  <c r="AK1597" i="2"/>
  <c r="AX1597" i="2"/>
  <c r="AY1597" i="2"/>
  <c r="AK1598" i="2"/>
  <c r="AX1598" i="2"/>
  <c r="AY1598" i="2"/>
  <c r="AK1599" i="2"/>
  <c r="AX1599" i="2"/>
  <c r="AY1599" i="2"/>
  <c r="AK1600" i="2"/>
  <c r="AX1600" i="2"/>
  <c r="AY1600" i="2"/>
  <c r="AK1601" i="2"/>
  <c r="AX1601" i="2"/>
  <c r="AY1601" i="2"/>
  <c r="AK1602" i="2"/>
  <c r="AX1602" i="2"/>
  <c r="AY1602" i="2"/>
  <c r="AK1603" i="2"/>
  <c r="AX1603" i="2"/>
  <c r="AY1603" i="2"/>
  <c r="AK1604" i="2"/>
  <c r="AX1604" i="2"/>
  <c r="AY1604" i="2"/>
  <c r="AK1605" i="2"/>
  <c r="AX1605" i="2"/>
  <c r="AY1605" i="2"/>
  <c r="AK1606" i="2"/>
  <c r="AX1606" i="2"/>
  <c r="AY1606" i="2"/>
  <c r="AK1607" i="2"/>
  <c r="AX1607" i="2"/>
  <c r="AY1607" i="2"/>
  <c r="AK1608" i="2"/>
  <c r="AX1608" i="2"/>
  <c r="AY1608" i="2"/>
  <c r="AK1609" i="2"/>
  <c r="AX1609" i="2"/>
  <c r="AY1609" i="2"/>
  <c r="AK1610" i="2"/>
  <c r="AX1610" i="2"/>
  <c r="AY1610" i="2"/>
  <c r="AK1611" i="2"/>
  <c r="AX1611" i="2"/>
  <c r="AY1611" i="2"/>
  <c r="AK1612" i="2"/>
  <c r="AX1612" i="2"/>
  <c r="AY1612" i="2"/>
  <c r="AK1613" i="2"/>
  <c r="AX1613" i="2"/>
  <c r="AY1613" i="2"/>
  <c r="AK1614" i="2"/>
  <c r="AX1614" i="2"/>
  <c r="AY1614" i="2"/>
  <c r="AK1615" i="2"/>
  <c r="AX1615" i="2"/>
  <c r="AY1615" i="2"/>
  <c r="AK1616" i="2"/>
  <c r="AX1616" i="2"/>
  <c r="AY1616" i="2"/>
  <c r="AK1617" i="2"/>
  <c r="AX1617" i="2"/>
  <c r="AY1617" i="2"/>
  <c r="AK1618" i="2"/>
  <c r="AX1618" i="2"/>
  <c r="AY1618" i="2"/>
  <c r="AK1619" i="2"/>
  <c r="AX1619" i="2"/>
  <c r="AY1619" i="2"/>
  <c r="AK1620" i="2"/>
  <c r="AX1620" i="2"/>
  <c r="AY1620" i="2"/>
  <c r="AK1621" i="2"/>
  <c r="AX1621" i="2"/>
  <c r="AY1621" i="2"/>
  <c r="AK1622" i="2"/>
  <c r="AX1622" i="2"/>
  <c r="AY1622" i="2"/>
  <c r="AK1623" i="2"/>
  <c r="AX1623" i="2"/>
  <c r="AY1623" i="2"/>
  <c r="AK1624" i="2"/>
  <c r="AX1624" i="2"/>
  <c r="AY1624" i="2"/>
  <c r="AK1625" i="2"/>
  <c r="AX1625" i="2"/>
  <c r="AY1625" i="2"/>
  <c r="AK1626" i="2"/>
  <c r="AX1626" i="2"/>
  <c r="AY1626" i="2"/>
  <c r="AK1627" i="2"/>
  <c r="AX1627" i="2"/>
  <c r="AY1627" i="2"/>
  <c r="AK1628" i="2"/>
  <c r="AX1628" i="2"/>
  <c r="AY1628" i="2"/>
  <c r="AK1629" i="2"/>
  <c r="AX1629" i="2"/>
  <c r="AY1629" i="2"/>
  <c r="AK1630" i="2"/>
  <c r="AX1630" i="2"/>
  <c r="AY1630" i="2"/>
  <c r="AK1631" i="2"/>
  <c r="AX1631" i="2"/>
  <c r="AY1631" i="2"/>
  <c r="AK1632" i="2"/>
  <c r="AX1632" i="2"/>
  <c r="AY1632" i="2"/>
  <c r="AK1633" i="2"/>
  <c r="AX1633" i="2"/>
  <c r="AY1633" i="2"/>
  <c r="AK1634" i="2"/>
  <c r="AX1634" i="2"/>
  <c r="AY1634" i="2"/>
  <c r="AK1635" i="2"/>
  <c r="AX1635" i="2"/>
  <c r="AY1635" i="2"/>
  <c r="AK1636" i="2"/>
  <c r="AX1636" i="2"/>
  <c r="AY1636" i="2"/>
  <c r="AK1637" i="2"/>
  <c r="AX1637" i="2"/>
  <c r="AY1637" i="2"/>
  <c r="AK1638" i="2"/>
  <c r="AX1638" i="2"/>
  <c r="AY1638" i="2"/>
  <c r="AK1639" i="2"/>
  <c r="AX1639" i="2"/>
  <c r="AY1639" i="2"/>
  <c r="AK1640" i="2"/>
  <c r="AX1640" i="2"/>
  <c r="AY1640" i="2"/>
  <c r="AK1641" i="2"/>
  <c r="AX1641" i="2"/>
  <c r="AY1641" i="2"/>
  <c r="AK1642" i="2"/>
  <c r="AX1642" i="2"/>
  <c r="AY1642" i="2"/>
  <c r="AK1643" i="2"/>
  <c r="AX1643" i="2"/>
  <c r="AY1643" i="2"/>
  <c r="AK1644" i="2"/>
  <c r="AX1644" i="2"/>
  <c r="AY1644" i="2"/>
  <c r="AK1645" i="2"/>
  <c r="AX1645" i="2"/>
  <c r="AY1645" i="2"/>
  <c r="AK1646" i="2"/>
  <c r="AX1646" i="2"/>
  <c r="AY1646" i="2"/>
  <c r="AK1647" i="2"/>
  <c r="AX1647" i="2"/>
  <c r="AY1647" i="2"/>
  <c r="AK1648" i="2"/>
  <c r="AX1648" i="2"/>
  <c r="AY1648" i="2"/>
  <c r="AK1649" i="2"/>
  <c r="AX1649" i="2"/>
  <c r="AY1649" i="2"/>
  <c r="AK1650" i="2"/>
  <c r="AX1650" i="2"/>
  <c r="AY1650" i="2"/>
  <c r="AK1651" i="2"/>
  <c r="AX1651" i="2"/>
  <c r="AY1651" i="2"/>
  <c r="AK1652" i="2"/>
  <c r="AX1652" i="2"/>
  <c r="AY1652" i="2"/>
  <c r="AK1653" i="2"/>
  <c r="AX1653" i="2"/>
  <c r="AY1653" i="2"/>
  <c r="AK1654" i="2"/>
  <c r="AX1654" i="2"/>
  <c r="AY1654" i="2"/>
  <c r="AK1655" i="2"/>
  <c r="AX1655" i="2"/>
  <c r="AY1655" i="2"/>
  <c r="AK1656" i="2"/>
  <c r="AX1656" i="2"/>
  <c r="AY1656" i="2"/>
  <c r="AK1657" i="2"/>
  <c r="AX1657" i="2"/>
  <c r="AY1657" i="2"/>
  <c r="AK1658" i="2"/>
  <c r="AX1658" i="2"/>
  <c r="AY1658" i="2"/>
  <c r="AK1659" i="2"/>
  <c r="AX1659" i="2"/>
  <c r="AY1659" i="2"/>
  <c r="AK1660" i="2"/>
  <c r="AX1660" i="2"/>
  <c r="AY1660" i="2"/>
  <c r="AK1661" i="2"/>
  <c r="AX1661" i="2"/>
  <c r="AY1661" i="2"/>
  <c r="AK1662" i="2"/>
  <c r="AX1662" i="2"/>
  <c r="AY1662" i="2"/>
  <c r="AK1663" i="2"/>
  <c r="AX1663" i="2"/>
  <c r="AY1663" i="2"/>
  <c r="AK1664" i="2"/>
  <c r="AX1664" i="2"/>
  <c r="AY1664" i="2"/>
  <c r="AK1665" i="2"/>
  <c r="AX1665" i="2"/>
  <c r="AY1665" i="2"/>
  <c r="AK1666" i="2"/>
  <c r="AX1666" i="2"/>
  <c r="AY1666" i="2"/>
  <c r="AK1667" i="2"/>
  <c r="AX1667" i="2"/>
  <c r="AY1667" i="2"/>
  <c r="AK1668" i="2"/>
  <c r="AX1668" i="2"/>
  <c r="AY1668" i="2"/>
  <c r="AK1669" i="2"/>
  <c r="AX1669" i="2"/>
  <c r="AY1669" i="2"/>
  <c r="AK1670" i="2"/>
  <c r="AX1670" i="2"/>
  <c r="AY1670" i="2"/>
  <c r="AK1671" i="2"/>
  <c r="AX1671" i="2"/>
  <c r="AY1671" i="2"/>
  <c r="AK1672" i="2"/>
  <c r="AX1672" i="2"/>
  <c r="AY1672" i="2"/>
  <c r="AK1673" i="2"/>
  <c r="AX1673" i="2"/>
  <c r="AY1673" i="2"/>
  <c r="AK1674" i="2"/>
  <c r="AX1674" i="2"/>
  <c r="AY1674" i="2"/>
  <c r="AK1675" i="2"/>
  <c r="AX1675" i="2"/>
  <c r="AY1675" i="2"/>
  <c r="AK1676" i="2"/>
  <c r="AX1676" i="2"/>
  <c r="AY1676" i="2"/>
  <c r="AK1677" i="2"/>
  <c r="AX1677" i="2"/>
  <c r="AY1677" i="2"/>
  <c r="AK1678" i="2"/>
  <c r="AX1678" i="2"/>
  <c r="AY1678" i="2"/>
  <c r="AK1679" i="2"/>
  <c r="AX1679" i="2"/>
  <c r="AY1679" i="2"/>
  <c r="AK1680" i="2"/>
  <c r="AX1680" i="2"/>
  <c r="AY1680" i="2"/>
  <c r="AK1681" i="2"/>
  <c r="AX1681" i="2"/>
  <c r="AY1681" i="2"/>
  <c r="AK1682" i="2"/>
  <c r="AX1682" i="2"/>
  <c r="AY1682" i="2"/>
  <c r="AK1683" i="2"/>
  <c r="AX1683" i="2"/>
  <c r="AY1683" i="2"/>
  <c r="AK1684" i="2"/>
  <c r="AX1684" i="2"/>
  <c r="AY1684" i="2"/>
  <c r="AK1685" i="2"/>
  <c r="AX1685" i="2"/>
  <c r="AY1685" i="2"/>
  <c r="AK1686" i="2"/>
  <c r="AX1686" i="2"/>
  <c r="AY1686" i="2"/>
  <c r="AK1687" i="2"/>
  <c r="AX1687" i="2"/>
  <c r="AY1687" i="2"/>
  <c r="AK1688" i="2"/>
  <c r="AX1688" i="2"/>
  <c r="AY1688" i="2"/>
  <c r="AK1689" i="2"/>
  <c r="AX1689" i="2"/>
  <c r="AY1689" i="2"/>
  <c r="AD6" i="2"/>
  <c r="AI12" i="2"/>
  <c r="AA38" i="2"/>
  <c r="S94" i="2"/>
  <c r="S103" i="2"/>
  <c r="S81" i="2"/>
  <c r="S92" i="2"/>
  <c r="S102" i="2"/>
  <c r="S100" i="2"/>
  <c r="S89" i="2"/>
  <c r="S87" i="2"/>
  <c r="S74" i="2"/>
  <c r="S97" i="2"/>
  <c r="S59" i="2"/>
  <c r="S76" i="2"/>
  <c r="S66" i="2"/>
  <c r="S101" i="2"/>
  <c r="S93" i="2"/>
  <c r="S85" i="2"/>
  <c r="S75" i="2"/>
  <c r="S84" i="2"/>
  <c r="S99" i="2"/>
  <c r="S91" i="2"/>
  <c r="S83" i="2"/>
  <c r="S61" i="2"/>
  <c r="S98" i="2"/>
  <c r="S90" i="2"/>
  <c r="S82" i="2"/>
  <c r="S69" i="2"/>
  <c r="S104" i="2"/>
  <c r="S96" i="2"/>
  <c r="S88" i="2"/>
  <c r="S58" i="2"/>
  <c r="S68" i="2"/>
  <c r="S77" i="2"/>
  <c r="S67" i="2"/>
  <c r="S49" i="2"/>
  <c r="S73" i="2"/>
  <c r="S65" i="2"/>
  <c r="S57" i="2"/>
  <c r="S36" i="2"/>
  <c r="S48" i="2"/>
  <c r="S80" i="2"/>
  <c r="S72" i="2"/>
  <c r="S64" i="2"/>
  <c r="S56" i="2"/>
  <c r="S47" i="2"/>
  <c r="S79" i="2"/>
  <c r="S71" i="2"/>
  <c r="S63" i="2"/>
  <c r="S55" i="2"/>
  <c r="S78" i="2"/>
  <c r="S70" i="2"/>
  <c r="S62" i="2"/>
  <c r="S54" i="2"/>
  <c r="S45" i="2"/>
  <c r="S52" i="2"/>
  <c r="S60" i="2"/>
  <c r="S51" i="2"/>
  <c r="S50" i="2"/>
  <c r="S33" i="2"/>
  <c r="S53" i="2"/>
  <c r="S42" i="2"/>
  <c r="S27" i="2"/>
  <c r="L4" i="2"/>
  <c r="S40" i="2"/>
  <c r="S31" i="2"/>
  <c r="S26" i="2"/>
  <c r="S16" i="2"/>
  <c r="S44" i="2"/>
  <c r="S35" i="2"/>
  <c r="S30" i="2"/>
  <c r="S21" i="2"/>
  <c r="S15" i="2"/>
  <c r="S39" i="2"/>
  <c r="S34" i="2"/>
  <c r="S25" i="2"/>
  <c r="S43" i="2"/>
  <c r="S20" i="2"/>
  <c r="S14" i="2"/>
  <c r="S38" i="2"/>
  <c r="S29" i="2"/>
  <c r="S24" i="2"/>
  <c r="S19" i="2"/>
  <c r="S13" i="2"/>
  <c r="S28" i="2"/>
  <c r="S46" i="2"/>
  <c r="S37" i="2"/>
  <c r="S18" i="2"/>
  <c r="S32" i="2"/>
  <c r="S23" i="2"/>
  <c r="S41" i="2"/>
  <c r="S12" i="2"/>
  <c r="S22" i="2"/>
  <c r="J12" i="2"/>
  <c r="J824" i="2" s="1"/>
  <c r="L5" i="2"/>
  <c r="S86" i="2"/>
  <c r="AA24" i="2"/>
  <c r="AI13" i="2" l="1"/>
  <c r="AA19" i="2"/>
  <c r="AB19" i="2" s="1"/>
  <c r="AG21" i="2" s="1"/>
  <c r="AB17" i="2"/>
  <c r="AG11" i="2" s="1"/>
  <c r="AA18" i="2"/>
  <c r="AB18" i="2" s="1"/>
  <c r="AF5" i="2"/>
  <c r="AG5" i="2" s="1"/>
  <c r="AF7" i="2"/>
  <c r="AG7" i="2" s="1"/>
  <c r="AF9" i="2"/>
  <c r="S122" i="2"/>
  <c r="S106" i="2"/>
  <c r="S120" i="2"/>
  <c r="S119" i="2"/>
  <c r="V27" i="2"/>
  <c r="U27" i="2" s="1"/>
  <c r="S105" i="2"/>
  <c r="V16" i="2"/>
  <c r="U16" i="2" s="1"/>
  <c r="V62" i="2"/>
  <c r="U62" i="2" s="1"/>
  <c r="V38" i="2"/>
  <c r="U38" i="2" s="1"/>
  <c r="S157" i="2"/>
  <c r="S153" i="2"/>
  <c r="S149" i="2"/>
  <c r="S145" i="2"/>
  <c r="S141" i="2"/>
  <c r="S137" i="2"/>
  <c r="S133" i="2"/>
  <c r="S129" i="2"/>
  <c r="S125" i="2"/>
  <c r="S121" i="2"/>
  <c r="S117" i="2"/>
  <c r="S113" i="2"/>
  <c r="V21" i="2"/>
  <c r="U21" i="2" s="1"/>
  <c r="S111" i="2"/>
  <c r="S109" i="2"/>
  <c r="S108" i="2"/>
  <c r="J668" i="2"/>
  <c r="J775" i="2"/>
  <c r="J534" i="2"/>
  <c r="J101" i="2"/>
  <c r="V35" i="2"/>
  <c r="U35" i="2" s="1"/>
  <c r="V42" i="2"/>
  <c r="U42" i="2" s="1"/>
  <c r="J35" i="2"/>
  <c r="J804" i="2"/>
  <c r="J995" i="2"/>
  <c r="J254" i="2"/>
  <c r="J383" i="2"/>
  <c r="J369" i="2"/>
  <c r="J24" i="2"/>
  <c r="J644" i="2"/>
  <c r="J109" i="2"/>
  <c r="J882" i="2"/>
  <c r="J692" i="2"/>
  <c r="J963" i="2"/>
  <c r="J116" i="2"/>
  <c r="J985" i="2"/>
  <c r="V97" i="2"/>
  <c r="U97" i="2" s="1"/>
  <c r="J417" i="2"/>
  <c r="J365" i="2"/>
  <c r="J353" i="2"/>
  <c r="J862" i="2"/>
  <c r="J80" i="2"/>
  <c r="J150" i="2"/>
  <c r="J259" i="2"/>
  <c r="J253" i="2"/>
  <c r="J523" i="2"/>
  <c r="J672" i="2"/>
  <c r="J707" i="2"/>
  <c r="J988" i="2"/>
  <c r="J291" i="2"/>
  <c r="J844" i="2"/>
  <c r="J249" i="2"/>
  <c r="J588" i="2"/>
  <c r="J458" i="2"/>
  <c r="J881" i="2"/>
  <c r="J689" i="2"/>
  <c r="J904" i="2"/>
  <c r="J275" i="2"/>
  <c r="J435" i="2"/>
  <c r="J728" i="2"/>
  <c r="J368" i="2"/>
  <c r="J238" i="2"/>
  <c r="J252" i="2"/>
  <c r="J98" i="2"/>
  <c r="J794" i="2"/>
  <c r="J484" i="2"/>
  <c r="J276" i="2"/>
  <c r="J594" i="2"/>
  <c r="J115" i="2"/>
  <c r="J597" i="2"/>
  <c r="J486" i="2"/>
  <c r="J709" i="2"/>
  <c r="J902" i="2"/>
  <c r="J148" i="2"/>
  <c r="J178" i="2"/>
  <c r="J65" i="2"/>
  <c r="J360" i="2"/>
  <c r="J334" i="2"/>
  <c r="J837" i="2"/>
  <c r="J983" i="2"/>
  <c r="J771" i="2"/>
  <c r="J622" i="2"/>
  <c r="J516" i="2"/>
  <c r="J149" i="2"/>
  <c r="J479" i="2"/>
  <c r="J512" i="2"/>
  <c r="J633" i="2"/>
  <c r="J792" i="2"/>
  <c r="J473" i="2"/>
  <c r="J796" i="2"/>
  <c r="V19" i="2"/>
  <c r="U19" i="2" s="1"/>
  <c r="V13" i="2"/>
  <c r="U13" i="2" s="1"/>
  <c r="V32" i="2"/>
  <c r="U32" i="2" s="1"/>
  <c r="V14" i="2"/>
  <c r="U14" i="2" s="1"/>
  <c r="V26" i="2"/>
  <c r="U26" i="2" s="1"/>
  <c r="V59" i="2"/>
  <c r="U59" i="2" s="1"/>
  <c r="V55" i="2"/>
  <c r="U55" i="2" s="1"/>
  <c r="V56" i="2"/>
  <c r="U56" i="2" s="1"/>
  <c r="V57" i="2"/>
  <c r="U57" i="2" s="1"/>
  <c r="V78" i="2"/>
  <c r="U78" i="2" s="1"/>
  <c r="V111" i="2"/>
  <c r="U111" i="2" s="1"/>
  <c r="V1012" i="2"/>
  <c r="U1012" i="2" s="1"/>
  <c r="V1010" i="2"/>
  <c r="U1010" i="2" s="1"/>
  <c r="V1006" i="2"/>
  <c r="U1006" i="2" s="1"/>
  <c r="V1002" i="2"/>
  <c r="U1002" i="2" s="1"/>
  <c r="V998" i="2"/>
  <c r="U998" i="2" s="1"/>
  <c r="V994" i="2"/>
  <c r="U994" i="2" s="1"/>
  <c r="V990" i="2"/>
  <c r="U990" i="2" s="1"/>
  <c r="V986" i="2"/>
  <c r="U986" i="2" s="1"/>
  <c r="V982" i="2"/>
  <c r="U982" i="2" s="1"/>
  <c r="V978" i="2"/>
  <c r="U978" i="2" s="1"/>
  <c r="V974" i="2"/>
  <c r="U974" i="2" s="1"/>
  <c r="V970" i="2"/>
  <c r="U970" i="2" s="1"/>
  <c r="V966" i="2"/>
  <c r="U966" i="2" s="1"/>
  <c r="V962" i="2"/>
  <c r="U962" i="2" s="1"/>
  <c r="V958" i="2"/>
  <c r="U958" i="2" s="1"/>
  <c r="V954" i="2"/>
  <c r="U954" i="2" s="1"/>
  <c r="V950" i="2"/>
  <c r="U950" i="2" s="1"/>
  <c r="V946" i="2"/>
  <c r="U946" i="2" s="1"/>
  <c r="V942" i="2"/>
  <c r="U942" i="2" s="1"/>
  <c r="V938" i="2"/>
  <c r="U938" i="2" s="1"/>
  <c r="V934" i="2"/>
  <c r="U934" i="2" s="1"/>
  <c r="V930" i="2"/>
  <c r="U930" i="2" s="1"/>
  <c r="V926" i="2"/>
  <c r="U926" i="2" s="1"/>
  <c r="V922" i="2"/>
  <c r="U922" i="2" s="1"/>
  <c r="V918" i="2"/>
  <c r="U918" i="2" s="1"/>
  <c r="V48" i="2"/>
  <c r="U48" i="2" s="1"/>
  <c r="V75" i="2"/>
  <c r="U75" i="2" s="1"/>
  <c r="V71" i="2"/>
  <c r="U71" i="2" s="1"/>
  <c r="V72" i="2"/>
  <c r="U72" i="2" s="1"/>
  <c r="V65" i="2"/>
  <c r="U65" i="2" s="1"/>
  <c r="V95" i="2"/>
  <c r="U95" i="2" s="1"/>
  <c r="V77" i="2"/>
  <c r="U77" i="2" s="1"/>
  <c r="V93" i="2"/>
  <c r="U93" i="2" s="1"/>
  <c r="V24" i="2"/>
  <c r="U24" i="2" s="1"/>
  <c r="V43" i="2"/>
  <c r="U43" i="2" s="1"/>
  <c r="V18" i="2"/>
  <c r="U18" i="2" s="1"/>
  <c r="V87" i="2"/>
  <c r="U87" i="2" s="1"/>
  <c r="V80" i="2"/>
  <c r="U80" i="2" s="1"/>
  <c r="V73" i="2"/>
  <c r="U73" i="2" s="1"/>
  <c r="V86" i="2"/>
  <c r="U86" i="2" s="1"/>
  <c r="V101" i="2"/>
  <c r="U101" i="2" s="1"/>
  <c r="V1009" i="2"/>
  <c r="U1009" i="2" s="1"/>
  <c r="V1005" i="2"/>
  <c r="U1005" i="2" s="1"/>
  <c r="V1001" i="2"/>
  <c r="U1001" i="2" s="1"/>
  <c r="V22" i="2"/>
  <c r="U22" i="2" s="1"/>
  <c r="V46" i="2"/>
  <c r="U46" i="2" s="1"/>
  <c r="V104" i="2"/>
  <c r="U104" i="2" s="1"/>
  <c r="V51" i="2"/>
  <c r="U51" i="2" s="1"/>
  <c r="V30" i="2"/>
  <c r="U30" i="2" s="1"/>
  <c r="V49" i="2"/>
  <c r="U49" i="2" s="1"/>
  <c r="V66" i="2"/>
  <c r="U66" i="2" s="1"/>
  <c r="V61" i="2"/>
  <c r="U61" i="2" s="1"/>
  <c r="V54" i="2"/>
  <c r="U54" i="2" s="1"/>
  <c r="V90" i="2"/>
  <c r="U90" i="2" s="1"/>
  <c r="V94" i="2"/>
  <c r="U94" i="2" s="1"/>
  <c r="V53" i="2"/>
  <c r="U53" i="2" s="1"/>
  <c r="V15" i="2"/>
  <c r="U15" i="2" s="1"/>
  <c r="V45" i="2"/>
  <c r="U45" i="2" s="1"/>
  <c r="V50" i="2"/>
  <c r="U50" i="2" s="1"/>
  <c r="V33" i="2"/>
  <c r="U33" i="2" s="1"/>
  <c r="V29" i="2"/>
  <c r="U29" i="2" s="1"/>
  <c r="V74" i="2"/>
  <c r="U74" i="2" s="1"/>
  <c r="V69" i="2"/>
  <c r="U69" i="2" s="1"/>
  <c r="V102" i="2"/>
  <c r="U102" i="2" s="1"/>
  <c r="V41" i="2"/>
  <c r="U41" i="2" s="1"/>
  <c r="V58" i="2"/>
  <c r="U58" i="2" s="1"/>
  <c r="V81" i="2"/>
  <c r="U81" i="2" s="1"/>
  <c r="V31" i="2"/>
  <c r="U31" i="2" s="1"/>
  <c r="V12" i="2"/>
  <c r="U12" i="2" s="1"/>
  <c r="V23" i="2"/>
  <c r="U23" i="2" s="1"/>
  <c r="V34" i="2"/>
  <c r="U34" i="2" s="1"/>
  <c r="V40" i="2"/>
  <c r="U40" i="2" s="1"/>
  <c r="V82" i="2"/>
  <c r="U82" i="2" s="1"/>
  <c r="V88" i="2"/>
  <c r="U88" i="2" s="1"/>
  <c r="V914" i="2"/>
  <c r="U914" i="2" s="1"/>
  <c r="V910" i="2"/>
  <c r="U910" i="2" s="1"/>
  <c r="V906" i="2"/>
  <c r="U906" i="2" s="1"/>
  <c r="V902" i="2"/>
  <c r="U902" i="2" s="1"/>
  <c r="V898" i="2"/>
  <c r="U898" i="2" s="1"/>
  <c r="V894" i="2"/>
  <c r="U894" i="2" s="1"/>
  <c r="V890" i="2"/>
  <c r="U890" i="2" s="1"/>
  <c r="V886" i="2"/>
  <c r="U886" i="2" s="1"/>
  <c r="V882" i="2"/>
  <c r="U882" i="2" s="1"/>
  <c r="V878" i="2"/>
  <c r="U878" i="2" s="1"/>
  <c r="V874" i="2"/>
  <c r="U874" i="2" s="1"/>
  <c r="V870" i="2"/>
  <c r="U870" i="2" s="1"/>
  <c r="V866" i="2"/>
  <c r="U866" i="2" s="1"/>
  <c r="V862" i="2"/>
  <c r="U862" i="2" s="1"/>
  <c r="V858" i="2"/>
  <c r="U858" i="2" s="1"/>
  <c r="V854" i="2"/>
  <c r="U854" i="2" s="1"/>
  <c r="V850" i="2"/>
  <c r="U850" i="2" s="1"/>
  <c r="V846" i="2"/>
  <c r="U846" i="2" s="1"/>
  <c r="V842" i="2"/>
  <c r="U842" i="2" s="1"/>
  <c r="V838" i="2"/>
  <c r="U838" i="2" s="1"/>
  <c r="V997" i="2"/>
  <c r="U997" i="2" s="1"/>
  <c r="V993" i="2"/>
  <c r="U993" i="2" s="1"/>
  <c r="V989" i="2"/>
  <c r="U989" i="2" s="1"/>
  <c r="V985" i="2"/>
  <c r="U985" i="2" s="1"/>
  <c r="V981" i="2"/>
  <c r="U981" i="2" s="1"/>
  <c r="V977" i="2"/>
  <c r="U977" i="2" s="1"/>
  <c r="V973" i="2"/>
  <c r="U973" i="2" s="1"/>
  <c r="V969" i="2"/>
  <c r="U969" i="2" s="1"/>
  <c r="V965" i="2"/>
  <c r="U965" i="2" s="1"/>
  <c r="V961" i="2"/>
  <c r="U961" i="2" s="1"/>
  <c r="V957" i="2"/>
  <c r="U957" i="2" s="1"/>
  <c r="V953" i="2"/>
  <c r="U953" i="2" s="1"/>
  <c r="V949" i="2"/>
  <c r="U949" i="2" s="1"/>
  <c r="V945" i="2"/>
  <c r="U945" i="2" s="1"/>
  <c r="V941" i="2"/>
  <c r="U941" i="2" s="1"/>
  <c r="V937" i="2"/>
  <c r="U937" i="2" s="1"/>
  <c r="V933" i="2"/>
  <c r="U933" i="2" s="1"/>
  <c r="V929" i="2"/>
  <c r="U929" i="2" s="1"/>
  <c r="V925" i="2"/>
  <c r="U925" i="2" s="1"/>
  <c r="V921" i="2"/>
  <c r="U921" i="2" s="1"/>
  <c r="V917" i="2"/>
  <c r="U917" i="2" s="1"/>
  <c r="V913" i="2"/>
  <c r="U913" i="2" s="1"/>
  <c r="V909" i="2"/>
  <c r="U909" i="2" s="1"/>
  <c r="V905" i="2"/>
  <c r="U905" i="2" s="1"/>
  <c r="V901" i="2"/>
  <c r="U901" i="2" s="1"/>
  <c r="V897" i="2"/>
  <c r="U897" i="2" s="1"/>
  <c r="V893" i="2"/>
  <c r="U893" i="2" s="1"/>
  <c r="V889" i="2"/>
  <c r="U889" i="2" s="1"/>
  <c r="V885" i="2"/>
  <c r="U885" i="2" s="1"/>
  <c r="V881" i="2"/>
  <c r="U881" i="2" s="1"/>
  <c r="V877" i="2"/>
  <c r="U877" i="2" s="1"/>
  <c r="V873" i="2"/>
  <c r="U873" i="2" s="1"/>
  <c r="V869" i="2"/>
  <c r="U869" i="2" s="1"/>
  <c r="V865" i="2"/>
  <c r="U865" i="2" s="1"/>
  <c r="V861" i="2"/>
  <c r="U861" i="2" s="1"/>
  <c r="V857" i="2"/>
  <c r="U857" i="2" s="1"/>
  <c r="V853" i="2"/>
  <c r="U853" i="2" s="1"/>
  <c r="V849" i="2"/>
  <c r="U849" i="2" s="1"/>
  <c r="V845" i="2"/>
  <c r="U845" i="2" s="1"/>
  <c r="V841" i="2"/>
  <c r="U841" i="2" s="1"/>
  <c r="V837" i="2"/>
  <c r="U837" i="2" s="1"/>
  <c r="V833" i="2"/>
  <c r="U833" i="2" s="1"/>
  <c r="V829" i="2"/>
  <c r="U829" i="2" s="1"/>
  <c r="V825" i="2"/>
  <c r="U825" i="2" s="1"/>
  <c r="V821" i="2"/>
  <c r="U821" i="2" s="1"/>
  <c r="V817" i="2"/>
  <c r="U817" i="2" s="1"/>
  <c r="V813" i="2"/>
  <c r="U813" i="2" s="1"/>
  <c r="V809" i="2"/>
  <c r="U809" i="2" s="1"/>
  <c r="V805" i="2"/>
  <c r="U805" i="2" s="1"/>
  <c r="V801" i="2"/>
  <c r="U801" i="2" s="1"/>
  <c r="V797" i="2"/>
  <c r="U797" i="2" s="1"/>
  <c r="V793" i="2"/>
  <c r="U793" i="2" s="1"/>
  <c r="V789" i="2"/>
  <c r="U789" i="2" s="1"/>
  <c r="V785" i="2"/>
  <c r="U785" i="2" s="1"/>
  <c r="V781" i="2"/>
  <c r="U781" i="2" s="1"/>
  <c r="V777" i="2"/>
  <c r="U777" i="2" s="1"/>
  <c r="V773" i="2"/>
  <c r="U773" i="2" s="1"/>
  <c r="V769" i="2"/>
  <c r="U769" i="2" s="1"/>
  <c r="V765" i="2"/>
  <c r="U765" i="2" s="1"/>
  <c r="V761" i="2"/>
  <c r="U761" i="2" s="1"/>
  <c r="V757" i="2"/>
  <c r="U757" i="2" s="1"/>
  <c r="V753" i="2"/>
  <c r="U753" i="2" s="1"/>
  <c r="V749" i="2"/>
  <c r="U749" i="2" s="1"/>
  <c r="V745" i="2"/>
  <c r="U745" i="2" s="1"/>
  <c r="V741" i="2"/>
  <c r="U741" i="2" s="1"/>
  <c r="V737" i="2"/>
  <c r="U737" i="2" s="1"/>
  <c r="V733" i="2"/>
  <c r="U733" i="2" s="1"/>
  <c r="V729" i="2"/>
  <c r="U729" i="2" s="1"/>
  <c r="V725" i="2"/>
  <c r="U725" i="2" s="1"/>
  <c r="V721" i="2"/>
  <c r="U721" i="2" s="1"/>
  <c r="V717" i="2"/>
  <c r="U717" i="2" s="1"/>
  <c r="V713" i="2"/>
  <c r="U713" i="2" s="1"/>
  <c r="V709" i="2"/>
  <c r="U709" i="2" s="1"/>
  <c r="V705" i="2"/>
  <c r="U705" i="2" s="1"/>
  <c r="V701" i="2"/>
  <c r="U701" i="2" s="1"/>
  <c r="V697" i="2"/>
  <c r="U697" i="2" s="1"/>
  <c r="V693" i="2"/>
  <c r="U693" i="2" s="1"/>
  <c r="V689" i="2"/>
  <c r="U689" i="2" s="1"/>
  <c r="V685" i="2"/>
  <c r="U685" i="2" s="1"/>
  <c r="V681" i="2"/>
  <c r="U681" i="2" s="1"/>
  <c r="V649" i="2"/>
  <c r="U649" i="2" s="1"/>
  <c r="V637" i="2"/>
  <c r="U637" i="2" s="1"/>
  <c r="V625" i="2"/>
  <c r="U625" i="2" s="1"/>
  <c r="V621" i="2"/>
  <c r="U621" i="2" s="1"/>
  <c r="V609" i="2"/>
  <c r="U609" i="2" s="1"/>
  <c r="V1008" i="2"/>
  <c r="U1008" i="2" s="1"/>
  <c r="V1004" i="2"/>
  <c r="U1004" i="2" s="1"/>
  <c r="V1000" i="2"/>
  <c r="U1000" i="2" s="1"/>
  <c r="V996" i="2"/>
  <c r="U996" i="2" s="1"/>
  <c r="V992" i="2"/>
  <c r="U992" i="2" s="1"/>
  <c r="V988" i="2"/>
  <c r="U988" i="2" s="1"/>
  <c r="V984" i="2"/>
  <c r="U984" i="2" s="1"/>
  <c r="V980" i="2"/>
  <c r="U980" i="2" s="1"/>
  <c r="V976" i="2"/>
  <c r="U976" i="2" s="1"/>
  <c r="V972" i="2"/>
  <c r="U972" i="2" s="1"/>
  <c r="V968" i="2"/>
  <c r="U968" i="2" s="1"/>
  <c r="V964" i="2"/>
  <c r="U964" i="2" s="1"/>
  <c r="V960" i="2"/>
  <c r="U960" i="2" s="1"/>
  <c r="V956" i="2"/>
  <c r="U956" i="2" s="1"/>
  <c r="V952" i="2"/>
  <c r="U952" i="2" s="1"/>
  <c r="V948" i="2"/>
  <c r="U948" i="2" s="1"/>
  <c r="V944" i="2"/>
  <c r="U944" i="2" s="1"/>
  <c r="V940" i="2"/>
  <c r="U940" i="2" s="1"/>
  <c r="V936" i="2"/>
  <c r="U936" i="2" s="1"/>
  <c r="V932" i="2"/>
  <c r="U932" i="2" s="1"/>
  <c r="V928" i="2"/>
  <c r="U928" i="2" s="1"/>
  <c r="V924" i="2"/>
  <c r="U924" i="2" s="1"/>
  <c r="V920" i="2"/>
  <c r="U920" i="2" s="1"/>
  <c r="V916" i="2"/>
  <c r="U916" i="2" s="1"/>
  <c r="V912" i="2"/>
  <c r="U912" i="2" s="1"/>
  <c r="V908" i="2"/>
  <c r="U908" i="2" s="1"/>
  <c r="V904" i="2"/>
  <c r="U904" i="2" s="1"/>
  <c r="V900" i="2"/>
  <c r="U900" i="2" s="1"/>
  <c r="V896" i="2"/>
  <c r="U896" i="2" s="1"/>
  <c r="V892" i="2"/>
  <c r="U892" i="2" s="1"/>
  <c r="V888" i="2"/>
  <c r="U888" i="2" s="1"/>
  <c r="V884" i="2"/>
  <c r="U884" i="2" s="1"/>
  <c r="V880" i="2"/>
  <c r="U880" i="2" s="1"/>
  <c r="V876" i="2"/>
  <c r="U876" i="2" s="1"/>
  <c r="V872" i="2"/>
  <c r="U872" i="2" s="1"/>
  <c r="V868" i="2"/>
  <c r="U868" i="2" s="1"/>
  <c r="V864" i="2"/>
  <c r="U864" i="2" s="1"/>
  <c r="V860" i="2"/>
  <c r="U860" i="2" s="1"/>
  <c r="V856" i="2"/>
  <c r="U856" i="2" s="1"/>
  <c r="V852" i="2"/>
  <c r="U852" i="2" s="1"/>
  <c r="V848" i="2"/>
  <c r="U848" i="2" s="1"/>
  <c r="V844" i="2"/>
  <c r="U844" i="2" s="1"/>
  <c r="V840" i="2"/>
  <c r="U840" i="2" s="1"/>
  <c r="V836" i="2"/>
  <c r="U836" i="2" s="1"/>
  <c r="V1011" i="2"/>
  <c r="U1011" i="2" s="1"/>
  <c r="V1007" i="2"/>
  <c r="U1007" i="2" s="1"/>
  <c r="V1003" i="2"/>
  <c r="U1003" i="2" s="1"/>
  <c r="V999" i="2"/>
  <c r="U999" i="2" s="1"/>
  <c r="V995" i="2"/>
  <c r="U995" i="2" s="1"/>
  <c r="V991" i="2"/>
  <c r="U991" i="2" s="1"/>
  <c r="V987" i="2"/>
  <c r="U987" i="2" s="1"/>
  <c r="V983" i="2"/>
  <c r="U983" i="2" s="1"/>
  <c r="V979" i="2"/>
  <c r="U979" i="2" s="1"/>
  <c r="V975" i="2"/>
  <c r="U975" i="2" s="1"/>
  <c r="V971" i="2"/>
  <c r="U971" i="2" s="1"/>
  <c r="V967" i="2"/>
  <c r="U967" i="2" s="1"/>
  <c r="V963" i="2"/>
  <c r="U963" i="2" s="1"/>
  <c r="V959" i="2"/>
  <c r="U959" i="2" s="1"/>
  <c r="V955" i="2"/>
  <c r="U955" i="2" s="1"/>
  <c r="V951" i="2"/>
  <c r="U951" i="2" s="1"/>
  <c r="V947" i="2"/>
  <c r="U947" i="2" s="1"/>
  <c r="V943" i="2"/>
  <c r="U943" i="2" s="1"/>
  <c r="V939" i="2"/>
  <c r="U939" i="2" s="1"/>
  <c r="V935" i="2"/>
  <c r="U935" i="2" s="1"/>
  <c r="V931" i="2"/>
  <c r="U931" i="2" s="1"/>
  <c r="V927" i="2"/>
  <c r="U927" i="2" s="1"/>
  <c r="V923" i="2"/>
  <c r="U923" i="2" s="1"/>
  <c r="V919" i="2"/>
  <c r="U919" i="2" s="1"/>
  <c r="V915" i="2"/>
  <c r="U915" i="2" s="1"/>
  <c r="V911" i="2"/>
  <c r="U911" i="2" s="1"/>
  <c r="V907" i="2"/>
  <c r="U907" i="2" s="1"/>
  <c r="V903" i="2"/>
  <c r="U903" i="2" s="1"/>
  <c r="V899" i="2"/>
  <c r="U899" i="2" s="1"/>
  <c r="V895" i="2"/>
  <c r="U895" i="2" s="1"/>
  <c r="V891" i="2"/>
  <c r="U891" i="2" s="1"/>
  <c r="V887" i="2"/>
  <c r="U887" i="2" s="1"/>
  <c r="V883" i="2"/>
  <c r="U883" i="2" s="1"/>
  <c r="V879" i="2"/>
  <c r="U879" i="2" s="1"/>
  <c r="V875" i="2"/>
  <c r="U875" i="2" s="1"/>
  <c r="V871" i="2"/>
  <c r="U871" i="2" s="1"/>
  <c r="V867" i="2"/>
  <c r="U867" i="2" s="1"/>
  <c r="V863" i="2"/>
  <c r="U863" i="2" s="1"/>
  <c r="V859" i="2"/>
  <c r="U859" i="2" s="1"/>
  <c r="V855" i="2"/>
  <c r="U855" i="2" s="1"/>
  <c r="V851" i="2"/>
  <c r="U851" i="2" s="1"/>
  <c r="V847" i="2"/>
  <c r="U847" i="2" s="1"/>
  <c r="V843" i="2"/>
  <c r="U843" i="2" s="1"/>
  <c r="V839" i="2"/>
  <c r="U839" i="2" s="1"/>
  <c r="V834" i="2"/>
  <c r="U834" i="2" s="1"/>
  <c r="V830" i="2"/>
  <c r="U830" i="2" s="1"/>
  <c r="V826" i="2"/>
  <c r="U826" i="2" s="1"/>
  <c r="V822" i="2"/>
  <c r="U822" i="2" s="1"/>
  <c r="V818" i="2"/>
  <c r="U818" i="2" s="1"/>
  <c r="V814" i="2"/>
  <c r="U814" i="2" s="1"/>
  <c r="V810" i="2"/>
  <c r="U810" i="2" s="1"/>
  <c r="V806" i="2"/>
  <c r="U806" i="2" s="1"/>
  <c r="V802" i="2"/>
  <c r="U802" i="2" s="1"/>
  <c r="V798" i="2"/>
  <c r="U798" i="2" s="1"/>
  <c r="V794" i="2"/>
  <c r="U794" i="2" s="1"/>
  <c r="V790" i="2"/>
  <c r="U790" i="2" s="1"/>
  <c r="V786" i="2"/>
  <c r="U786" i="2" s="1"/>
  <c r="V782" i="2"/>
  <c r="U782" i="2" s="1"/>
  <c r="V778" i="2"/>
  <c r="U778" i="2" s="1"/>
  <c r="V774" i="2"/>
  <c r="U774" i="2" s="1"/>
  <c r="V770" i="2"/>
  <c r="U770" i="2" s="1"/>
  <c r="V766" i="2"/>
  <c r="U766" i="2" s="1"/>
  <c r="V762" i="2"/>
  <c r="U762" i="2" s="1"/>
  <c r="V758" i="2"/>
  <c r="U758" i="2" s="1"/>
  <c r="V754" i="2"/>
  <c r="U754" i="2" s="1"/>
  <c r="V750" i="2"/>
  <c r="U750" i="2" s="1"/>
  <c r="V746" i="2"/>
  <c r="U746" i="2" s="1"/>
  <c r="V742" i="2"/>
  <c r="U742" i="2" s="1"/>
  <c r="V738" i="2"/>
  <c r="U738" i="2" s="1"/>
  <c r="V734" i="2"/>
  <c r="U734" i="2" s="1"/>
  <c r="V730" i="2"/>
  <c r="U730" i="2" s="1"/>
  <c r="V726" i="2"/>
  <c r="U726" i="2" s="1"/>
  <c r="V722" i="2"/>
  <c r="U722" i="2" s="1"/>
  <c r="V718" i="2"/>
  <c r="U718" i="2" s="1"/>
  <c r="V714" i="2"/>
  <c r="U714" i="2" s="1"/>
  <c r="V686" i="2"/>
  <c r="U686" i="2" s="1"/>
  <c r="V682" i="2"/>
  <c r="U682" i="2" s="1"/>
  <c r="V678" i="2"/>
  <c r="U678" i="2" s="1"/>
  <c r="V642" i="2"/>
  <c r="U642" i="2" s="1"/>
  <c r="V626" i="2"/>
  <c r="U626" i="2" s="1"/>
  <c r="V602" i="2"/>
  <c r="U602" i="2" s="1"/>
  <c r="V594" i="2"/>
  <c r="U594" i="2" s="1"/>
  <c r="V590" i="2"/>
  <c r="U590" i="2" s="1"/>
  <c r="V506" i="2"/>
  <c r="U506" i="2" s="1"/>
  <c r="V482" i="2"/>
  <c r="U482" i="2" s="1"/>
  <c r="V478" i="2"/>
  <c r="U478" i="2" s="1"/>
  <c r="V474" i="2"/>
  <c r="U474" i="2" s="1"/>
  <c r="V454" i="2"/>
  <c r="U454" i="2" s="1"/>
  <c r="V446" i="2"/>
  <c r="U446" i="2" s="1"/>
  <c r="V422" i="2"/>
  <c r="U422" i="2" s="1"/>
  <c r="V418" i="2"/>
  <c r="U418" i="2" s="1"/>
  <c r="V346" i="2"/>
  <c r="U346" i="2" s="1"/>
  <c r="V342" i="2"/>
  <c r="U342" i="2" s="1"/>
  <c r="V294" i="2"/>
  <c r="U294" i="2" s="1"/>
  <c r="V274" i="2"/>
  <c r="U274" i="2" s="1"/>
  <c r="V206" i="2"/>
  <c r="U206" i="2" s="1"/>
  <c r="V162" i="2"/>
  <c r="U162" i="2" s="1"/>
  <c r="V122" i="2"/>
  <c r="U122" i="2" s="1"/>
  <c r="V118" i="2"/>
  <c r="U118" i="2" s="1"/>
  <c r="V114" i="2"/>
  <c r="U114" i="2" s="1"/>
  <c r="V91" i="2"/>
  <c r="U91" i="2" s="1"/>
  <c r="V83" i="2"/>
  <c r="U83" i="2" s="1"/>
  <c r="V98" i="2"/>
  <c r="U98" i="2" s="1"/>
  <c r="V597" i="2"/>
  <c r="U597" i="2" s="1"/>
  <c r="V553" i="2"/>
  <c r="U553" i="2" s="1"/>
  <c r="V549" i="2"/>
  <c r="U549" i="2" s="1"/>
  <c r="V545" i="2"/>
  <c r="U545" i="2" s="1"/>
  <c r="V509" i="2"/>
  <c r="U509" i="2" s="1"/>
  <c r="V489" i="2"/>
  <c r="U489" i="2" s="1"/>
  <c r="V477" i="2"/>
  <c r="U477" i="2" s="1"/>
  <c r="V457" i="2"/>
  <c r="U457" i="2" s="1"/>
  <c r="V437" i="2"/>
  <c r="U437" i="2" s="1"/>
  <c r="V433" i="2"/>
  <c r="U433" i="2" s="1"/>
  <c r="V417" i="2"/>
  <c r="U417" i="2" s="1"/>
  <c r="V317" i="2"/>
  <c r="U317" i="2" s="1"/>
  <c r="V313" i="2"/>
  <c r="U313" i="2" s="1"/>
  <c r="V289" i="2"/>
  <c r="U289" i="2" s="1"/>
  <c r="V253" i="2"/>
  <c r="U253" i="2" s="1"/>
  <c r="V249" i="2"/>
  <c r="U249" i="2" s="1"/>
  <c r="V245" i="2"/>
  <c r="U245" i="2" s="1"/>
  <c r="V237" i="2"/>
  <c r="U237" i="2" s="1"/>
  <c r="V221" i="2"/>
  <c r="U221" i="2" s="1"/>
  <c r="V217" i="2"/>
  <c r="U217" i="2" s="1"/>
  <c r="V213" i="2"/>
  <c r="U213" i="2" s="1"/>
  <c r="V193" i="2"/>
  <c r="U193" i="2" s="1"/>
  <c r="V157" i="2"/>
  <c r="U157" i="2" s="1"/>
  <c r="V153" i="2"/>
  <c r="U153" i="2" s="1"/>
  <c r="V149" i="2"/>
  <c r="U149" i="2" s="1"/>
  <c r="V145" i="2"/>
  <c r="U145" i="2" s="1"/>
  <c r="V141" i="2"/>
  <c r="U141" i="2" s="1"/>
  <c r="V137" i="2"/>
  <c r="U137" i="2" s="1"/>
  <c r="V133" i="2"/>
  <c r="U133" i="2" s="1"/>
  <c r="V129" i="2"/>
  <c r="U129" i="2" s="1"/>
  <c r="V25" i="2"/>
  <c r="U25" i="2" s="1"/>
  <c r="V17" i="2"/>
  <c r="U17" i="2" s="1"/>
  <c r="V832" i="2"/>
  <c r="U832" i="2" s="1"/>
  <c r="V828" i="2"/>
  <c r="U828" i="2" s="1"/>
  <c r="V824" i="2"/>
  <c r="U824" i="2" s="1"/>
  <c r="V820" i="2"/>
  <c r="U820" i="2" s="1"/>
  <c r="V816" i="2"/>
  <c r="U816" i="2" s="1"/>
  <c r="V812" i="2"/>
  <c r="U812" i="2" s="1"/>
  <c r="V808" i="2"/>
  <c r="U808" i="2" s="1"/>
  <c r="V804" i="2"/>
  <c r="U804" i="2" s="1"/>
  <c r="V800" i="2"/>
  <c r="U800" i="2" s="1"/>
  <c r="V796" i="2"/>
  <c r="U796" i="2" s="1"/>
  <c r="V792" i="2"/>
  <c r="U792" i="2" s="1"/>
  <c r="V788" i="2"/>
  <c r="U788" i="2" s="1"/>
  <c r="V784" i="2"/>
  <c r="U784" i="2" s="1"/>
  <c r="V780" i="2"/>
  <c r="U780" i="2" s="1"/>
  <c r="V776" i="2"/>
  <c r="U776" i="2" s="1"/>
  <c r="V772" i="2"/>
  <c r="U772" i="2" s="1"/>
  <c r="V768" i="2"/>
  <c r="U768" i="2" s="1"/>
  <c r="V764" i="2"/>
  <c r="U764" i="2" s="1"/>
  <c r="V760" i="2"/>
  <c r="U760" i="2" s="1"/>
  <c r="V756" i="2"/>
  <c r="U756" i="2" s="1"/>
  <c r="V752" i="2"/>
  <c r="U752" i="2" s="1"/>
  <c r="V748" i="2"/>
  <c r="U748" i="2" s="1"/>
  <c r="V744" i="2"/>
  <c r="U744" i="2" s="1"/>
  <c r="V740" i="2"/>
  <c r="U740" i="2" s="1"/>
  <c r="V736" i="2"/>
  <c r="U736" i="2" s="1"/>
  <c r="V732" i="2"/>
  <c r="U732" i="2" s="1"/>
  <c r="V728" i="2"/>
  <c r="U728" i="2" s="1"/>
  <c r="V724" i="2"/>
  <c r="U724" i="2" s="1"/>
  <c r="V720" i="2"/>
  <c r="U720" i="2" s="1"/>
  <c r="V716" i="2"/>
  <c r="U716" i="2" s="1"/>
  <c r="V712" i="2"/>
  <c r="U712" i="2" s="1"/>
  <c r="V708" i="2"/>
  <c r="U708" i="2" s="1"/>
  <c r="V704" i="2"/>
  <c r="U704" i="2" s="1"/>
  <c r="V700" i="2"/>
  <c r="U700" i="2" s="1"/>
  <c r="V696" i="2"/>
  <c r="U696" i="2" s="1"/>
  <c r="V692" i="2"/>
  <c r="U692" i="2" s="1"/>
  <c r="V688" i="2"/>
  <c r="U688" i="2" s="1"/>
  <c r="V684" i="2"/>
  <c r="U684" i="2" s="1"/>
  <c r="V680" i="2"/>
  <c r="U680" i="2" s="1"/>
  <c r="V676" i="2"/>
  <c r="U676" i="2" s="1"/>
  <c r="V672" i="2"/>
  <c r="U672" i="2" s="1"/>
  <c r="V668" i="2"/>
  <c r="U668" i="2" s="1"/>
  <c r="V664" i="2"/>
  <c r="U664" i="2" s="1"/>
  <c r="V660" i="2"/>
  <c r="U660" i="2" s="1"/>
  <c r="V656" i="2"/>
  <c r="U656" i="2" s="1"/>
  <c r="V640" i="2"/>
  <c r="U640" i="2" s="1"/>
  <c r="V632" i="2"/>
  <c r="U632" i="2" s="1"/>
  <c r="V612" i="2"/>
  <c r="U612" i="2" s="1"/>
  <c r="V584" i="2"/>
  <c r="U584" i="2" s="1"/>
  <c r="V580" i="2"/>
  <c r="U580" i="2" s="1"/>
  <c r="V576" i="2"/>
  <c r="U576" i="2" s="1"/>
  <c r="V572" i="2"/>
  <c r="U572" i="2" s="1"/>
  <c r="V568" i="2"/>
  <c r="U568" i="2" s="1"/>
  <c r="V564" i="2"/>
  <c r="U564" i="2" s="1"/>
  <c r="V532" i="2"/>
  <c r="U532" i="2" s="1"/>
  <c r="V528" i="2"/>
  <c r="U528" i="2" s="1"/>
  <c r="V524" i="2"/>
  <c r="U524" i="2" s="1"/>
  <c r="V520" i="2"/>
  <c r="U520" i="2" s="1"/>
  <c r="V496" i="2"/>
  <c r="U496" i="2" s="1"/>
  <c r="V492" i="2"/>
  <c r="U492" i="2" s="1"/>
  <c r="V484" i="2"/>
  <c r="U484" i="2" s="1"/>
  <c r="V472" i="2"/>
  <c r="U472" i="2" s="1"/>
  <c r="V456" i="2"/>
  <c r="U456" i="2" s="1"/>
  <c r="V428" i="2"/>
  <c r="U428" i="2" s="1"/>
  <c r="V424" i="2"/>
  <c r="U424" i="2" s="1"/>
  <c r="V340" i="2"/>
  <c r="U340" i="2" s="1"/>
  <c r="V336" i="2"/>
  <c r="U336" i="2" s="1"/>
  <c r="V332" i="2"/>
  <c r="U332" i="2" s="1"/>
  <c r="V308" i="2"/>
  <c r="U308" i="2" s="1"/>
  <c r="V304" i="2"/>
  <c r="U304" i="2" s="1"/>
  <c r="V300" i="2"/>
  <c r="U300" i="2" s="1"/>
  <c r="V296" i="2"/>
  <c r="U296" i="2" s="1"/>
  <c r="V272" i="2"/>
  <c r="U272" i="2" s="1"/>
  <c r="V228" i="2"/>
  <c r="U228" i="2" s="1"/>
  <c r="V208" i="2"/>
  <c r="U208" i="2" s="1"/>
  <c r="V200" i="2"/>
  <c r="U200" i="2" s="1"/>
  <c r="V192" i="2"/>
  <c r="U192" i="2" s="1"/>
  <c r="V188" i="2"/>
  <c r="U188" i="2" s="1"/>
  <c r="V184" i="2"/>
  <c r="U184" i="2" s="1"/>
  <c r="V180" i="2"/>
  <c r="U180" i="2" s="1"/>
  <c r="V176" i="2"/>
  <c r="U176" i="2" s="1"/>
  <c r="V172" i="2"/>
  <c r="U172" i="2" s="1"/>
  <c r="V168" i="2"/>
  <c r="U168" i="2" s="1"/>
  <c r="V164" i="2"/>
  <c r="U164" i="2" s="1"/>
  <c r="V112" i="2"/>
  <c r="U112" i="2" s="1"/>
  <c r="V835" i="2"/>
  <c r="U835" i="2" s="1"/>
  <c r="V831" i="2"/>
  <c r="U831" i="2" s="1"/>
  <c r="V827" i="2"/>
  <c r="U827" i="2" s="1"/>
  <c r="V823" i="2"/>
  <c r="U823" i="2" s="1"/>
  <c r="V819" i="2"/>
  <c r="U819" i="2" s="1"/>
  <c r="V815" i="2"/>
  <c r="U815" i="2" s="1"/>
  <c r="V811" i="2"/>
  <c r="U811" i="2" s="1"/>
  <c r="V807" i="2"/>
  <c r="U807" i="2" s="1"/>
  <c r="V803" i="2"/>
  <c r="U803" i="2" s="1"/>
  <c r="V799" i="2"/>
  <c r="U799" i="2" s="1"/>
  <c r="V795" i="2"/>
  <c r="U795" i="2" s="1"/>
  <c r="V791" i="2"/>
  <c r="U791" i="2" s="1"/>
  <c r="V787" i="2"/>
  <c r="U787" i="2" s="1"/>
  <c r="V783" i="2"/>
  <c r="U783" i="2" s="1"/>
  <c r="V779" i="2"/>
  <c r="U779" i="2" s="1"/>
  <c r="V775" i="2"/>
  <c r="U775" i="2" s="1"/>
  <c r="V771" i="2"/>
  <c r="U771" i="2" s="1"/>
  <c r="V767" i="2"/>
  <c r="U767" i="2" s="1"/>
  <c r="V763" i="2"/>
  <c r="U763" i="2" s="1"/>
  <c r="V759" i="2"/>
  <c r="U759" i="2" s="1"/>
  <c r="V755" i="2"/>
  <c r="U755" i="2" s="1"/>
  <c r="V751" i="2"/>
  <c r="U751" i="2" s="1"/>
  <c r="V747" i="2"/>
  <c r="U747" i="2" s="1"/>
  <c r="V743" i="2"/>
  <c r="U743" i="2" s="1"/>
  <c r="V739" i="2"/>
  <c r="U739" i="2" s="1"/>
  <c r="V735" i="2"/>
  <c r="U735" i="2" s="1"/>
  <c r="V731" i="2"/>
  <c r="U731" i="2" s="1"/>
  <c r="V727" i="2"/>
  <c r="U727" i="2" s="1"/>
  <c r="V723" i="2"/>
  <c r="U723" i="2" s="1"/>
  <c r="V719" i="2"/>
  <c r="U719" i="2" s="1"/>
  <c r="V715" i="2"/>
  <c r="U715" i="2" s="1"/>
  <c r="V711" i="2"/>
  <c r="U711" i="2" s="1"/>
  <c r="V707" i="2"/>
  <c r="U707" i="2" s="1"/>
  <c r="V703" i="2"/>
  <c r="U703" i="2" s="1"/>
  <c r="V647" i="2"/>
  <c r="U647" i="2" s="1"/>
  <c r="V643" i="2"/>
  <c r="U643" i="2" s="1"/>
  <c r="V639" i="2"/>
  <c r="U639" i="2" s="1"/>
  <c r="V611" i="2"/>
  <c r="U611" i="2" s="1"/>
  <c r="V595" i="2"/>
  <c r="U595" i="2" s="1"/>
  <c r="V563" i="2"/>
  <c r="U563" i="2" s="1"/>
  <c r="V559" i="2"/>
  <c r="U559" i="2" s="1"/>
  <c r="V539" i="2"/>
  <c r="U539" i="2" s="1"/>
  <c r="V515" i="2"/>
  <c r="U515" i="2" s="1"/>
  <c r="V491" i="2"/>
  <c r="U491" i="2" s="1"/>
  <c r="V475" i="2"/>
  <c r="U475" i="2" s="1"/>
  <c r="V471" i="2"/>
  <c r="U471" i="2" s="1"/>
  <c r="V467" i="2"/>
  <c r="U467" i="2" s="1"/>
  <c r="V463" i="2"/>
  <c r="U463" i="2" s="1"/>
  <c r="V439" i="2"/>
  <c r="U439" i="2" s="1"/>
  <c r="V415" i="2"/>
  <c r="U415" i="2" s="1"/>
  <c r="V411" i="2"/>
  <c r="U411" i="2" s="1"/>
  <c r="V407" i="2"/>
  <c r="U407" i="2" s="1"/>
  <c r="V403" i="2"/>
  <c r="U403" i="2" s="1"/>
  <c r="V399" i="2"/>
  <c r="U399" i="2" s="1"/>
  <c r="V395" i="2"/>
  <c r="U395" i="2" s="1"/>
  <c r="V391" i="2"/>
  <c r="U391" i="2" s="1"/>
  <c r="V387" i="2"/>
  <c r="U387" i="2" s="1"/>
  <c r="V383" i="2"/>
  <c r="U383" i="2" s="1"/>
  <c r="V379" i="2"/>
  <c r="U379" i="2" s="1"/>
  <c r="V375" i="2"/>
  <c r="U375" i="2" s="1"/>
  <c r="V371" i="2"/>
  <c r="U371" i="2" s="1"/>
  <c r="V367" i="2"/>
  <c r="U367" i="2" s="1"/>
  <c r="V363" i="2"/>
  <c r="U363" i="2" s="1"/>
  <c r="V359" i="2"/>
  <c r="U359" i="2" s="1"/>
  <c r="V355" i="2"/>
  <c r="U355" i="2" s="1"/>
  <c r="V351" i="2"/>
  <c r="U351" i="2" s="1"/>
  <c r="V331" i="2"/>
  <c r="U331" i="2" s="1"/>
  <c r="V327" i="2"/>
  <c r="U327" i="2" s="1"/>
  <c r="V323" i="2"/>
  <c r="U323" i="2" s="1"/>
  <c r="V287" i="2"/>
  <c r="U287" i="2" s="1"/>
  <c r="V283" i="2"/>
  <c r="U283" i="2" s="1"/>
  <c r="V279" i="2"/>
  <c r="U279" i="2" s="1"/>
  <c r="V267" i="2"/>
  <c r="U267" i="2" s="1"/>
  <c r="V263" i="2"/>
  <c r="U263" i="2" s="1"/>
  <c r="V259" i="2"/>
  <c r="U259" i="2" s="1"/>
  <c r="V255" i="2"/>
  <c r="U255" i="2" s="1"/>
  <c r="V235" i="2"/>
  <c r="U235" i="2" s="1"/>
  <c r="V203" i="2"/>
  <c r="U203" i="2" s="1"/>
  <c r="V107" i="2"/>
  <c r="U107" i="2" s="1"/>
  <c r="J305" i="2"/>
  <c r="J914" i="2"/>
  <c r="J140" i="2"/>
  <c r="J569" i="2"/>
  <c r="J997" i="2"/>
  <c r="J1001" i="2"/>
  <c r="J870" i="2"/>
  <c r="J162" i="2"/>
  <c r="J680" i="2"/>
  <c r="J386" i="2"/>
  <c r="J341" i="2"/>
  <c r="J310" i="2"/>
  <c r="J722" i="2"/>
  <c r="J976" i="2"/>
  <c r="J980" i="2"/>
  <c r="J559" i="2"/>
  <c r="J87" i="2"/>
  <c r="J733" i="2"/>
  <c r="J266" i="2"/>
  <c r="J451" i="2"/>
  <c r="J636" i="2"/>
  <c r="J277" i="2"/>
  <c r="J697" i="2"/>
  <c r="J626" i="2"/>
  <c r="J171" i="2"/>
  <c r="J237" i="2"/>
  <c r="J191" i="2"/>
  <c r="J422" i="2"/>
  <c r="J746" i="2"/>
  <c r="J64" i="2"/>
  <c r="J705" i="2"/>
  <c r="J596" i="2"/>
  <c r="J888" i="2"/>
  <c r="J854" i="2"/>
  <c r="J677" i="2"/>
  <c r="J826" i="2"/>
  <c r="J968" i="2"/>
  <c r="J529" i="2"/>
  <c r="J918" i="2"/>
  <c r="J591" i="2"/>
  <c r="J460" i="2"/>
  <c r="J737" i="2"/>
  <c r="J158" i="2"/>
  <c r="J16" i="2"/>
  <c r="J741" i="2"/>
  <c r="J953" i="2"/>
  <c r="J445" i="2"/>
  <c r="J268" i="2"/>
  <c r="J455" i="2"/>
  <c r="J19" i="2"/>
  <c r="J866" i="2"/>
  <c r="J426" i="2"/>
  <c r="J967" i="2"/>
  <c r="J966" i="2"/>
  <c r="J102" i="2"/>
  <c r="J651" i="2"/>
  <c r="J374" i="2"/>
  <c r="J29" i="2"/>
  <c r="J522" i="2"/>
  <c r="J521" i="2"/>
  <c r="J230" i="2"/>
  <c r="J670" i="2"/>
  <c r="J60" i="2"/>
  <c r="J541" i="2"/>
  <c r="J163" i="2"/>
  <c r="J257" i="2"/>
  <c r="J764" i="2"/>
  <c r="J890" i="2"/>
  <c r="J222" i="2"/>
  <c r="J905" i="2"/>
  <c r="J271" i="2"/>
  <c r="J861" i="2"/>
  <c r="J194" i="2"/>
  <c r="J215" i="2"/>
  <c r="J747" i="2"/>
  <c r="J406" i="2"/>
  <c r="J931" i="2"/>
  <c r="J308" i="2"/>
  <c r="J584" i="2"/>
  <c r="J497" i="2"/>
  <c r="J213" i="2"/>
  <c r="J198" i="2"/>
  <c r="J396" i="2"/>
  <c r="J433" i="2"/>
  <c r="J710" i="2"/>
  <c r="J319" i="2"/>
  <c r="J372" i="2"/>
  <c r="J667" i="2"/>
  <c r="J95" i="2"/>
  <c r="J926" i="2"/>
  <c r="J864" i="2"/>
  <c r="J653" i="2"/>
  <c r="J551" i="2"/>
  <c r="J117" i="2"/>
  <c r="J190" i="2"/>
  <c r="J284" i="2"/>
  <c r="J288" i="2"/>
  <c r="J800" i="2"/>
  <c r="J610" i="2"/>
  <c r="J609" i="2"/>
  <c r="J681" i="2"/>
  <c r="J397" i="2"/>
  <c r="J500" i="2"/>
  <c r="J852" i="2"/>
  <c r="J823" i="2"/>
  <c r="J583" i="2"/>
  <c r="J642" i="2"/>
  <c r="J787" i="2"/>
  <c r="J404" i="2"/>
  <c r="J26" i="2"/>
  <c r="J174" i="2"/>
  <c r="J91" i="2"/>
  <c r="J104" i="2"/>
  <c r="J370" i="2"/>
  <c r="J766" i="2"/>
  <c r="J547" i="2"/>
  <c r="J778" i="2"/>
  <c r="J579" i="2"/>
  <c r="J704" i="2"/>
  <c r="J43" i="2"/>
  <c r="J20" i="2"/>
  <c r="J846" i="2"/>
  <c r="J176" i="2"/>
  <c r="J876" i="2"/>
  <c r="J75" i="2"/>
  <c r="J281" i="2"/>
  <c r="J430" i="2"/>
  <c r="J491" i="2"/>
  <c r="J18" i="2"/>
  <c r="J463" i="2"/>
  <c r="J218" i="2"/>
  <c r="J85" i="2"/>
  <c r="J323" i="2"/>
  <c r="J502" i="2"/>
  <c r="J183" i="2"/>
  <c r="J648" i="2"/>
  <c r="J81" i="2"/>
  <c r="J900" i="2"/>
  <c r="J112" i="2"/>
  <c r="J207" i="2"/>
  <c r="J675" i="2"/>
  <c r="J355" i="2"/>
  <c r="J912" i="2"/>
  <c r="J782" i="2"/>
  <c r="J604" i="2"/>
  <c r="J335" i="2"/>
  <c r="J825" i="2"/>
  <c r="J457" i="2"/>
  <c r="J243" i="2"/>
  <c r="J641" i="2"/>
  <c r="J255" i="2"/>
  <c r="J553" i="2"/>
  <c r="J957" i="2"/>
  <c r="J518" i="2"/>
  <c r="J246" i="2"/>
  <c r="J382" i="2"/>
  <c r="J459" i="2"/>
  <c r="J777" i="2"/>
  <c r="J312" i="2"/>
  <c r="J453" i="2"/>
  <c r="J678" i="2"/>
  <c r="J798" i="2"/>
  <c r="J30" i="2"/>
  <c r="J498" i="2"/>
  <c r="J195" i="2"/>
  <c r="J621" i="2"/>
  <c r="J947" i="2"/>
  <c r="J654" i="2"/>
  <c r="J242" i="2"/>
  <c r="J186" i="2"/>
  <c r="J45" i="2"/>
  <c r="J465" i="2"/>
  <c r="J606" i="2"/>
  <c r="J662" i="2"/>
  <c r="J546" i="2"/>
  <c r="J929" i="2"/>
  <c r="J813" i="2"/>
  <c r="J40" i="2"/>
  <c r="J911" i="2"/>
  <c r="J702" i="2"/>
  <c r="J781" i="2"/>
  <c r="J17" i="2"/>
  <c r="J656" i="2"/>
  <c r="J185" i="2"/>
  <c r="J545" i="2"/>
  <c r="J951" i="2"/>
  <c r="J240" i="2"/>
  <c r="J880" i="2"/>
  <c r="J113" i="2"/>
  <c r="J324" i="2"/>
  <c r="J142" i="2"/>
  <c r="J202" i="2"/>
  <c r="J447" i="2"/>
  <c r="J921" i="2"/>
  <c r="J916" i="2"/>
  <c r="J405" i="2"/>
  <c r="J515" i="2"/>
  <c r="J336" i="2"/>
  <c r="J147" i="2"/>
  <c r="J632" i="2"/>
  <c r="J437" i="2"/>
  <c r="J261" i="2"/>
  <c r="J735" i="2"/>
  <c r="J251" i="2"/>
  <c r="J434" i="2"/>
  <c r="J749" i="2"/>
  <c r="J612" i="2"/>
  <c r="J483" i="2"/>
  <c r="J67" i="2"/>
  <c r="J613" i="2"/>
  <c r="J436" i="2"/>
  <c r="J517" i="2"/>
  <c r="J526" i="2"/>
  <c r="J364" i="2"/>
  <c r="J293" i="2"/>
  <c r="J499" i="2"/>
  <c r="J708" i="2"/>
  <c r="J631" i="2"/>
  <c r="J46" i="2"/>
  <c r="J623" i="2"/>
  <c r="J77" i="2"/>
  <c r="J814" i="2"/>
  <c r="J170" i="2"/>
  <c r="J858" i="2"/>
  <c r="J212" i="2"/>
  <c r="J120" i="2"/>
  <c r="J754" i="2"/>
  <c r="J786" i="2"/>
  <c r="J328" i="2"/>
  <c r="J724" i="2"/>
  <c r="J915" i="2"/>
  <c r="J1005" i="2"/>
  <c r="J282" i="2"/>
  <c r="J979" i="2"/>
  <c r="J738" i="2"/>
  <c r="J232" i="2"/>
  <c r="J349" i="2"/>
  <c r="J244" i="2"/>
  <c r="J181" i="2"/>
  <c r="J831" i="2"/>
  <c r="J828" i="2"/>
  <c r="J818" i="2"/>
  <c r="J556" i="2"/>
  <c r="J221" i="2"/>
  <c r="J964" i="2"/>
  <c r="J346" i="2"/>
  <c r="J260" i="2"/>
  <c r="J105" i="2"/>
  <c r="J273" i="2"/>
  <c r="J165" i="2"/>
  <c r="J723" i="2"/>
  <c r="J314" i="2"/>
  <c r="J563" i="2"/>
  <c r="J922" i="2"/>
  <c r="J267" i="2"/>
  <c r="J485" i="2"/>
  <c r="J263" i="2"/>
  <c r="J743" i="2"/>
  <c r="J390" i="2"/>
  <c r="X12" i="2"/>
  <c r="J338" i="2"/>
  <c r="J128" i="2"/>
  <c r="J531" i="2"/>
  <c r="J991" i="2"/>
  <c r="J139" i="2"/>
  <c r="J13" i="2"/>
  <c r="J431" i="2"/>
  <c r="J415" i="2"/>
  <c r="J958" i="2"/>
  <c r="J538" i="2"/>
  <c r="J152" i="2"/>
  <c r="J302" i="2"/>
  <c r="J388" i="2"/>
  <c r="J384" i="2"/>
  <c r="J299" i="2"/>
  <c r="J182" i="2"/>
  <c r="J751" i="2"/>
  <c r="J679" i="2"/>
  <c r="J856" i="2"/>
  <c r="J294" i="2"/>
  <c r="J618" i="2"/>
  <c r="J23" i="2"/>
  <c r="J954" i="2"/>
  <c r="J201" i="2"/>
  <c r="J220" i="2"/>
  <c r="J169" i="2"/>
  <c r="J58" i="2"/>
  <c r="J501" i="2"/>
  <c r="J100" i="2"/>
  <c r="J676" i="2"/>
  <c r="J762" i="2"/>
  <c r="J740" i="2"/>
  <c r="J503" i="2"/>
  <c r="J344" i="2"/>
  <c r="J442" i="2"/>
  <c r="J599" i="2"/>
  <c r="J425" i="2"/>
  <c r="J873" i="2"/>
  <c r="J784" i="2"/>
  <c r="J745" i="2"/>
  <c r="J720" i="2"/>
  <c r="J750" i="2"/>
  <c r="J438" i="2"/>
  <c r="J540" i="2"/>
  <c r="J420" i="2"/>
  <c r="J280" i="2"/>
  <c r="J685" i="2"/>
  <c r="J838" i="2"/>
  <c r="J879" i="2"/>
  <c r="J925" i="2"/>
  <c r="J90" i="2"/>
  <c r="J528" i="2"/>
  <c r="J398" i="2"/>
  <c r="J566" i="2"/>
  <c r="J761" i="2"/>
  <c r="J727" i="2"/>
  <c r="J74" i="2"/>
  <c r="J615" i="2"/>
  <c r="J126" i="2"/>
  <c r="J59" i="2"/>
  <c r="J721" i="2"/>
  <c r="J375" i="2"/>
  <c r="J992" i="2"/>
  <c r="J907" i="2"/>
  <c r="J359" i="2"/>
  <c r="J250" i="2"/>
  <c r="J617" i="2"/>
  <c r="J274" i="2"/>
  <c r="J510" i="2"/>
  <c r="J939" i="2"/>
  <c r="J652" i="2"/>
  <c r="J809" i="2"/>
  <c r="J450" i="2"/>
  <c r="J416" i="2"/>
  <c r="J827" i="2"/>
  <c r="J956" i="2"/>
  <c r="J134" i="2"/>
  <c r="J151" i="2"/>
  <c r="J941" i="2"/>
  <c r="J789" i="2"/>
  <c r="J734" i="2"/>
  <c r="J803" i="2"/>
  <c r="J329" i="2"/>
  <c r="J506" i="2"/>
  <c r="J184" i="2"/>
  <c r="J316" i="2"/>
  <c r="J659" i="2"/>
  <c r="J380" i="2"/>
  <c r="J756" i="2"/>
  <c r="J785" i="2"/>
  <c r="J893" i="2"/>
  <c r="J530" i="2"/>
  <c r="J166" i="2"/>
  <c r="J906" i="2"/>
  <c r="J393" i="2"/>
  <c r="J471" i="2"/>
  <c r="J28" i="2"/>
  <c r="J487" i="2"/>
  <c r="J1008" i="2"/>
  <c r="J620" i="2"/>
  <c r="J313" i="2"/>
  <c r="J321" i="2"/>
  <c r="J608" i="2"/>
  <c r="J937" i="2"/>
  <c r="J226" i="2"/>
  <c r="J418" i="2"/>
  <c r="J301" i="2"/>
  <c r="J55" i="2"/>
  <c r="J1007" i="2"/>
  <c r="J552" i="2"/>
  <c r="J22" i="2"/>
  <c r="J780" i="2"/>
  <c r="J89" i="2"/>
  <c r="J942" i="2"/>
  <c r="J674" i="2"/>
  <c r="J946" i="2"/>
  <c r="J52" i="2"/>
  <c r="J352" i="2"/>
  <c r="J683" i="2"/>
  <c r="J909" i="2"/>
  <c r="J819" i="2"/>
  <c r="J285" i="2"/>
  <c r="J38" i="2"/>
  <c r="J731" i="2"/>
  <c r="J853" i="2"/>
  <c r="J56" i="2"/>
  <c r="J647" i="2"/>
  <c r="J557" i="2"/>
  <c r="J361" i="2"/>
  <c r="J865" i="2"/>
  <c r="J411" i="2"/>
  <c r="J903" i="2"/>
  <c r="J774" i="2"/>
  <c r="J1011" i="2"/>
  <c r="J570" i="2"/>
  <c r="J172" i="2"/>
  <c r="J795" i="2"/>
  <c r="J239" i="2"/>
  <c r="J224" i="2"/>
  <c r="J998" i="2"/>
  <c r="J975" i="2"/>
  <c r="J577" i="2"/>
  <c r="J635" i="2"/>
  <c r="J452" i="2"/>
  <c r="J97" i="2"/>
  <c r="J47" i="2"/>
  <c r="J748" i="2"/>
  <c r="J478" i="2"/>
  <c r="J565" i="2"/>
  <c r="J358" i="2"/>
  <c r="J996" i="2"/>
  <c r="J296" i="2"/>
  <c r="J755" i="2"/>
  <c r="J917" i="2"/>
  <c r="J627" i="2"/>
  <c r="J843" i="2"/>
  <c r="J103" i="2"/>
  <c r="J377" i="2"/>
  <c r="J235" i="2"/>
  <c r="J977" i="2"/>
  <c r="J810" i="2"/>
  <c r="J389" i="2"/>
  <c r="J910" i="2"/>
  <c r="J111" i="2"/>
  <c r="J429" i="2"/>
  <c r="J475" i="2"/>
  <c r="J331" i="2"/>
  <c r="J476" i="2"/>
  <c r="J936" i="2"/>
  <c r="J548" i="2"/>
  <c r="J467" i="2"/>
  <c r="J805" i="2"/>
  <c r="J811" i="2"/>
  <c r="J519" i="2"/>
  <c r="J175" i="2"/>
  <c r="J122" i="2"/>
  <c r="J788" i="2"/>
  <c r="J537" i="2"/>
  <c r="J88" i="2"/>
  <c r="J44" i="2"/>
  <c r="J211" i="2"/>
  <c r="J712" i="2"/>
  <c r="J96" i="2"/>
  <c r="J292" i="2"/>
  <c r="J637" i="2"/>
  <c r="J884" i="2"/>
  <c r="J872" i="2"/>
  <c r="J970" i="2"/>
  <c r="J366" i="2"/>
  <c r="J817" i="2"/>
  <c r="J807" i="2"/>
  <c r="J318" i="2"/>
  <c r="J595" i="2"/>
  <c r="J481" i="2"/>
  <c r="J401" i="2"/>
  <c r="J886" i="2"/>
  <c r="J859" i="2"/>
  <c r="J655" i="2"/>
  <c r="J851" i="2"/>
  <c r="J760" i="2"/>
  <c r="J290" i="2"/>
  <c r="J812" i="2"/>
  <c r="J482" i="2"/>
  <c r="J649" i="2"/>
  <c r="J345" i="2"/>
  <c r="J348" i="2"/>
  <c r="J732" i="2"/>
  <c r="J877" i="2"/>
  <c r="J236" i="2"/>
  <c r="J83" i="2"/>
  <c r="J33" i="2"/>
  <c r="J863" i="2"/>
  <c r="J744" i="2"/>
  <c r="J589" i="2"/>
  <c r="J845" i="2"/>
  <c r="J660" i="2"/>
  <c r="J571" i="2"/>
  <c r="J61" i="2"/>
  <c r="J66" i="2"/>
  <c r="J206" i="2"/>
  <c r="J379" i="2"/>
  <c r="J539" i="2"/>
  <c r="J469" i="2"/>
  <c r="J427" i="2"/>
  <c r="J84" i="2"/>
  <c r="J842" i="2"/>
  <c r="J948" i="2"/>
  <c r="J161" i="2"/>
  <c r="J847" i="2"/>
  <c r="J555" i="2"/>
  <c r="J757" i="2"/>
  <c r="J806" i="2"/>
  <c r="J270" i="2"/>
  <c r="J628" i="2"/>
  <c r="J752" i="2"/>
  <c r="J869" i="2"/>
  <c r="J687" i="2"/>
  <c r="J934" i="2"/>
  <c r="J258" i="2"/>
  <c r="J204" i="2"/>
  <c r="J801" i="2"/>
  <c r="J955" i="2"/>
  <c r="J241" i="2"/>
  <c r="J1000" i="2"/>
  <c r="J716" i="2"/>
  <c r="J159" i="2"/>
  <c r="J520" i="2"/>
  <c r="J279" i="2"/>
  <c r="J138" i="2"/>
  <c r="J25" i="2"/>
  <c r="J554" i="2"/>
  <c r="J72" i="2"/>
  <c r="J428" i="2"/>
  <c r="V199" i="2"/>
  <c r="U199" i="2" s="1"/>
  <c r="V202" i="2"/>
  <c r="U202" i="2" s="1"/>
  <c r="V205" i="2"/>
  <c r="U205" i="2" s="1"/>
  <c r="V212" i="2"/>
  <c r="U212" i="2" s="1"/>
  <c r="V234" i="2"/>
  <c r="U234" i="2" s="1"/>
  <c r="V244" i="2"/>
  <c r="U244" i="2" s="1"/>
  <c r="V278" i="2"/>
  <c r="U278" i="2" s="1"/>
  <c r="V350" i="2"/>
  <c r="U350" i="2" s="1"/>
  <c r="V432" i="2"/>
  <c r="U432" i="2" s="1"/>
  <c r="V453" i="2"/>
  <c r="U453" i="2" s="1"/>
  <c r="V488" i="2"/>
  <c r="U488" i="2" s="1"/>
  <c r="V508" i="2"/>
  <c r="U508" i="2" s="1"/>
  <c r="V544" i="2"/>
  <c r="U544" i="2" s="1"/>
  <c r="V608" i="2"/>
  <c r="U608" i="2" s="1"/>
  <c r="V636" i="2"/>
  <c r="U636" i="2" s="1"/>
  <c r="V653" i="2"/>
  <c r="U653" i="2" s="1"/>
  <c r="V196" i="2"/>
  <c r="U196" i="2" s="1"/>
  <c r="V224" i="2"/>
  <c r="U224" i="2" s="1"/>
  <c r="V231" i="2"/>
  <c r="U231" i="2" s="1"/>
  <c r="V241" i="2"/>
  <c r="U241" i="2" s="1"/>
  <c r="V320" i="2"/>
  <c r="U320" i="2" s="1"/>
  <c r="V450" i="2"/>
  <c r="U450" i="2" s="1"/>
  <c r="V460" i="2"/>
  <c r="U460" i="2" s="1"/>
  <c r="V502" i="2"/>
  <c r="U502" i="2" s="1"/>
  <c r="V512" i="2"/>
  <c r="U512" i="2" s="1"/>
  <c r="V556" i="2"/>
  <c r="U556" i="2" s="1"/>
  <c r="V615" i="2"/>
  <c r="U615" i="2" s="1"/>
  <c r="V68" i="2"/>
  <c r="U68" i="2" s="1"/>
  <c r="V127" i="2"/>
  <c r="U127" i="2" s="1"/>
  <c r="V444" i="2"/>
  <c r="U444" i="2" s="1"/>
  <c r="V500" i="2"/>
  <c r="U500" i="2" s="1"/>
  <c r="V536" i="2"/>
  <c r="U536" i="2" s="1"/>
  <c r="V542" i="2"/>
  <c r="U542" i="2" s="1"/>
  <c r="V606" i="2"/>
  <c r="U606" i="2" s="1"/>
  <c r="V619" i="2"/>
  <c r="U619" i="2" s="1"/>
  <c r="V630" i="2"/>
  <c r="U630" i="2" s="1"/>
  <c r="V654" i="2"/>
  <c r="U654" i="2" s="1"/>
  <c r="V99" i="2"/>
  <c r="U99" i="2" s="1"/>
  <c r="V124" i="2"/>
  <c r="U124" i="2" s="1"/>
  <c r="V159" i="2"/>
  <c r="U159" i="2" s="1"/>
  <c r="V225" i="2"/>
  <c r="U225" i="2" s="1"/>
  <c r="V269" i="2"/>
  <c r="U269" i="2" s="1"/>
  <c r="V310" i="2"/>
  <c r="U310" i="2" s="1"/>
  <c r="V441" i="2"/>
  <c r="U441" i="2" s="1"/>
  <c r="V448" i="2"/>
  <c r="U448" i="2" s="1"/>
  <c r="V690" i="2"/>
  <c r="U690" i="2" s="1"/>
  <c r="V113" i="2"/>
  <c r="U113" i="2" s="1"/>
  <c r="V201" i="2"/>
  <c r="U201" i="2" s="1"/>
  <c r="V204" i="2"/>
  <c r="U204" i="2" s="1"/>
  <c r="V207" i="2"/>
  <c r="U207" i="2" s="1"/>
  <c r="V273" i="2"/>
  <c r="U273" i="2" s="1"/>
  <c r="V288" i="2"/>
  <c r="U288" i="2" s="1"/>
  <c r="V423" i="2"/>
  <c r="U423" i="2" s="1"/>
  <c r="V473" i="2"/>
  <c r="U473" i="2" s="1"/>
  <c r="V476" i="2"/>
  <c r="U476" i="2" s="1"/>
  <c r="V540" i="2"/>
  <c r="U540" i="2" s="1"/>
  <c r="V596" i="2"/>
  <c r="U596" i="2" s="1"/>
  <c r="V702" i="2"/>
  <c r="U702" i="2" s="1"/>
  <c r="V110" i="2"/>
  <c r="U110" i="2" s="1"/>
  <c r="V240" i="2"/>
  <c r="U240" i="2" s="1"/>
  <c r="V292" i="2"/>
  <c r="U292" i="2" s="1"/>
  <c r="V504" i="2"/>
  <c r="U504" i="2" s="1"/>
  <c r="V518" i="2"/>
  <c r="U518" i="2" s="1"/>
  <c r="V600" i="2"/>
  <c r="U600" i="2" s="1"/>
  <c r="V699" i="2"/>
  <c r="U699" i="2" s="1"/>
  <c r="V695" i="2"/>
  <c r="U695" i="2" s="1"/>
  <c r="V691" i="2"/>
  <c r="U691" i="2" s="1"/>
  <c r="V645" i="2"/>
  <c r="U645" i="2" s="1"/>
  <c r="V628" i="2"/>
  <c r="U628" i="2" s="1"/>
  <c r="V617" i="2"/>
  <c r="U617" i="2" s="1"/>
  <c r="V614" i="2"/>
  <c r="U614" i="2" s="1"/>
  <c r="V604" i="2"/>
  <c r="U604" i="2" s="1"/>
  <c r="V586" i="2"/>
  <c r="U586" i="2" s="1"/>
  <c r="V582" i="2"/>
  <c r="U582" i="2" s="1"/>
  <c r="V578" i="2"/>
  <c r="U578" i="2" s="1"/>
  <c r="V574" i="2"/>
  <c r="U574" i="2" s="1"/>
  <c r="V570" i="2"/>
  <c r="U570" i="2" s="1"/>
  <c r="V566" i="2"/>
  <c r="U566" i="2" s="1"/>
  <c r="V555" i="2"/>
  <c r="U555" i="2" s="1"/>
  <c r="V551" i="2"/>
  <c r="U551" i="2" s="1"/>
  <c r="V547" i="2"/>
  <c r="U547" i="2" s="1"/>
  <c r="V537" i="2"/>
  <c r="U537" i="2" s="1"/>
  <c r="V534" i="2"/>
  <c r="U534" i="2" s="1"/>
  <c r="V530" i="2"/>
  <c r="U530" i="2" s="1"/>
  <c r="V526" i="2"/>
  <c r="U526" i="2" s="1"/>
  <c r="V522" i="2"/>
  <c r="U522" i="2" s="1"/>
  <c r="V511" i="2"/>
  <c r="U511" i="2" s="1"/>
  <c r="V501" i="2"/>
  <c r="U501" i="2" s="1"/>
  <c r="V498" i="2"/>
  <c r="U498" i="2" s="1"/>
  <c r="V494" i="2"/>
  <c r="U494" i="2" s="1"/>
  <c r="V480" i="2"/>
  <c r="U480" i="2" s="1"/>
  <c r="V459" i="2"/>
  <c r="U459" i="2" s="1"/>
  <c r="V449" i="2"/>
  <c r="U449" i="2" s="1"/>
  <c r="V442" i="2"/>
  <c r="U442" i="2" s="1"/>
  <c r="V435" i="2"/>
  <c r="U435" i="2" s="1"/>
  <c r="V420" i="2"/>
  <c r="U420" i="2" s="1"/>
  <c r="V413" i="2"/>
  <c r="U413" i="2" s="1"/>
  <c r="V409" i="2"/>
  <c r="U409" i="2" s="1"/>
  <c r="V405" i="2"/>
  <c r="U405" i="2" s="1"/>
  <c r="V401" i="2"/>
  <c r="U401" i="2" s="1"/>
  <c r="V397" i="2"/>
  <c r="U397" i="2" s="1"/>
  <c r="V393" i="2"/>
  <c r="U393" i="2" s="1"/>
  <c r="V389" i="2"/>
  <c r="U389" i="2" s="1"/>
  <c r="V385" i="2"/>
  <c r="U385" i="2" s="1"/>
  <c r="V381" i="2"/>
  <c r="U381" i="2" s="1"/>
  <c r="V377" i="2"/>
  <c r="U377" i="2" s="1"/>
  <c r="V373" i="2"/>
  <c r="U373" i="2" s="1"/>
  <c r="V369" i="2"/>
  <c r="U369" i="2" s="1"/>
  <c r="V365" i="2"/>
  <c r="U365" i="2" s="1"/>
  <c r="V361" i="2"/>
  <c r="U361" i="2" s="1"/>
  <c r="V357" i="2"/>
  <c r="U357" i="2" s="1"/>
  <c r="V353" i="2"/>
  <c r="U353" i="2" s="1"/>
  <c r="V338" i="2"/>
  <c r="U338" i="2" s="1"/>
  <c r="V334" i="2"/>
  <c r="U334" i="2" s="1"/>
  <c r="V319" i="2"/>
  <c r="U319" i="2" s="1"/>
  <c r="V315" i="2"/>
  <c r="U315" i="2" s="1"/>
  <c r="V311" i="2"/>
  <c r="U311" i="2" s="1"/>
  <c r="V285" i="2"/>
  <c r="U285" i="2" s="1"/>
  <c r="V281" i="2"/>
  <c r="U281" i="2" s="1"/>
  <c r="V270" i="2"/>
  <c r="U270" i="2" s="1"/>
  <c r="V251" i="2"/>
  <c r="U251" i="2" s="1"/>
  <c r="V247" i="2"/>
  <c r="U247" i="2" s="1"/>
  <c r="V230" i="2"/>
  <c r="U230" i="2" s="1"/>
  <c r="V226" i="2"/>
  <c r="U226" i="2" s="1"/>
  <c r="V223" i="2"/>
  <c r="U223" i="2" s="1"/>
  <c r="V219" i="2"/>
  <c r="U219" i="2" s="1"/>
  <c r="V215" i="2"/>
  <c r="U215" i="2" s="1"/>
  <c r="V195" i="2"/>
  <c r="U195" i="2" s="1"/>
  <c r="V160" i="2"/>
  <c r="U160" i="2" s="1"/>
  <c r="V125" i="2"/>
  <c r="U125" i="2" s="1"/>
  <c r="S107" i="2"/>
  <c r="S95" i="2"/>
  <c r="V79" i="2"/>
  <c r="U79" i="2" s="1"/>
  <c r="V64" i="2"/>
  <c r="U64" i="2" s="1"/>
  <c r="V710" i="2"/>
  <c r="U710" i="2" s="1"/>
  <c r="V706" i="2"/>
  <c r="U706" i="2" s="1"/>
  <c r="V687" i="2"/>
  <c r="U687" i="2" s="1"/>
  <c r="V683" i="2"/>
  <c r="U683" i="2" s="1"/>
  <c r="V679" i="2"/>
  <c r="U679" i="2" s="1"/>
  <c r="V675" i="2"/>
  <c r="U675" i="2" s="1"/>
  <c r="V671" i="2"/>
  <c r="U671" i="2" s="1"/>
  <c r="V667" i="2"/>
  <c r="U667" i="2" s="1"/>
  <c r="V663" i="2"/>
  <c r="U663" i="2" s="1"/>
  <c r="V659" i="2"/>
  <c r="U659" i="2" s="1"/>
  <c r="V655" i="2"/>
  <c r="U655" i="2" s="1"/>
  <c r="V652" i="2"/>
  <c r="U652" i="2" s="1"/>
  <c r="V635" i="2"/>
  <c r="U635" i="2" s="1"/>
  <c r="V631" i="2"/>
  <c r="U631" i="2" s="1"/>
  <c r="V624" i="2"/>
  <c r="U624" i="2" s="1"/>
  <c r="V620" i="2"/>
  <c r="U620" i="2" s="1"/>
  <c r="V607" i="2"/>
  <c r="U607" i="2" s="1"/>
  <c r="V593" i="2"/>
  <c r="U593" i="2" s="1"/>
  <c r="V589" i="2"/>
  <c r="U589" i="2" s="1"/>
  <c r="V562" i="2"/>
  <c r="U562" i="2" s="1"/>
  <c r="V558" i="2"/>
  <c r="U558" i="2" s="1"/>
  <c r="V543" i="2"/>
  <c r="U543" i="2" s="1"/>
  <c r="V514" i="2"/>
  <c r="U514" i="2" s="1"/>
  <c r="V507" i="2"/>
  <c r="U507" i="2" s="1"/>
  <c r="V487" i="2"/>
  <c r="U487" i="2" s="1"/>
  <c r="V470" i="2"/>
  <c r="U470" i="2" s="1"/>
  <c r="V466" i="2"/>
  <c r="U466" i="2" s="1"/>
  <c r="V462" i="2"/>
  <c r="U462" i="2" s="1"/>
  <c r="V452" i="2"/>
  <c r="U452" i="2" s="1"/>
  <c r="V445" i="2"/>
  <c r="U445" i="2" s="1"/>
  <c r="V431" i="2"/>
  <c r="U431" i="2" s="1"/>
  <c r="V427" i="2"/>
  <c r="U427" i="2" s="1"/>
  <c r="V349" i="2"/>
  <c r="U349" i="2" s="1"/>
  <c r="V345" i="2"/>
  <c r="U345" i="2" s="1"/>
  <c r="V330" i="2"/>
  <c r="U330" i="2" s="1"/>
  <c r="V326" i="2"/>
  <c r="U326" i="2" s="1"/>
  <c r="V322" i="2"/>
  <c r="U322" i="2" s="1"/>
  <c r="V307" i="2"/>
  <c r="U307" i="2" s="1"/>
  <c r="V303" i="2"/>
  <c r="U303" i="2" s="1"/>
  <c r="V299" i="2"/>
  <c r="U299" i="2" s="1"/>
  <c r="V277" i="2"/>
  <c r="U277" i="2" s="1"/>
  <c r="V266" i="2"/>
  <c r="U266" i="2" s="1"/>
  <c r="V262" i="2"/>
  <c r="U262" i="2" s="1"/>
  <c r="V258" i="2"/>
  <c r="U258" i="2" s="1"/>
  <c r="V243" i="2"/>
  <c r="U243" i="2" s="1"/>
  <c r="V233" i="2"/>
  <c r="U233" i="2" s="1"/>
  <c r="V211" i="2"/>
  <c r="U211" i="2" s="1"/>
  <c r="V198" i="2"/>
  <c r="U198" i="2" s="1"/>
  <c r="V191" i="2"/>
  <c r="U191" i="2" s="1"/>
  <c r="V187" i="2"/>
  <c r="U187" i="2" s="1"/>
  <c r="V183" i="2"/>
  <c r="U183" i="2" s="1"/>
  <c r="V179" i="2"/>
  <c r="U179" i="2" s="1"/>
  <c r="V175" i="2"/>
  <c r="U175" i="2" s="1"/>
  <c r="V171" i="2"/>
  <c r="U171" i="2" s="1"/>
  <c r="V167" i="2"/>
  <c r="U167" i="2" s="1"/>
  <c r="V156" i="2"/>
  <c r="U156" i="2" s="1"/>
  <c r="V152" i="2"/>
  <c r="U152" i="2" s="1"/>
  <c r="V148" i="2"/>
  <c r="U148" i="2" s="1"/>
  <c r="V144" i="2"/>
  <c r="U144" i="2" s="1"/>
  <c r="V140" i="2"/>
  <c r="U140" i="2" s="1"/>
  <c r="V136" i="2"/>
  <c r="U136" i="2" s="1"/>
  <c r="V132" i="2"/>
  <c r="U132" i="2" s="1"/>
  <c r="V128" i="2"/>
  <c r="U128" i="2" s="1"/>
  <c r="V121" i="2"/>
  <c r="U121" i="2" s="1"/>
  <c r="V117" i="2"/>
  <c r="U117" i="2" s="1"/>
  <c r="V106" i="2"/>
  <c r="U106" i="2" s="1"/>
  <c r="V100" i="2"/>
  <c r="U100" i="2" s="1"/>
  <c r="V70" i="2"/>
  <c r="U70" i="2" s="1"/>
  <c r="V63" i="2"/>
  <c r="U63" i="2" s="1"/>
  <c r="V47" i="2"/>
  <c r="U47" i="2" s="1"/>
  <c r="V39" i="2"/>
  <c r="U39" i="2" s="1"/>
  <c r="V698" i="2"/>
  <c r="U698" i="2" s="1"/>
  <c r="V694" i="2"/>
  <c r="U694" i="2" s="1"/>
  <c r="V648" i="2"/>
  <c r="U648" i="2" s="1"/>
  <c r="V644" i="2"/>
  <c r="U644" i="2" s="1"/>
  <c r="V641" i="2"/>
  <c r="U641" i="2" s="1"/>
  <c r="V638" i="2"/>
  <c r="U638" i="2" s="1"/>
  <c r="V627" i="2"/>
  <c r="U627" i="2" s="1"/>
  <c r="V613" i="2"/>
  <c r="U613" i="2" s="1"/>
  <c r="V610" i="2"/>
  <c r="U610" i="2" s="1"/>
  <c r="V603" i="2"/>
  <c r="U603" i="2" s="1"/>
  <c r="V585" i="2"/>
  <c r="U585" i="2" s="1"/>
  <c r="V581" i="2"/>
  <c r="U581" i="2" s="1"/>
  <c r="V577" i="2"/>
  <c r="U577" i="2" s="1"/>
  <c r="V573" i="2"/>
  <c r="U573" i="2" s="1"/>
  <c r="V569" i="2"/>
  <c r="U569" i="2" s="1"/>
  <c r="V565" i="2"/>
  <c r="U565" i="2" s="1"/>
  <c r="V554" i="2"/>
  <c r="U554" i="2" s="1"/>
  <c r="V550" i="2"/>
  <c r="U550" i="2" s="1"/>
  <c r="V546" i="2"/>
  <c r="U546" i="2" s="1"/>
  <c r="V533" i="2"/>
  <c r="U533" i="2" s="1"/>
  <c r="V529" i="2"/>
  <c r="U529" i="2" s="1"/>
  <c r="V525" i="2"/>
  <c r="U525" i="2" s="1"/>
  <c r="V521" i="2"/>
  <c r="U521" i="2" s="1"/>
  <c r="V510" i="2"/>
  <c r="U510" i="2" s="1"/>
  <c r="V497" i="2"/>
  <c r="U497" i="2" s="1"/>
  <c r="V493" i="2"/>
  <c r="U493" i="2" s="1"/>
  <c r="V490" i="2"/>
  <c r="U490" i="2" s="1"/>
  <c r="V483" i="2"/>
  <c r="U483" i="2" s="1"/>
  <c r="V479" i="2"/>
  <c r="U479" i="2" s="1"/>
  <c r="V458" i="2"/>
  <c r="U458" i="2" s="1"/>
  <c r="V455" i="2"/>
  <c r="U455" i="2" s="1"/>
  <c r="V438" i="2"/>
  <c r="U438" i="2" s="1"/>
  <c r="V434" i="2"/>
  <c r="U434" i="2" s="1"/>
  <c r="V419" i="2"/>
  <c r="U419" i="2" s="1"/>
  <c r="V416" i="2"/>
  <c r="U416" i="2" s="1"/>
  <c r="V412" i="2"/>
  <c r="U412" i="2" s="1"/>
  <c r="V408" i="2"/>
  <c r="U408" i="2" s="1"/>
  <c r="V404" i="2"/>
  <c r="U404" i="2" s="1"/>
  <c r="V400" i="2"/>
  <c r="U400" i="2" s="1"/>
  <c r="V396" i="2"/>
  <c r="U396" i="2" s="1"/>
  <c r="V392" i="2"/>
  <c r="U392" i="2" s="1"/>
  <c r="V388" i="2"/>
  <c r="U388" i="2" s="1"/>
  <c r="V384" i="2"/>
  <c r="U384" i="2" s="1"/>
  <c r="V380" i="2"/>
  <c r="U380" i="2" s="1"/>
  <c r="V376" i="2"/>
  <c r="U376" i="2" s="1"/>
  <c r="V372" i="2"/>
  <c r="U372" i="2" s="1"/>
  <c r="V368" i="2"/>
  <c r="U368" i="2" s="1"/>
  <c r="V364" i="2"/>
  <c r="U364" i="2" s="1"/>
  <c r="V360" i="2"/>
  <c r="U360" i="2" s="1"/>
  <c r="V356" i="2"/>
  <c r="U356" i="2" s="1"/>
  <c r="V352" i="2"/>
  <c r="U352" i="2" s="1"/>
  <c r="V341" i="2"/>
  <c r="U341" i="2" s="1"/>
  <c r="V337" i="2"/>
  <c r="U337" i="2" s="1"/>
  <c r="V333" i="2"/>
  <c r="U333" i="2" s="1"/>
  <c r="V318" i="2"/>
  <c r="U318" i="2" s="1"/>
  <c r="V314" i="2"/>
  <c r="U314" i="2" s="1"/>
  <c r="V295" i="2"/>
  <c r="U295" i="2" s="1"/>
  <c r="V284" i="2"/>
  <c r="U284" i="2" s="1"/>
  <c r="V280" i="2"/>
  <c r="U280" i="2" s="1"/>
  <c r="V254" i="2"/>
  <c r="U254" i="2" s="1"/>
  <c r="V250" i="2"/>
  <c r="U250" i="2" s="1"/>
  <c r="V246" i="2"/>
  <c r="U246" i="2" s="1"/>
  <c r="V236" i="2"/>
  <c r="U236" i="2" s="1"/>
  <c r="V229" i="2"/>
  <c r="U229" i="2" s="1"/>
  <c r="V222" i="2"/>
  <c r="U222" i="2" s="1"/>
  <c r="V218" i="2"/>
  <c r="U218" i="2" s="1"/>
  <c r="V214" i="2"/>
  <c r="U214" i="2" s="1"/>
  <c r="V194" i="2"/>
  <c r="U194" i="2" s="1"/>
  <c r="V163" i="2"/>
  <c r="U163" i="2" s="1"/>
  <c r="V85" i="2"/>
  <c r="U85" i="2" s="1"/>
  <c r="V674" i="2"/>
  <c r="U674" i="2" s="1"/>
  <c r="V670" i="2"/>
  <c r="U670" i="2" s="1"/>
  <c r="V666" i="2"/>
  <c r="U666" i="2" s="1"/>
  <c r="V662" i="2"/>
  <c r="U662" i="2" s="1"/>
  <c r="V658" i="2"/>
  <c r="U658" i="2" s="1"/>
  <c r="V651" i="2"/>
  <c r="U651" i="2" s="1"/>
  <c r="V634" i="2"/>
  <c r="U634" i="2" s="1"/>
  <c r="V623" i="2"/>
  <c r="U623" i="2" s="1"/>
  <c r="V616" i="2"/>
  <c r="U616" i="2" s="1"/>
  <c r="V599" i="2"/>
  <c r="U599" i="2" s="1"/>
  <c r="V592" i="2"/>
  <c r="U592" i="2" s="1"/>
  <c r="V588" i="2"/>
  <c r="U588" i="2" s="1"/>
  <c r="V561" i="2"/>
  <c r="U561" i="2" s="1"/>
  <c r="V557" i="2"/>
  <c r="U557" i="2" s="1"/>
  <c r="V517" i="2"/>
  <c r="U517" i="2" s="1"/>
  <c r="V513" i="2"/>
  <c r="U513" i="2" s="1"/>
  <c r="V503" i="2"/>
  <c r="U503" i="2" s="1"/>
  <c r="V486" i="2"/>
  <c r="U486" i="2" s="1"/>
  <c r="V469" i="2"/>
  <c r="U469" i="2" s="1"/>
  <c r="V465" i="2"/>
  <c r="U465" i="2" s="1"/>
  <c r="V461" i="2"/>
  <c r="U461" i="2" s="1"/>
  <c r="V451" i="2"/>
  <c r="U451" i="2" s="1"/>
  <c r="V430" i="2"/>
  <c r="U430" i="2" s="1"/>
  <c r="V426" i="2"/>
  <c r="U426" i="2" s="1"/>
  <c r="V348" i="2"/>
  <c r="U348" i="2" s="1"/>
  <c r="V344" i="2"/>
  <c r="U344" i="2" s="1"/>
  <c r="V329" i="2"/>
  <c r="U329" i="2" s="1"/>
  <c r="V325" i="2"/>
  <c r="U325" i="2" s="1"/>
  <c r="V321" i="2"/>
  <c r="U321" i="2" s="1"/>
  <c r="V306" i="2"/>
  <c r="U306" i="2" s="1"/>
  <c r="V302" i="2"/>
  <c r="U302" i="2" s="1"/>
  <c r="V298" i="2"/>
  <c r="U298" i="2" s="1"/>
  <c r="V291" i="2"/>
  <c r="U291" i="2" s="1"/>
  <c r="V276" i="2"/>
  <c r="U276" i="2" s="1"/>
  <c r="V265" i="2"/>
  <c r="U265" i="2" s="1"/>
  <c r="V261" i="2"/>
  <c r="U261" i="2" s="1"/>
  <c r="V257" i="2"/>
  <c r="U257" i="2" s="1"/>
  <c r="V242" i="2"/>
  <c r="U242" i="2" s="1"/>
  <c r="V239" i="2"/>
  <c r="U239" i="2" s="1"/>
  <c r="V232" i="2"/>
  <c r="U232" i="2" s="1"/>
  <c r="V210" i="2"/>
  <c r="U210" i="2" s="1"/>
  <c r="V197" i="2"/>
  <c r="U197" i="2" s="1"/>
  <c r="V190" i="2"/>
  <c r="U190" i="2" s="1"/>
  <c r="V186" i="2"/>
  <c r="U186" i="2" s="1"/>
  <c r="V182" i="2"/>
  <c r="U182" i="2" s="1"/>
  <c r="V178" i="2"/>
  <c r="U178" i="2" s="1"/>
  <c r="V174" i="2"/>
  <c r="U174" i="2" s="1"/>
  <c r="V170" i="2"/>
  <c r="U170" i="2" s="1"/>
  <c r="V166" i="2"/>
  <c r="U166" i="2" s="1"/>
  <c r="V155" i="2"/>
  <c r="U155" i="2" s="1"/>
  <c r="V151" i="2"/>
  <c r="U151" i="2" s="1"/>
  <c r="V147" i="2"/>
  <c r="U147" i="2" s="1"/>
  <c r="V143" i="2"/>
  <c r="U143" i="2" s="1"/>
  <c r="V139" i="2"/>
  <c r="U139" i="2" s="1"/>
  <c r="V135" i="2"/>
  <c r="U135" i="2" s="1"/>
  <c r="V131" i="2"/>
  <c r="U131" i="2" s="1"/>
  <c r="V120" i="2"/>
  <c r="U120" i="2" s="1"/>
  <c r="V116" i="2"/>
  <c r="U116" i="2" s="1"/>
  <c r="V109" i="2"/>
  <c r="U109" i="2" s="1"/>
  <c r="V105" i="2"/>
  <c r="U105" i="2" s="1"/>
  <c r="V84" i="2"/>
  <c r="U84" i="2" s="1"/>
  <c r="V37" i="2"/>
  <c r="U37" i="2" s="1"/>
  <c r="V677" i="2"/>
  <c r="U677" i="2" s="1"/>
  <c r="V673" i="2"/>
  <c r="U673" i="2" s="1"/>
  <c r="V669" i="2"/>
  <c r="U669" i="2" s="1"/>
  <c r="V665" i="2"/>
  <c r="U665" i="2" s="1"/>
  <c r="V661" i="2"/>
  <c r="U661" i="2" s="1"/>
  <c r="V657" i="2"/>
  <c r="U657" i="2" s="1"/>
  <c r="V650" i="2"/>
  <c r="U650" i="2" s="1"/>
  <c r="V633" i="2"/>
  <c r="U633" i="2" s="1"/>
  <c r="V622" i="2"/>
  <c r="U622" i="2" s="1"/>
  <c r="V598" i="2"/>
  <c r="U598" i="2" s="1"/>
  <c r="V591" i="2"/>
  <c r="U591" i="2" s="1"/>
  <c r="V587" i="2"/>
  <c r="U587" i="2" s="1"/>
  <c r="V560" i="2"/>
  <c r="U560" i="2" s="1"/>
  <c r="V516" i="2"/>
  <c r="U516" i="2" s="1"/>
  <c r="V485" i="2"/>
  <c r="U485" i="2" s="1"/>
  <c r="V468" i="2"/>
  <c r="U468" i="2" s="1"/>
  <c r="V464" i="2"/>
  <c r="U464" i="2" s="1"/>
  <c r="V447" i="2"/>
  <c r="U447" i="2" s="1"/>
  <c r="V440" i="2"/>
  <c r="U440" i="2" s="1"/>
  <c r="V429" i="2"/>
  <c r="U429" i="2" s="1"/>
  <c r="V425" i="2"/>
  <c r="U425" i="2" s="1"/>
  <c r="V347" i="2"/>
  <c r="U347" i="2" s="1"/>
  <c r="V343" i="2"/>
  <c r="U343" i="2" s="1"/>
  <c r="V328" i="2"/>
  <c r="U328" i="2" s="1"/>
  <c r="V324" i="2"/>
  <c r="U324" i="2" s="1"/>
  <c r="V309" i="2"/>
  <c r="U309" i="2" s="1"/>
  <c r="V305" i="2"/>
  <c r="U305" i="2" s="1"/>
  <c r="V301" i="2"/>
  <c r="U301" i="2" s="1"/>
  <c r="V297" i="2"/>
  <c r="U297" i="2" s="1"/>
  <c r="V290" i="2"/>
  <c r="U290" i="2" s="1"/>
  <c r="V275" i="2"/>
  <c r="U275" i="2" s="1"/>
  <c r="V268" i="2"/>
  <c r="U268" i="2" s="1"/>
  <c r="V264" i="2"/>
  <c r="U264" i="2" s="1"/>
  <c r="V260" i="2"/>
  <c r="U260" i="2" s="1"/>
  <c r="V256" i="2"/>
  <c r="U256" i="2" s="1"/>
  <c r="V238" i="2"/>
  <c r="U238" i="2" s="1"/>
  <c r="V209" i="2"/>
  <c r="U209" i="2" s="1"/>
  <c r="V189" i="2"/>
  <c r="U189" i="2" s="1"/>
  <c r="V185" i="2"/>
  <c r="U185" i="2" s="1"/>
  <c r="V181" i="2"/>
  <c r="U181" i="2" s="1"/>
  <c r="V177" i="2"/>
  <c r="U177" i="2" s="1"/>
  <c r="V173" i="2"/>
  <c r="U173" i="2" s="1"/>
  <c r="V169" i="2"/>
  <c r="U169" i="2" s="1"/>
  <c r="V165" i="2"/>
  <c r="U165" i="2" s="1"/>
  <c r="V158" i="2"/>
  <c r="U158" i="2" s="1"/>
  <c r="V154" i="2"/>
  <c r="U154" i="2" s="1"/>
  <c r="V150" i="2"/>
  <c r="U150" i="2" s="1"/>
  <c r="V146" i="2"/>
  <c r="U146" i="2" s="1"/>
  <c r="V142" i="2"/>
  <c r="U142" i="2" s="1"/>
  <c r="V138" i="2"/>
  <c r="U138" i="2" s="1"/>
  <c r="V134" i="2"/>
  <c r="U134" i="2" s="1"/>
  <c r="V130" i="2"/>
  <c r="U130" i="2" s="1"/>
  <c r="V123" i="2"/>
  <c r="U123" i="2" s="1"/>
  <c r="V119" i="2"/>
  <c r="U119" i="2" s="1"/>
  <c r="V115" i="2"/>
  <c r="U115" i="2" s="1"/>
  <c r="V108" i="2"/>
  <c r="U108" i="2" s="1"/>
  <c r="V67" i="2"/>
  <c r="U67" i="2" s="1"/>
  <c r="V646" i="2"/>
  <c r="U646" i="2" s="1"/>
  <c r="V629" i="2"/>
  <c r="U629" i="2" s="1"/>
  <c r="V618" i="2"/>
  <c r="U618" i="2" s="1"/>
  <c r="V605" i="2"/>
  <c r="U605" i="2" s="1"/>
  <c r="V601" i="2"/>
  <c r="U601" i="2" s="1"/>
  <c r="V583" i="2"/>
  <c r="U583" i="2" s="1"/>
  <c r="V579" i="2"/>
  <c r="U579" i="2" s="1"/>
  <c r="V575" i="2"/>
  <c r="U575" i="2" s="1"/>
  <c r="V571" i="2"/>
  <c r="U571" i="2" s="1"/>
  <c r="V567" i="2"/>
  <c r="U567" i="2" s="1"/>
  <c r="V552" i="2"/>
  <c r="U552" i="2" s="1"/>
  <c r="V548" i="2"/>
  <c r="U548" i="2" s="1"/>
  <c r="V541" i="2"/>
  <c r="U541" i="2" s="1"/>
  <c r="V538" i="2"/>
  <c r="U538" i="2" s="1"/>
  <c r="V535" i="2"/>
  <c r="U535" i="2" s="1"/>
  <c r="V531" i="2"/>
  <c r="U531" i="2" s="1"/>
  <c r="V527" i="2"/>
  <c r="U527" i="2" s="1"/>
  <c r="V523" i="2"/>
  <c r="U523" i="2" s="1"/>
  <c r="V519" i="2"/>
  <c r="U519" i="2" s="1"/>
  <c r="V505" i="2"/>
  <c r="U505" i="2" s="1"/>
  <c r="V499" i="2"/>
  <c r="U499" i="2" s="1"/>
  <c r="V495" i="2"/>
  <c r="U495" i="2" s="1"/>
  <c r="V481" i="2"/>
  <c r="U481" i="2" s="1"/>
  <c r="V443" i="2"/>
  <c r="U443" i="2" s="1"/>
  <c r="V436" i="2"/>
  <c r="U436" i="2" s="1"/>
  <c r="V421" i="2"/>
  <c r="U421" i="2" s="1"/>
  <c r="V414" i="2"/>
  <c r="U414" i="2" s="1"/>
  <c r="V410" i="2"/>
  <c r="U410" i="2" s="1"/>
  <c r="V406" i="2"/>
  <c r="U406" i="2" s="1"/>
  <c r="V402" i="2"/>
  <c r="U402" i="2" s="1"/>
  <c r="V398" i="2"/>
  <c r="U398" i="2" s="1"/>
  <c r="V394" i="2"/>
  <c r="U394" i="2" s="1"/>
  <c r="V390" i="2"/>
  <c r="U390" i="2" s="1"/>
  <c r="V386" i="2"/>
  <c r="U386" i="2" s="1"/>
  <c r="V382" i="2"/>
  <c r="U382" i="2" s="1"/>
  <c r="V378" i="2"/>
  <c r="U378" i="2" s="1"/>
  <c r="V374" i="2"/>
  <c r="U374" i="2" s="1"/>
  <c r="V370" i="2"/>
  <c r="U370" i="2" s="1"/>
  <c r="V366" i="2"/>
  <c r="U366" i="2" s="1"/>
  <c r="V362" i="2"/>
  <c r="U362" i="2" s="1"/>
  <c r="V358" i="2"/>
  <c r="U358" i="2" s="1"/>
  <c r="V354" i="2"/>
  <c r="U354" i="2" s="1"/>
  <c r="V339" i="2"/>
  <c r="U339" i="2" s="1"/>
  <c r="V335" i="2"/>
  <c r="U335" i="2" s="1"/>
  <c r="V316" i="2"/>
  <c r="U316" i="2" s="1"/>
  <c r="V312" i="2"/>
  <c r="U312" i="2" s="1"/>
  <c r="V293" i="2"/>
  <c r="U293" i="2" s="1"/>
  <c r="V286" i="2"/>
  <c r="U286" i="2" s="1"/>
  <c r="V282" i="2"/>
  <c r="U282" i="2" s="1"/>
  <c r="V271" i="2"/>
  <c r="U271" i="2" s="1"/>
  <c r="V252" i="2"/>
  <c r="U252" i="2" s="1"/>
  <c r="V248" i="2"/>
  <c r="U248" i="2" s="1"/>
  <c r="V227" i="2"/>
  <c r="U227" i="2" s="1"/>
  <c r="V220" i="2"/>
  <c r="U220" i="2" s="1"/>
  <c r="V216" i="2"/>
  <c r="U216" i="2" s="1"/>
  <c r="V161" i="2"/>
  <c r="U161" i="2" s="1"/>
  <c r="V126" i="2"/>
  <c r="U126" i="2" s="1"/>
  <c r="V103" i="2"/>
  <c r="U103" i="2" s="1"/>
  <c r="V89" i="2"/>
  <c r="U89" i="2" s="1"/>
  <c r="J868" i="2"/>
  <c r="J92" i="2"/>
  <c r="J930" i="2"/>
  <c r="J421" i="2"/>
  <c r="J572" i="2"/>
  <c r="J27" i="2"/>
  <c r="J857" i="2"/>
  <c r="J763" i="2"/>
  <c r="J286" i="2"/>
  <c r="J867" i="2"/>
  <c r="J726" i="2"/>
  <c r="J289" i="2"/>
  <c r="J650" i="2"/>
  <c r="J129" i="2"/>
  <c r="J821" i="2"/>
  <c r="J981" i="2"/>
  <c r="J160" i="2"/>
  <c r="J154" i="2"/>
  <c r="J765" i="2"/>
  <c r="J524" i="2"/>
  <c r="J590" i="2"/>
  <c r="J34" i="2"/>
  <c r="J472" i="2"/>
  <c r="J527" i="2"/>
  <c r="J351" i="2"/>
  <c r="J950" i="2"/>
  <c r="J131" i="2"/>
  <c r="J582" i="2"/>
  <c r="J106" i="2"/>
  <c r="J542" i="2"/>
  <c r="J188" i="2"/>
  <c r="J773" i="2"/>
  <c r="J758" i="2"/>
  <c r="J143" i="2"/>
  <c r="J39" i="2"/>
  <c r="J407" i="2"/>
  <c r="J309" i="2"/>
  <c r="J839" i="2"/>
  <c r="J799" i="2"/>
  <c r="J661" i="2"/>
  <c r="J480" i="2"/>
  <c r="J999" i="2"/>
  <c r="J137" i="2"/>
  <c r="J908" i="2"/>
  <c r="J605" i="2"/>
  <c r="J340" i="2"/>
  <c r="J392" i="2"/>
  <c r="J544" i="2"/>
  <c r="J205" i="2"/>
  <c r="J802" i="2"/>
  <c r="J532" i="2"/>
  <c r="J816" i="2"/>
  <c r="J317" i="2"/>
  <c r="J598" i="2"/>
  <c r="J940" i="2"/>
  <c r="J78" i="2"/>
  <c r="J574" i="2"/>
  <c r="J330" i="2"/>
  <c r="J616" i="2"/>
  <c r="J603" i="2"/>
  <c r="J1010" i="2"/>
  <c r="J123" i="2"/>
  <c r="J216" i="2"/>
  <c r="J187" i="2"/>
  <c r="J228" i="2"/>
  <c r="J739" i="2"/>
  <c r="J135" i="2"/>
  <c r="J887" i="2"/>
  <c r="J989" i="2"/>
  <c r="J769" i="2"/>
  <c r="J350" i="2"/>
  <c r="J1006" i="2"/>
  <c r="J362" i="2"/>
  <c r="J901" i="2"/>
  <c r="J264" i="2"/>
  <c r="J363" i="2"/>
  <c r="J208" i="2"/>
  <c r="J1004" i="2"/>
  <c r="J199" i="2"/>
  <c r="J507" i="2"/>
  <c r="J32" i="2"/>
  <c r="J849" i="2"/>
  <c r="J54" i="2"/>
  <c r="J984" i="2"/>
  <c r="J987" i="2"/>
  <c r="J543" i="2"/>
  <c r="J840" i="2"/>
  <c r="J919" i="2"/>
  <c r="J815" i="2"/>
  <c r="J203" i="2"/>
  <c r="J391" i="2"/>
  <c r="J640" i="2"/>
  <c r="J443" i="2"/>
  <c r="J834" i="2"/>
  <c r="J155" i="2"/>
  <c r="J986" i="2"/>
  <c r="J943" i="2"/>
  <c r="J601" i="2"/>
  <c r="J168" i="2"/>
  <c r="J209" i="2"/>
  <c r="J575" i="2"/>
  <c r="J121" i="2"/>
  <c r="J217" i="2"/>
  <c r="J830" i="2"/>
  <c r="J326" i="2"/>
  <c r="J972" i="2"/>
  <c r="J470" i="2"/>
  <c r="J31" i="2"/>
  <c r="J993" i="2"/>
  <c r="J444" i="2"/>
  <c r="J225" i="2"/>
  <c r="J550" i="2"/>
  <c r="J772" i="2"/>
  <c r="J118" i="2"/>
  <c r="J974" i="2"/>
  <c r="J924" i="2"/>
  <c r="J561" i="2"/>
  <c r="J424" i="2"/>
  <c r="J387" i="2"/>
  <c r="J717" i="2"/>
  <c r="J742" i="2"/>
  <c r="J700" i="2"/>
  <c r="J167" i="2"/>
  <c r="J189" i="2"/>
  <c r="J693" i="2"/>
  <c r="J511" i="2"/>
  <c r="J73" i="2"/>
  <c r="J456" i="2"/>
  <c r="J295" i="2"/>
  <c r="J586" i="2"/>
  <c r="J899" i="2"/>
  <c r="J287" i="2"/>
  <c r="J180" i="2"/>
  <c r="J715" i="2"/>
  <c r="J41" i="2"/>
  <c r="J50" i="2"/>
  <c r="J994" i="2"/>
  <c r="J714" i="2"/>
  <c r="J504" i="2"/>
  <c r="J1003" i="2"/>
  <c r="J462" i="2"/>
  <c r="J643" i="2"/>
  <c r="J373" i="2"/>
  <c r="J860" i="2"/>
  <c r="J423" i="2"/>
  <c r="J454" i="2"/>
  <c r="J413" i="2"/>
  <c r="J581" i="2"/>
  <c r="J141" i="2"/>
  <c r="J883" i="2"/>
  <c r="J1002" i="2"/>
  <c r="J691" i="2"/>
  <c r="J783" i="2"/>
  <c r="J875" i="2"/>
  <c r="J945" i="2"/>
  <c r="J466" i="2"/>
  <c r="J602" i="2"/>
  <c r="J69" i="2"/>
  <c r="J896" i="2"/>
  <c r="J759" i="2"/>
  <c r="J410" i="2"/>
  <c r="J698" i="2"/>
  <c r="J399" i="2"/>
  <c r="J682" i="2"/>
  <c r="J822" i="2"/>
  <c r="J666" i="2"/>
  <c r="J962" i="2"/>
  <c r="J144" i="2"/>
  <c r="J973" i="2"/>
  <c r="J156" i="2"/>
  <c r="J753" i="2"/>
  <c r="J585" i="2"/>
  <c r="J130" i="2"/>
  <c r="J53" i="2"/>
  <c r="J493" i="2"/>
  <c r="J245" i="2"/>
  <c r="J145" i="2"/>
  <c r="J303" i="2"/>
  <c r="J153" i="2"/>
  <c r="J894" i="2"/>
  <c r="J630" i="2"/>
  <c r="J94" i="2"/>
  <c r="J464" i="2"/>
  <c r="J701" i="2"/>
  <c r="J461" i="2"/>
  <c r="J719" i="2"/>
  <c r="J227" i="2"/>
  <c r="J408" i="2"/>
  <c r="J695" i="2"/>
  <c r="J664" i="2"/>
  <c r="J1009" i="2"/>
  <c r="J371" i="2"/>
  <c r="J248" i="2"/>
  <c r="J703" i="2"/>
  <c r="J492" i="2"/>
  <c r="J793" i="2"/>
  <c r="J927" i="2"/>
  <c r="J262" i="2"/>
  <c r="J829" i="2"/>
  <c r="J536" i="2"/>
  <c r="J446" i="2"/>
  <c r="J231" i="2"/>
  <c r="J70" i="2"/>
  <c r="J76" i="2"/>
  <c r="J932" i="2"/>
  <c r="J440" i="2"/>
  <c r="J432" i="2"/>
  <c r="J607" i="2"/>
  <c r="J82" i="2"/>
  <c r="J376" i="2"/>
  <c r="J889" i="2"/>
  <c r="J567" i="2"/>
  <c r="J333" i="2"/>
  <c r="J629" i="2"/>
  <c r="J768" i="2"/>
  <c r="J564" i="2"/>
  <c r="J533" i="2"/>
  <c r="J193" i="2"/>
  <c r="J624" i="2"/>
  <c r="J356" i="2"/>
  <c r="J892" i="2"/>
  <c r="J347" i="2"/>
  <c r="J770" i="2"/>
  <c r="J657" i="2"/>
  <c r="J688" i="2"/>
  <c r="J525" i="2"/>
  <c r="J68" i="2"/>
  <c r="J558" i="2"/>
  <c r="J718" i="2"/>
  <c r="J959" i="2"/>
  <c r="J247" i="2"/>
  <c r="J449" i="2"/>
  <c r="J580" i="2"/>
  <c r="J419" i="2"/>
  <c r="J339" i="2"/>
  <c r="J730" i="2"/>
  <c r="J797" i="2"/>
  <c r="J699" i="2"/>
  <c r="J808" i="2"/>
  <c r="J133" i="2"/>
  <c r="J686" i="2"/>
  <c r="J14" i="2"/>
  <c r="J776" i="2"/>
  <c r="J36" i="2"/>
  <c r="J86" i="2"/>
  <c r="J874" i="2"/>
  <c r="J315" i="2"/>
  <c r="J791" i="2"/>
  <c r="J322" i="2"/>
  <c r="J402" i="2"/>
  <c r="J110" i="2"/>
  <c r="J897" i="2"/>
  <c r="J127" i="2"/>
  <c r="J855" i="2"/>
  <c r="J269" i="2"/>
  <c r="J965" i="2"/>
  <c r="J971" i="2"/>
  <c r="J832" i="2"/>
  <c r="J378" i="2"/>
  <c r="J638" i="2"/>
  <c r="J233" i="2"/>
  <c r="J634" i="2"/>
  <c r="J645" i="2"/>
  <c r="J357" i="2"/>
  <c r="J79" i="2"/>
  <c r="J592" i="2"/>
  <c r="J549" i="2"/>
  <c r="J514" i="2"/>
  <c r="J448" i="2"/>
  <c r="J409" i="2"/>
  <c r="J646" i="2"/>
  <c r="J196" i="2"/>
  <c r="J381" i="2"/>
  <c r="J132" i="2"/>
  <c r="J952" i="2"/>
  <c r="J938" i="2"/>
  <c r="J576" i="2"/>
  <c r="J933" i="2"/>
  <c r="J488" i="2"/>
  <c r="J694" i="2"/>
  <c r="J560" i="2"/>
  <c r="J114" i="2"/>
  <c r="J173" i="2"/>
  <c r="J177" i="2"/>
  <c r="J600" i="2"/>
  <c r="J944" i="2"/>
  <c r="J593" i="2"/>
  <c r="J871" i="2"/>
  <c r="J665" i="2"/>
  <c r="J990" i="2"/>
  <c r="J179" i="2"/>
  <c r="J928" i="2"/>
  <c r="J611" i="2"/>
  <c r="J234" i="2"/>
  <c r="J403" i="2"/>
  <c r="J513" i="2"/>
  <c r="J490" i="2"/>
  <c r="J496" i="2"/>
  <c r="J619" i="2"/>
  <c r="J229" i="2"/>
  <c r="J219" i="2"/>
  <c r="J690" i="2"/>
  <c r="J891" i="2"/>
  <c r="J367" i="2"/>
  <c r="J385" i="2"/>
  <c r="J878" i="2"/>
  <c r="J767" i="2"/>
  <c r="J841" i="2"/>
  <c r="J71" i="2"/>
  <c r="J265" i="2"/>
  <c r="J468" i="2"/>
  <c r="J400" i="2"/>
  <c r="J820" i="2"/>
  <c r="J99" i="2"/>
  <c r="J297" i="2"/>
  <c r="J885" i="2"/>
  <c r="J505" i="2"/>
  <c r="J192" i="2"/>
  <c r="J300" i="2"/>
  <c r="J278" i="2"/>
  <c r="J474" i="2"/>
  <c r="J307" i="2"/>
  <c r="J725" i="2"/>
  <c r="J49" i="2"/>
  <c r="J835" i="2"/>
  <c r="J729" i="2"/>
  <c r="J494" i="2"/>
  <c r="J439" i="2"/>
  <c r="J298" i="2"/>
  <c r="J311" i="2"/>
  <c r="J136" i="2"/>
  <c r="J15" i="2"/>
  <c r="J625" i="2"/>
  <c r="J108" i="2"/>
  <c r="J441" i="2"/>
  <c r="J736" i="2"/>
  <c r="J848" i="2"/>
  <c r="J684" i="2"/>
  <c r="J107" i="2"/>
  <c r="J164" i="2"/>
  <c r="J568" i="2"/>
  <c r="J125" i="2"/>
  <c r="J327" i="2"/>
  <c r="J658" i="2"/>
  <c r="J495" i="2"/>
  <c r="J711" i="2"/>
  <c r="J509" i="2"/>
  <c r="J37" i="2"/>
  <c r="J223" i="2"/>
  <c r="J342" i="2"/>
  <c r="J489" i="2"/>
  <c r="J587" i="2"/>
  <c r="J412" i="2"/>
  <c r="J833" i="2"/>
  <c r="J119" i="2"/>
  <c r="J146" i="2"/>
  <c r="J354" i="2"/>
  <c r="J272" i="2"/>
  <c r="J898" i="2"/>
  <c r="J1012" i="2"/>
  <c r="J562" i="2"/>
  <c r="J663" i="2"/>
  <c r="J836" i="2"/>
  <c r="J214" i="2"/>
  <c r="J673" i="2"/>
  <c r="J923" i="2"/>
  <c r="J21" i="2"/>
  <c r="J573" i="2"/>
  <c r="J913" i="2"/>
  <c r="J157" i="2"/>
  <c r="J200" i="2"/>
  <c r="J669" i="2"/>
  <c r="J414" i="2"/>
  <c r="J535" i="2"/>
  <c r="J306" i="2"/>
  <c r="J197" i="2"/>
  <c r="J850" i="2"/>
  <c r="J93" i="2"/>
  <c r="J51" i="2"/>
  <c r="J639" i="2"/>
  <c r="J62" i="2"/>
  <c r="J42" i="2"/>
  <c r="J337" i="2"/>
  <c r="J304" i="2"/>
  <c r="J283" i="2"/>
  <c r="J961" i="2"/>
  <c r="J477" i="2"/>
  <c r="J978" i="2"/>
  <c r="J48" i="2"/>
  <c r="J982" i="2"/>
  <c r="J960" i="2"/>
  <c r="J713" i="2"/>
  <c r="J706" i="2"/>
  <c r="J395" i="2"/>
  <c r="J394" i="2"/>
  <c r="J671" i="2"/>
  <c r="J256" i="2"/>
  <c r="J614" i="2"/>
  <c r="J508" i="2"/>
  <c r="J969" i="2"/>
  <c r="J124" i="2"/>
  <c r="J343" i="2"/>
  <c r="J949" i="2"/>
  <c r="J57" i="2"/>
  <c r="J325" i="2"/>
  <c r="J63" i="2"/>
  <c r="J578" i="2"/>
  <c r="J332" i="2"/>
  <c r="J920" i="2"/>
  <c r="J320" i="2"/>
  <c r="J779" i="2"/>
  <c r="J895" i="2"/>
  <c r="J696" i="2"/>
  <c r="J935" i="2"/>
  <c r="J210" i="2"/>
  <c r="J790" i="2"/>
  <c r="AG9" i="2" l="1"/>
  <c r="AG10" i="2"/>
  <c r="F7" i="2"/>
  <c r="L6" i="2" s="1"/>
  <c r="AH9" i="2"/>
  <c r="AH6" i="2"/>
  <c r="AH8" i="2"/>
  <c r="AH10" i="2"/>
  <c r="AD5" i="2"/>
  <c r="AD7" i="2"/>
  <c r="AH11" i="2"/>
  <c r="AH5" i="2"/>
  <c r="AH7" i="2"/>
  <c r="AD9" i="2"/>
  <c r="AG6" i="2"/>
  <c r="AG8" i="2"/>
  <c r="F23" i="2"/>
  <c r="AM1086" i="2" l="1"/>
  <c r="AM565" i="2"/>
  <c r="AM1203" i="2"/>
  <c r="AM426" i="2"/>
  <c r="AM1234" i="2"/>
  <c r="AM1191" i="2"/>
  <c r="AM425" i="2"/>
  <c r="AM564" i="2"/>
  <c r="AM558" i="2"/>
  <c r="AM1151" i="2"/>
  <c r="AM957" i="2"/>
  <c r="AM440" i="2"/>
  <c r="AM272" i="2"/>
  <c r="AM651" i="2"/>
  <c r="AM903" i="2"/>
  <c r="AM1434" i="2"/>
  <c r="AM1240" i="2"/>
  <c r="AM171" i="2"/>
  <c r="AM1117" i="2"/>
  <c r="AM1241" i="2"/>
  <c r="AM1301" i="2"/>
  <c r="AM45" i="2"/>
  <c r="AM898" i="2"/>
  <c r="AM554" i="2"/>
  <c r="AM1376" i="2"/>
  <c r="AM719" i="2"/>
  <c r="AM970" i="2"/>
  <c r="AM40" i="2"/>
  <c r="AM177" i="2"/>
  <c r="AM1617" i="2"/>
  <c r="AM979" i="2"/>
  <c r="AM78" i="2"/>
  <c r="AM922" i="2"/>
  <c r="AM38" i="2"/>
  <c r="AM982" i="2"/>
  <c r="AM783" i="2"/>
  <c r="AM93" i="2"/>
  <c r="AM727" i="2"/>
  <c r="AM184" i="2"/>
  <c r="AM1624" i="2"/>
  <c r="AM763" i="2"/>
  <c r="AM621" i="2"/>
  <c r="AM602" i="2"/>
  <c r="AM634" i="2"/>
  <c r="AM630" i="2"/>
  <c r="AM534" i="2"/>
  <c r="AM937" i="2"/>
  <c r="AM1223" i="2"/>
  <c r="AM399" i="2"/>
  <c r="AM1667" i="2"/>
  <c r="AM98" i="2"/>
  <c r="AM18" i="2"/>
  <c r="AM1038" i="2"/>
  <c r="AM139" i="2"/>
  <c r="AM1603" i="2"/>
  <c r="AM878" i="2"/>
  <c r="AM614" i="2"/>
  <c r="AM222" i="2"/>
  <c r="AM1574" i="2"/>
  <c r="AM164" i="2"/>
  <c r="AM289" i="2"/>
  <c r="AM1056" i="2"/>
  <c r="AM495" i="2"/>
  <c r="AM1333" i="2"/>
  <c r="AM553" i="2"/>
  <c r="AM1166" i="2"/>
  <c r="AM1378" i="2"/>
  <c r="AM855" i="2"/>
  <c r="AM1212" i="2"/>
  <c r="AM1426" i="2"/>
  <c r="AM290" i="2"/>
  <c r="AM1372" i="2"/>
  <c r="AM969" i="2"/>
  <c r="AM929" i="2"/>
  <c r="AM662" i="2"/>
  <c r="AM1514" i="2"/>
  <c r="AM559" i="2"/>
  <c r="AM864" i="2"/>
  <c r="AM105" i="2"/>
  <c r="AM423" i="2"/>
  <c r="AM887" i="2"/>
  <c r="AM762" i="2"/>
  <c r="AM1618" i="2"/>
  <c r="AM42" i="2"/>
  <c r="AM1088" i="2"/>
  <c r="AM1586" i="2"/>
  <c r="AM1417" i="2"/>
  <c r="AM797" i="2"/>
  <c r="AM603" i="2"/>
  <c r="AM80" i="2"/>
  <c r="AM230" i="2"/>
  <c r="AM1611" i="2"/>
  <c r="AM550" i="2"/>
  <c r="AM536" i="2"/>
  <c r="AM698" i="2"/>
  <c r="AM781" i="2"/>
  <c r="AM645" i="2"/>
  <c r="AM1225" i="2"/>
  <c r="AM1408" i="2"/>
  <c r="AM1009" i="2"/>
  <c r="AM1476" i="2"/>
  <c r="AM1466" i="2"/>
  <c r="AM1213" i="2"/>
  <c r="AM1600" i="2"/>
  <c r="AM529" i="2"/>
  <c r="AM782" i="2"/>
  <c r="AM232" i="2"/>
  <c r="AM1445" i="2"/>
  <c r="AM1473" i="2"/>
  <c r="AM1419" i="2"/>
  <c r="AM912" i="2"/>
  <c r="AM1435" i="2"/>
  <c r="AM336" i="2"/>
  <c r="AM865" i="2"/>
  <c r="AM951" i="2"/>
  <c r="AM612" i="2"/>
  <c r="AM1300" i="2"/>
  <c r="AM1567" i="2"/>
  <c r="AM732" i="2"/>
  <c r="AM473" i="2"/>
  <c r="AM1304" i="2"/>
  <c r="AM79" i="2"/>
  <c r="AM1116" i="2"/>
  <c r="AM1389" i="2"/>
  <c r="AM53" i="2"/>
  <c r="AM1186" i="2"/>
  <c r="AM1156" i="2"/>
  <c r="AM508" i="2"/>
  <c r="AM1369" i="2"/>
  <c r="AM1115" i="2"/>
  <c r="AM535" i="2"/>
  <c r="AM364" i="2"/>
  <c r="AM1231" i="2"/>
  <c r="AM443" i="2"/>
  <c r="AM597" i="2"/>
  <c r="AM1431" i="2"/>
  <c r="AM961" i="2"/>
  <c r="AM141" i="2"/>
  <c r="AM301" i="2"/>
  <c r="AM186" i="2"/>
  <c r="AM1368" i="2"/>
  <c r="AM1338" i="2"/>
  <c r="AM191" i="2"/>
  <c r="AM1065" i="2"/>
  <c r="AM206" i="2"/>
  <c r="AM1265" i="2"/>
  <c r="AM1311" i="2"/>
  <c r="AM22" i="2"/>
  <c r="AM459" i="2"/>
  <c r="AM59" i="2"/>
  <c r="AM55" i="2"/>
  <c r="AM1422" i="2"/>
  <c r="AM1229" i="2"/>
  <c r="AM1526" i="2"/>
  <c r="AM676" i="2"/>
  <c r="AM1516" i="2"/>
  <c r="AM1538" i="2"/>
  <c r="AM1222" i="2"/>
  <c r="AM1432" i="2"/>
  <c r="AM411" i="2"/>
  <c r="AM1143" i="2"/>
  <c r="AM777" i="2"/>
  <c r="AM1252" i="2"/>
  <c r="AM235" i="2"/>
  <c r="AM507" i="2"/>
  <c r="AM328" i="2"/>
  <c r="AM506" i="2"/>
  <c r="AM1284" i="2"/>
  <c r="AM270" i="2"/>
  <c r="AM1209" i="2"/>
  <c r="AM1048" i="2"/>
  <c r="AM1529" i="2"/>
  <c r="AM895" i="2"/>
  <c r="AM1601" i="2"/>
  <c r="AM730" i="2"/>
  <c r="AM1546" i="2"/>
  <c r="AM505" i="2"/>
  <c r="AM1379" i="2"/>
  <c r="AM1528" i="2"/>
  <c r="AM1249" i="2"/>
  <c r="AM1661" i="2"/>
  <c r="AM1461" i="2"/>
  <c r="AM655" i="2"/>
  <c r="AM845" i="2"/>
  <c r="AM492" i="2"/>
  <c r="AM487" i="2"/>
  <c r="AM904" i="2"/>
  <c r="AM839" i="2"/>
  <c r="AM766" i="2"/>
  <c r="AM899" i="2"/>
  <c r="AM1530" i="2"/>
  <c r="AM20" i="2"/>
  <c r="AM533" i="2"/>
  <c r="AM530" i="2"/>
  <c r="AM268" i="2"/>
  <c r="AM283" i="2"/>
  <c r="AM1590" i="2"/>
  <c r="AM474" i="2"/>
  <c r="AM1585" i="2"/>
  <c r="AM70" i="2"/>
  <c r="AM56" i="2"/>
  <c r="AM1399" i="2"/>
  <c r="AM964" i="2"/>
  <c r="AM280" i="2"/>
  <c r="AM439" i="2"/>
  <c r="AM1262" i="2"/>
  <c r="AM989" i="2"/>
  <c r="AM1439" i="2"/>
  <c r="AM1126" i="2"/>
  <c r="AM570" i="2"/>
  <c r="AM1273" i="2"/>
  <c r="AM1005" i="2"/>
  <c r="AM72" i="2"/>
  <c r="AM690" i="2"/>
  <c r="AM243" i="2"/>
  <c r="AM1206" i="2"/>
  <c r="AM1170" i="2"/>
  <c r="AM401" i="2"/>
  <c r="AM1093" i="2"/>
  <c r="AM429" i="2"/>
  <c r="AM695" i="2"/>
  <c r="AM927" i="2"/>
  <c r="AM1550" i="2"/>
  <c r="AM974" i="2"/>
  <c r="AM1278" i="2"/>
  <c r="AM749" i="2"/>
  <c r="AM1322" i="2"/>
  <c r="AM218" i="2"/>
  <c r="AM1652" i="2"/>
  <c r="AM1022" i="2"/>
  <c r="AM694" i="2"/>
  <c r="AM1142" i="2"/>
  <c r="AM960" i="2"/>
  <c r="AM1357" i="2"/>
  <c r="AM1286" i="2"/>
  <c r="AM1091" i="2"/>
  <c r="AM435" i="2"/>
  <c r="AM1477" i="2"/>
  <c r="AM1525" i="2"/>
  <c r="AM1261" i="2"/>
  <c r="AM571" i="2"/>
  <c r="AM1674" i="2"/>
  <c r="AM618" i="2"/>
  <c r="AM73" i="2"/>
  <c r="AM1193" i="2"/>
  <c r="AM1682" i="2"/>
  <c r="AM166" i="2"/>
  <c r="AM363" i="2"/>
  <c r="AM744" i="2"/>
  <c r="AM355" i="2"/>
  <c r="AM1066" i="2"/>
  <c r="AM1407" i="2"/>
  <c r="AM1014" i="2"/>
  <c r="AM772" i="2"/>
  <c r="AM1505" i="2"/>
  <c r="AM1122" i="2"/>
  <c r="AM521" i="2"/>
  <c r="AM1247" i="2"/>
  <c r="AM599" i="2"/>
  <c r="AM66" i="2"/>
  <c r="AM1111" i="2"/>
  <c r="AM657" i="2"/>
  <c r="AM926" i="2"/>
  <c r="AM510" i="2"/>
  <c r="AM1272" i="2"/>
  <c r="AM1137" i="2"/>
  <c r="AM494" i="2"/>
  <c r="AM1002" i="2"/>
  <c r="AM840" i="2"/>
  <c r="AM1207" i="2"/>
  <c r="AM722" i="2"/>
  <c r="AM1485" i="2"/>
  <c r="AM1621" i="2"/>
  <c r="AM1063" i="2"/>
  <c r="AM1583" i="2"/>
  <c r="AM1409" i="2"/>
  <c r="AM1192" i="2"/>
  <c r="AM415" i="2"/>
  <c r="AM465" i="2"/>
  <c r="AM824" i="2"/>
  <c r="AM343" i="2"/>
  <c r="AM684" i="2"/>
  <c r="AM916" i="2"/>
  <c r="AM1425" i="2"/>
  <c r="AM503" i="2"/>
  <c r="AM1036" i="2"/>
  <c r="AM1639" i="2"/>
  <c r="AM959" i="2"/>
  <c r="AM1427" i="2"/>
  <c r="AM545" i="2"/>
  <c r="AM334" i="2"/>
  <c r="AM126" i="2"/>
  <c r="AM1441" i="2"/>
  <c r="AM828" i="2"/>
  <c r="AM67" i="2"/>
  <c r="AM187" i="2"/>
  <c r="AM39" i="2"/>
  <c r="AM241" i="2"/>
  <c r="AM1393" i="2"/>
  <c r="AM911" i="2"/>
  <c r="AM333" i="2"/>
  <c r="AM1673" i="2"/>
  <c r="AM798" i="2"/>
  <c r="AM1031" i="2"/>
  <c r="AM1298" i="2"/>
  <c r="AM943" i="2"/>
  <c r="AM298" i="2"/>
  <c r="AM1496" i="2"/>
  <c r="AM1313" i="2"/>
  <c r="AM862" i="2"/>
  <c r="AM413" i="2"/>
  <c r="AM697" i="2"/>
  <c r="AM1363" i="2"/>
  <c r="AM178" i="2"/>
  <c r="AM1214" i="2"/>
  <c r="AM380" i="2"/>
  <c r="AM183" i="2"/>
  <c r="AM390" i="2"/>
  <c r="AM1380" i="2"/>
  <c r="AM757" i="2"/>
  <c r="AM346" i="2"/>
  <c r="AM151" i="2"/>
  <c r="AM1620" i="2"/>
  <c r="AM1028" i="2"/>
  <c r="AM214" i="2"/>
  <c r="AM843" i="2"/>
  <c r="AM1282" i="2"/>
  <c r="AM1176" i="2"/>
  <c r="AM310" i="2"/>
  <c r="AM1509" i="2"/>
  <c r="AM1401" i="2"/>
  <c r="AM312" i="2"/>
  <c r="AM129" i="2"/>
  <c r="AM1391" i="2"/>
  <c r="AM388" i="2"/>
  <c r="AM1256" i="2"/>
  <c r="AM633" i="2"/>
  <c r="AM16" i="2"/>
  <c r="AM664" i="2"/>
  <c r="AM1592" i="2"/>
  <c r="AM748" i="2"/>
  <c r="AM174" i="2"/>
  <c r="AM736" i="2"/>
  <c r="AM69" i="2"/>
  <c r="AM764" i="2"/>
  <c r="AM1554" i="2"/>
  <c r="AM1084" i="2"/>
  <c r="AM1533" i="2"/>
  <c r="AM754" i="2"/>
  <c r="AM1486" i="2"/>
  <c r="AM68" i="2"/>
  <c r="AM428" i="2"/>
  <c r="AM403" i="2"/>
  <c r="AM789" i="2"/>
  <c r="AM1131" i="2"/>
  <c r="AM728" i="2"/>
  <c r="AM419" i="2"/>
  <c r="AM407" i="2"/>
  <c r="AM668" i="2"/>
  <c r="AM1040" i="2"/>
  <c r="AM1104" i="2"/>
  <c r="AM646" i="2"/>
  <c r="AM262" i="2"/>
  <c r="AM710" i="2"/>
  <c r="AM872" i="2"/>
  <c r="AM582" i="2"/>
  <c r="AM811" i="2"/>
  <c r="AM519" i="2"/>
  <c r="AM1302" i="2"/>
  <c r="AM1344" i="2"/>
  <c r="AM1564" i="2"/>
  <c r="AM589" i="2"/>
  <c r="AM1294" i="2"/>
  <c r="AM1607" i="2"/>
  <c r="AM242" i="2"/>
  <c r="AM954" i="2"/>
  <c r="AM1686" i="2"/>
  <c r="AM46" i="2"/>
  <c r="AM107" i="2"/>
  <c r="AM12" i="2"/>
  <c r="AM490" i="2"/>
  <c r="AM920" i="2"/>
  <c r="AM205" i="2"/>
  <c r="AM1188" i="2"/>
  <c r="AM11" i="2"/>
  <c r="AM119" i="2"/>
  <c r="AM661" i="2"/>
  <c r="AM120" i="2"/>
  <c r="AM584" i="2"/>
  <c r="AM1365" i="2"/>
  <c r="AM841" i="2"/>
  <c r="AM620" i="2"/>
  <c r="AM1687" i="2"/>
  <c r="AM357" i="2"/>
  <c r="AM1515" i="2"/>
  <c r="AM810" i="2"/>
  <c r="AM1507" i="2"/>
  <c r="AM1010" i="2"/>
  <c r="AM930" i="2"/>
  <c r="AM167" i="2"/>
  <c r="AM1253" i="2"/>
  <c r="AM566" i="2"/>
  <c r="AM1653" i="2"/>
  <c r="AM683" i="2"/>
  <c r="AM1619" i="2"/>
  <c r="AM1109" i="2"/>
  <c r="AM1139" i="2"/>
  <c r="AM835" i="2"/>
  <c r="AM477" i="2"/>
  <c r="AM231" i="2"/>
  <c r="AM412" i="2"/>
  <c r="AM1107" i="2"/>
  <c r="AM796" i="2"/>
  <c r="AM1572" i="2"/>
  <c r="AM1412" i="2"/>
  <c r="AM780" i="2"/>
  <c r="AM338" i="2"/>
  <c r="AM854" i="2"/>
  <c r="AM1398" i="2"/>
  <c r="AM1406" i="2"/>
  <c r="AM794" i="2"/>
  <c r="AM58" i="2"/>
  <c r="AM1679" i="2"/>
  <c r="AM1219" i="2"/>
  <c r="AM1499" i="2"/>
  <c r="AM679" i="2"/>
  <c r="AM1258" i="2"/>
  <c r="AM395" i="2"/>
  <c r="AM637" i="2"/>
  <c r="AM1189" i="2"/>
  <c r="AM215" i="2"/>
  <c r="AM285" i="2"/>
  <c r="AM106" i="2"/>
  <c r="AM34" i="2"/>
  <c r="AM1416" i="2"/>
  <c r="AM1452" i="2"/>
  <c r="AM1248" i="2"/>
  <c r="AM1024" i="2"/>
  <c r="AM1356" i="2"/>
  <c r="AM879" i="2"/>
  <c r="AM468" i="2"/>
  <c r="AM1076" i="2"/>
  <c r="AM1506" i="2"/>
  <c r="AM1095" i="2"/>
  <c r="AM724" i="2"/>
  <c r="AM631" i="2"/>
  <c r="AM1614" i="2"/>
  <c r="AM1269" i="2"/>
  <c r="AM808" i="2"/>
  <c r="AM993" i="2"/>
  <c r="AM1316" i="2"/>
  <c r="AM1447" i="2"/>
  <c r="AM604" i="2"/>
  <c r="AM1390" i="2"/>
  <c r="AM1672" i="2"/>
  <c r="AM822" i="2"/>
  <c r="AM908" i="2"/>
  <c r="AM741" i="2"/>
  <c r="AM1120" i="2"/>
  <c r="AM809" i="2"/>
  <c r="AM543" i="2"/>
  <c r="AM1299" i="2"/>
  <c r="AM47" i="2"/>
  <c r="AM739" i="2"/>
  <c r="AM1541" i="2"/>
  <c r="AM981" i="2"/>
  <c r="AM282" i="2"/>
  <c r="AM776" i="2"/>
  <c r="AM1130" i="2"/>
  <c r="AM921" i="2"/>
  <c r="AM888" i="2"/>
  <c r="AM1190" i="2"/>
  <c r="AM1640" i="2"/>
  <c r="AM279" i="2"/>
  <c r="AM950" i="2"/>
  <c r="AM666" i="2"/>
  <c r="AM703" i="2"/>
  <c r="AM978" i="2"/>
  <c r="AM1349" i="2"/>
  <c r="AM1522" i="2"/>
  <c r="AM963" i="2"/>
  <c r="AM669" i="2"/>
  <c r="AM158" i="2"/>
  <c r="AM940" i="2"/>
  <c r="AM689" i="2"/>
  <c r="AM398" i="2"/>
  <c r="AM746" i="2"/>
  <c r="AM1358" i="2"/>
  <c r="AM1463" i="2"/>
  <c r="AM1388" i="2"/>
  <c r="AM586" i="2"/>
  <c r="AM795" i="2"/>
  <c r="AM286" i="2"/>
  <c r="AM527" i="2"/>
  <c r="AM1561" i="2"/>
  <c r="AM1320" i="2"/>
  <c r="AM1494" i="2"/>
  <c r="AM303" i="2"/>
  <c r="AM1633" i="2"/>
  <c r="AM1537" i="2"/>
  <c r="AM433" i="2"/>
  <c r="AM204" i="2"/>
  <c r="AM1589" i="2"/>
  <c r="AM57" i="2"/>
  <c r="AM802" i="2"/>
  <c r="AM1314" i="2"/>
  <c r="AM1182" i="2"/>
  <c r="AM377" i="2"/>
  <c r="AM394" i="2"/>
  <c r="AM1177" i="2"/>
  <c r="AM1008" i="2"/>
  <c r="AM122" i="2"/>
  <c r="AM1662" i="2"/>
  <c r="AM91" i="2"/>
  <c r="AM1327" i="2"/>
  <c r="AM1602" i="2"/>
  <c r="AM341" i="2"/>
  <c r="AM1428" i="2"/>
  <c r="AM726" i="2"/>
  <c r="AM361" i="2"/>
  <c r="AM369" i="2"/>
  <c r="AM1547" i="2"/>
  <c r="AM228" i="2"/>
  <c r="AM552" i="2"/>
  <c r="AM624" i="2"/>
  <c r="AM986" i="2"/>
  <c r="AM718" i="2"/>
  <c r="AM92" i="2"/>
  <c r="AM140" i="2"/>
  <c r="AM124" i="2"/>
  <c r="AM1074" i="2"/>
  <c r="AM281" i="2"/>
  <c r="AM1080" i="2"/>
  <c r="AM1576" i="2"/>
  <c r="AM735" i="2"/>
  <c r="AM945" i="2"/>
  <c r="AM408" i="2"/>
  <c r="AM1430" i="2"/>
  <c r="AM708" i="2"/>
  <c r="AM1323" i="2"/>
  <c r="AM857" i="2"/>
  <c r="AM1464" i="2"/>
  <c r="AM306" i="2"/>
  <c r="AM610" i="2"/>
  <c r="AM1033" i="2"/>
  <c r="AM1081" i="2"/>
  <c r="AM482" i="2"/>
  <c r="AM948" i="2"/>
  <c r="AM21" i="2"/>
  <c r="AM340" i="2"/>
  <c r="AM625" i="2"/>
  <c r="AM627" i="2"/>
  <c r="AM1168" i="2"/>
  <c r="AM1437" i="2"/>
  <c r="AM148" i="2"/>
  <c r="AM499" i="2"/>
  <c r="AM551" i="2"/>
  <c r="AM1460" i="2"/>
  <c r="AM1121" i="2"/>
  <c r="AM1326" i="2"/>
  <c r="AM405" i="2"/>
  <c r="AM305" i="2"/>
  <c r="AM1487" i="2"/>
  <c r="AM1556" i="2"/>
  <c r="AM650" i="2"/>
  <c r="AM257" i="2"/>
  <c r="AM1599" i="2"/>
  <c r="AM539" i="2"/>
  <c r="AM973" i="2"/>
  <c r="AM1577" i="2"/>
  <c r="AM356" i="2"/>
  <c r="AM1658" i="2"/>
  <c r="AM1647" i="2"/>
  <c r="AM299" i="2"/>
  <c r="AM1260" i="2"/>
  <c r="AM504" i="2"/>
  <c r="AM267" i="2"/>
  <c r="AM1045" i="2"/>
  <c r="AM860" i="2"/>
  <c r="AM455" i="2"/>
  <c r="AM1451" i="2"/>
  <c r="AM1650" i="2"/>
  <c r="AM1238" i="2"/>
  <c r="AM747" i="2"/>
  <c r="AM23" i="2"/>
  <c r="AM389" i="2"/>
  <c r="AM1211" i="2"/>
  <c r="AM173" i="2"/>
  <c r="AM1037" i="2"/>
  <c r="AM1310" i="2"/>
  <c r="AM367" i="2"/>
  <c r="AM891" i="2"/>
  <c r="AM870" i="2"/>
  <c r="AM1255" i="2"/>
  <c r="AM967" i="2"/>
  <c r="AM1571" i="2"/>
  <c r="AM733" i="2"/>
  <c r="AM1021" i="2"/>
  <c r="AM846" i="2"/>
  <c r="AM1296" i="2"/>
  <c r="AM1003" i="2"/>
  <c r="AM229" i="2"/>
  <c r="AM1197" i="2"/>
  <c r="AM1230" i="2"/>
  <c r="AM791" i="2"/>
  <c r="AM1478" i="2"/>
  <c r="AM1312" i="2"/>
  <c r="AM752" i="2"/>
  <c r="AM517" i="2"/>
  <c r="AM161" i="2"/>
  <c r="AM1198" i="2"/>
  <c r="AM1642" i="2"/>
  <c r="AM1482" i="2"/>
  <c r="AM111" i="2"/>
  <c r="AM1566" i="2"/>
  <c r="AM1626" i="2"/>
  <c r="AM813" i="2"/>
  <c r="AM251" i="2"/>
  <c r="AM573" i="2"/>
  <c r="AM1418" i="2"/>
  <c r="AM1179" i="2"/>
  <c r="AM632" i="2"/>
  <c r="AM94" i="2"/>
  <c r="AM1610" i="2"/>
  <c r="AM700" i="2"/>
  <c r="AM524" i="2"/>
  <c r="AM1579" i="2"/>
  <c r="AM1018" i="2"/>
  <c r="AM1468" i="2"/>
  <c r="AM1217" i="2"/>
  <c r="AM914" i="2"/>
  <c r="AM238" i="2"/>
  <c r="AM743" i="2"/>
  <c r="AM626" i="2"/>
  <c r="AM1348" i="2"/>
  <c r="AM454" i="2"/>
  <c r="AM742" i="2"/>
  <c r="AM329" i="2"/>
  <c r="AM244" i="2"/>
  <c r="AM1228" i="2"/>
  <c r="AM1521" i="2"/>
  <c r="AM1532" i="2"/>
  <c r="AM717" i="2"/>
  <c r="AM935" i="2"/>
  <c r="AM511" i="2"/>
  <c r="AM892" i="2"/>
  <c r="AM276" i="2"/>
  <c r="AM438" i="2"/>
  <c r="AM1384" i="2"/>
  <c r="AM287" i="2"/>
  <c r="AM471" i="2"/>
  <c r="AM1281" i="2"/>
  <c r="AM687" i="2"/>
  <c r="AM296" i="2"/>
  <c r="AM77" i="2"/>
  <c r="AM799" i="2"/>
  <c r="AM210" i="2"/>
  <c r="AM971" i="2"/>
  <c r="AM933" i="2"/>
  <c r="AM1128" i="2"/>
  <c r="AM1573" i="2"/>
  <c r="AM1675" i="2"/>
  <c r="AM972" i="2"/>
  <c r="AM1503" i="2"/>
  <c r="AM1158" i="2"/>
  <c r="AM617" i="2"/>
  <c r="AM1680" i="2"/>
  <c r="AM1015" i="2"/>
  <c r="AM351" i="2"/>
  <c r="AM800" i="2"/>
  <c r="AM30" i="2"/>
  <c r="AM450" i="2"/>
  <c r="AM595" i="2"/>
  <c r="AM1293" i="2"/>
  <c r="AM115" i="2"/>
  <c r="AM1328" i="2"/>
  <c r="AM801" i="2"/>
  <c r="AM60" i="2"/>
  <c r="AM1659" i="2"/>
  <c r="AM418" i="2"/>
  <c r="AM160" i="2"/>
  <c r="AM1536" i="2"/>
  <c r="AM101" i="2"/>
  <c r="AM432" i="2"/>
  <c r="AM894" i="2"/>
  <c r="AM1307" i="2"/>
  <c r="AM352" i="2"/>
  <c r="AM514" i="2"/>
  <c r="AM608" i="2"/>
  <c r="AM277" i="2"/>
  <c r="AM1500" i="2"/>
  <c r="AM906" i="2"/>
  <c r="AM1665" i="2"/>
  <c r="AM1245" i="2"/>
  <c r="AM211" i="2"/>
  <c r="AM1654" i="2"/>
  <c r="AM1089" i="2"/>
  <c r="AM220" i="2"/>
  <c r="AM434" i="2"/>
  <c r="AM1069" i="2"/>
  <c r="AM1119" i="2"/>
  <c r="AM1007" i="2"/>
  <c r="AM1350" i="2"/>
  <c r="AM400" i="2"/>
  <c r="AM696" i="2"/>
  <c r="AM1046" i="2"/>
  <c r="AM1491" i="2"/>
  <c r="AM1563" i="2"/>
  <c r="AM339" i="2"/>
  <c r="AM188" i="2"/>
  <c r="AM169" i="2"/>
  <c r="AM1474" i="2"/>
  <c r="AM1053" i="2"/>
  <c r="AM861" i="2"/>
  <c r="AM562" i="2"/>
  <c r="AM307" i="2"/>
  <c r="AM1027" i="2"/>
  <c r="AM325" i="2"/>
  <c r="AM653" i="2"/>
  <c r="AM721" i="2"/>
  <c r="AM1306" i="2"/>
  <c r="AM619" i="2"/>
  <c r="AM1050" i="2"/>
  <c r="AM1685" i="2"/>
  <c r="AM1459" i="2"/>
  <c r="AM103" i="2"/>
  <c r="AM27" i="2"/>
  <c r="AM955" i="2"/>
  <c r="AM1490" i="2"/>
  <c r="AM194" i="2"/>
  <c r="AM319" i="2"/>
  <c r="AM705" i="2"/>
  <c r="AM1204" i="2"/>
  <c r="AM1523" i="2"/>
  <c r="AM756" i="2"/>
  <c r="AM1411" i="2"/>
  <c r="AM1044" i="2"/>
  <c r="AM755" i="2"/>
  <c r="AM909" i="2"/>
  <c r="AM932" i="2"/>
  <c r="AM249" i="2"/>
  <c r="AM359" i="2"/>
  <c r="AM260" i="2"/>
  <c r="AM704" i="2"/>
  <c r="AM785" i="2"/>
  <c r="AM1291" i="2"/>
  <c r="AM515" i="2"/>
  <c r="AM1475" i="2"/>
  <c r="AM540" i="2"/>
  <c r="AM1041" i="2"/>
  <c r="AM10" i="2"/>
  <c r="AM976" i="2"/>
  <c r="AM467" i="2"/>
  <c r="AM1335" i="2"/>
  <c r="AM1160" i="2"/>
  <c r="AM1163" i="2"/>
  <c r="AM885" i="2"/>
  <c r="AM1565" i="2"/>
  <c r="AM675" i="2"/>
  <c r="AM734" i="2"/>
  <c r="AM457" i="2"/>
  <c r="AM1341" i="2"/>
  <c r="AM750" i="2"/>
  <c r="AM1382" i="2"/>
  <c r="AM873" i="2"/>
  <c r="AM1498" i="2"/>
  <c r="AM1264" i="2"/>
  <c r="AM569" i="2"/>
  <c r="AM354" i="2"/>
  <c r="AM1227" i="2"/>
  <c r="AM1274" i="2"/>
  <c r="AM585" i="2"/>
  <c r="AM202" i="2"/>
  <c r="AM1100" i="2"/>
  <c r="AM488" i="2"/>
  <c r="AM1263" i="2"/>
  <c r="AM758" i="2"/>
  <c r="AM240" i="2"/>
  <c r="AM1135" i="2"/>
  <c r="AM531" i="2"/>
  <c r="AM469" i="2"/>
  <c r="AM250" i="2"/>
  <c r="AM838" i="2"/>
  <c r="AM1071" i="2"/>
  <c r="AM35" i="2"/>
  <c r="AM99" i="2"/>
  <c r="AM1239" i="2"/>
  <c r="AM37" i="2"/>
  <c r="AM1340" i="2"/>
  <c r="AM1161" i="2"/>
  <c r="AM882" i="2"/>
  <c r="AM470" i="2"/>
  <c r="AM1251" i="2"/>
  <c r="AM288" i="2"/>
  <c r="AM1276" i="2"/>
  <c r="AM300" i="2"/>
  <c r="AM64" i="2"/>
  <c r="AM1414" i="2"/>
  <c r="AM580" i="2"/>
  <c r="AM144" i="2"/>
  <c r="AB20" i="2"/>
  <c r="AM448" i="2"/>
  <c r="AM1587" i="2"/>
  <c r="AM849" i="2"/>
  <c r="AM831" i="2"/>
  <c r="AM501" i="2"/>
  <c r="AM1321" i="2"/>
  <c r="AM836" i="2"/>
  <c r="AM1087" i="2"/>
  <c r="AM1396" i="2"/>
  <c r="AM254" i="2"/>
  <c r="AM1433" i="2"/>
  <c r="AM1595" i="2"/>
  <c r="AM1535" i="2"/>
  <c r="AM123" i="2"/>
  <c r="AM1125" i="2"/>
  <c r="AM1123" i="2"/>
  <c r="AM541" i="2"/>
  <c r="AM348" i="2"/>
  <c r="AM522" i="2"/>
  <c r="AM767" i="2"/>
  <c r="AM431" i="2"/>
  <c r="AM931" i="2"/>
  <c r="AM217" i="2"/>
  <c r="AM275" i="2"/>
  <c r="AM175" i="2"/>
  <c r="AM847" i="2"/>
  <c r="AM1597" i="2"/>
  <c r="AM956" i="2"/>
  <c r="AM711" i="2"/>
  <c r="AM121" i="2"/>
  <c r="AM761" i="2"/>
  <c r="AM806" i="2"/>
  <c r="AM611" i="2"/>
  <c r="AM86" i="2"/>
  <c r="AM1569" i="2"/>
  <c r="AM1271" i="2"/>
  <c r="AM1155" i="2"/>
  <c r="AM1453" i="2"/>
  <c r="AM414" i="2"/>
  <c r="AM145" i="2"/>
  <c r="AM252" i="2"/>
  <c r="AM196" i="2"/>
  <c r="AM1237" i="2"/>
  <c r="AM273" i="2"/>
  <c r="AM1627" i="2"/>
  <c r="AM264" i="2"/>
  <c r="AM1266" i="2"/>
  <c r="AM1631" i="2"/>
  <c r="AM962" i="2"/>
  <c r="AM83" i="2"/>
  <c r="AM596" i="2"/>
  <c r="AM496" i="2"/>
  <c r="AM1134" i="2"/>
  <c r="AM1202" i="2"/>
  <c r="AM323" i="2"/>
  <c r="AM1513" i="2"/>
  <c r="AM309" i="2"/>
  <c r="AM381" i="2"/>
  <c r="AM393" i="2"/>
  <c r="AM790" i="2"/>
  <c r="AM1330" i="2"/>
  <c r="AM128" i="2"/>
  <c r="AM225" i="2"/>
  <c r="AM578" i="2"/>
  <c r="AM227" i="2"/>
  <c r="AM181" i="2"/>
  <c r="AM456" i="2"/>
  <c r="AM1174" i="2"/>
  <c r="AM579" i="2"/>
  <c r="AM176" i="2"/>
  <c r="AM516" i="2"/>
  <c r="AM358" i="2"/>
  <c r="AM1606" i="2"/>
  <c r="AM493" i="2"/>
  <c r="AM709" i="2"/>
  <c r="AM616" i="2"/>
  <c r="AM466" i="2"/>
  <c r="AM658" i="2"/>
  <c r="AM1615" i="2"/>
  <c r="AM592" i="2"/>
  <c r="AM889" i="2"/>
  <c r="AM897" i="2"/>
  <c r="AM1501" i="2"/>
  <c r="AM219" i="2"/>
  <c r="AM1085" i="2"/>
  <c r="AM1582" i="2"/>
  <c r="AM605" i="2"/>
  <c r="AM1354" i="2"/>
  <c r="AM113" i="2"/>
  <c r="AM1029" i="2"/>
  <c r="AM1270" i="2"/>
  <c r="AM1051" i="2"/>
  <c r="AM1154" i="2"/>
  <c r="AM102" i="2"/>
  <c r="AM1259" i="2"/>
  <c r="AM159" i="2"/>
  <c r="AM1023" i="2"/>
  <c r="AM1471" i="2"/>
  <c r="AM1497" i="2"/>
  <c r="AM858" i="2"/>
  <c r="AM1175" i="2"/>
  <c r="AM526" i="2"/>
  <c r="AM458" i="2"/>
  <c r="AM1666" i="2"/>
  <c r="AM48" i="2"/>
  <c r="AM1467" i="2"/>
  <c r="AM1553" i="2"/>
  <c r="AM1635" i="2"/>
  <c r="AM1568" i="2"/>
  <c r="AM1243" i="2"/>
  <c r="AM1669" i="2"/>
  <c r="AM265" i="2"/>
  <c r="AM1277" i="2"/>
  <c r="AM208" i="2"/>
  <c r="AM1612" i="2"/>
  <c r="AM387" i="2"/>
  <c r="AM706" i="2"/>
  <c r="AM628" i="2"/>
  <c r="AM125" i="2"/>
  <c r="AM1110" i="2"/>
  <c r="AM563" i="2"/>
  <c r="AM740" i="2"/>
  <c r="AM248" i="2"/>
  <c r="AM1557" i="2"/>
  <c r="AM137" i="2"/>
  <c r="AM1511" i="2"/>
  <c r="AM480" i="2"/>
  <c r="AM818" i="2"/>
  <c r="AM199" i="2"/>
  <c r="AM376" i="2"/>
  <c r="AM96" i="2"/>
  <c r="AM1405" i="2"/>
  <c r="AM464" i="2"/>
  <c r="AM753" i="2"/>
  <c r="AM374" i="2"/>
  <c r="AM525" i="2"/>
  <c r="AM556" i="2"/>
  <c r="AM402" i="2"/>
  <c r="AM1165" i="2"/>
  <c r="AM869" i="2"/>
  <c r="AM934" i="2"/>
  <c r="AM1152" i="2"/>
  <c r="AM1375" i="2"/>
  <c r="AM1549" i="2"/>
  <c r="AM481" i="2"/>
  <c r="AM284" i="2"/>
  <c r="AM1257" i="2"/>
  <c r="AM1404" i="2"/>
  <c r="AM1324" i="2"/>
  <c r="AM581" i="2"/>
  <c r="AM421" i="2"/>
  <c r="AM965" i="2"/>
  <c r="AM659" i="2"/>
  <c r="AM886" i="2"/>
  <c r="AM153" i="2"/>
  <c r="AM136" i="2"/>
  <c r="AM1355" i="2"/>
  <c r="AM49" i="2"/>
  <c r="AM1201" i="2"/>
  <c r="AM29" i="2"/>
  <c r="AM1149" i="2"/>
  <c r="AM1552" i="2"/>
  <c r="AM110" i="2"/>
  <c r="AM513" i="2"/>
  <c r="AM902" i="2"/>
  <c r="AM1077" i="2"/>
  <c r="AM1199" i="2"/>
  <c r="AM396" i="2"/>
  <c r="AM1656" i="2"/>
  <c r="AM867" i="2"/>
  <c r="AM1413" i="2"/>
  <c r="AM1171" i="2"/>
  <c r="AM353" i="2"/>
  <c r="AM576" i="2"/>
  <c r="AM472" i="2"/>
  <c r="AM1132" i="2"/>
  <c r="AM1655" i="2"/>
  <c r="AM583" i="2"/>
  <c r="AM71" i="2"/>
  <c r="AM1442" i="2"/>
  <c r="AM953" i="2"/>
  <c r="AM674" i="2"/>
  <c r="AM460" i="2"/>
  <c r="AM293" i="2"/>
  <c r="AM1287" i="2"/>
  <c r="AM939" i="2"/>
  <c r="AM116" i="2"/>
  <c r="AM484" i="2"/>
  <c r="AM512" i="2"/>
  <c r="AM84" i="2"/>
  <c r="AM486" i="2"/>
  <c r="AM1138" i="2"/>
  <c r="AM1094" i="2"/>
  <c r="AM1292" i="2"/>
  <c r="AM770" i="2"/>
  <c r="AM150" i="2"/>
  <c r="AM1244" i="2"/>
  <c r="AM1096" i="2"/>
  <c r="AM946" i="2"/>
  <c r="AM720" i="2"/>
  <c r="AM193" i="2"/>
  <c r="AM1584" i="2"/>
  <c r="AM771" i="2"/>
  <c r="AM1387" i="2"/>
  <c r="AM1180" i="2"/>
  <c r="AM1517" i="2"/>
  <c r="AM368" i="2"/>
  <c r="AM190" i="2"/>
  <c r="AM941" i="2"/>
  <c r="AM707" i="2"/>
  <c r="AM179" i="2"/>
  <c r="AM557" i="2"/>
  <c r="AM1361" i="2"/>
  <c r="AM622" i="2"/>
  <c r="AM826" i="2"/>
  <c r="AM207" i="2"/>
  <c r="AM966" i="2"/>
  <c r="AM900" i="2"/>
  <c r="AM409" i="2"/>
  <c r="AM859" i="2"/>
  <c r="AM1090" i="2"/>
  <c r="AM548" i="2"/>
  <c r="AM820" i="2"/>
  <c r="AM980" i="2"/>
  <c r="AM1504" i="2"/>
  <c r="AM147" i="2"/>
  <c r="AM688" i="2"/>
  <c r="AM1632" i="2"/>
  <c r="AM1383" i="2"/>
  <c r="AM1540" i="2"/>
  <c r="AM152" i="2"/>
  <c r="AM1200" i="2"/>
  <c r="AM1402" i="2"/>
  <c r="AM1560" i="2"/>
  <c r="AM201" i="2"/>
  <c r="AM648" i="2"/>
  <c r="AM542" i="2"/>
  <c r="AM814" i="2"/>
  <c r="AM1233" i="2"/>
  <c r="AM138" i="2"/>
  <c r="AM913" i="2"/>
  <c r="AM587" i="2"/>
  <c r="AM765" i="2"/>
  <c r="AM327" i="2"/>
  <c r="AM345" i="2"/>
  <c r="AM263" i="2"/>
  <c r="AM1167" i="2"/>
  <c r="AM528" i="2"/>
  <c r="AM639" i="2"/>
  <c r="AM737" i="2"/>
  <c r="AM1377" i="2"/>
  <c r="AM1458" i="2"/>
  <c r="AM1539" i="2"/>
  <c r="AM1336" i="2"/>
  <c r="AM990" i="2"/>
  <c r="AM1030" i="2"/>
  <c r="AM1308" i="2"/>
  <c r="AM133" i="2"/>
  <c r="AM370" i="2"/>
  <c r="AM209" i="2"/>
  <c r="AM804" i="2"/>
  <c r="AM994" i="2"/>
  <c r="AM1039" i="2"/>
  <c r="AM500" i="2"/>
  <c r="AM905" i="2"/>
  <c r="AM1235" i="2"/>
  <c r="AM444" i="2"/>
  <c r="AM549" i="2"/>
  <c r="AM1159" i="2"/>
  <c r="AM868" i="2"/>
  <c r="AM1622" i="2"/>
  <c r="AM1623" i="2"/>
  <c r="AM1688" i="2"/>
  <c r="AM532" i="2"/>
  <c r="AM461" i="2"/>
  <c r="AM130" i="2"/>
  <c r="AM1671" i="2"/>
  <c r="AM383" i="2"/>
  <c r="AM924" i="2"/>
  <c r="AM17" i="2"/>
  <c r="AM1397" i="2"/>
  <c r="AM928" i="2"/>
  <c r="AM31" i="2"/>
  <c r="AM82" i="2"/>
  <c r="AM33" i="2"/>
  <c r="AM1443" i="2"/>
  <c r="AM449" i="2"/>
  <c r="AM1359" i="2"/>
  <c r="AM716" i="2"/>
  <c r="AM1581" i="2"/>
  <c r="AM372" i="2"/>
  <c r="AM663" i="2"/>
  <c r="AM134" i="2"/>
  <c r="AM43" i="2"/>
  <c r="AM1097" i="2"/>
  <c r="AM198" i="2"/>
  <c r="AM1668" i="2"/>
  <c r="AM1492" i="2"/>
  <c r="AM1543" i="2"/>
  <c r="AM925" i="2"/>
  <c r="AM1628" i="2"/>
  <c r="AM51" i="2"/>
  <c r="AM1113" i="2"/>
  <c r="AM52" i="2"/>
  <c r="AM1670" i="2"/>
  <c r="AM848" i="2"/>
  <c r="AM154" i="2"/>
  <c r="AM1246" i="2"/>
  <c r="AM807" i="2"/>
  <c r="AM233" i="2"/>
  <c r="AM1542" i="2"/>
  <c r="AM1337" i="2"/>
  <c r="AM165" i="2"/>
  <c r="AM999" i="2"/>
  <c r="AM1646" i="2"/>
  <c r="AM192" i="2"/>
  <c r="AM1520" i="2"/>
  <c r="AM520" i="2"/>
  <c r="AM337" i="2"/>
  <c r="AM118" i="2"/>
  <c r="AM1591" i="2"/>
  <c r="AM1392" i="2"/>
  <c r="AM386" i="2"/>
  <c r="AM371" i="2"/>
  <c r="AM1480" i="2"/>
  <c r="AM1495" i="2"/>
  <c r="AM1309" i="2"/>
  <c r="AM1092" i="2"/>
  <c r="AM259" i="2"/>
  <c r="AM1527" i="2"/>
  <c r="AM1216" i="2"/>
  <c r="AM547" i="2"/>
  <c r="AM574" i="2"/>
  <c r="AM420" i="2"/>
  <c r="AM189" i="2"/>
  <c r="AM100" i="2"/>
  <c r="AM163" i="2"/>
  <c r="AM1141" i="2"/>
  <c r="AM245" i="2"/>
  <c r="AM384" i="2"/>
  <c r="AM768" i="2"/>
  <c r="AM502" i="2"/>
  <c r="AM261" i="2"/>
  <c r="AM660" i="2"/>
  <c r="AM342" i="2"/>
  <c r="AM803" i="2"/>
  <c r="AM837" i="2"/>
  <c r="AM1484" i="2"/>
  <c r="AM852" i="2"/>
  <c r="AM392" i="2"/>
  <c r="AM326" i="2"/>
  <c r="AM322" i="2"/>
  <c r="AM560" i="2"/>
  <c r="AM1456" i="2"/>
  <c r="AM1325" i="2"/>
  <c r="AM769" i="2"/>
  <c r="AM1645" i="2"/>
  <c r="AM1362" i="2"/>
  <c r="AM302" i="2"/>
  <c r="AM1275" i="2"/>
  <c r="AM1421" i="2"/>
  <c r="AM1075" i="2"/>
  <c r="AM693" i="2"/>
  <c r="AM365" i="2"/>
  <c r="AM1479" i="2"/>
  <c r="AM317" i="2"/>
  <c r="AM324" i="2"/>
  <c r="AM1012" i="2"/>
  <c r="AM1629" i="2"/>
  <c r="AM615" i="2"/>
  <c r="AM702" i="2"/>
  <c r="AM1061" i="2"/>
  <c r="AM1689" i="2"/>
  <c r="AM1424" i="2"/>
  <c r="AM1220" i="2"/>
  <c r="AM1643" i="2"/>
  <c r="AM601" i="2"/>
  <c r="AM759" i="2"/>
  <c r="AM1129" i="2"/>
  <c r="AM304" i="2"/>
  <c r="AM613" i="2"/>
  <c r="AM479" i="2"/>
  <c r="AM253" i="2"/>
  <c r="AM1055" i="2"/>
  <c r="AM149" i="2"/>
  <c r="AM28" i="2"/>
  <c r="AM476" i="2"/>
  <c r="AM1436" i="2"/>
  <c r="AM1684" i="2"/>
  <c r="AM1651" i="2"/>
  <c r="AM32" i="2"/>
  <c r="AM1446" i="2"/>
  <c r="AM1043" i="2"/>
  <c r="AM987" i="2"/>
  <c r="AM1072" i="2"/>
  <c r="AM1678" i="2"/>
  <c r="AM320" i="2"/>
  <c r="AM97" i="2"/>
  <c r="AM1103" i="2"/>
  <c r="AM291" i="2"/>
  <c r="AM942" i="2"/>
  <c r="AM1025" i="2"/>
  <c r="AM1360" i="2"/>
  <c r="AM1049" i="2"/>
  <c r="AM1224" i="2"/>
  <c r="AM234" i="2"/>
  <c r="AM856" i="2"/>
  <c r="AM182" i="2"/>
  <c r="AM1598" i="2"/>
  <c r="AM379" i="2"/>
  <c r="AM1353" i="2"/>
  <c r="AM1221" i="2"/>
  <c r="AM815" i="2"/>
  <c r="AM313" i="2"/>
  <c r="AM1106" i="2"/>
  <c r="AM1448" i="2"/>
  <c r="AM162" i="2"/>
  <c r="AM680" i="2"/>
  <c r="AM901" i="2"/>
  <c r="AM1332" i="2"/>
  <c r="AM1465" i="2"/>
  <c r="AM1140" i="2"/>
  <c r="AM593" i="2"/>
  <c r="AM546" i="2"/>
  <c r="AM135" i="2"/>
  <c r="AM656" i="2"/>
  <c r="AM712" i="2"/>
  <c r="AM643" i="2"/>
  <c r="AM1604" i="2"/>
  <c r="AM816" i="2"/>
  <c r="AM114" i="2"/>
  <c r="AM321" i="2"/>
  <c r="AM672" i="2"/>
  <c r="AM344" i="2"/>
  <c r="AM1636" i="2"/>
  <c r="AM1172" i="2"/>
  <c r="AM19" i="2"/>
  <c r="AM1534" i="2"/>
  <c r="AM699" i="2"/>
  <c r="AM792" i="2"/>
  <c r="AM537" i="2"/>
  <c r="AM200" i="2"/>
  <c r="AM673" i="2"/>
  <c r="AM81" i="2"/>
  <c r="AM851" i="2"/>
  <c r="AM441" i="2"/>
  <c r="AM1648" i="2"/>
  <c r="AM812" i="2"/>
  <c r="AM308" i="2"/>
  <c r="AM224" i="2"/>
  <c r="AM635" i="2"/>
  <c r="AM1112" i="2"/>
  <c r="AM640" i="2"/>
  <c r="AM917" i="2"/>
  <c r="AM678" i="2"/>
  <c r="AM880" i="2"/>
  <c r="AM131" i="2"/>
  <c r="AM1423" i="2"/>
  <c r="AM751" i="2"/>
  <c r="AM805" i="2"/>
  <c r="AM714" i="2"/>
  <c r="AM787" i="2"/>
  <c r="AM65" i="2"/>
  <c r="AM819" i="2"/>
  <c r="AM1208" i="2"/>
  <c r="AM1555" i="2"/>
  <c r="AM827" i="2"/>
  <c r="AM1133" i="2"/>
  <c r="AM594" i="2"/>
  <c r="AM575" i="2"/>
  <c r="AM292" i="2"/>
  <c r="AM738" i="2"/>
  <c r="AM606" i="2"/>
  <c r="AM518" i="2"/>
  <c r="AM62" i="2"/>
  <c r="AM988" i="2"/>
  <c r="AM1347" i="2"/>
  <c r="AM1254" i="2"/>
  <c r="AM1017" i="2"/>
  <c r="AM266" i="2"/>
  <c r="AM1449" i="2"/>
  <c r="AM1169" i="2"/>
  <c r="AM881" i="2"/>
  <c r="AM1011" i="2"/>
  <c r="AM642" i="2"/>
  <c r="AM788" i="2"/>
  <c r="AM498" i="2"/>
  <c r="AM87" i="2"/>
  <c r="AM1524" i="2"/>
  <c r="AM25" i="2"/>
  <c r="AM1638" i="2"/>
  <c r="AM649" i="2"/>
  <c r="AM1570" i="2"/>
  <c r="AM1450" i="2"/>
  <c r="AM491" i="2"/>
  <c r="AM896" i="2"/>
  <c r="AM108" i="2"/>
  <c r="AM686" i="2"/>
  <c r="AM936" i="2"/>
  <c r="AM1457" i="2"/>
  <c r="AM246" i="2"/>
  <c r="AM1157" i="2"/>
  <c r="AM910" i="2"/>
  <c r="AM331" i="2"/>
  <c r="AM54" i="2"/>
  <c r="AM1329" i="2"/>
  <c r="AM1079" i="2"/>
  <c r="AM1000" i="2"/>
  <c r="AM451" i="2"/>
  <c r="AM213" i="2"/>
  <c r="AM330" i="2"/>
  <c r="AM63" i="2"/>
  <c r="AM793" i="2"/>
  <c r="AM877" i="2"/>
  <c r="AM1644" i="2"/>
  <c r="AM44" i="2"/>
  <c r="AM997" i="2"/>
  <c r="AM155" i="2"/>
  <c r="AM773" i="2"/>
  <c r="AM61" i="2"/>
  <c r="AM1318" i="2"/>
  <c r="AM1226" i="2"/>
  <c r="AM1108" i="2"/>
  <c r="AM1444" i="2"/>
  <c r="AM226" i="2"/>
  <c r="AM1400" i="2"/>
  <c r="AM1483" i="2"/>
  <c r="AM1210" i="2"/>
  <c r="AM1634" i="2"/>
  <c r="AM544" i="2"/>
  <c r="AM453" i="2"/>
  <c r="AM977" i="2"/>
  <c r="AM1289" i="2"/>
  <c r="AM915" i="2"/>
  <c r="AM607" i="2"/>
  <c r="AM654" i="2"/>
  <c r="AM332" i="2"/>
  <c r="AM197" i="2"/>
  <c r="AM258" i="2"/>
  <c r="AM874" i="2"/>
  <c r="AM1410" i="2"/>
  <c r="AM1508" i="2"/>
  <c r="AM1558" i="2"/>
  <c r="AM446" i="2"/>
  <c r="AM311" i="2"/>
  <c r="AM1545" i="2"/>
  <c r="AM170" i="2"/>
  <c r="AM1099" i="2"/>
  <c r="AM1415" i="2"/>
  <c r="AM437" i="2"/>
  <c r="AM274" i="2"/>
  <c r="AM590" i="2"/>
  <c r="AM1004" i="2"/>
  <c r="AM774" i="2"/>
  <c r="AM1242" i="2"/>
  <c r="AM75" i="2"/>
  <c r="AM1489" i="2"/>
  <c r="AM786" i="2"/>
  <c r="AM436" i="2"/>
  <c r="AM850" i="2"/>
  <c r="AM1394" i="2"/>
  <c r="AM1236" i="2"/>
  <c r="AM636" i="2"/>
  <c r="AM1288" i="2"/>
  <c r="AM95" i="2"/>
  <c r="AM832" i="2"/>
  <c r="AM1608" i="2"/>
  <c r="AM1034" i="2"/>
  <c r="AM1562" i="2"/>
  <c r="AM1512" i="2"/>
  <c r="AM1518" i="2"/>
  <c r="AM681" i="2"/>
  <c r="AM9" i="2"/>
  <c r="AM463" i="2"/>
  <c r="AM1630" i="2"/>
  <c r="AM665" i="2"/>
  <c r="AM172" i="2"/>
  <c r="AM1315" i="2"/>
  <c r="AM883" i="2"/>
  <c r="AM1351" i="2"/>
  <c r="AM1596" i="2"/>
  <c r="AM1455" i="2"/>
  <c r="AM538" i="2"/>
  <c r="AM13" i="2"/>
  <c r="AM1609" i="2"/>
  <c r="AM1146" i="2"/>
  <c r="AM195" i="2"/>
  <c r="AM26" i="2"/>
  <c r="AM1164" i="2"/>
  <c r="AM416" i="2"/>
  <c r="AM779" i="2"/>
  <c r="AM1470" i="2"/>
  <c r="AM871" i="2"/>
  <c r="AM1502" i="2"/>
  <c r="AM1676" i="2"/>
  <c r="AM1078" i="2"/>
  <c r="AM1303" i="2"/>
  <c r="AM677" i="2"/>
  <c r="AM247" i="2"/>
  <c r="AM24" i="2"/>
  <c r="AM729" i="2"/>
  <c r="AM629" i="2"/>
  <c r="AM350" i="2"/>
  <c r="AM1317" i="2"/>
  <c r="AM1559" i="2"/>
  <c r="AM692" i="2"/>
  <c r="AM830" i="2"/>
  <c r="AM117" i="2"/>
  <c r="AM682" i="2"/>
  <c r="AM572" i="2"/>
  <c r="AM1196" i="2"/>
  <c r="AM985" i="2"/>
  <c r="AM1381" i="2"/>
  <c r="AM1637" i="2"/>
  <c r="AM335" i="2"/>
  <c r="AM1295" i="2"/>
  <c r="AM237" i="2"/>
  <c r="AM15" i="2"/>
  <c r="AM938" i="2"/>
  <c r="AM269" i="2"/>
  <c r="AM104" i="2"/>
  <c r="AM893" i="2"/>
  <c r="AM1054" i="2"/>
  <c r="AM1339" i="2"/>
  <c r="AM1067" i="2"/>
  <c r="AM1613" i="2"/>
  <c r="AM1185" i="2"/>
  <c r="AM314" i="2"/>
  <c r="AM884" i="2"/>
  <c r="AM76" i="2"/>
  <c r="AM685" i="2"/>
  <c r="AM1342" i="2"/>
  <c r="AM489" i="2"/>
  <c r="AM691" i="2"/>
  <c r="AM968" i="2"/>
  <c r="AM1649" i="2"/>
  <c r="AM1420" i="2"/>
  <c r="AM1370" i="2"/>
  <c r="AM919" i="2"/>
  <c r="AM1148" i="2"/>
  <c r="AM1102" i="2"/>
  <c r="AM1073" i="2"/>
  <c r="AM641" i="2"/>
  <c r="AM713" i="2"/>
  <c r="AM146" i="2"/>
  <c r="AM143" i="2"/>
  <c r="AM1364" i="2"/>
  <c r="AM404" i="2"/>
  <c r="AM958" i="2"/>
  <c r="AM294" i="2"/>
  <c r="AM623" i="2"/>
  <c r="AM1385" i="2"/>
  <c r="AM817" i="2"/>
  <c r="AM478" i="2"/>
  <c r="AM1006" i="2"/>
  <c r="AM1657" i="2"/>
  <c r="AM239" i="2"/>
  <c r="AM577" i="2"/>
  <c r="AM907" i="2"/>
  <c r="AM316" i="2"/>
  <c r="AM430" i="2"/>
  <c r="AM853" i="2"/>
  <c r="AM1346" i="2"/>
  <c r="AM1551" i="2"/>
  <c r="AM318" i="2"/>
  <c r="AM1438" i="2"/>
  <c r="AM984" i="2"/>
  <c r="AM1386" i="2"/>
  <c r="AM1493" i="2"/>
  <c r="AM410" i="2"/>
  <c r="AM89" i="2"/>
  <c r="AM349" i="2"/>
  <c r="AM397" i="2"/>
  <c r="AM1290" i="2"/>
  <c r="AM497" i="2"/>
  <c r="AM949" i="2"/>
  <c r="AM644" i="2"/>
  <c r="AM609" i="2"/>
  <c r="AM1144" i="2"/>
  <c r="AM1285" i="2"/>
  <c r="AM1184" i="2"/>
  <c r="AM462" i="2"/>
  <c r="AM947" i="2"/>
  <c r="AM1183" i="2"/>
  <c r="AM221" i="2"/>
  <c r="AM406" i="2"/>
  <c r="AM1195" i="2"/>
  <c r="AM1047" i="2"/>
  <c r="AM1070" i="2"/>
  <c r="AM1124" i="2"/>
  <c r="AM509" i="2"/>
  <c r="AM1114" i="2"/>
  <c r="AM483" i="2"/>
  <c r="AM775" i="2"/>
  <c r="AM1481" i="2"/>
  <c r="AM568" i="2"/>
  <c r="AM998" i="2"/>
  <c r="AM14" i="2"/>
  <c r="AM834" i="2"/>
  <c r="AM1641" i="2"/>
  <c r="AM255" i="2"/>
  <c r="AM1575" i="2"/>
  <c r="AM1035" i="2"/>
  <c r="AM1469" i="2"/>
  <c r="AM1068" i="2"/>
  <c r="AM918" i="2"/>
  <c r="AM823" i="2"/>
  <c r="AM391" i="2"/>
  <c r="AM723" i="2"/>
  <c r="AM256" i="2"/>
  <c r="AM1403" i="2"/>
  <c r="AM1059" i="2"/>
  <c r="AM375" i="2"/>
  <c r="AM760" i="2"/>
  <c r="AM1664" i="2"/>
  <c r="AM1305" i="2"/>
  <c r="AM1147" i="2"/>
  <c r="AM1279" i="2"/>
  <c r="AM127" i="2"/>
  <c r="AM424" i="2"/>
  <c r="AM1510" i="2"/>
  <c r="AM382" i="2"/>
  <c r="AM485" i="2"/>
  <c r="AM1020" i="2"/>
  <c r="AM1345" i="2"/>
  <c r="AM992" i="2"/>
  <c r="AM1454" i="2"/>
  <c r="AM385" i="2"/>
  <c r="AM1105" i="2"/>
  <c r="AM1334" i="2"/>
  <c r="AM670" i="2"/>
  <c r="AM1153" i="2"/>
  <c r="AM671" i="2"/>
  <c r="AM315" i="2"/>
  <c r="AM1178" i="2"/>
  <c r="AM1001" i="2"/>
  <c r="AM1026" i="2"/>
  <c r="AM203" i="2"/>
  <c r="AM216" i="2"/>
  <c r="AM278" i="2"/>
  <c r="AM157" i="2"/>
  <c r="AM1352" i="2"/>
  <c r="AM156" i="2"/>
  <c r="AM85" i="2"/>
  <c r="AM600" i="2"/>
  <c r="AM1187" i="2"/>
  <c r="AM995" i="2"/>
  <c r="AM844" i="2"/>
  <c r="AM1136" i="2"/>
  <c r="AM1395" i="2"/>
  <c r="AM555" i="2"/>
  <c r="AM445" i="2"/>
  <c r="AM1472" i="2"/>
  <c r="AM1319" i="2"/>
  <c r="AM362" i="2"/>
  <c r="AM422" i="2"/>
  <c r="AM295" i="2"/>
  <c r="AM1366" i="2"/>
  <c r="AM952" i="2"/>
  <c r="AM1371" i="2"/>
  <c r="AM88" i="2"/>
  <c r="AM347" i="2"/>
  <c r="AM1215" i="2"/>
  <c r="AM731" i="2"/>
  <c r="AM475" i="2"/>
  <c r="AM701" i="2"/>
  <c r="AM567" i="2"/>
  <c r="AM944" i="2"/>
  <c r="AM1150" i="2"/>
  <c r="AM1057" i="2"/>
  <c r="AM1127" i="2"/>
  <c r="AM890" i="2"/>
  <c r="AM1032" i="2"/>
  <c r="AM1181" i="2"/>
  <c r="AM1098" i="2"/>
  <c r="AM1118" i="2"/>
  <c r="AM41" i="2"/>
  <c r="AM1531" i="2"/>
  <c r="AM366" i="2"/>
  <c r="AM647" i="2"/>
  <c r="AM1297" i="2"/>
  <c r="AM142" i="2"/>
  <c r="AM1580" i="2"/>
  <c r="AM1373" i="2"/>
  <c r="AM975" i="2"/>
  <c r="AM821" i="2"/>
  <c r="AM378" i="2"/>
  <c r="AM983" i="2"/>
  <c r="AM1663" i="2"/>
  <c r="AM725" i="2"/>
  <c r="AM168" i="2"/>
  <c r="AM1519" i="2"/>
  <c r="AM1616" i="2"/>
  <c r="AM598" i="2"/>
  <c r="AM1145" i="2"/>
  <c r="AM1194" i="2"/>
  <c r="AM1060" i="2"/>
  <c r="AM74" i="2"/>
  <c r="AM417" i="2"/>
  <c r="AM825" i="2"/>
  <c r="AM863" i="2"/>
  <c r="AM1374" i="2"/>
  <c r="AM212" i="2"/>
  <c r="AM1544" i="2"/>
  <c r="AM991" i="2"/>
  <c r="AM271" i="2"/>
  <c r="AM1268" i="2"/>
  <c r="AM1064" i="2"/>
  <c r="AM996" i="2"/>
  <c r="AM90" i="2"/>
  <c r="AM180" i="2"/>
  <c r="AM1548" i="2"/>
  <c r="AM1013" i="2"/>
  <c r="AM442" i="2"/>
  <c r="AM447" i="2"/>
  <c r="AM1042" i="2"/>
  <c r="AM745" i="2"/>
  <c r="AM875" i="2"/>
  <c r="AM842" i="2"/>
  <c r="AM1593" i="2"/>
  <c r="AM1250" i="2"/>
  <c r="AM185" i="2"/>
  <c r="AM427" i="2"/>
  <c r="AM1205" i="2"/>
  <c r="AM1173" i="2"/>
  <c r="AM1101" i="2"/>
  <c r="AM1083" i="2"/>
  <c r="AM112" i="2"/>
  <c r="AM866" i="2"/>
  <c r="AM588" i="2"/>
  <c r="AM452" i="2"/>
  <c r="AM1594" i="2"/>
  <c r="AM1058" i="2"/>
  <c r="AM1283" i="2"/>
  <c r="AM1016" i="2"/>
  <c r="AM652" i="2"/>
  <c r="AM1082" i="2"/>
  <c r="AM1677" i="2"/>
  <c r="AM236" i="2"/>
  <c r="AM667" i="2"/>
  <c r="AM1343" i="2"/>
  <c r="AM784" i="2"/>
  <c r="AM1660" i="2"/>
  <c r="AM1019" i="2"/>
  <c r="AM1367" i="2"/>
  <c r="AM876" i="2"/>
  <c r="AM1280" i="2"/>
  <c r="AM297" i="2"/>
  <c r="AM1062" i="2"/>
  <c r="AM833" i="2"/>
  <c r="AM1683" i="2"/>
  <c r="AM638" i="2"/>
  <c r="AM1588" i="2"/>
  <c r="AM829" i="2"/>
  <c r="AM591" i="2"/>
  <c r="AM778" i="2"/>
  <c r="AM1488" i="2"/>
  <c r="AM1162" i="2"/>
  <c r="AM1232" i="2"/>
  <c r="AM36" i="2"/>
  <c r="AM132" i="2"/>
  <c r="AM1462" i="2"/>
  <c r="AM1440" i="2"/>
  <c r="AM523" i="2"/>
  <c r="AM1429" i="2"/>
  <c r="AM1267" i="2"/>
  <c r="AM360" i="2"/>
  <c r="AM561" i="2"/>
  <c r="AM1605" i="2"/>
  <c r="AM109" i="2"/>
  <c r="AM1625" i="2"/>
  <c r="AM715" i="2"/>
  <c r="AM1681" i="2"/>
  <c r="AM1052" i="2"/>
  <c r="AM223" i="2"/>
  <c r="AM1578" i="2"/>
  <c r="AM923" i="2"/>
  <c r="AM1218" i="2"/>
  <c r="AM1331" i="2"/>
  <c r="AM373" i="2"/>
  <c r="AM50" i="2"/>
  <c r="I13" i="2"/>
  <c r="L8" i="2"/>
  <c r="I12" i="2"/>
  <c r="L13" i="2" l="1"/>
  <c r="L12" i="2"/>
  <c r="L10" i="2" s="1"/>
  <c r="I525" i="2"/>
  <c r="L525" i="2" s="1"/>
  <c r="I961" i="2"/>
  <c r="L961" i="2" s="1"/>
  <c r="I146" i="2"/>
  <c r="L146" i="2" s="1"/>
  <c r="I937" i="2"/>
  <c r="L937" i="2" s="1"/>
  <c r="I894" i="2"/>
  <c r="L894" i="2" s="1"/>
  <c r="I546" i="2"/>
  <c r="L546" i="2" s="1"/>
  <c r="I941" i="2"/>
  <c r="L941" i="2" s="1"/>
  <c r="I348" i="2"/>
  <c r="L348" i="2" s="1"/>
  <c r="I873" i="2"/>
  <c r="L873" i="2" s="1"/>
  <c r="I99" i="2"/>
  <c r="L99" i="2" s="1"/>
  <c r="I269" i="2"/>
  <c r="L269" i="2" s="1"/>
  <c r="I223" i="2"/>
  <c r="L223" i="2" s="1"/>
  <c r="I281" i="2"/>
  <c r="L281" i="2" s="1"/>
  <c r="I663" i="2"/>
  <c r="L663" i="2" s="1"/>
  <c r="I714" i="2"/>
  <c r="L714" i="2" s="1"/>
  <c r="I570" i="2"/>
  <c r="L570" i="2" s="1"/>
  <c r="I360" i="2"/>
  <c r="L360" i="2" s="1"/>
  <c r="I719" i="2"/>
  <c r="L719" i="2" s="1"/>
  <c r="I78" i="2"/>
  <c r="L78" i="2" s="1"/>
  <c r="I512" i="2"/>
  <c r="L512" i="2" s="1"/>
  <c r="I424" i="2"/>
  <c r="L424" i="2" s="1"/>
  <c r="I704" i="2"/>
  <c r="L704" i="2" s="1"/>
  <c r="I251" i="2"/>
  <c r="L251" i="2" s="1"/>
  <c r="I85" i="2"/>
  <c r="L85" i="2" s="1"/>
  <c r="I427" i="2"/>
  <c r="L427" i="2" s="1"/>
  <c r="I145" i="2"/>
  <c r="L145" i="2" s="1"/>
  <c r="I883" i="2"/>
  <c r="L883" i="2" s="1"/>
  <c r="I44" i="2"/>
  <c r="L44" i="2" s="1"/>
  <c r="I629" i="2"/>
  <c r="L629" i="2" s="1"/>
  <c r="I383" i="2"/>
  <c r="L383" i="2" s="1"/>
  <c r="I956" i="2"/>
  <c r="L956" i="2" s="1"/>
  <c r="I623" i="2"/>
  <c r="L623" i="2" s="1"/>
  <c r="I518" i="2"/>
  <c r="L518" i="2" s="1"/>
  <c r="I973" i="2"/>
  <c r="L973" i="2" s="1"/>
  <c r="I124" i="2"/>
  <c r="L124" i="2" s="1"/>
  <c r="I107" i="2"/>
  <c r="L107" i="2" s="1"/>
  <c r="I759" i="2"/>
  <c r="L759" i="2" s="1"/>
  <c r="I654" i="2"/>
  <c r="L654" i="2" s="1"/>
  <c r="I651" i="2"/>
  <c r="L651" i="2" s="1"/>
  <c r="I823" i="2"/>
  <c r="L823" i="2" s="1"/>
  <c r="I224" i="2"/>
  <c r="L224" i="2" s="1"/>
  <c r="I315" i="2"/>
  <c r="L315" i="2" s="1"/>
  <c r="I610" i="2"/>
  <c r="L610" i="2" s="1"/>
  <c r="I587" i="2"/>
  <c r="L587" i="2" s="1"/>
  <c r="I138" i="2"/>
  <c r="L138" i="2" s="1"/>
  <c r="I92" i="2"/>
  <c r="L92" i="2" s="1"/>
  <c r="I635" i="2"/>
  <c r="L635" i="2" s="1"/>
  <c r="I465" i="2"/>
  <c r="L465" i="2" s="1"/>
  <c r="I388" i="2"/>
  <c r="L388" i="2" s="1"/>
  <c r="I170" i="2"/>
  <c r="L170" i="2" s="1"/>
  <c r="I939" i="2"/>
  <c r="L939" i="2" s="1"/>
  <c r="I391" i="2"/>
  <c r="L391" i="2" s="1"/>
  <c r="I890" i="2"/>
  <c r="L890" i="2" s="1"/>
  <c r="I134" i="2"/>
  <c r="L134" i="2" s="1"/>
  <c r="I1002" i="2"/>
  <c r="L1002" i="2" s="1"/>
  <c r="I727" i="2"/>
  <c r="L727" i="2" s="1"/>
  <c r="I116" i="2"/>
  <c r="L116" i="2" s="1"/>
  <c r="I689" i="2"/>
  <c r="L689" i="2" s="1"/>
  <c r="I755" i="2"/>
  <c r="L755" i="2" s="1"/>
  <c r="I605" i="2"/>
  <c r="L605" i="2" s="1"/>
  <c r="I513" i="2"/>
  <c r="L513" i="2" s="1"/>
  <c r="I457" i="2"/>
  <c r="L457" i="2" s="1"/>
  <c r="I226" i="2"/>
  <c r="L226" i="2" s="1"/>
  <c r="I633" i="2"/>
  <c r="L633" i="2" s="1"/>
  <c r="I422" i="2"/>
  <c r="L422" i="2" s="1"/>
  <c r="I350" i="2"/>
  <c r="L350" i="2" s="1"/>
  <c r="I801" i="2"/>
  <c r="L801" i="2" s="1"/>
  <c r="I341" i="2"/>
  <c r="L341" i="2" s="1"/>
  <c r="I154" i="2"/>
  <c r="L154" i="2" s="1"/>
  <c r="I815" i="2"/>
  <c r="L815" i="2" s="1"/>
  <c r="I882" i="2"/>
  <c r="L882" i="2" s="1"/>
  <c r="I736" i="2"/>
  <c r="L736" i="2" s="1"/>
  <c r="I620" i="2"/>
  <c r="L620" i="2" s="1"/>
  <c r="I194" i="2"/>
  <c r="L194" i="2" s="1"/>
  <c r="I760" i="2"/>
  <c r="L760" i="2" s="1"/>
  <c r="I59" i="2"/>
  <c r="L59" i="2" s="1"/>
  <c r="I498" i="2"/>
  <c r="L498" i="2" s="1"/>
  <c r="I304" i="2"/>
  <c r="L304" i="2" s="1"/>
  <c r="I237" i="2"/>
  <c r="L237" i="2" s="1"/>
  <c r="I181" i="2"/>
  <c r="L181" i="2" s="1"/>
  <c r="I869" i="2"/>
  <c r="L869" i="2" s="1"/>
  <c r="I32" i="2"/>
  <c r="L32" i="2" s="1"/>
  <c r="I211" i="2"/>
  <c r="L211" i="2" s="1"/>
  <c r="I49" i="2"/>
  <c r="L49" i="2" s="1"/>
  <c r="I968" i="2"/>
  <c r="L968" i="2" s="1"/>
  <c r="I164" i="2"/>
  <c r="L164" i="2" s="1"/>
  <c r="I631" i="2"/>
  <c r="L631" i="2" s="1"/>
  <c r="I38" i="2"/>
  <c r="L38" i="2" s="1"/>
  <c r="I444" i="2"/>
  <c r="L444" i="2" s="1"/>
  <c r="I834" i="2"/>
  <c r="L834" i="2" s="1"/>
  <c r="I252" i="2"/>
  <c r="L252" i="2" s="1"/>
  <c r="I804" i="2"/>
  <c r="L804" i="2" s="1"/>
  <c r="I757" i="2"/>
  <c r="L757" i="2" s="1"/>
  <c r="I922" i="2"/>
  <c r="L922" i="2" s="1"/>
  <c r="I666" i="2"/>
  <c r="L666" i="2" s="1"/>
  <c r="I407" i="2"/>
  <c r="L407" i="2" s="1"/>
  <c r="I552" i="2"/>
  <c r="L552" i="2" s="1"/>
  <c r="I89" i="2"/>
  <c r="L89" i="2" s="1"/>
  <c r="I646" i="2"/>
  <c r="L646" i="2" s="1"/>
  <c r="I298" i="2"/>
  <c r="L298" i="2" s="1"/>
  <c r="I532" i="2"/>
  <c r="L532" i="2" s="1"/>
  <c r="I865" i="2"/>
  <c r="L865" i="2" s="1"/>
  <c r="I160" i="2"/>
  <c r="L160" i="2" s="1"/>
  <c r="I139" i="2"/>
  <c r="L139" i="2" s="1"/>
  <c r="I690" i="2"/>
  <c r="L690" i="2" s="1"/>
  <c r="I767" i="2"/>
  <c r="L767" i="2" s="1"/>
  <c r="I540" i="2"/>
  <c r="L540" i="2" s="1"/>
  <c r="I796" i="2"/>
  <c r="L796" i="2" s="1"/>
  <c r="I523" i="2"/>
  <c r="L523" i="2" s="1"/>
  <c r="I423" i="2"/>
  <c r="L423" i="2" s="1"/>
  <c r="I857" i="2"/>
  <c r="L857" i="2" s="1"/>
  <c r="I307" i="2"/>
  <c r="L307" i="2" s="1"/>
  <c r="I891" i="2"/>
  <c r="L891" i="2" s="1"/>
  <c r="I919" i="2"/>
  <c r="L919" i="2" s="1"/>
  <c r="I885" i="2"/>
  <c r="L885" i="2" s="1"/>
  <c r="I742" i="2"/>
  <c r="L742" i="2" s="1"/>
  <c r="I786" i="2"/>
  <c r="L786" i="2" s="1"/>
  <c r="I574" i="2"/>
  <c r="L574" i="2" s="1"/>
  <c r="I993" i="2"/>
  <c r="L993" i="2" s="1"/>
  <c r="I483" i="2"/>
  <c r="L483" i="2" s="1"/>
  <c r="I1012" i="2"/>
  <c r="L1012" i="2" s="1"/>
  <c r="I446" i="2"/>
  <c r="L446" i="2" s="1"/>
  <c r="I460" i="2"/>
  <c r="L460" i="2" s="1"/>
  <c r="I775" i="2"/>
  <c r="L775" i="2" s="1"/>
  <c r="I262" i="2"/>
  <c r="L262" i="2" s="1"/>
  <c r="I213" i="2"/>
  <c r="L213" i="2" s="1"/>
  <c r="I581" i="2"/>
  <c r="L581" i="2" s="1"/>
  <c r="I811" i="2"/>
  <c r="L811" i="2" s="1"/>
  <c r="I52" i="2"/>
  <c r="L52" i="2" s="1"/>
  <c r="I781" i="2"/>
  <c r="L781" i="2" s="1"/>
  <c r="I389" i="2"/>
  <c r="L389" i="2" s="1"/>
  <c r="I203" i="2"/>
  <c r="L203" i="2" s="1"/>
  <c r="I867" i="2"/>
  <c r="L867" i="2" s="1"/>
  <c r="I944" i="2"/>
  <c r="L944" i="2" s="1"/>
  <c r="I320" i="2"/>
  <c r="L320" i="2" s="1"/>
  <c r="I153" i="2"/>
  <c r="L153" i="2" s="1"/>
  <c r="I200" i="2"/>
  <c r="L200" i="2" s="1"/>
  <c r="I25" i="2"/>
  <c r="L25" i="2" s="1"/>
  <c r="I549" i="2"/>
  <c r="L549" i="2" s="1"/>
  <c r="I720" i="2"/>
  <c r="L720" i="2" s="1"/>
  <c r="I563" i="2"/>
  <c r="L563" i="2" s="1"/>
  <c r="I497" i="2"/>
  <c r="L497" i="2" s="1"/>
  <c r="I17" i="2"/>
  <c r="L17" i="2" s="1"/>
  <c r="I357" i="2"/>
  <c r="L357" i="2" s="1"/>
  <c r="I606" i="2"/>
  <c r="L606" i="2" s="1"/>
  <c r="I288" i="2"/>
  <c r="L288" i="2" s="1"/>
  <c r="I448" i="2"/>
  <c r="L448" i="2" s="1"/>
  <c r="I763" i="2"/>
  <c r="L763" i="2" s="1"/>
  <c r="I788" i="2"/>
  <c r="L788" i="2" s="1"/>
  <c r="I328" i="2"/>
  <c r="L328" i="2" s="1"/>
  <c r="I981" i="2"/>
  <c r="L981" i="2" s="1"/>
  <c r="I821" i="2"/>
  <c r="L821" i="2" s="1"/>
  <c r="I526" i="2"/>
  <c r="L526" i="2" s="1"/>
  <c r="I573" i="2"/>
  <c r="L573" i="2" s="1"/>
  <c r="I797" i="2"/>
  <c r="L797" i="2" s="1"/>
  <c r="I126" i="2"/>
  <c r="L126" i="2" s="1"/>
  <c r="I39" i="2"/>
  <c r="L39" i="2" s="1"/>
  <c r="I675" i="2"/>
  <c r="L675" i="2" s="1"/>
  <c r="I852" i="2"/>
  <c r="L852" i="2" s="1"/>
  <c r="I668" i="2"/>
  <c r="L668" i="2" s="1"/>
  <c r="I445" i="2"/>
  <c r="L445" i="2" s="1"/>
  <c r="I929" i="2"/>
  <c r="L929" i="2" s="1"/>
  <c r="I148" i="2"/>
  <c r="L148" i="2" s="1"/>
  <c r="I787" i="2"/>
  <c r="L787" i="2" s="1"/>
  <c r="I216" i="2"/>
  <c r="L216" i="2" s="1"/>
  <c r="I794" i="2"/>
  <c r="L794" i="2" s="1"/>
  <c r="I91" i="2"/>
  <c r="L91" i="2" s="1"/>
  <c r="I664" i="2"/>
  <c r="L664" i="2" s="1"/>
  <c r="I989" i="2"/>
  <c r="L989" i="2" s="1"/>
  <c r="I746" i="2"/>
  <c r="L746" i="2" s="1"/>
  <c r="I253" i="2"/>
  <c r="L253" i="2" s="1"/>
  <c r="I907" i="2"/>
  <c r="L907" i="2" s="1"/>
  <c r="I235" i="2"/>
  <c r="L235" i="2" s="1"/>
  <c r="I966" i="2"/>
  <c r="L966" i="2" s="1"/>
  <c r="I311" i="2"/>
  <c r="L311" i="2" s="1"/>
  <c r="I536" i="2"/>
  <c r="L536" i="2" s="1"/>
  <c r="I263" i="2"/>
  <c r="L263" i="2" s="1"/>
  <c r="I491" i="2"/>
  <c r="L491" i="2" s="1"/>
  <c r="I416" i="2"/>
  <c r="L416" i="2" s="1"/>
  <c r="I310" i="2"/>
  <c r="L310" i="2" s="1"/>
  <c r="I340" i="2"/>
  <c r="L340" i="2" s="1"/>
  <c r="I773" i="2"/>
  <c r="L773" i="2" s="1"/>
  <c r="I365" i="2"/>
  <c r="L365" i="2" s="1"/>
  <c r="I481" i="2"/>
  <c r="L481" i="2" s="1"/>
  <c r="I533" i="2"/>
  <c r="L533" i="2" s="1"/>
  <c r="I684" i="2"/>
  <c r="L684" i="2" s="1"/>
  <c r="I450" i="2"/>
  <c r="L450" i="2" s="1"/>
  <c r="I140" i="2"/>
  <c r="L140" i="2" s="1"/>
  <c r="I82" i="2"/>
  <c r="L82" i="2" s="1"/>
  <c r="I419" i="2"/>
  <c r="L419" i="2" s="1"/>
  <c r="I290" i="2"/>
  <c r="L290" i="2" s="1"/>
  <c r="I275" i="2"/>
  <c r="L275" i="2" s="1"/>
  <c r="I1008" i="2"/>
  <c r="L1008" i="2" s="1"/>
  <c r="I87" i="2"/>
  <c r="L87" i="2" s="1"/>
  <c r="I766" i="2"/>
  <c r="L766" i="2" s="1"/>
  <c r="I432" i="2"/>
  <c r="L432" i="2" s="1"/>
  <c r="I619" i="2"/>
  <c r="L619" i="2" s="1"/>
  <c r="I569" i="2"/>
  <c r="L569" i="2" s="1"/>
  <c r="I640" i="2"/>
  <c r="L640" i="2" s="1"/>
  <c r="I386" i="2"/>
  <c r="L386" i="2" s="1"/>
  <c r="I492" i="2"/>
  <c r="L492" i="2" s="1"/>
  <c r="I159" i="2"/>
  <c r="L159" i="2" s="1"/>
  <c r="I626" i="2"/>
  <c r="L626" i="2" s="1"/>
  <c r="I708" i="2"/>
  <c r="L708" i="2" s="1"/>
  <c r="I463" i="2"/>
  <c r="L463" i="2" s="1"/>
  <c r="I303" i="2"/>
  <c r="L303" i="2" s="1"/>
  <c r="I638" i="2"/>
  <c r="L638" i="2" s="1"/>
  <c r="I379" i="2"/>
  <c r="L379" i="2" s="1"/>
  <c r="I954" i="2"/>
  <c r="L954" i="2" s="1"/>
  <c r="I507" i="2"/>
  <c r="L507" i="2" s="1"/>
  <c r="I599" i="2"/>
  <c r="L599" i="2" s="1"/>
  <c r="I807" i="2"/>
  <c r="L807" i="2" s="1"/>
  <c r="I702" i="2"/>
  <c r="L702" i="2" s="1"/>
  <c r="I915" i="2"/>
  <c r="L915" i="2" s="1"/>
  <c r="I839" i="2"/>
  <c r="L839" i="2" s="1"/>
  <c r="I959" i="2"/>
  <c r="L959" i="2" s="1"/>
  <c r="I681" i="2"/>
  <c r="L681" i="2" s="1"/>
  <c r="I530" i="2"/>
  <c r="L530" i="2" s="1"/>
  <c r="I390" i="2"/>
  <c r="L390" i="2" s="1"/>
  <c r="I66" i="2"/>
  <c r="L66" i="2" s="1"/>
  <c r="I588" i="2"/>
  <c r="L588" i="2" s="1"/>
  <c r="I881" i="2"/>
  <c r="L881" i="2" s="1"/>
  <c r="I162" i="2"/>
  <c r="L162" i="2" s="1"/>
  <c r="I730" i="2"/>
  <c r="L730" i="2" s="1"/>
  <c r="I721" i="2"/>
  <c r="L721" i="2" s="1"/>
  <c r="I648" i="2"/>
  <c r="L648" i="2" s="1"/>
  <c r="I454" i="2"/>
  <c r="L454" i="2" s="1"/>
  <c r="I579" i="2"/>
  <c r="L579" i="2" s="1"/>
  <c r="I994" i="2"/>
  <c r="L994" i="2" s="1"/>
  <c r="I854" i="2"/>
  <c r="L854" i="2" s="1"/>
  <c r="I601" i="2"/>
  <c r="L601" i="2" s="1"/>
  <c r="I670" i="2"/>
  <c r="L670" i="2" s="1"/>
  <c r="I902" i="2"/>
  <c r="L902" i="2" s="1"/>
  <c r="I265" i="2"/>
  <c r="L265" i="2" s="1"/>
  <c r="I474" i="2"/>
  <c r="L474" i="2" s="1"/>
  <c r="I624" i="2"/>
  <c r="L624" i="2" s="1"/>
  <c r="I254" i="2"/>
  <c r="L254" i="2" s="1"/>
  <c r="I214" i="2"/>
  <c r="L214" i="2" s="1"/>
  <c r="I836" i="2"/>
  <c r="L836" i="2" s="1"/>
  <c r="I347" i="2"/>
  <c r="L347" i="2" s="1"/>
  <c r="I692" i="2"/>
  <c r="L692" i="2" s="1"/>
  <c r="I192" i="2"/>
  <c r="L192" i="2" s="1"/>
  <c r="I799" i="2"/>
  <c r="L799" i="2" s="1"/>
  <c r="I150" i="2"/>
  <c r="L150" i="2" s="1"/>
  <c r="I694" i="2"/>
  <c r="L694" i="2" s="1"/>
  <c r="I740" i="2"/>
  <c r="L740" i="2" s="1"/>
  <c r="I592" i="2"/>
  <c r="L592" i="2" s="1"/>
  <c r="I594" i="2"/>
  <c r="L594" i="2" s="1"/>
  <c r="I553" i="2"/>
  <c r="L553" i="2" s="1"/>
  <c r="I745" i="2"/>
  <c r="L745" i="2" s="1"/>
  <c r="I404" i="2"/>
  <c r="L404" i="2" s="1"/>
  <c r="I826" i="2"/>
  <c r="L826" i="2" s="1"/>
  <c r="I41" i="2"/>
  <c r="L41" i="2" s="1"/>
  <c r="I30" i="2"/>
  <c r="L30" i="2" s="1"/>
  <c r="I774" i="2"/>
  <c r="L774" i="2" s="1"/>
  <c r="I409" i="2"/>
  <c r="L409" i="2" s="1"/>
  <c r="I123" i="2"/>
  <c r="L123" i="2" s="1"/>
  <c r="I217" i="2"/>
  <c r="L217" i="2" s="1"/>
  <c r="I77" i="2"/>
  <c r="L77" i="2" s="1"/>
  <c r="I502" i="2"/>
  <c r="L502" i="2" s="1"/>
  <c r="I109" i="2"/>
  <c r="L109" i="2" s="1"/>
  <c r="I641" i="2"/>
  <c r="L641" i="2" s="1"/>
  <c r="I48" i="2"/>
  <c r="L48" i="2" s="1"/>
  <c r="I234" i="2"/>
  <c r="L234" i="2" s="1"/>
  <c r="I650" i="2"/>
  <c r="L650" i="2" s="1"/>
  <c r="I842" i="2"/>
  <c r="L842" i="2" s="1"/>
  <c r="I798" i="2"/>
  <c r="L798" i="2" s="1"/>
  <c r="I590" i="2"/>
  <c r="L590" i="2" s="1"/>
  <c r="I948" i="2"/>
  <c r="L948" i="2" s="1"/>
  <c r="I256" i="2"/>
  <c r="L256" i="2" s="1"/>
  <c r="I479" i="2"/>
  <c r="L479" i="2" s="1"/>
  <c r="I33" i="2"/>
  <c r="L33" i="2" s="1"/>
  <c r="I858" i="2"/>
  <c r="L858" i="2" s="1"/>
  <c r="I287" i="2"/>
  <c r="L287" i="2" s="1"/>
  <c r="I238" i="2"/>
  <c r="L238" i="2" s="1"/>
  <c r="I602" i="2"/>
  <c r="L602" i="2" s="1"/>
  <c r="I724" i="2"/>
  <c r="L724" i="2" s="1"/>
  <c r="I71" i="2"/>
  <c r="L71" i="2" s="1"/>
  <c r="I510" i="2"/>
  <c r="L510" i="2" s="1"/>
  <c r="I314" i="2"/>
  <c r="L314" i="2" s="1"/>
  <c r="I576" i="2"/>
  <c r="L576" i="2" s="1"/>
  <c r="I511" i="2"/>
  <c r="L511" i="2" s="1"/>
  <c r="I369" i="2"/>
  <c r="L369" i="2" s="1"/>
  <c r="I639" i="2"/>
  <c r="L639" i="2" s="1"/>
  <c r="I700" i="2"/>
  <c r="L700" i="2" s="1"/>
  <c r="I112" i="2"/>
  <c r="L112" i="2" s="1"/>
  <c r="I905" i="2"/>
  <c r="L905" i="2" s="1"/>
  <c r="I168" i="2"/>
  <c r="L168" i="2" s="1"/>
  <c r="I469" i="2"/>
  <c r="L469" i="2" s="1"/>
  <c r="I928" i="2"/>
  <c r="L928" i="2" s="1"/>
  <c r="I16" i="2"/>
  <c r="L16" i="2" s="1"/>
  <c r="I472" i="2"/>
  <c r="L472" i="2" s="1"/>
  <c r="I777" i="2"/>
  <c r="L777" i="2" s="1"/>
  <c r="I895" i="2"/>
  <c r="L895" i="2" s="1"/>
  <c r="I596" i="2"/>
  <c r="L596" i="2" s="1"/>
  <c r="I477" i="2"/>
  <c r="L477" i="2" s="1"/>
  <c r="I940" i="2"/>
  <c r="L940" i="2" s="1"/>
  <c r="I206" i="2"/>
  <c r="L206" i="2" s="1"/>
  <c r="I860" i="2"/>
  <c r="L860" i="2" s="1"/>
  <c r="I698" i="2"/>
  <c r="L698" i="2" s="1"/>
  <c r="I831" i="2"/>
  <c r="L831" i="2" s="1"/>
  <c r="I374" i="2"/>
  <c r="L374" i="2" s="1"/>
  <c r="I47" i="2"/>
  <c r="L47" i="2" s="1"/>
  <c r="I676" i="2"/>
  <c r="L676" i="2" s="1"/>
  <c r="I771" i="2"/>
  <c r="L771" i="2" s="1"/>
  <c r="I661" i="2"/>
  <c r="L661" i="2" s="1"/>
  <c r="I198" i="2"/>
  <c r="L198" i="2" s="1"/>
  <c r="I685" i="2"/>
  <c r="L685" i="2" s="1"/>
  <c r="I909" i="2"/>
  <c r="L909" i="2" s="1"/>
  <c r="I338" i="2"/>
  <c r="L338" i="2" s="1"/>
  <c r="I550" i="2"/>
  <c r="L550" i="2" s="1"/>
  <c r="I585" i="2"/>
  <c r="L585" i="2" s="1"/>
  <c r="I616" i="2"/>
  <c r="L616" i="2" s="1"/>
  <c r="I441" i="2"/>
  <c r="L441" i="2" s="1"/>
  <c r="I149" i="2"/>
  <c r="L149" i="2" s="1"/>
  <c r="I493" i="2"/>
  <c r="L493" i="2" s="1"/>
  <c r="I554" i="2"/>
  <c r="L554" i="2" s="1"/>
  <c r="I125" i="2"/>
  <c r="L125" i="2" s="1"/>
  <c r="I717" i="2"/>
  <c r="L717" i="2" s="1"/>
  <c r="I466" i="2"/>
  <c r="L466" i="2" s="1"/>
  <c r="I53" i="2"/>
  <c r="L53" i="2" s="1"/>
  <c r="I18" i="2"/>
  <c r="L18" i="2" s="1"/>
  <c r="I121" i="2"/>
  <c r="L121" i="2" s="1"/>
  <c r="I501" i="2"/>
  <c r="L501" i="2" s="1"/>
  <c r="I886" i="2"/>
  <c r="L886" i="2" s="1"/>
  <c r="I283" i="2"/>
  <c r="L283" i="2" s="1"/>
  <c r="I593" i="2"/>
  <c r="L593" i="2" s="1"/>
  <c r="I803" i="2"/>
  <c r="L803" i="2" s="1"/>
  <c r="I294" i="2"/>
  <c r="L294" i="2" s="1"/>
  <c r="I625" i="2"/>
  <c r="L625" i="2" s="1"/>
  <c r="I231" i="2"/>
  <c r="L231" i="2" s="1"/>
  <c r="I90" i="2"/>
  <c r="L90" i="2" s="1"/>
  <c r="I279" i="2"/>
  <c r="L279" i="2" s="1"/>
  <c r="I114" i="2"/>
  <c r="L114" i="2" s="1"/>
  <c r="I345" i="2"/>
  <c r="L345" i="2" s="1"/>
  <c r="I31" i="2"/>
  <c r="L31" i="2" s="1"/>
  <c r="I51" i="2"/>
  <c r="L51" i="2" s="1"/>
  <c r="I946" i="2"/>
  <c r="L946" i="2" s="1"/>
  <c r="I368" i="2"/>
  <c r="L368" i="2" s="1"/>
  <c r="I898" i="2"/>
  <c r="L898" i="2" s="1"/>
  <c r="I827" i="2"/>
  <c r="L827" i="2" s="1"/>
  <c r="I255" i="2"/>
  <c r="L255" i="2" s="1"/>
  <c r="I825" i="2"/>
  <c r="L825" i="2" s="1"/>
  <c r="I703" i="2"/>
  <c r="L703" i="2" s="1"/>
  <c r="I69" i="2"/>
  <c r="L69" i="2" s="1"/>
  <c r="I904" i="2"/>
  <c r="L904" i="2" s="1"/>
  <c r="I173" i="2"/>
  <c r="L173" i="2" s="1"/>
  <c r="I250" i="2"/>
  <c r="L250" i="2" s="1"/>
  <c r="I644" i="2"/>
  <c r="L644" i="2" s="1"/>
  <c r="I143" i="2"/>
  <c r="L143" i="2" s="1"/>
  <c r="I470" i="2"/>
  <c r="L470" i="2" s="1"/>
  <c r="I653" i="2"/>
  <c r="L653" i="2" s="1"/>
  <c r="I880" i="2"/>
  <c r="L880" i="2" s="1"/>
  <c r="I622" i="2"/>
  <c r="L622" i="2" s="1"/>
  <c r="I284" i="2"/>
  <c r="L284" i="2" s="1"/>
  <c r="I201" i="2"/>
  <c r="L201" i="2" s="1"/>
  <c r="I461" i="2"/>
  <c r="L461" i="2" s="1"/>
  <c r="I578" i="2"/>
  <c r="L578" i="2" s="1"/>
  <c r="I476" i="2"/>
  <c r="L476" i="2" s="1"/>
  <c r="I744" i="2"/>
  <c r="L744" i="2" s="1"/>
  <c r="I308" i="2"/>
  <c r="L308" i="2" s="1"/>
  <c r="I896" i="2"/>
  <c r="L896" i="2" s="1"/>
  <c r="I988" i="2"/>
  <c r="L988" i="2" s="1"/>
  <c r="I359" i="2"/>
  <c r="L359" i="2" s="1"/>
  <c r="I435" i="2"/>
  <c r="L435" i="2" s="1"/>
  <c r="I103" i="2"/>
  <c r="L103" i="2" s="1"/>
  <c r="I950" i="2"/>
  <c r="L950" i="2" s="1"/>
  <c r="I657" i="2"/>
  <c r="L657" i="2" s="1"/>
  <c r="I376" i="2"/>
  <c r="L376" i="2" s="1"/>
  <c r="I503" i="2"/>
  <c r="L503" i="2" s="1"/>
  <c r="I406" i="2"/>
  <c r="L406" i="2" s="1"/>
  <c r="I772" i="2"/>
  <c r="L772" i="2" s="1"/>
  <c r="I789" i="2"/>
  <c r="L789" i="2" s="1"/>
  <c r="I485" i="2"/>
  <c r="L485" i="2" s="1"/>
  <c r="I183" i="2"/>
  <c r="L183" i="2" s="1"/>
  <c r="I544" i="2"/>
  <c r="L544" i="2" s="1"/>
  <c r="I161" i="2"/>
  <c r="L161" i="2" s="1"/>
  <c r="I987" i="2"/>
  <c r="L987" i="2" s="1"/>
  <c r="I528" i="2"/>
  <c r="L528" i="2" s="1"/>
  <c r="I233" i="2"/>
  <c r="L233" i="2" s="1"/>
  <c r="I301" i="2"/>
  <c r="L301" i="2" s="1"/>
  <c r="I420" i="2"/>
  <c r="L420" i="2" s="1"/>
  <c r="I589" i="2"/>
  <c r="L589" i="2" s="1"/>
  <c r="I960" i="2"/>
  <c r="L960" i="2" s="1"/>
  <c r="I397" i="2"/>
  <c r="L397" i="2" s="1"/>
  <c r="I260" i="2"/>
  <c r="L260" i="2" s="1"/>
  <c r="I855" i="2"/>
  <c r="L855" i="2" s="1"/>
  <c r="I711" i="2"/>
  <c r="L711" i="2" s="1"/>
  <c r="I551" i="2"/>
  <c r="L551" i="2" s="1"/>
  <c r="I332" i="2"/>
  <c r="L332" i="2" s="1"/>
  <c r="I984" i="2"/>
  <c r="L984" i="2" s="1"/>
  <c r="I660" i="2"/>
  <c r="L660" i="2" s="1"/>
  <c r="I349" i="2"/>
  <c r="L349" i="2" s="1"/>
  <c r="I185" i="2"/>
  <c r="L185" i="2" s="1"/>
  <c r="I848" i="2"/>
  <c r="L848" i="2" s="1"/>
  <c r="I339" i="2"/>
  <c r="L339" i="2" s="1"/>
  <c r="I175" i="2"/>
  <c r="L175" i="2" s="1"/>
  <c r="I84" i="2"/>
  <c r="L84" i="2" s="1"/>
  <c r="I76" i="2"/>
  <c r="L76" i="2" s="1"/>
  <c r="I356" i="2"/>
  <c r="L356" i="2" s="1"/>
  <c r="I621" i="2"/>
  <c r="L621" i="2" s="1"/>
  <c r="I83" i="2"/>
  <c r="L83" i="2" s="1"/>
  <c r="I669" i="2"/>
  <c r="L669" i="2" s="1"/>
  <c r="I943" i="2"/>
  <c r="L943" i="2" s="1"/>
  <c r="I793" i="2"/>
  <c r="L793" i="2" s="1"/>
  <c r="I188" i="2"/>
  <c r="L188" i="2" s="1"/>
  <c r="I166" i="2"/>
  <c r="L166" i="2" s="1"/>
  <c r="I364" i="2"/>
  <c r="L364" i="2" s="1"/>
  <c r="I838" i="2"/>
  <c r="L838" i="2" s="1"/>
  <c r="I98" i="2"/>
  <c r="L98" i="2" s="1"/>
  <c r="I870" i="2"/>
  <c r="L870" i="2" s="1"/>
  <c r="I451" i="2"/>
  <c r="L451" i="2" s="1"/>
  <c r="I598" i="2"/>
  <c r="L598" i="2" s="1"/>
  <c r="I916" i="2"/>
  <c r="L916" i="2" s="1"/>
  <c r="I361" i="2"/>
  <c r="L361" i="2" s="1"/>
  <c r="I363" i="2"/>
  <c r="L363" i="2" s="1"/>
  <c r="I568" i="2"/>
  <c r="L568" i="2" s="1"/>
  <c r="I220" i="2"/>
  <c r="L220" i="2" s="1"/>
  <c r="I118" i="2"/>
  <c r="L118" i="2" s="1"/>
  <c r="I780" i="2"/>
  <c r="L780" i="2" s="1"/>
  <c r="I228" i="2"/>
  <c r="L228" i="2" s="1"/>
  <c r="I997" i="2"/>
  <c r="L997" i="2" s="1"/>
  <c r="I877" i="2"/>
  <c r="L877" i="2" s="1"/>
  <c r="I195" i="2"/>
  <c r="L195" i="2" s="1"/>
  <c r="I60" i="2"/>
  <c r="L60" i="2" s="1"/>
  <c r="I240" i="2"/>
  <c r="L240" i="2" s="1"/>
  <c r="I151" i="2"/>
  <c r="L151" i="2" s="1"/>
  <c r="I86" i="2"/>
  <c r="L86" i="2" s="1"/>
  <c r="I176" i="2"/>
  <c r="L176" i="2" s="1"/>
  <c r="I428" i="2"/>
  <c r="L428" i="2" s="1"/>
  <c r="I738" i="2"/>
  <c r="L738" i="2" s="1"/>
  <c r="I580" i="2"/>
  <c r="L580" i="2" s="1"/>
  <c r="I604" i="2"/>
  <c r="L604" i="2" s="1"/>
  <c r="I358" i="2"/>
  <c r="L358" i="2" s="1"/>
  <c r="I459" i="2"/>
  <c r="L459" i="2" s="1"/>
  <c r="I712" i="2"/>
  <c r="L712" i="2" s="1"/>
  <c r="I408" i="2"/>
  <c r="L408" i="2" s="1"/>
  <c r="I864" i="2"/>
  <c r="L864" i="2" s="1"/>
  <c r="I464" i="2"/>
  <c r="L464" i="2" s="1"/>
  <c r="I732" i="2"/>
  <c r="L732" i="2" s="1"/>
  <c r="I225" i="2"/>
  <c r="L225" i="2" s="1"/>
  <c r="I521" i="2"/>
  <c r="L521" i="2" s="1"/>
  <c r="I729" i="2"/>
  <c r="L729" i="2" s="1"/>
  <c r="I942" i="2"/>
  <c r="L942" i="2" s="1"/>
  <c r="I658" i="2"/>
  <c r="L658" i="2" s="1"/>
  <c r="I600" i="2"/>
  <c r="L600" i="2" s="1"/>
  <c r="I992" i="2"/>
  <c r="L992" i="2" s="1"/>
  <c r="I100" i="2"/>
  <c r="L100" i="2" s="1"/>
  <c r="I972" i="2"/>
  <c r="L972" i="2" s="1"/>
  <c r="I747" i="2"/>
  <c r="L747" i="2" s="1"/>
  <c r="I488" i="2"/>
  <c r="L488" i="2" s="1"/>
  <c r="I559" i="2"/>
  <c r="L559" i="2" s="1"/>
  <c r="I239" i="2"/>
  <c r="L239" i="2" s="1"/>
  <c r="I925" i="2"/>
  <c r="L925" i="2" s="1"/>
  <c r="I769" i="2"/>
  <c r="L769" i="2" s="1"/>
  <c r="I722" i="2"/>
  <c r="L722" i="2" s="1"/>
  <c r="I565" i="2"/>
  <c r="L565" i="2" s="1"/>
  <c r="I866" i="2"/>
  <c r="L866" i="2" s="1"/>
  <c r="I64" i="2"/>
  <c r="L64" i="2" s="1"/>
  <c r="I449" i="2"/>
  <c r="L449" i="2" s="1"/>
  <c r="I274" i="2"/>
  <c r="L274" i="2" s="1"/>
  <c r="I128" i="2"/>
  <c r="L128" i="2" s="1"/>
  <c r="I305" i="2"/>
  <c r="L305" i="2" s="1"/>
  <c r="I522" i="2"/>
  <c r="L522" i="2" s="1"/>
  <c r="I814" i="2"/>
  <c r="L814" i="2" s="1"/>
  <c r="I707" i="2"/>
  <c r="L707" i="2" s="1"/>
  <c r="I571" i="2"/>
  <c r="L571" i="2" s="1"/>
  <c r="I853" i="2"/>
  <c r="L853" i="2" s="1"/>
  <c r="I889" i="2"/>
  <c r="L889" i="2" s="1"/>
  <c r="I899" i="2"/>
  <c r="L899" i="2" s="1"/>
  <c r="I615" i="2"/>
  <c r="L615" i="2" s="1"/>
  <c r="I227" i="2"/>
  <c r="L227" i="2" s="1"/>
  <c r="I696" i="2"/>
  <c r="L696" i="2" s="1"/>
  <c r="I402" i="2"/>
  <c r="L402" i="2" s="1"/>
  <c r="I506" i="2"/>
  <c r="L506" i="2" s="1"/>
  <c r="I835" i="2"/>
  <c r="L835" i="2" s="1"/>
  <c r="I733" i="2"/>
  <c r="L733" i="2" s="1"/>
  <c r="I876" i="2"/>
  <c r="L876" i="2" s="1"/>
  <c r="I844" i="2"/>
  <c r="L844" i="2" s="1"/>
  <c r="I458" i="2"/>
  <c r="L458" i="2" s="1"/>
  <c r="I210" i="2"/>
  <c r="L210" i="2" s="1"/>
  <c r="I40" i="2"/>
  <c r="L40" i="2" s="1"/>
  <c r="I632" i="2"/>
  <c r="L632" i="2" s="1"/>
  <c r="I1011" i="2"/>
  <c r="L1011" i="2" s="1"/>
  <c r="I430" i="2"/>
  <c r="L430" i="2" s="1"/>
  <c r="I1003" i="2"/>
  <c r="L1003" i="2" s="1"/>
  <c r="I515" i="2"/>
  <c r="L515" i="2" s="1"/>
  <c r="I244" i="2"/>
  <c r="L244" i="2" s="1"/>
  <c r="I133" i="2"/>
  <c r="L133" i="2" s="1"/>
  <c r="I366" i="2"/>
  <c r="L366" i="2" s="1"/>
  <c r="I130" i="2"/>
  <c r="L130" i="2" s="1"/>
  <c r="I26" i="2"/>
  <c r="L26" i="2" s="1"/>
  <c r="I377" i="2"/>
  <c r="L377" i="2" s="1"/>
  <c r="I765" i="2"/>
  <c r="L765" i="2" s="1"/>
  <c r="I23" i="2"/>
  <c r="L23" i="2" s="1"/>
  <c r="I792" i="2"/>
  <c r="L792" i="2" s="1"/>
  <c r="I381" i="2"/>
  <c r="L381" i="2" s="1"/>
  <c r="I934" i="2"/>
  <c r="L934" i="2" s="1"/>
  <c r="I20" i="2"/>
  <c r="L20" i="2" s="1"/>
  <c r="I924" i="2"/>
  <c r="L924" i="2" s="1"/>
  <c r="I656" i="2"/>
  <c r="L656" i="2" s="1"/>
  <c r="I396" i="2"/>
  <c r="L396" i="2" s="1"/>
  <c r="I849" i="2"/>
  <c r="L849" i="2" s="1"/>
  <c r="I868" i="2"/>
  <c r="L868" i="2" s="1"/>
  <c r="I496" i="2"/>
  <c r="L496" i="2" s="1"/>
  <c r="I45" i="2"/>
  <c r="L45" i="2" s="1"/>
  <c r="I531" i="2"/>
  <c r="L531" i="2" s="1"/>
  <c r="I447" i="2"/>
  <c r="L447" i="2" s="1"/>
  <c r="I54" i="2"/>
  <c r="L54" i="2" s="1"/>
  <c r="I871" i="2"/>
  <c r="L871" i="2" s="1"/>
  <c r="I129" i="2"/>
  <c r="L129" i="2" s="1"/>
  <c r="I299" i="2"/>
  <c r="L299" i="2" s="1"/>
  <c r="I439" i="2"/>
  <c r="L439" i="2" s="1"/>
  <c r="I37" i="2"/>
  <c r="L37" i="2" s="1"/>
  <c r="I977" i="2"/>
  <c r="L977" i="2" s="1"/>
  <c r="I468" i="2"/>
  <c r="L468" i="2" s="1"/>
  <c r="I246" i="2"/>
  <c r="L246" i="2" s="1"/>
  <c r="I897" i="2"/>
  <c r="L897" i="2" s="1"/>
  <c r="I519" i="2"/>
  <c r="L519" i="2" s="1"/>
  <c r="I490" i="2"/>
  <c r="L490" i="2" s="1"/>
  <c r="I547" i="2"/>
  <c r="L547" i="2" s="1"/>
  <c r="I152" i="2"/>
  <c r="L152" i="2" s="1"/>
  <c r="I132" i="2"/>
  <c r="L132" i="2" s="1"/>
  <c r="I323" i="2"/>
  <c r="L323" i="2" s="1"/>
  <c r="I710" i="2"/>
  <c r="L710" i="2" s="1"/>
  <c r="I938" i="2"/>
  <c r="L938" i="2" s="1"/>
  <c r="I401" i="2"/>
  <c r="L401" i="2" s="1"/>
  <c r="I785" i="2"/>
  <c r="L785" i="2" s="1"/>
  <c r="I155" i="2"/>
  <c r="L155" i="2" s="1"/>
  <c r="I475" i="2"/>
  <c r="L475" i="2" s="1"/>
  <c r="I846" i="2"/>
  <c r="L846" i="2" s="1"/>
  <c r="I352" i="2"/>
  <c r="L352" i="2" s="1"/>
  <c r="I555" i="2"/>
  <c r="L555" i="2" s="1"/>
  <c r="I614" i="2"/>
  <c r="L614" i="2" s="1"/>
  <c r="I504" i="2"/>
  <c r="L504" i="2" s="1"/>
  <c r="I677" i="2"/>
  <c r="L677" i="2" s="1"/>
  <c r="I982" i="2"/>
  <c r="L982" i="2" s="1"/>
  <c r="I135" i="2"/>
  <c r="L135" i="2" s="1"/>
  <c r="I42" i="2"/>
  <c r="L42" i="2" s="1"/>
  <c r="I756" i="2"/>
  <c r="L756" i="2" s="1"/>
  <c r="I693" i="2"/>
  <c r="L693" i="2" s="1"/>
  <c r="I697" i="2"/>
  <c r="L697" i="2" s="1"/>
  <c r="I232" i="2"/>
  <c r="L232" i="2" s="1"/>
  <c r="I471" i="2"/>
  <c r="L471" i="2" s="1"/>
  <c r="I820" i="2"/>
  <c r="L820" i="2" s="1"/>
  <c r="I817" i="2"/>
  <c r="L817" i="2" s="1"/>
  <c r="I207" i="2"/>
  <c r="L207" i="2" s="1"/>
  <c r="I196" i="2"/>
  <c r="L196" i="2" s="1"/>
  <c r="I800" i="2"/>
  <c r="L800" i="2" s="1"/>
  <c r="I560" i="2"/>
  <c r="L560" i="2" s="1"/>
  <c r="I437" i="2"/>
  <c r="L437" i="2" s="1"/>
  <c r="I541" i="2"/>
  <c r="L541" i="2" s="1"/>
  <c r="I558" i="2"/>
  <c r="L558" i="2" s="1"/>
  <c r="I893" i="2"/>
  <c r="L893" i="2" s="1"/>
  <c r="I372" i="2"/>
  <c r="L372" i="2" s="1"/>
  <c r="I751" i="2"/>
  <c r="L751" i="2" s="1"/>
  <c r="I762" i="2"/>
  <c r="L762" i="2" s="1"/>
  <c r="I127" i="2"/>
  <c r="L127" i="2" s="1"/>
  <c r="I795" i="2"/>
  <c r="L795" i="2" s="1"/>
  <c r="I158" i="2"/>
  <c r="L158" i="2" s="1"/>
  <c r="I62" i="2"/>
  <c r="L62" i="2" s="1"/>
  <c r="I462" i="2"/>
  <c r="L462" i="2" s="1"/>
  <c r="I758" i="2"/>
  <c r="L758" i="2" s="1"/>
  <c r="I517" i="2"/>
  <c r="L517" i="2" s="1"/>
  <c r="I215" i="2"/>
  <c r="L215" i="2" s="1"/>
  <c r="I343" i="2"/>
  <c r="L343" i="2" s="1"/>
  <c r="I810" i="2"/>
  <c r="L810" i="2" s="1"/>
  <c r="I108" i="2"/>
  <c r="L108" i="2" s="1"/>
  <c r="I808" i="2"/>
  <c r="L808" i="2" s="1"/>
  <c r="I212" i="2"/>
  <c r="L212" i="2" s="1"/>
  <c r="I321" i="2"/>
  <c r="L321" i="2" s="1"/>
  <c r="I131" i="2"/>
  <c r="L131" i="2" s="1"/>
  <c r="I926" i="2"/>
  <c r="L926" i="2" s="1"/>
  <c r="I667" i="2"/>
  <c r="L667" i="2" s="1"/>
  <c r="I202" i="2"/>
  <c r="L202" i="2" s="1"/>
  <c r="I480" i="2"/>
  <c r="L480" i="2" s="1"/>
  <c r="I330" i="2"/>
  <c r="L330" i="2" s="1"/>
  <c r="I334" i="2"/>
  <c r="L334" i="2" s="1"/>
  <c r="I691" i="2"/>
  <c r="L691" i="2" s="1"/>
  <c r="I482" i="2"/>
  <c r="L482" i="2" s="1"/>
  <c r="I429" i="2"/>
  <c r="L429" i="2" s="1"/>
  <c r="I964" i="2"/>
  <c r="L964" i="2" s="1"/>
  <c r="I489" i="2"/>
  <c r="L489" i="2" s="1"/>
  <c r="I535" i="2"/>
  <c r="L535" i="2" s="1"/>
  <c r="I392" i="2"/>
  <c r="L392" i="2" s="1"/>
  <c r="I177" i="2"/>
  <c r="L177" i="2" s="1"/>
  <c r="I342" i="2"/>
  <c r="L342" i="2" s="1"/>
  <c r="I113" i="2"/>
  <c r="L113" i="2" s="1"/>
  <c r="I912" i="2"/>
  <c r="L912" i="2" s="1"/>
  <c r="I892" i="2"/>
  <c r="L892" i="2" s="1"/>
  <c r="I618" i="2"/>
  <c r="L618" i="2" s="1"/>
  <c r="I649" i="2"/>
  <c r="L649" i="2" s="1"/>
  <c r="I967" i="2"/>
  <c r="L967" i="2" s="1"/>
  <c r="I516" i="2"/>
  <c r="L516" i="2" s="1"/>
  <c r="I241" i="2"/>
  <c r="L241" i="2" s="1"/>
  <c r="I679" i="2"/>
  <c r="L679" i="2" s="1"/>
  <c r="I752" i="2"/>
  <c r="L752" i="2" s="1"/>
  <c r="I933" i="2"/>
  <c r="L933" i="2" s="1"/>
  <c r="I499" i="2"/>
  <c r="L499" i="2" s="1"/>
  <c r="I910" i="2"/>
  <c r="L910" i="2" s="1"/>
  <c r="I686" i="2"/>
  <c r="L686" i="2" s="1"/>
  <c r="I27" i="2"/>
  <c r="L27" i="2" s="1"/>
  <c r="I818" i="2"/>
  <c r="L818" i="2" s="1"/>
  <c r="I901" i="2"/>
  <c r="L901" i="2" s="1"/>
  <c r="I455" i="2"/>
  <c r="L455" i="2" s="1"/>
  <c r="I1005" i="2"/>
  <c r="L1005" i="2" s="1"/>
  <c r="I674" i="2"/>
  <c r="L674" i="2" s="1"/>
  <c r="I63" i="2"/>
  <c r="L63" i="2" s="1"/>
  <c r="I859" i="2"/>
  <c r="L859" i="2" s="1"/>
  <c r="I582" i="2"/>
  <c r="L582" i="2" s="1"/>
  <c r="I367" i="2"/>
  <c r="L367" i="2" s="1"/>
  <c r="I81" i="2"/>
  <c r="L81" i="2" s="1"/>
  <c r="I962" i="2"/>
  <c r="L962" i="2" s="1"/>
  <c r="I965" i="2"/>
  <c r="L965" i="2" s="1"/>
  <c r="I236" i="2"/>
  <c r="L236" i="2" s="1"/>
  <c r="I80" i="2"/>
  <c r="L80" i="2" s="1"/>
  <c r="I178" i="2"/>
  <c r="L178" i="2" s="1"/>
  <c r="I266" i="2"/>
  <c r="L266" i="2" s="1"/>
  <c r="I978" i="2"/>
  <c r="L978" i="2" s="1"/>
  <c r="I119" i="2"/>
  <c r="L119" i="2" s="1"/>
  <c r="I261" i="2"/>
  <c r="L261" i="2" s="1"/>
  <c r="I293" i="2"/>
  <c r="L293" i="2" s="1"/>
  <c r="I906" i="2"/>
  <c r="L906" i="2" s="1"/>
  <c r="I683" i="2"/>
  <c r="L683" i="2" s="1"/>
  <c r="I713" i="2"/>
  <c r="L713" i="2" s="1"/>
  <c r="I861" i="2"/>
  <c r="L861" i="2" s="1"/>
  <c r="I636" i="2"/>
  <c r="L636" i="2" s="1"/>
  <c r="I344" i="2"/>
  <c r="L344" i="2" s="1"/>
  <c r="I778" i="2"/>
  <c r="L778" i="2" s="1"/>
  <c r="I832" i="2"/>
  <c r="L832" i="2" s="1"/>
  <c r="I169" i="2"/>
  <c r="L169" i="2" s="1"/>
  <c r="I715" i="2"/>
  <c r="L715" i="2" s="1"/>
  <c r="I249" i="2"/>
  <c r="L249" i="2" s="1"/>
  <c r="I543" i="2"/>
  <c r="L543" i="2" s="1"/>
  <c r="I106" i="2"/>
  <c r="L106" i="2" s="1"/>
  <c r="I230" i="2"/>
  <c r="L230" i="2" s="1"/>
  <c r="I930" i="2"/>
  <c r="L930" i="2" s="1"/>
  <c r="I643" i="2"/>
  <c r="L643" i="2" s="1"/>
  <c r="I612" i="2"/>
  <c r="L612" i="2" s="1"/>
  <c r="I627" i="2"/>
  <c r="L627" i="2" s="1"/>
  <c r="I355" i="2"/>
  <c r="L355" i="2" s="1"/>
  <c r="I19" i="2"/>
  <c r="L19" i="2" s="1"/>
  <c r="I673" i="2"/>
  <c r="L673" i="2" s="1"/>
  <c r="I824" i="2"/>
  <c r="L824" i="2" s="1"/>
  <c r="I35" i="2"/>
  <c r="L35" i="2" s="1"/>
  <c r="I204" i="2"/>
  <c r="L204" i="2" s="1"/>
  <c r="I548" i="2"/>
  <c r="L548" i="2" s="1"/>
  <c r="I297" i="2"/>
  <c r="L297" i="2" s="1"/>
  <c r="I931" i="2"/>
  <c r="L931" i="2" s="1"/>
  <c r="I706" i="2"/>
  <c r="L706" i="2" s="1"/>
  <c r="I645" i="2"/>
  <c r="L645" i="2" s="1"/>
  <c r="I739" i="2"/>
  <c r="L739" i="2" s="1"/>
  <c r="I887" i="2"/>
  <c r="L887" i="2" s="1"/>
  <c r="I862" i="2"/>
  <c r="L862" i="2" s="1"/>
  <c r="I79" i="2"/>
  <c r="L79" i="2" s="1"/>
  <c r="I36" i="2"/>
  <c r="L36" i="2" s="1"/>
  <c r="I945" i="2"/>
  <c r="L945" i="2" s="1"/>
  <c r="I611" i="2"/>
  <c r="L611" i="2" s="1"/>
  <c r="I142" i="2"/>
  <c r="L142" i="2" s="1"/>
  <c r="I996" i="2"/>
  <c r="L996" i="2" s="1"/>
  <c r="I285" i="2"/>
  <c r="L285" i="2" s="1"/>
  <c r="I979" i="2"/>
  <c r="L979" i="2" s="1"/>
  <c r="I453" i="2"/>
  <c r="L453" i="2" s="1"/>
  <c r="I96" i="2"/>
  <c r="L96" i="2" s="1"/>
  <c r="I295" i="2"/>
  <c r="L295" i="2" s="1"/>
  <c r="I822" i="2"/>
  <c r="L822" i="2" s="1"/>
  <c r="I524" i="2"/>
  <c r="L524" i="2" s="1"/>
  <c r="I764" i="2"/>
  <c r="L764" i="2" s="1"/>
  <c r="I628" i="2"/>
  <c r="L628" i="2" s="1"/>
  <c r="I120" i="2"/>
  <c r="L120" i="2" s="1"/>
  <c r="I137" i="2"/>
  <c r="L137" i="2" s="1"/>
  <c r="I433" i="2"/>
  <c r="L433" i="2" s="1"/>
  <c r="I286" i="2"/>
  <c r="L286" i="2" s="1"/>
  <c r="I809" i="2"/>
  <c r="L809" i="2" s="1"/>
  <c r="I184" i="2"/>
  <c r="L184" i="2" s="1"/>
  <c r="I538" i="2"/>
  <c r="L538" i="2" s="1"/>
  <c r="I394" i="2"/>
  <c r="L394" i="2" s="1"/>
  <c r="I221" i="2"/>
  <c r="L221" i="2" s="1"/>
  <c r="I247" i="2"/>
  <c r="L247" i="2" s="1"/>
  <c r="I171" i="2"/>
  <c r="L171" i="2" s="1"/>
  <c r="I144" i="2"/>
  <c r="L144" i="2" s="1"/>
  <c r="I850" i="2"/>
  <c r="L850" i="2" s="1"/>
  <c r="I878" i="2"/>
  <c r="L878" i="2" s="1"/>
  <c r="I980" i="2"/>
  <c r="L980" i="2" s="1"/>
  <c r="I141" i="2"/>
  <c r="L141" i="2" s="1"/>
  <c r="I329" i="2"/>
  <c r="L329" i="2" s="1"/>
  <c r="I995" i="2"/>
  <c r="L995" i="2" s="1"/>
  <c r="I354" i="2"/>
  <c r="L354" i="2" s="1"/>
  <c r="I920" i="2"/>
  <c r="L920" i="2" s="1"/>
  <c r="I705" i="2"/>
  <c r="L705" i="2" s="1"/>
  <c r="I136" i="2"/>
  <c r="L136" i="2" s="1"/>
  <c r="I514" i="2"/>
  <c r="L514" i="2" s="1"/>
  <c r="I182" i="2"/>
  <c r="L182" i="2" s="1"/>
  <c r="I575" i="2"/>
  <c r="L575" i="2" s="1"/>
  <c r="I542" i="2"/>
  <c r="L542" i="2" s="1"/>
  <c r="I58" i="2"/>
  <c r="L58" i="2" s="1"/>
  <c r="I637" i="2"/>
  <c r="L637" i="2" s="1"/>
  <c r="I418" i="2"/>
  <c r="L418" i="2" s="1"/>
  <c r="I280" i="2"/>
  <c r="L280" i="2" s="1"/>
  <c r="I443" i="2"/>
  <c r="L443" i="2" s="1"/>
  <c r="I566" i="2"/>
  <c r="L566" i="2" s="1"/>
  <c r="I776" i="2"/>
  <c r="L776" i="2" s="1"/>
  <c r="I327" i="2"/>
  <c r="L327" i="2" s="1"/>
  <c r="I917" i="2"/>
  <c r="L917" i="2" s="1"/>
  <c r="I750" i="2"/>
  <c r="L750" i="2" s="1"/>
  <c r="I630" i="2"/>
  <c r="L630" i="2" s="1"/>
  <c r="I306" i="2"/>
  <c r="L306" i="2" s="1"/>
  <c r="I318" i="2"/>
  <c r="L318" i="2" s="1"/>
  <c r="I951" i="2"/>
  <c r="L951" i="2" s="1"/>
  <c r="I209" i="2"/>
  <c r="L209" i="2" s="1"/>
  <c r="I958" i="2"/>
  <c r="L958" i="2" s="1"/>
  <c r="I932" i="2"/>
  <c r="L932" i="2" s="1"/>
  <c r="I95" i="2"/>
  <c r="L95" i="2" s="1"/>
  <c r="I273" i="2"/>
  <c r="L273" i="2" s="1"/>
  <c r="I753" i="2"/>
  <c r="L753" i="2" s="1"/>
  <c r="I326" i="2"/>
  <c r="L326" i="2" s="1"/>
  <c r="I335" i="2"/>
  <c r="L335" i="2" s="1"/>
  <c r="I688" i="2"/>
  <c r="L688" i="2" s="1"/>
  <c r="I508" i="2"/>
  <c r="L508" i="2" s="1"/>
  <c r="I302" i="2"/>
  <c r="L302" i="2" s="1"/>
  <c r="I527" i="2"/>
  <c r="L527" i="2" s="1"/>
  <c r="I277" i="2"/>
  <c r="L277" i="2" s="1"/>
  <c r="I165" i="2"/>
  <c r="L165" i="2" s="1"/>
  <c r="I841" i="2"/>
  <c r="L841" i="2" s="1"/>
  <c r="I292" i="2"/>
  <c r="L292" i="2" s="1"/>
  <c r="I410" i="2"/>
  <c r="L410" i="2" s="1"/>
  <c r="I186" i="2"/>
  <c r="L186" i="2" s="1"/>
  <c r="I1010" i="2"/>
  <c r="L1010" i="2" s="1"/>
  <c r="I768" i="2"/>
  <c r="L768" i="2" s="1"/>
  <c r="I665" i="2"/>
  <c r="L665" i="2" s="1"/>
  <c r="I812" i="2"/>
  <c r="L812" i="2" s="1"/>
  <c r="I748" i="2"/>
  <c r="L748" i="2" s="1"/>
  <c r="I375" i="2"/>
  <c r="L375" i="2" s="1"/>
  <c r="I317" i="2"/>
  <c r="L317" i="2" s="1"/>
  <c r="I936" i="2"/>
  <c r="L936" i="2" s="1"/>
  <c r="I22" i="2"/>
  <c r="L22" i="2" s="1"/>
  <c r="I577" i="2"/>
  <c r="L577" i="2" s="1"/>
  <c r="I336" i="2"/>
  <c r="L336" i="2" s="1"/>
  <c r="I309" i="2"/>
  <c r="L309" i="2" s="1"/>
  <c r="I56" i="2"/>
  <c r="L56" i="2" s="1"/>
  <c r="I783" i="2"/>
  <c r="L783" i="2" s="1"/>
  <c r="I1000" i="2"/>
  <c r="L1000" i="2" s="1"/>
  <c r="I312" i="2"/>
  <c r="L312" i="2" s="1"/>
  <c r="I180" i="2"/>
  <c r="L180" i="2" s="1"/>
  <c r="I325" i="2"/>
  <c r="L325" i="2" s="1"/>
  <c r="I272" i="2"/>
  <c r="L272" i="2" s="1"/>
  <c r="I923" i="2"/>
  <c r="L923" i="2" s="1"/>
  <c r="I55" i="2"/>
  <c r="L55" i="2" s="1"/>
  <c r="I399" i="2"/>
  <c r="L399" i="2" s="1"/>
  <c r="I1006" i="2"/>
  <c r="L1006" i="2" s="1"/>
  <c r="I229" i="2"/>
  <c r="L229" i="2" s="1"/>
  <c r="I324" i="2"/>
  <c r="L324" i="2" s="1"/>
  <c r="I655" i="2"/>
  <c r="L655" i="2" s="1"/>
  <c r="I400" i="2"/>
  <c r="L400" i="2" s="1"/>
  <c r="I197" i="2"/>
  <c r="L197" i="2" s="1"/>
  <c r="I678" i="2"/>
  <c r="L678" i="2" s="1"/>
  <c r="I270" i="2"/>
  <c r="L270" i="2" s="1"/>
  <c r="I267" i="2"/>
  <c r="L267" i="2" s="1"/>
  <c r="I609" i="2"/>
  <c r="L609" i="2" s="1"/>
  <c r="I147" i="2"/>
  <c r="L147" i="2" s="1"/>
  <c r="I779" i="2"/>
  <c r="L779" i="2" s="1"/>
  <c r="I219" i="2"/>
  <c r="L219" i="2" s="1"/>
  <c r="I333" i="2"/>
  <c r="L333" i="2" s="1"/>
  <c r="I520" i="2"/>
  <c r="L520" i="2" s="1"/>
  <c r="I258" i="2"/>
  <c r="L258" i="2" s="1"/>
  <c r="I378" i="2"/>
  <c r="L378" i="2" s="1"/>
  <c r="I276" i="2"/>
  <c r="L276" i="2" s="1"/>
  <c r="I105" i="2"/>
  <c r="L105" i="2" s="1"/>
  <c r="I726" i="2"/>
  <c r="L726" i="2" s="1"/>
  <c r="I957" i="2"/>
  <c r="L957" i="2" s="1"/>
  <c r="I205" i="2"/>
  <c r="L205" i="2" s="1"/>
  <c r="I70" i="2"/>
  <c r="L70" i="2" s="1"/>
  <c r="I718" i="2"/>
  <c r="L718" i="2" s="1"/>
  <c r="I110" i="2"/>
  <c r="L110" i="2" s="1"/>
  <c r="I412" i="2"/>
  <c r="L412" i="2" s="1"/>
  <c r="I725" i="2"/>
  <c r="L725" i="2" s="1"/>
  <c r="I900" i="2"/>
  <c r="L900" i="2" s="1"/>
  <c r="I935" i="2"/>
  <c r="L935" i="2" s="1"/>
  <c r="I156" i="2"/>
  <c r="L156" i="2" s="1"/>
  <c r="I278" i="2"/>
  <c r="L278" i="2" s="1"/>
  <c r="I371" i="2"/>
  <c r="L371" i="2" s="1"/>
  <c r="I642" i="2"/>
  <c r="L642" i="2" s="1"/>
  <c r="I414" i="2"/>
  <c r="L414" i="2" s="1"/>
  <c r="I911" i="2"/>
  <c r="L911" i="2" s="1"/>
  <c r="I242" i="2"/>
  <c r="L242" i="2" s="1"/>
  <c r="I983" i="2"/>
  <c r="L983" i="2" s="1"/>
  <c r="I122" i="2"/>
  <c r="L122" i="2" s="1"/>
  <c r="I840" i="2"/>
  <c r="L840" i="2" s="1"/>
  <c r="I999" i="2"/>
  <c r="L999" i="2" s="1"/>
  <c r="I157" i="2"/>
  <c r="L157" i="2" s="1"/>
  <c r="I647" i="2"/>
  <c r="L647" i="2" s="1"/>
  <c r="I837" i="2"/>
  <c r="L837" i="2" s="1"/>
  <c r="I998" i="2"/>
  <c r="L998" i="2" s="1"/>
  <c r="I50" i="2"/>
  <c r="L50" i="2" s="1"/>
  <c r="I75" i="2"/>
  <c r="L75" i="2" s="1"/>
  <c r="I362" i="2"/>
  <c r="L362" i="2" s="1"/>
  <c r="I509" i="2"/>
  <c r="L509" i="2" s="1"/>
  <c r="I434" i="2"/>
  <c r="L434" i="2" s="1"/>
  <c r="I28" i="2"/>
  <c r="L28" i="2" s="1"/>
  <c r="I351" i="2"/>
  <c r="L351" i="2" s="1"/>
  <c r="I816" i="2"/>
  <c r="L816" i="2" s="1"/>
  <c r="I728" i="2"/>
  <c r="L728" i="2" s="1"/>
  <c r="I952" i="2"/>
  <c r="L952" i="2" s="1"/>
  <c r="I438" i="2"/>
  <c r="L438" i="2" s="1"/>
  <c r="I208" i="2"/>
  <c r="L208" i="2" s="1"/>
  <c r="I67" i="2"/>
  <c r="L67" i="2" s="1"/>
  <c r="I104" i="2"/>
  <c r="L104" i="2" s="1"/>
  <c r="I806" i="2"/>
  <c r="L806" i="2" s="1"/>
  <c r="I331" i="2"/>
  <c r="L331" i="2" s="1"/>
  <c r="I743" i="2"/>
  <c r="L743" i="2" s="1"/>
  <c r="I163" i="2"/>
  <c r="L163" i="2" s="1"/>
  <c r="I415" i="2"/>
  <c r="L415" i="2" s="1"/>
  <c r="I671" i="2"/>
  <c r="L671" i="2" s="1"/>
  <c r="I662" i="2"/>
  <c r="L662" i="2" s="1"/>
  <c r="I863" i="2"/>
  <c r="L863" i="2" s="1"/>
  <c r="I456" i="2"/>
  <c r="L456" i="2" s="1"/>
  <c r="I264" i="2"/>
  <c r="L264" i="2" s="1"/>
  <c r="I617" i="2"/>
  <c r="L617" i="2" s="1"/>
  <c r="I1009" i="2"/>
  <c r="L1009" i="2" s="1"/>
  <c r="I417" i="2"/>
  <c r="L417" i="2" s="1"/>
  <c r="I74" i="2"/>
  <c r="L74" i="2" s="1"/>
  <c r="I680" i="2"/>
  <c r="L680" i="2" s="1"/>
  <c r="I174" i="2"/>
  <c r="L174" i="2" s="1"/>
  <c r="I316" i="2"/>
  <c r="L316" i="2" s="1"/>
  <c r="I741" i="2"/>
  <c r="L741" i="2" s="1"/>
  <c r="I828" i="2"/>
  <c r="L828" i="2" s="1"/>
  <c r="I830" i="2"/>
  <c r="L830" i="2" s="1"/>
  <c r="I914" i="2"/>
  <c r="L914" i="2" s="1"/>
  <c r="I425" i="2"/>
  <c r="L425" i="2" s="1"/>
  <c r="I191" i="2"/>
  <c r="L191" i="2" s="1"/>
  <c r="I296" i="2"/>
  <c r="L296" i="2" s="1"/>
  <c r="I975" i="2"/>
  <c r="L975" i="2" s="1"/>
  <c r="I322" i="2"/>
  <c r="L322" i="2" s="1"/>
  <c r="I955" i="2"/>
  <c r="L955" i="2" s="1"/>
  <c r="I494" i="2"/>
  <c r="L494" i="2" s="1"/>
  <c r="I556" i="2"/>
  <c r="L556" i="2" s="1"/>
  <c r="I918" i="2"/>
  <c r="L918" i="2" s="1"/>
  <c r="I167" i="2"/>
  <c r="L167" i="2" s="1"/>
  <c r="I300" i="2"/>
  <c r="L300" i="2" s="1"/>
  <c r="I15" i="2"/>
  <c r="L15" i="2" s="1"/>
  <c r="I802" i="2"/>
  <c r="L802" i="2" s="1"/>
  <c r="I709" i="2"/>
  <c r="L709" i="2" s="1"/>
  <c r="I387" i="2"/>
  <c r="L387" i="2" s="1"/>
  <c r="I761" i="2"/>
  <c r="L761" i="2" s="1"/>
  <c r="I687" i="2"/>
  <c r="L687" i="2" s="1"/>
  <c r="I682" i="2"/>
  <c r="L682" i="2" s="1"/>
  <c r="I921" i="2"/>
  <c r="L921" i="2" s="1"/>
  <c r="I659" i="2"/>
  <c r="L659" i="2" s="1"/>
  <c r="I271" i="2"/>
  <c r="L271" i="2" s="1"/>
  <c r="I974" i="2"/>
  <c r="L974" i="2" s="1"/>
  <c r="I14" i="2"/>
  <c r="I970" i="2"/>
  <c r="L970" i="2" s="1"/>
  <c r="I735" i="2"/>
  <c r="L735" i="2" s="1"/>
  <c r="I452" i="2"/>
  <c r="L452" i="2" s="1"/>
  <c r="I652" i="2"/>
  <c r="L652" i="2" s="1"/>
  <c r="I268" i="2"/>
  <c r="L268" i="2" s="1"/>
  <c r="I843" i="2"/>
  <c r="L843" i="2" s="1"/>
  <c r="I190" i="2"/>
  <c r="L190" i="2" s="1"/>
  <c r="I393" i="2"/>
  <c r="L393" i="2" s="1"/>
  <c r="I584" i="2"/>
  <c r="L584" i="2" s="1"/>
  <c r="I723" i="2"/>
  <c r="L723" i="2" s="1"/>
  <c r="I851" i="2"/>
  <c r="L851" i="2" s="1"/>
  <c r="I564" i="2"/>
  <c r="L564" i="2" s="1"/>
  <c r="I382" i="2"/>
  <c r="L382" i="2" s="1"/>
  <c r="I953" i="2"/>
  <c r="L953" i="2" s="1"/>
  <c r="I484" i="2"/>
  <c r="L484" i="2" s="1"/>
  <c r="I189" i="2"/>
  <c r="L189" i="2" s="1"/>
  <c r="I879" i="2"/>
  <c r="L879" i="2" s="1"/>
  <c r="I856" i="2"/>
  <c r="L856" i="2" s="1"/>
  <c r="I346" i="2"/>
  <c r="L346" i="2" s="1"/>
  <c r="I1007" i="2"/>
  <c r="L1007" i="2" s="1"/>
  <c r="I172" i="2"/>
  <c r="L172" i="2" s="1"/>
  <c r="I845" i="2"/>
  <c r="L845" i="2" s="1"/>
  <c r="I903" i="2"/>
  <c r="L903" i="2" s="1"/>
  <c r="I65" i="2"/>
  <c r="L65" i="2" s="1"/>
  <c r="I695" i="2"/>
  <c r="L695" i="2" s="1"/>
  <c r="I716" i="2"/>
  <c r="L716" i="2" s="1"/>
  <c r="I875" i="2"/>
  <c r="L875" i="2" s="1"/>
  <c r="I613" i="2"/>
  <c r="L613" i="2" s="1"/>
  <c r="I353" i="2"/>
  <c r="L353" i="2" s="1"/>
  <c r="I319" i="2"/>
  <c r="L319" i="2" s="1"/>
  <c r="I243" i="2"/>
  <c r="L243" i="2" s="1"/>
  <c r="I749" i="2"/>
  <c r="L749" i="2" s="1"/>
  <c r="I440" i="2"/>
  <c r="L440" i="2" s="1"/>
  <c r="I557" i="2"/>
  <c r="L557" i="2" s="1"/>
  <c r="I991" i="2"/>
  <c r="L991" i="2" s="1"/>
  <c r="I562" i="2"/>
  <c r="L562" i="2" s="1"/>
  <c r="I963" i="2"/>
  <c r="L963" i="2" s="1"/>
  <c r="I567" i="2"/>
  <c r="L567" i="2" s="1"/>
  <c r="I257" i="2"/>
  <c r="L257" i="2" s="1"/>
  <c r="I561" i="2"/>
  <c r="L561" i="2" s="1"/>
  <c r="I259" i="2"/>
  <c r="L259" i="2" s="1"/>
  <c r="I976" i="2"/>
  <c r="L976" i="2" s="1"/>
  <c r="I88" i="2"/>
  <c r="L88" i="2" s="1"/>
  <c r="I872" i="2"/>
  <c r="L872" i="2" s="1"/>
  <c r="I478" i="2"/>
  <c r="L478" i="2" s="1"/>
  <c r="I398" i="2"/>
  <c r="L398" i="2" s="1"/>
  <c r="I784" i="2"/>
  <c r="L784" i="2" s="1"/>
  <c r="I179" i="2"/>
  <c r="L179" i="2" s="1"/>
  <c r="I874" i="2"/>
  <c r="L874" i="2" s="1"/>
  <c r="I790" i="2"/>
  <c r="L790" i="2" s="1"/>
  <c r="I73" i="2"/>
  <c r="L73" i="2" s="1"/>
  <c r="I829" i="2"/>
  <c r="L829" i="2" s="1"/>
  <c r="I21" i="2"/>
  <c r="L21" i="2" s="1"/>
  <c r="I971" i="2"/>
  <c r="L971" i="2" s="1"/>
  <c r="I289" i="2"/>
  <c r="L289" i="2" s="1"/>
  <c r="I737" i="2"/>
  <c r="L737" i="2" s="1"/>
  <c r="I218" i="2"/>
  <c r="L218" i="2" s="1"/>
  <c r="I245" i="2"/>
  <c r="L245" i="2" s="1"/>
  <c r="I385" i="2"/>
  <c r="L385" i="2" s="1"/>
  <c r="I505" i="2"/>
  <c r="L505" i="2" s="1"/>
  <c r="I43" i="2"/>
  <c r="L43" i="2" s="1"/>
  <c r="I608" i="2"/>
  <c r="L608" i="2" s="1"/>
  <c r="I534" i="2"/>
  <c r="L534" i="2" s="1"/>
  <c r="I486" i="2"/>
  <c r="L486" i="2" s="1"/>
  <c r="I949" i="2"/>
  <c r="L949" i="2" s="1"/>
  <c r="I595" i="2"/>
  <c r="L595" i="2" s="1"/>
  <c r="I29" i="2"/>
  <c r="L29" i="2" s="1"/>
  <c r="I813" i="2"/>
  <c r="L813" i="2" s="1"/>
  <c r="I24" i="2"/>
  <c r="L24" i="2" s="1"/>
  <c r="I436" i="2"/>
  <c r="L436" i="2" s="1"/>
  <c r="I34" i="2"/>
  <c r="L34" i="2" s="1"/>
  <c r="I405" i="2"/>
  <c r="L405" i="2" s="1"/>
  <c r="I539" i="2"/>
  <c r="L539" i="2" s="1"/>
  <c r="I431" i="2"/>
  <c r="L431" i="2" s="1"/>
  <c r="I607" i="2"/>
  <c r="L607" i="2" s="1"/>
  <c r="I597" i="2"/>
  <c r="L597" i="2" s="1"/>
  <c r="I337" i="2"/>
  <c r="L337" i="2" s="1"/>
  <c r="I94" i="2"/>
  <c r="L94" i="2" s="1"/>
  <c r="I833" i="2"/>
  <c r="L833" i="2" s="1"/>
  <c r="I426" i="2"/>
  <c r="L426" i="2" s="1"/>
  <c r="I442" i="2"/>
  <c r="L442" i="2" s="1"/>
  <c r="I699" i="2"/>
  <c r="L699" i="2" s="1"/>
  <c r="I72" i="2"/>
  <c r="L72" i="2" s="1"/>
  <c r="I947" i="2"/>
  <c r="L947" i="2" s="1"/>
  <c r="I500" i="2"/>
  <c r="L500" i="2" s="1"/>
  <c r="I1004" i="2"/>
  <c r="L1004" i="2" s="1"/>
  <c r="I888" i="2"/>
  <c r="L888" i="2" s="1"/>
  <c r="I487" i="2"/>
  <c r="L487" i="2" s="1"/>
  <c r="I583" i="2"/>
  <c r="L583" i="2" s="1"/>
  <c r="I986" i="2"/>
  <c r="L986" i="2" s="1"/>
  <c r="I791" i="2"/>
  <c r="L791" i="2" s="1"/>
  <c r="I734" i="2"/>
  <c r="L734" i="2" s="1"/>
  <c r="I782" i="2"/>
  <c r="L782" i="2" s="1"/>
  <c r="I770" i="2"/>
  <c r="L770" i="2" s="1"/>
  <c r="I545" i="2"/>
  <c r="L545" i="2" s="1"/>
  <c r="I46" i="2"/>
  <c r="L46" i="2" s="1"/>
  <c r="I411" i="2"/>
  <c r="L411" i="2" s="1"/>
  <c r="I467" i="2"/>
  <c r="L467" i="2" s="1"/>
  <c r="I847" i="2"/>
  <c r="L847" i="2" s="1"/>
  <c r="I282" i="2"/>
  <c r="L282" i="2" s="1"/>
  <c r="I701" i="2"/>
  <c r="L701" i="2" s="1"/>
  <c r="I908" i="2"/>
  <c r="L908" i="2" s="1"/>
  <c r="I537" i="2"/>
  <c r="L537" i="2" s="1"/>
  <c r="I591" i="2"/>
  <c r="L591" i="2" s="1"/>
  <c r="I403" i="2"/>
  <c r="L403" i="2" s="1"/>
  <c r="I222" i="2"/>
  <c r="L222" i="2" s="1"/>
  <c r="I819" i="2"/>
  <c r="L819" i="2" s="1"/>
  <c r="I969" i="2"/>
  <c r="L969" i="2" s="1"/>
  <c r="I421" i="2"/>
  <c r="L421" i="2" s="1"/>
  <c r="I199" i="2"/>
  <c r="L199" i="2" s="1"/>
  <c r="I1001" i="2"/>
  <c r="L1001" i="2" s="1"/>
  <c r="I603" i="2"/>
  <c r="L603" i="2" s="1"/>
  <c r="I395" i="2"/>
  <c r="L395" i="2" s="1"/>
  <c r="I57" i="2"/>
  <c r="L57" i="2" s="1"/>
  <c r="I884" i="2"/>
  <c r="L884" i="2" s="1"/>
  <c r="I193" i="2"/>
  <c r="L193" i="2" s="1"/>
  <c r="I731" i="2"/>
  <c r="L731" i="2" s="1"/>
  <c r="I248" i="2"/>
  <c r="L248" i="2" s="1"/>
  <c r="I634" i="2"/>
  <c r="L634" i="2" s="1"/>
  <c r="I380" i="2"/>
  <c r="L380" i="2" s="1"/>
  <c r="I370" i="2"/>
  <c r="L370" i="2" s="1"/>
  <c r="I111" i="2"/>
  <c r="L111" i="2" s="1"/>
  <c r="I473" i="2"/>
  <c r="L473" i="2" s="1"/>
  <c r="I754" i="2"/>
  <c r="L754" i="2" s="1"/>
  <c r="I805" i="2"/>
  <c r="L805" i="2" s="1"/>
  <c r="I97" i="2"/>
  <c r="L97" i="2" s="1"/>
  <c r="I927" i="2"/>
  <c r="L927" i="2" s="1"/>
  <c r="I117" i="2"/>
  <c r="L117" i="2" s="1"/>
  <c r="I990" i="2"/>
  <c r="L990" i="2" s="1"/>
  <c r="I495" i="2"/>
  <c r="L495" i="2" s="1"/>
  <c r="I572" i="2"/>
  <c r="L572" i="2" s="1"/>
  <c r="I102" i="2"/>
  <c r="L102" i="2" s="1"/>
  <c r="I61" i="2"/>
  <c r="L61" i="2" s="1"/>
  <c r="I291" i="2"/>
  <c r="L291" i="2" s="1"/>
  <c r="I913" i="2"/>
  <c r="L913" i="2" s="1"/>
  <c r="I187" i="2"/>
  <c r="L187" i="2" s="1"/>
  <c r="I384" i="2"/>
  <c r="L384" i="2" s="1"/>
  <c r="I529" i="2"/>
  <c r="L529" i="2" s="1"/>
  <c r="I413" i="2"/>
  <c r="L413" i="2" s="1"/>
  <c r="I101" i="2"/>
  <c r="L101" i="2" s="1"/>
  <c r="I115" i="2"/>
  <c r="L115" i="2" s="1"/>
  <c r="I985" i="2"/>
  <c r="L985" i="2" s="1"/>
  <c r="I373" i="2"/>
  <c r="L373" i="2" s="1"/>
  <c r="I586" i="2"/>
  <c r="L586" i="2" s="1"/>
  <c r="I68" i="2"/>
  <c r="L68" i="2" s="1"/>
  <c r="I313" i="2"/>
  <c r="L313" i="2" s="1"/>
  <c r="I93" i="2"/>
  <c r="L93" i="2" s="1"/>
  <c r="I672" i="2"/>
  <c r="L672" i="2" s="1"/>
  <c r="L14" i="2" l="1"/>
  <c r="F22" i="2"/>
  <c r="F24" i="2" s="1"/>
  <c r="M12" i="2"/>
  <c r="L7" i="2"/>
  <c r="N12" i="2" s="1"/>
  <c r="O12" i="2" l="1"/>
  <c r="P12" i="2" s="1"/>
  <c r="R12" i="2" s="1"/>
  <c r="T12" i="2" s="1"/>
  <c r="Q13" i="2" s="1"/>
  <c r="X13" i="2" s="1"/>
  <c r="W12" i="2"/>
  <c r="M610" i="2"/>
  <c r="M233" i="2"/>
  <c r="M860" i="2"/>
  <c r="M916" i="2"/>
  <c r="M335" i="2"/>
  <c r="M906" i="2"/>
  <c r="M263" i="2"/>
  <c r="M603" i="2"/>
  <c r="M23" i="2"/>
  <c r="M478" i="2"/>
  <c r="M969" i="2"/>
  <c r="M725" i="2"/>
  <c r="M64" i="2"/>
  <c r="M270" i="2"/>
  <c r="M266" i="2"/>
  <c r="M134" i="2"/>
  <c r="M809" i="2"/>
  <c r="M416" i="2"/>
  <c r="M737" i="2"/>
  <c r="M125" i="2"/>
  <c r="M697" i="2"/>
  <c r="M946" i="2"/>
  <c r="M30" i="2"/>
  <c r="M936" i="2"/>
  <c r="M942" i="2"/>
  <c r="M552" i="2"/>
  <c r="M391" i="2"/>
  <c r="M133" i="2"/>
  <c r="M897" i="2"/>
  <c r="M215" i="2"/>
  <c r="M976" i="2"/>
  <c r="M54" i="2"/>
  <c r="M467" i="2"/>
  <c r="M168" i="2"/>
  <c r="M227" i="2"/>
  <c r="M811" i="2"/>
  <c r="M210" i="2"/>
  <c r="M892" i="2"/>
  <c r="M607" i="2"/>
  <c r="M576" i="2"/>
  <c r="M826" i="2"/>
  <c r="M265" i="2"/>
  <c r="M62" i="2"/>
  <c r="M510" i="2"/>
  <c r="M281" i="2"/>
  <c r="M557" i="2"/>
  <c r="M834" i="2"/>
  <c r="M448" i="2"/>
  <c r="M534" i="2"/>
  <c r="M411" i="2"/>
  <c r="M613" i="2"/>
  <c r="M405" i="2"/>
  <c r="M476" i="2"/>
  <c r="M345" i="2"/>
  <c r="M25" i="2"/>
  <c r="M243" i="2"/>
  <c r="M540" i="2"/>
  <c r="M262" i="2"/>
  <c r="M716" i="2"/>
  <c r="M1004" i="2"/>
  <c r="M535" i="2"/>
  <c r="M589" i="2"/>
  <c r="M565" i="2"/>
  <c r="M762" i="2"/>
  <c r="M45" i="2"/>
  <c r="M486" i="2"/>
  <c r="M313" i="2"/>
  <c r="M231" i="2"/>
  <c r="M806" i="2"/>
  <c r="M211" i="2"/>
  <c r="M961" i="2"/>
  <c r="M504" i="2"/>
  <c r="M813" i="2"/>
  <c r="M627" i="2"/>
  <c r="M196" i="2"/>
  <c r="M150" i="2"/>
  <c r="M1012" i="2"/>
  <c r="M480" i="2"/>
  <c r="M188" i="2"/>
  <c r="M688" i="2"/>
  <c r="M598" i="2"/>
  <c r="M250" i="2"/>
  <c r="M657" i="2"/>
  <c r="M341" i="2"/>
  <c r="M502" i="2"/>
  <c r="M744" i="2"/>
  <c r="M638" i="2"/>
  <c r="M136" i="2"/>
  <c r="M497" i="2"/>
  <c r="M380" i="2"/>
  <c r="M360" i="2"/>
  <c r="M442" i="2"/>
  <c r="M989" i="2"/>
  <c r="M559" i="2"/>
  <c r="M676" i="2"/>
  <c r="M58" i="2"/>
  <c r="M257" i="2"/>
  <c r="M22" i="2"/>
  <c r="M957" i="2"/>
  <c r="M653" i="2"/>
  <c r="M229" i="2"/>
  <c r="M857" i="2"/>
  <c r="M32" i="2"/>
  <c r="M470" i="2"/>
  <c r="M757" i="2"/>
  <c r="M463" i="2"/>
  <c r="M183" i="2"/>
  <c r="M978" i="2"/>
  <c r="M605" i="2"/>
  <c r="M726" i="2"/>
  <c r="M823" i="2"/>
  <c r="M477" i="2"/>
  <c r="M458" i="2"/>
  <c r="M383" i="2"/>
  <c r="M740" i="2"/>
  <c r="M604" i="2"/>
  <c r="M401" i="2"/>
  <c r="M202" i="2"/>
  <c r="M247" i="2"/>
  <c r="M144" i="2"/>
  <c r="M311" i="2"/>
  <c r="M298" i="2"/>
  <c r="M460" i="2"/>
  <c r="M248" i="2"/>
  <c r="M413" i="2"/>
  <c r="M314" i="2"/>
  <c r="M592" i="2"/>
  <c r="M902" i="2"/>
  <c r="M670" i="2"/>
  <c r="M786" i="2"/>
  <c r="M883" i="2"/>
  <c r="M483" i="2"/>
  <c r="M159" i="2"/>
  <c r="M810" i="2"/>
  <c r="M425" i="2"/>
  <c r="M516" i="2"/>
  <c r="M979" i="2"/>
  <c r="M435" i="2"/>
  <c r="M273" i="2"/>
  <c r="M80" i="2"/>
  <c r="M225" i="2"/>
  <c r="M361" i="2"/>
  <c r="M527" i="2"/>
  <c r="M563" i="2"/>
  <c r="M181" i="2"/>
  <c r="M300" i="2"/>
  <c r="M27" i="2"/>
  <c r="M88" i="2"/>
  <c r="M77" i="2"/>
  <c r="M137" i="2"/>
  <c r="M151" i="2"/>
  <c r="M76" i="2"/>
  <c r="M941" i="2"/>
  <c r="M242" i="2"/>
  <c r="M904" i="2"/>
  <c r="M647" i="2"/>
  <c r="M791" i="2"/>
  <c r="M865" i="2"/>
  <c r="M894" i="2"/>
  <c r="M758" i="2"/>
  <c r="M880" i="2"/>
  <c r="M112" i="2"/>
  <c r="M352" i="2"/>
  <c r="M338" i="2"/>
  <c r="M819" i="2"/>
  <c r="M815" i="2"/>
  <c r="M1003" i="2"/>
  <c r="M462" i="2"/>
  <c r="M207" i="2"/>
  <c r="M545" i="2"/>
  <c r="M397" i="2"/>
  <c r="M459" i="2"/>
  <c r="M851" i="2"/>
  <c r="M304" i="2"/>
  <c r="M78" i="2"/>
  <c r="M447" i="2"/>
  <c r="M325" i="2"/>
  <c r="M567" i="2"/>
  <c r="M666" i="2"/>
  <c r="M866" i="2"/>
  <c r="M208" i="2"/>
  <c r="M529" i="2"/>
  <c r="M986" i="2"/>
  <c r="M29" i="2"/>
  <c r="M336" i="2"/>
  <c r="M35" i="2"/>
  <c r="M400" i="2"/>
  <c r="M717" i="2"/>
  <c r="M191" i="2"/>
  <c r="M960" i="2"/>
  <c r="M320" i="2"/>
  <c r="M306" i="2"/>
  <c r="M617" i="2"/>
  <c r="M293" i="2"/>
  <c r="M649" i="2"/>
  <c r="M745" i="2"/>
  <c r="M490" i="2"/>
  <c r="M213" i="2"/>
  <c r="M664" i="2"/>
  <c r="M163" i="2"/>
  <c r="M619" i="2"/>
  <c r="M821" i="2"/>
  <c r="M86" i="2"/>
  <c r="M21" i="2"/>
  <c r="M765" i="2"/>
  <c r="M184" i="2"/>
  <c r="M939" i="2"/>
  <c r="M129" i="2"/>
  <c r="M269" i="2"/>
  <c r="M621" i="2"/>
  <c r="M795" i="2"/>
  <c r="M695" i="2"/>
  <c r="M650" i="2"/>
  <c r="M214" i="2"/>
  <c r="M760" i="2"/>
  <c r="M69" i="2"/>
  <c r="M187" i="2"/>
  <c r="M224" i="2"/>
  <c r="M164" i="2"/>
  <c r="M1009" i="2"/>
  <c r="M189" i="2"/>
  <c r="M752" i="2"/>
  <c r="M496" i="2"/>
  <c r="M421" i="2"/>
  <c r="M972" i="2"/>
  <c r="M958" i="2"/>
  <c r="M374" i="2"/>
  <c r="M371" i="2"/>
  <c r="M230" i="2"/>
  <c r="M546" i="2"/>
  <c r="M995" i="2"/>
  <c r="M696" i="2"/>
  <c r="M943" i="2"/>
  <c r="M89" i="2"/>
  <c r="M591" i="2"/>
  <c r="M884" i="2"/>
  <c r="M82" i="2"/>
  <c r="M167" i="2"/>
  <c r="M417" i="2"/>
  <c r="M255" i="2"/>
  <c r="M967" i="2"/>
  <c r="M908" i="2"/>
  <c r="M571" i="2"/>
  <c r="M525" i="2"/>
  <c r="M296" i="2"/>
  <c r="M528" i="2"/>
  <c r="M523" i="2"/>
  <c r="M282" i="2"/>
  <c r="M118" i="2"/>
  <c r="M115" i="2"/>
  <c r="M418" i="2"/>
  <c r="M506" i="2"/>
  <c r="M797" i="2"/>
  <c r="M626" i="2"/>
  <c r="M489" i="2"/>
  <c r="M788" i="2"/>
  <c r="M772" i="2"/>
  <c r="M50" i="2"/>
  <c r="M217" i="2"/>
  <c r="M96" i="2"/>
  <c r="M671" i="2"/>
  <c r="M787" i="2"/>
  <c r="M871" i="2"/>
  <c r="M332" i="2"/>
  <c r="M451" i="2"/>
  <c r="M488" i="2"/>
  <c r="M464" i="2"/>
  <c r="M396" i="2"/>
  <c r="M684" i="2"/>
  <c r="M891" i="2"/>
  <c r="M930" i="2"/>
  <c r="M237" i="2"/>
  <c r="M49" i="2"/>
  <c r="M1008" i="2"/>
  <c r="M491" i="2"/>
  <c r="M993" i="2"/>
  <c r="M862" i="2"/>
  <c r="M585" i="2"/>
  <c r="M746" i="2"/>
  <c r="M926" i="2"/>
  <c r="M403" i="2"/>
  <c r="M487" i="2"/>
  <c r="M479" i="2"/>
  <c r="M648" i="2"/>
  <c r="M377" i="2"/>
  <c r="M357" i="2"/>
  <c r="M659" i="2"/>
  <c r="M457" i="2"/>
  <c r="M280" i="2"/>
  <c r="M931" i="2"/>
  <c r="M169" i="2"/>
  <c r="M837" i="2"/>
  <c r="M500" i="2"/>
  <c r="M185" i="2"/>
  <c r="M455" i="2"/>
  <c r="M190" i="2"/>
  <c r="M390" i="2"/>
  <c r="M47" i="2"/>
  <c r="M940" i="2"/>
  <c r="M895" i="2"/>
  <c r="M408" i="2"/>
  <c r="M116" i="2"/>
  <c r="M780" i="2"/>
  <c r="M637" i="2"/>
  <c r="M547" i="2"/>
  <c r="M93" i="2"/>
  <c r="M580" i="2"/>
  <c r="M172" i="2"/>
  <c r="M768" i="2"/>
  <c r="M260" i="2"/>
  <c r="M258" i="2"/>
  <c r="M997" i="2"/>
  <c r="M625" i="2"/>
  <c r="M200" i="2"/>
  <c r="M322" i="2"/>
  <c r="M412" i="2"/>
  <c r="M485" i="2"/>
  <c r="M110" i="2"/>
  <c r="M323" i="2"/>
  <c r="M59" i="2"/>
  <c r="M537" i="2"/>
  <c r="M743" i="2"/>
  <c r="M452" i="2"/>
  <c r="M590" i="2"/>
  <c r="M847" i="2"/>
  <c r="M682" i="2"/>
  <c r="M219" i="2"/>
  <c r="M244" i="2"/>
  <c r="M836" i="2"/>
  <c r="M749" i="2"/>
  <c r="M359" i="2"/>
  <c r="M963" i="2"/>
  <c r="M665" i="2"/>
  <c r="M513" i="2"/>
  <c r="M436" i="2"/>
  <c r="M495" i="2"/>
  <c r="M407" i="2"/>
  <c r="M142" i="2"/>
  <c r="M410" i="2"/>
  <c r="M288" i="2"/>
  <c r="M307" i="2"/>
  <c r="M856" i="2"/>
  <c r="M633" i="2"/>
  <c r="M818" i="2"/>
  <c r="M143" i="2"/>
  <c r="M611" i="2"/>
  <c r="M964" i="2"/>
  <c r="M736" i="2"/>
  <c r="M919" i="2"/>
  <c r="M105" i="2"/>
  <c r="M833" i="2"/>
  <c r="M624" i="2"/>
  <c r="M356" i="2"/>
  <c r="M475" i="2"/>
  <c r="M445" i="2"/>
  <c r="M438" i="2"/>
  <c r="M669" i="2"/>
  <c r="M402" i="2"/>
  <c r="M950" i="2"/>
  <c r="M970" i="2"/>
  <c r="M406" i="2"/>
  <c r="M873" i="2"/>
  <c r="M634" i="2"/>
  <c r="M911" i="2"/>
  <c r="M890" i="2"/>
  <c r="M909" i="2"/>
  <c r="M675" i="2"/>
  <c r="M824" i="2"/>
  <c r="M831" i="2"/>
  <c r="M354" i="2"/>
  <c r="M171" i="2"/>
  <c r="M974" i="2"/>
  <c r="M658" i="2"/>
  <c r="M31" i="2"/>
  <c r="M789" i="2"/>
  <c r="M641" i="2"/>
  <c r="M588" i="2"/>
  <c r="M719" i="2"/>
  <c r="M881" i="2"/>
  <c r="M927" i="2"/>
  <c r="M393" i="2"/>
  <c r="M632" i="2"/>
  <c r="M204" i="2"/>
  <c r="M173" i="2"/>
  <c r="M111" i="2"/>
  <c r="M303" i="2"/>
  <c r="M378" i="2"/>
  <c r="M264" i="2"/>
  <c r="M238" i="2"/>
  <c r="M236" i="2"/>
  <c r="M980" i="2"/>
  <c r="M925" i="2"/>
  <c r="M803" i="2"/>
  <c r="M404" i="2"/>
  <c r="M277" i="2"/>
  <c r="M544" i="2"/>
  <c r="M138" i="2"/>
  <c r="M333" i="2"/>
  <c r="M289" i="2"/>
  <c r="M994" i="2"/>
  <c r="M687" i="2"/>
  <c r="M577" i="2"/>
  <c r="M755" i="2"/>
  <c r="M71" i="2"/>
  <c r="M148" i="2"/>
  <c r="M367" i="2"/>
  <c r="M769" i="2"/>
  <c r="M912" i="2"/>
  <c r="M844" i="2"/>
  <c r="M194" i="2"/>
  <c r="M95" i="2"/>
  <c r="M73" i="2"/>
  <c r="M1007" i="2"/>
  <c r="M295" i="2"/>
  <c r="M721" i="2"/>
  <c r="M992" i="2"/>
  <c r="M734" i="2"/>
  <c r="M109" i="2"/>
  <c r="M165" i="2"/>
  <c r="M426" i="2"/>
  <c r="M720" i="2"/>
  <c r="M899" i="2"/>
  <c r="M735" i="2"/>
  <c r="M748" i="2"/>
  <c r="M106" i="2"/>
  <c r="M511" i="2"/>
  <c r="M53" i="2"/>
  <c r="M355" i="2"/>
  <c r="M114" i="2"/>
  <c r="M305" i="2"/>
  <c r="M575" i="2"/>
  <c r="M101" i="2"/>
  <c r="M910" i="2"/>
  <c r="M256" i="2"/>
  <c r="M193" i="2"/>
  <c r="M555" i="2"/>
  <c r="M494" i="2"/>
  <c r="M349" i="2"/>
  <c r="M321" i="2"/>
  <c r="M606" i="2"/>
  <c r="M570" i="2"/>
  <c r="M825" i="2"/>
  <c r="M178" i="2"/>
  <c r="M929" i="2"/>
  <c r="M139" i="2"/>
  <c r="M662" i="2"/>
  <c r="M443" i="2"/>
  <c r="M373" i="2"/>
  <c r="M450" i="2"/>
  <c r="M329" i="2"/>
  <c r="M615" i="2"/>
  <c r="M845" i="2"/>
  <c r="M348" i="2"/>
  <c r="M933" i="2"/>
  <c r="M235" i="2"/>
  <c r="M793" i="2"/>
  <c r="M174" i="2"/>
  <c r="M176" i="2"/>
  <c r="M708" i="2"/>
  <c r="M660" i="2"/>
  <c r="M843" i="2"/>
  <c r="M1010" i="2"/>
  <c r="M299" i="2"/>
  <c r="M394" i="2"/>
  <c r="M103" i="2"/>
  <c r="M599" i="2"/>
  <c r="M764" i="2"/>
  <c r="M639" i="2"/>
  <c r="M192" i="2"/>
  <c r="M861" i="2"/>
  <c r="M827" i="2"/>
  <c r="M226" i="2"/>
  <c r="M635" i="2"/>
  <c r="M223" i="2"/>
  <c r="M259" i="2"/>
  <c r="M673" i="2"/>
  <c r="M294" i="2"/>
  <c r="M556" i="2"/>
  <c r="M316" i="2"/>
  <c r="M690" i="2"/>
  <c r="M742" i="2"/>
  <c r="M868" i="2"/>
  <c r="M932" i="2"/>
  <c r="M376" i="2"/>
  <c r="M24" i="2"/>
  <c r="M122" i="2"/>
  <c r="M107" i="2"/>
  <c r="M915" i="2"/>
  <c r="M158" i="2"/>
  <c r="M152" i="2"/>
  <c r="M15" i="2"/>
  <c r="M509" i="2"/>
  <c r="M240" i="2"/>
  <c r="M542" i="2"/>
  <c r="M779" i="2"/>
  <c r="M339" i="2"/>
  <c r="M935" i="2"/>
  <c r="M593" i="2"/>
  <c r="M119" i="2"/>
  <c r="M878" i="2"/>
  <c r="M807" i="2"/>
  <c r="M870" i="2"/>
  <c r="M84" i="2"/>
  <c r="M117" i="2"/>
  <c r="M750" i="2"/>
  <c r="M18" i="2"/>
  <c r="M342" i="2"/>
  <c r="M712" i="2"/>
  <c r="M739" i="2"/>
  <c r="M877" i="2"/>
  <c r="M42" i="2"/>
  <c r="M245" i="2"/>
  <c r="M594" i="2"/>
  <c r="M773" i="2"/>
  <c r="M689" i="2"/>
  <c r="M353" i="2"/>
  <c r="M710" i="2"/>
  <c r="M794" i="2"/>
  <c r="M812" i="2"/>
  <c r="M680" i="2"/>
  <c r="M938" i="2"/>
  <c r="M175" i="2"/>
  <c r="M85" i="2"/>
  <c r="M131" i="2"/>
  <c r="M849" i="2"/>
  <c r="M60" i="2"/>
  <c r="M609" i="2"/>
  <c r="M801" i="2"/>
  <c r="M430" i="2"/>
  <c r="M278" i="2"/>
  <c r="M239" i="2"/>
  <c r="M759" i="2"/>
  <c r="M519" i="2"/>
  <c r="M727" i="2"/>
  <c r="M414" i="2"/>
  <c r="M853" i="2"/>
  <c r="M832" i="2"/>
  <c r="M532" i="2"/>
  <c r="M216" i="2"/>
  <c r="M775" i="2"/>
  <c r="M551" i="2"/>
  <c r="M770" i="2"/>
  <c r="M846" i="2"/>
  <c r="M220" i="2"/>
  <c r="M44" i="2"/>
  <c r="M781" i="2"/>
  <c r="M761" i="2"/>
  <c r="M572" i="2"/>
  <c r="M346" i="2"/>
  <c r="M889" i="2"/>
  <c r="M465" i="2"/>
  <c r="M186" i="2"/>
  <c r="M724" i="2"/>
  <c r="M347" i="2"/>
  <c r="M68" i="2"/>
  <c r="M814" i="2"/>
  <c r="M774" i="2"/>
  <c r="M145" i="2"/>
  <c r="M681" i="2"/>
  <c r="M505" i="2"/>
  <c r="M955" i="2"/>
  <c r="M113" i="2"/>
  <c r="M553" i="2"/>
  <c r="M370" i="2"/>
  <c r="M702" i="2"/>
  <c r="M668" i="2"/>
  <c r="M920" i="2"/>
  <c r="M166" i="2"/>
  <c r="M153" i="2"/>
  <c r="M944" i="2"/>
  <c r="M655" i="2"/>
  <c r="M706" i="2"/>
  <c r="M433" i="2"/>
  <c r="M612" i="2"/>
  <c r="M882" i="2"/>
  <c r="M382" i="2"/>
  <c r="M324" i="2"/>
  <c r="M126" i="2"/>
  <c r="M656" i="2"/>
  <c r="M420" i="2"/>
  <c r="M468" i="2"/>
  <c r="M616" i="2"/>
  <c r="M279" i="2"/>
  <c r="M343" i="2"/>
  <c r="M966" i="2"/>
  <c r="M302" i="2"/>
  <c r="M301" i="2"/>
  <c r="M778" i="2"/>
  <c r="M732" i="2"/>
  <c r="M623" i="2"/>
  <c r="M251" i="2"/>
  <c r="M419" i="2"/>
  <c r="M646" i="2"/>
  <c r="M439" i="2"/>
  <c r="M949" i="2"/>
  <c r="M988" i="2"/>
  <c r="M574" i="2"/>
  <c r="M854" i="2"/>
  <c r="M275" i="2"/>
  <c r="M602" i="2"/>
  <c r="M879" i="2"/>
  <c r="M983" i="2"/>
  <c r="M971" i="2"/>
  <c r="M285" i="2"/>
  <c r="M692" i="2"/>
  <c r="M901" i="2"/>
  <c r="M415" i="2"/>
  <c r="M132" i="2"/>
  <c r="M271" i="2"/>
  <c r="M395" i="2"/>
  <c r="M631" i="2"/>
  <c r="M777" i="2"/>
  <c r="M386" i="2"/>
  <c r="M492" i="2"/>
  <c r="M388" i="2"/>
  <c r="M501" i="2"/>
  <c r="M1011" i="2"/>
  <c r="M469" i="2"/>
  <c r="M1005" i="2"/>
  <c r="M512" i="2"/>
  <c r="M790" i="2"/>
  <c r="M893" i="2"/>
  <c r="M622" i="2"/>
  <c r="M977" i="2"/>
  <c r="M729" i="2"/>
  <c r="M319" i="2"/>
  <c r="M799" i="2"/>
  <c r="M252" i="2"/>
  <c r="M368" i="2"/>
  <c r="M203" i="2"/>
  <c r="M440" i="2"/>
  <c r="M784" i="2"/>
  <c r="M954" i="2"/>
  <c r="M841" i="2"/>
  <c r="M444" i="2"/>
  <c r="M162" i="2"/>
  <c r="M309" i="2"/>
  <c r="M499" i="2"/>
  <c r="M595" i="2"/>
  <c r="M284" i="2"/>
  <c r="M156" i="2"/>
  <c r="M179" i="2"/>
  <c r="M1000" i="2"/>
  <c r="M597" i="2"/>
  <c r="M975" i="2"/>
  <c r="M124" i="2"/>
  <c r="M608" i="2"/>
  <c r="M699" i="2"/>
  <c r="M384" i="2"/>
  <c r="M1006" i="2"/>
  <c r="M51" i="2"/>
  <c r="M905" i="2"/>
  <c r="M180" i="2"/>
  <c r="M123" i="2"/>
  <c r="M108" i="2"/>
  <c r="M261" i="2"/>
  <c r="M533" i="2"/>
  <c r="M366" i="2"/>
  <c r="M644" i="2"/>
  <c r="M79" i="2"/>
  <c r="M268" i="2"/>
  <c r="M274" i="2"/>
  <c r="M328" i="2"/>
  <c r="M234" i="2"/>
  <c r="M922" i="2"/>
  <c r="M40" i="2"/>
  <c r="M473" i="2"/>
  <c r="M409" i="2"/>
  <c r="M663" i="2"/>
  <c r="M160" i="2"/>
  <c r="M222" i="2"/>
  <c r="M800" i="2"/>
  <c r="M937" i="2"/>
  <c r="M57" i="2"/>
  <c r="M63" i="2"/>
  <c r="M484" i="2"/>
  <c r="M783" i="2"/>
  <c r="M792" i="2"/>
  <c r="M337" i="2"/>
  <c r="M569" i="2"/>
  <c r="M728" i="2"/>
  <c r="M55" i="2"/>
  <c r="M128" i="2"/>
  <c r="M17" i="2"/>
  <c r="M693" i="2"/>
  <c r="M474" i="2"/>
  <c r="M327" i="2"/>
  <c r="M517" i="2"/>
  <c r="M985" i="2"/>
  <c r="M999" i="2"/>
  <c r="M645" i="2"/>
  <c r="M887" i="2"/>
  <c r="M630" i="2"/>
  <c r="M766" i="2"/>
  <c r="M984" i="2"/>
  <c r="M520" i="2"/>
  <c r="M859" i="2"/>
  <c r="M155" i="2"/>
  <c r="M102" i="2"/>
  <c r="M431" i="2"/>
  <c r="M753" i="2"/>
  <c r="M907" i="2"/>
  <c r="M661" i="2"/>
  <c r="M530" i="2"/>
  <c r="M747" i="2"/>
  <c r="M330" i="2"/>
  <c r="M850" i="2"/>
  <c r="M776" i="2"/>
  <c r="M867" i="2"/>
  <c r="M561" i="2"/>
  <c r="M146" i="2"/>
  <c r="M549" i="2"/>
  <c r="M539" i="2"/>
  <c r="M587" i="2"/>
  <c r="M201" i="2"/>
  <c r="M141" i="2"/>
  <c r="M97" i="2"/>
  <c r="M334" i="2"/>
  <c r="M140" i="2"/>
  <c r="M771" i="2"/>
  <c r="M991" i="2"/>
  <c r="M947" i="2"/>
  <c r="M98" i="2"/>
  <c r="M74" i="2"/>
  <c r="M524" i="2"/>
  <c r="M928" i="2"/>
  <c r="M953" i="2"/>
  <c r="M36" i="2"/>
  <c r="M718" i="2"/>
  <c r="M620" i="2"/>
  <c r="M869" i="2"/>
  <c r="M358" i="2"/>
  <c r="M90" i="2"/>
  <c r="M628" i="2"/>
  <c r="M973" i="2"/>
  <c r="M441" i="2"/>
  <c r="M365" i="2"/>
  <c r="M246" i="2"/>
  <c r="M562" i="2"/>
  <c r="M816" i="2"/>
  <c r="M855" i="2"/>
  <c r="M254" i="2"/>
  <c r="M503" i="2"/>
  <c r="M804" i="2"/>
  <c r="M785" i="2"/>
  <c r="M900" i="2"/>
  <c r="M686" i="2"/>
  <c r="M453" i="2"/>
  <c r="M81" i="2"/>
  <c r="M996" i="2"/>
  <c r="M344" i="2"/>
  <c r="M272" i="2"/>
  <c r="M730" i="2"/>
  <c r="M99" i="2"/>
  <c r="M614" i="2"/>
  <c r="M705" i="2"/>
  <c r="M147" i="2"/>
  <c r="M13" i="2"/>
  <c r="M756" i="2"/>
  <c r="M521" i="2"/>
  <c r="M228" i="2"/>
  <c r="M838" i="2"/>
  <c r="M290" i="2"/>
  <c r="M654" i="2"/>
  <c r="M704" i="2"/>
  <c r="M362" i="2"/>
  <c r="M72" i="2"/>
  <c r="M454" i="2"/>
  <c r="M427" i="2"/>
  <c r="M157" i="2"/>
  <c r="M538" i="2"/>
  <c r="M703" i="2"/>
  <c r="M267" i="2"/>
  <c r="M482" i="2"/>
  <c r="M945" i="2"/>
  <c r="M876" i="2"/>
  <c r="M398" i="2"/>
  <c r="M434" i="2"/>
  <c r="M369" i="2"/>
  <c r="M914" i="2"/>
  <c r="M652" i="2"/>
  <c r="M507" i="2"/>
  <c r="M674" i="2"/>
  <c r="M48" i="2"/>
  <c r="M104" i="2"/>
  <c r="M221" i="2"/>
  <c r="M672" i="2"/>
  <c r="M94" i="2"/>
  <c r="M372" i="2"/>
  <c r="M429" i="2"/>
  <c r="M437" i="2"/>
  <c r="M583" i="2"/>
  <c r="M20" i="2"/>
  <c r="M91" i="2"/>
  <c r="M548" i="2"/>
  <c r="M864" i="2"/>
  <c r="M26" i="2"/>
  <c r="M297" i="2"/>
  <c r="M990" i="2"/>
  <c r="M135" i="2"/>
  <c r="M154" i="2"/>
  <c r="M456" i="2"/>
  <c r="M253" i="2"/>
  <c r="M375" i="2"/>
  <c r="M707" i="2"/>
  <c r="M541" i="2"/>
  <c r="M952" i="2"/>
  <c r="M66" i="2"/>
  <c r="M177" i="2"/>
  <c r="M14" i="2"/>
  <c r="M923" i="2"/>
  <c r="M722" i="2"/>
  <c r="M379" i="2"/>
  <c r="M566" i="2"/>
  <c r="M19" i="2"/>
  <c r="M888" i="2"/>
  <c r="M182" i="2"/>
  <c r="M205" i="2"/>
  <c r="M292" i="2"/>
  <c r="M948" i="2"/>
  <c r="M738" i="2"/>
  <c r="M796" i="2"/>
  <c r="M678" i="2"/>
  <c r="M206" i="2"/>
  <c r="M579" i="2"/>
  <c r="M713" i="2"/>
  <c r="M340" i="2"/>
  <c r="M782" i="2"/>
  <c r="M531" i="2"/>
  <c r="M962" i="2"/>
  <c r="M161" i="2"/>
  <c r="M685" i="2"/>
  <c r="M558" i="2"/>
  <c r="M195" i="2"/>
  <c r="M43" i="2"/>
  <c r="M560" i="2"/>
  <c r="M677" i="2"/>
  <c r="M249" i="2"/>
  <c r="M987" i="2"/>
  <c r="M921" i="2"/>
  <c r="M951" i="2"/>
  <c r="M199" i="2"/>
  <c r="M449" i="2"/>
  <c r="M741" i="2"/>
  <c r="M651" i="2"/>
  <c r="M508" i="2"/>
  <c r="M763" i="2"/>
  <c r="M981" i="2"/>
  <c r="M149" i="2"/>
  <c r="M896" i="2"/>
  <c r="M422" i="2"/>
  <c r="M385" i="2"/>
  <c r="M839" i="2"/>
  <c r="M518" i="2"/>
  <c r="M61" i="2"/>
  <c r="M423" i="2"/>
  <c r="M596" i="2"/>
  <c r="M276" i="2"/>
  <c r="M683" i="2"/>
  <c r="M331" i="2"/>
  <c r="M564" i="2"/>
  <c r="M584" i="2"/>
  <c r="M835" i="2"/>
  <c r="M917" i="2"/>
  <c r="M446" i="2"/>
  <c r="M92" i="2"/>
  <c r="M41" i="2"/>
  <c r="M209" i="2"/>
  <c r="M212" i="2"/>
  <c r="M820" i="2"/>
  <c r="M711" i="2"/>
  <c r="M308" i="2"/>
  <c r="M52" i="2"/>
  <c r="M733" i="2"/>
  <c r="M498" i="2"/>
  <c r="M874" i="2"/>
  <c r="M1001" i="2"/>
  <c r="M568" i="2"/>
  <c r="M1002" i="2"/>
  <c r="M28" i="2"/>
  <c r="M968" i="2"/>
  <c r="M83" i="2"/>
  <c r="M241" i="2"/>
  <c r="M310" i="2"/>
  <c r="M767" i="2"/>
  <c r="M65" i="2"/>
  <c r="M363" i="2"/>
  <c r="M636" i="2"/>
  <c r="M493" i="2"/>
  <c r="M723" i="2"/>
  <c r="M817" i="2"/>
  <c r="M830" i="2"/>
  <c r="M822" i="2"/>
  <c r="M16" i="2"/>
  <c r="M515" i="2"/>
  <c r="M287" i="2"/>
  <c r="M903" i="2"/>
  <c r="M691" i="2"/>
  <c r="M829" i="2"/>
  <c r="M543" i="2"/>
  <c r="M998" i="2"/>
  <c r="M840" i="2"/>
  <c r="M667" i="2"/>
  <c r="M586" i="2"/>
  <c r="M461" i="2"/>
  <c r="M351" i="2"/>
  <c r="M582" i="2"/>
  <c r="M130" i="2"/>
  <c r="M389" i="2"/>
  <c r="M842" i="2"/>
  <c r="M965" i="2"/>
  <c r="M956" i="2"/>
  <c r="M875" i="2"/>
  <c r="M514" i="2"/>
  <c r="M934" i="2"/>
  <c r="M197" i="2"/>
  <c r="M698" i="2"/>
  <c r="M364" i="2"/>
  <c r="M601" i="2"/>
  <c r="M578" i="2"/>
  <c r="M350" i="2"/>
  <c r="M56" i="2"/>
  <c r="M428" i="2"/>
  <c r="M536" i="2"/>
  <c r="M70" i="2"/>
  <c r="M326" i="2"/>
  <c r="M318" i="2"/>
  <c r="M642" i="2"/>
  <c r="M315" i="2"/>
  <c r="M381" i="2"/>
  <c r="M802" i="2"/>
  <c r="M218" i="2"/>
  <c r="M858" i="2"/>
  <c r="M387" i="2"/>
  <c r="M34" i="2"/>
  <c r="M198" i="2"/>
  <c r="M898" i="2"/>
  <c r="M550" i="2"/>
  <c r="M67" i="2"/>
  <c r="M798" i="2"/>
  <c r="M573" i="2"/>
  <c r="M863" i="2"/>
  <c r="M38" i="2"/>
  <c r="M805" i="2"/>
  <c r="M33" i="2"/>
  <c r="M87" i="2"/>
  <c r="M918" i="2"/>
  <c r="M618" i="2"/>
  <c r="M600" i="2"/>
  <c r="M526" i="2"/>
  <c r="M924" i="2"/>
  <c r="M640" i="2"/>
  <c r="M424" i="2"/>
  <c r="M392" i="2"/>
  <c r="M848" i="2"/>
  <c r="M700" i="2"/>
  <c r="M522" i="2"/>
  <c r="M127" i="2"/>
  <c r="M754" i="2"/>
  <c r="M170" i="2"/>
  <c r="M317" i="2"/>
  <c r="M232" i="2"/>
  <c r="M481" i="2"/>
  <c r="M581" i="2"/>
  <c r="M46" i="2"/>
  <c r="M472" i="2"/>
  <c r="M808" i="2"/>
  <c r="M714" i="2"/>
  <c r="M852" i="2"/>
  <c r="M554" i="2"/>
  <c r="M709" i="2"/>
  <c r="M828" i="2"/>
  <c r="M701" i="2"/>
  <c r="M629" i="2"/>
  <c r="M75" i="2"/>
  <c r="M432" i="2"/>
  <c r="M39" i="2"/>
  <c r="M751" i="2"/>
  <c r="M121" i="2"/>
  <c r="M885" i="2"/>
  <c r="M959" i="2"/>
  <c r="M643" i="2"/>
  <c r="M37" i="2"/>
  <c r="M679" i="2"/>
  <c r="M872" i="2"/>
  <c r="M694" i="2"/>
  <c r="M471" i="2"/>
  <c r="M982" i="2"/>
  <c r="M399" i="2"/>
  <c r="M100" i="2"/>
  <c r="M286" i="2"/>
  <c r="M283" i="2"/>
  <c r="M312" i="2"/>
  <c r="M886" i="2"/>
  <c r="M120" i="2"/>
  <c r="M715" i="2"/>
  <c r="M913" i="2"/>
  <c r="M466" i="2"/>
  <c r="M731" i="2"/>
  <c r="M291" i="2"/>
  <c r="N13" i="2" l="1"/>
  <c r="W13" i="2" s="1"/>
  <c r="O13" i="2" l="1"/>
  <c r="P13" i="2" s="1"/>
  <c r="R13" i="2" s="1"/>
  <c r="T13" i="2" s="1"/>
  <c r="Q14" i="2" s="1"/>
  <c r="X14" i="2" s="1"/>
  <c r="N14" i="2" l="1"/>
  <c r="W14" i="2" s="1"/>
  <c r="O14" i="2" l="1"/>
  <c r="P14" i="2" s="1"/>
  <c r="R14" i="2" s="1"/>
  <c r="T14" i="2" s="1"/>
  <c r="Q15" i="2" s="1"/>
  <c r="X15" i="2" s="1"/>
  <c r="N15" i="2" l="1"/>
  <c r="W15" i="2" s="1"/>
  <c r="O15" i="2" l="1"/>
  <c r="P15" i="2" s="1"/>
  <c r="R15" i="2" s="1"/>
  <c r="T15" i="2" s="1"/>
  <c r="Q16" i="2" s="1"/>
  <c r="X16" i="2" s="1"/>
  <c r="N16" i="2" l="1"/>
  <c r="O16" i="2" s="1"/>
  <c r="P16" i="2" s="1"/>
  <c r="W16" i="2" l="1"/>
  <c r="R16" i="2"/>
  <c r="T16" i="2" s="1"/>
  <c r="Q17" i="2" s="1"/>
  <c r="X17" i="2" s="1"/>
  <c r="N17" i="2" l="1"/>
  <c r="O17" i="2" l="1"/>
  <c r="P17" i="2" s="1"/>
  <c r="R17" i="2" s="1"/>
  <c r="T17" i="2" s="1"/>
  <c r="Q18" i="2" s="1"/>
  <c r="X18" i="2" s="1"/>
  <c r="W17" i="2"/>
  <c r="N18" i="2" l="1"/>
  <c r="W18" i="2" s="1"/>
  <c r="O18" i="2" l="1"/>
  <c r="P18" i="2" s="1"/>
  <c r="R18" i="2" s="1"/>
  <c r="T18" i="2" s="1"/>
  <c r="Q19" i="2" s="1"/>
  <c r="X19" i="2" s="1"/>
  <c r="N19" i="2" l="1"/>
  <c r="O19" i="2" s="1"/>
  <c r="P19" i="2" s="1"/>
  <c r="R19" i="2" s="1"/>
  <c r="T19" i="2" s="1"/>
  <c r="Q20" i="2" s="1"/>
  <c r="X20" i="2" s="1"/>
  <c r="W19" i="2" l="1"/>
  <c r="N20" i="2"/>
  <c r="W20" i="2" s="1"/>
  <c r="O20" i="2" l="1"/>
  <c r="P20" i="2" s="1"/>
  <c r="R20" i="2" s="1"/>
  <c r="T20" i="2" s="1"/>
  <c r="Q21" i="2" s="1"/>
  <c r="X21" i="2" s="1"/>
  <c r="N21" i="2" l="1"/>
  <c r="O21" i="2" l="1"/>
  <c r="P21" i="2" s="1"/>
  <c r="R21" i="2" s="1"/>
  <c r="T21" i="2" s="1"/>
  <c r="Q22" i="2" s="1"/>
  <c r="X22" i="2" s="1"/>
  <c r="W21" i="2"/>
  <c r="N22" i="2" l="1"/>
  <c r="W22" i="2" s="1"/>
  <c r="O22" i="2" l="1"/>
  <c r="P22" i="2" s="1"/>
  <c r="R22" i="2" s="1"/>
  <c r="T22" i="2" s="1"/>
  <c r="Q23" i="2" s="1"/>
  <c r="X23" i="2" s="1"/>
  <c r="N23" i="2" l="1"/>
  <c r="W23" i="2" s="1"/>
  <c r="O23" i="2" l="1"/>
  <c r="P23" i="2" s="1"/>
  <c r="R23" i="2" l="1"/>
  <c r="T23" i="2" s="1"/>
  <c r="Q24" i="2" s="1"/>
  <c r="X24" i="2" s="1"/>
  <c r="N24" i="2" l="1"/>
  <c r="W24" i="2" s="1"/>
  <c r="O24" i="2" l="1"/>
  <c r="P24" i="2" s="1"/>
  <c r="R24" i="2" s="1"/>
  <c r="T24" i="2" s="1"/>
  <c r="Q25" i="2" s="1"/>
  <c r="X25" i="2" s="1"/>
  <c r="N25" i="2" l="1"/>
  <c r="W25" i="2" l="1"/>
  <c r="O25" i="2"/>
  <c r="P25" i="2" s="1"/>
  <c r="R25" i="2" s="1"/>
  <c r="T25" i="2" s="1"/>
  <c r="Q26" i="2" s="1"/>
  <c r="X26" i="2" s="1"/>
  <c r="N26" i="2" l="1"/>
  <c r="W26" i="2" l="1"/>
  <c r="O26" i="2"/>
  <c r="P26" i="2" s="1"/>
  <c r="R26" i="2" l="1"/>
  <c r="T26" i="2" s="1"/>
  <c r="Q27" i="2" s="1"/>
  <c r="X27" i="2" s="1"/>
  <c r="N27" i="2" l="1"/>
  <c r="W27" i="2" s="1"/>
  <c r="O27" i="2" l="1"/>
  <c r="P27" i="2" s="1"/>
  <c r="R27" i="2" s="1"/>
  <c r="T27" i="2" s="1"/>
  <c r="Q28" i="2" s="1"/>
  <c r="X28" i="2" s="1"/>
  <c r="N28" i="2" l="1"/>
  <c r="O28" i="2" s="1"/>
  <c r="P28" i="2" s="1"/>
  <c r="R28" i="2" s="1"/>
  <c r="T28" i="2" s="1"/>
  <c r="Q29" i="2" s="1"/>
  <c r="X29" i="2" s="1"/>
  <c r="W28" i="2" l="1"/>
  <c r="N29" i="2"/>
  <c r="W29" i="2" s="1"/>
  <c r="O29" i="2" l="1"/>
  <c r="P29" i="2" s="1"/>
  <c r="R29" i="2" s="1"/>
  <c r="T29" i="2" s="1"/>
  <c r="Q30" i="2" s="1"/>
  <c r="X30" i="2" s="1"/>
  <c r="N30" i="2" l="1"/>
  <c r="O30" i="2" s="1"/>
  <c r="P30" i="2" s="1"/>
  <c r="R30" i="2" s="1"/>
  <c r="T30" i="2" s="1"/>
  <c r="Q31" i="2" s="1"/>
  <c r="X31" i="2" s="1"/>
  <c r="W30" i="2" l="1"/>
  <c r="N31" i="2"/>
  <c r="O31" i="2" s="1"/>
  <c r="P31" i="2" s="1"/>
  <c r="R31" i="2" s="1"/>
  <c r="T31" i="2" s="1"/>
  <c r="Q32" i="2" s="1"/>
  <c r="X32" i="2" s="1"/>
  <c r="W31" i="2" l="1"/>
  <c r="N32" i="2"/>
  <c r="O32" i="2" s="1"/>
  <c r="P32" i="2" s="1"/>
  <c r="R32" i="2" s="1"/>
  <c r="T32" i="2" s="1"/>
  <c r="Q33" i="2" s="1"/>
  <c r="X33" i="2" s="1"/>
  <c r="W32" i="2" l="1"/>
  <c r="N33" i="2"/>
  <c r="O33" i="2" l="1"/>
  <c r="P33" i="2" s="1"/>
  <c r="W33" i="2"/>
  <c r="R33" i="2" l="1"/>
  <c r="T33" i="2" s="1"/>
  <c r="Q34" i="2" s="1"/>
  <c r="X34" i="2" s="1"/>
  <c r="N34" i="2" l="1"/>
  <c r="W34" i="2" s="1"/>
  <c r="O34" i="2" l="1"/>
  <c r="P34" i="2" s="1"/>
  <c r="R34" i="2" s="1"/>
  <c r="T34" i="2" s="1"/>
  <c r="Q35" i="2" s="1"/>
  <c r="X35" i="2" s="1"/>
  <c r="N35" i="2" l="1"/>
  <c r="W35" i="2" l="1"/>
  <c r="O35" i="2"/>
  <c r="P35" i="2" s="1"/>
  <c r="R35" i="2" s="1"/>
  <c r="T35" i="2" s="1"/>
  <c r="Q36" i="2" s="1"/>
  <c r="X36" i="2" s="1"/>
  <c r="N36" i="2" l="1"/>
  <c r="O36" i="2" l="1"/>
  <c r="P36" i="2" s="1"/>
  <c r="R36" i="2" s="1"/>
  <c r="T36" i="2" s="1"/>
  <c r="Q37" i="2" s="1"/>
  <c r="X37" i="2" s="1"/>
  <c r="W36" i="2"/>
  <c r="N37" i="2" l="1"/>
  <c r="O37" i="2" l="1"/>
  <c r="P37" i="2" s="1"/>
  <c r="R37" i="2" s="1"/>
  <c r="T37" i="2" s="1"/>
  <c r="Q38" i="2" s="1"/>
  <c r="X38" i="2" s="1"/>
  <c r="W37" i="2"/>
  <c r="N38" i="2" l="1"/>
  <c r="O38" i="2" s="1"/>
  <c r="P38" i="2" s="1"/>
  <c r="R38" i="2" s="1"/>
  <c r="T38" i="2" s="1"/>
  <c r="Q39" i="2" s="1"/>
  <c r="X39" i="2" s="1"/>
  <c r="W38" i="2" l="1"/>
  <c r="N39" i="2"/>
  <c r="W39" i="2" s="1"/>
  <c r="O39" i="2" l="1"/>
  <c r="P39" i="2" s="1"/>
  <c r="R39" i="2" s="1"/>
  <c r="T39" i="2" s="1"/>
  <c r="Q40" i="2" s="1"/>
  <c r="X40" i="2" s="1"/>
  <c r="N40" i="2" l="1"/>
  <c r="O40" i="2" l="1"/>
  <c r="P40" i="2" s="1"/>
  <c r="W40" i="2"/>
  <c r="R40" i="2" l="1"/>
  <c r="T40" i="2" s="1"/>
  <c r="Q41" i="2" s="1"/>
  <c r="X41" i="2" s="1"/>
  <c r="N41" i="2" l="1"/>
  <c r="W41" i="2" s="1"/>
  <c r="O41" i="2" l="1"/>
  <c r="P41" i="2" s="1"/>
  <c r="R41" i="2" s="1"/>
  <c r="T41" i="2" s="1"/>
  <c r="Q42" i="2" s="1"/>
  <c r="X42" i="2" s="1"/>
  <c r="N42" i="2" l="1"/>
  <c r="W42" i="2" s="1"/>
  <c r="O42" i="2" l="1"/>
  <c r="P42" i="2" s="1"/>
  <c r="R42" i="2" s="1"/>
  <c r="T42" i="2" s="1"/>
  <c r="Q43" i="2" s="1"/>
  <c r="X43" i="2" s="1"/>
  <c r="N43" i="2" l="1"/>
  <c r="W43" i="2" s="1"/>
  <c r="O43" i="2" l="1"/>
  <c r="P43" i="2" s="1"/>
  <c r="R43" i="2" s="1"/>
  <c r="T43" i="2" s="1"/>
  <c r="Q44" i="2" s="1"/>
  <c r="X44" i="2" s="1"/>
  <c r="N44" i="2" l="1"/>
  <c r="O44" i="2" s="1"/>
  <c r="P44" i="2" s="1"/>
  <c r="R44" i="2" s="1"/>
  <c r="T44" i="2" s="1"/>
  <c r="Q45" i="2" s="1"/>
  <c r="X45" i="2" s="1"/>
  <c r="W44" i="2" l="1"/>
  <c r="N45" i="2"/>
  <c r="W45" i="2" s="1"/>
  <c r="O45" i="2" l="1"/>
  <c r="P45" i="2" s="1"/>
  <c r="R45" i="2" s="1"/>
  <c r="T45" i="2" s="1"/>
  <c r="Q46" i="2" s="1"/>
  <c r="X46" i="2" s="1"/>
  <c r="N46" i="2" l="1"/>
  <c r="W46" i="2" s="1"/>
  <c r="O46" i="2" l="1"/>
  <c r="P46" i="2" s="1"/>
  <c r="R46" i="2" s="1"/>
  <c r="T46" i="2" s="1"/>
  <c r="Q47" i="2" s="1"/>
  <c r="X47" i="2" s="1"/>
  <c r="N47" i="2" l="1"/>
  <c r="O47" i="2" s="1"/>
  <c r="P47" i="2" s="1"/>
  <c r="R47" i="2" s="1"/>
  <c r="T47" i="2" s="1"/>
  <c r="Q48" i="2" s="1"/>
  <c r="X48" i="2" s="1"/>
  <c r="W47" i="2" l="1"/>
  <c r="N48" i="2"/>
  <c r="W48" i="2" s="1"/>
  <c r="O48" i="2" l="1"/>
  <c r="P48" i="2" s="1"/>
  <c r="R48" i="2" s="1"/>
  <c r="T48" i="2" s="1"/>
  <c r="Q49" i="2" s="1"/>
  <c r="X49" i="2" s="1"/>
  <c r="N49" i="2" l="1"/>
  <c r="W49" i="2" s="1"/>
  <c r="O49" i="2" l="1"/>
  <c r="P49" i="2" s="1"/>
  <c r="R49" i="2" s="1"/>
  <c r="T49" i="2" s="1"/>
  <c r="Q50" i="2" s="1"/>
  <c r="X50" i="2" s="1"/>
  <c r="N50" i="2" l="1"/>
  <c r="O50" i="2" s="1"/>
  <c r="P50" i="2" s="1"/>
  <c r="R50" i="2" s="1"/>
  <c r="T50" i="2" s="1"/>
  <c r="Q51" i="2" s="1"/>
  <c r="X51" i="2" s="1"/>
  <c r="W50" i="2" l="1"/>
  <c r="N51" i="2"/>
  <c r="O51" i="2" s="1"/>
  <c r="P51" i="2" s="1"/>
  <c r="R51" i="2" s="1"/>
  <c r="T51" i="2" s="1"/>
  <c r="Q52" i="2" s="1"/>
  <c r="X52" i="2" s="1"/>
  <c r="W51" i="2" l="1"/>
  <c r="N52" i="2"/>
  <c r="O52" i="2" s="1"/>
  <c r="P52" i="2" s="1"/>
  <c r="W52" i="2" l="1"/>
  <c r="R52" i="2"/>
  <c r="T52" i="2" s="1"/>
  <c r="Q53" i="2" s="1"/>
  <c r="X53" i="2" s="1"/>
  <c r="N53" i="2" l="1"/>
  <c r="W53" i="2" s="1"/>
  <c r="O53" i="2" l="1"/>
  <c r="P53" i="2" s="1"/>
  <c r="R53" i="2" s="1"/>
  <c r="T53" i="2" s="1"/>
  <c r="Q54" i="2" s="1"/>
  <c r="X54" i="2" s="1"/>
  <c r="N54" i="2" l="1"/>
  <c r="W54" i="2" s="1"/>
  <c r="O54" i="2" l="1"/>
  <c r="P54" i="2" s="1"/>
  <c r="R54" i="2" s="1"/>
  <c r="T54" i="2" s="1"/>
  <c r="Q55" i="2" s="1"/>
  <c r="X55" i="2" s="1"/>
  <c r="N55" i="2" l="1"/>
  <c r="O55" i="2" s="1"/>
  <c r="P55" i="2" s="1"/>
  <c r="R55" i="2" s="1"/>
  <c r="T55" i="2" s="1"/>
  <c r="Q56" i="2" s="1"/>
  <c r="X56" i="2" s="1"/>
  <c r="W55" i="2" l="1"/>
  <c r="N56" i="2"/>
  <c r="W56" i="2" s="1"/>
  <c r="O56" i="2" l="1"/>
  <c r="P56" i="2" s="1"/>
  <c r="R56" i="2" s="1"/>
  <c r="T56" i="2" s="1"/>
  <c r="Q57" i="2" s="1"/>
  <c r="X57" i="2" s="1"/>
  <c r="N57" i="2" l="1"/>
  <c r="W57" i="2" s="1"/>
  <c r="O57" i="2" l="1"/>
  <c r="P57" i="2" s="1"/>
  <c r="R57" i="2" s="1"/>
  <c r="T57" i="2" s="1"/>
  <c r="Q58" i="2" s="1"/>
  <c r="X58" i="2" s="1"/>
  <c r="N58" i="2" l="1"/>
  <c r="W58" i="2" l="1"/>
  <c r="O58" i="2"/>
  <c r="P58" i="2" s="1"/>
  <c r="R58" i="2" l="1"/>
  <c r="T58" i="2" s="1"/>
  <c r="Q59" i="2" s="1"/>
  <c r="X59" i="2" s="1"/>
  <c r="N59" i="2" l="1"/>
  <c r="O59" i="2" s="1"/>
  <c r="P59" i="2" s="1"/>
  <c r="W59" i="2" l="1"/>
  <c r="R59" i="2"/>
  <c r="T59" i="2" s="1"/>
  <c r="Q60" i="2" s="1"/>
  <c r="X60" i="2" s="1"/>
  <c r="N60" i="2" l="1"/>
  <c r="W60" i="2" s="1"/>
  <c r="O60" i="2" l="1"/>
  <c r="P60" i="2" s="1"/>
  <c r="R60" i="2" s="1"/>
  <c r="T60" i="2" s="1"/>
  <c r="Q61" i="2" s="1"/>
  <c r="X61" i="2" s="1"/>
  <c r="N61" i="2" l="1"/>
  <c r="O61" i="2" s="1"/>
  <c r="P61" i="2" s="1"/>
  <c r="R61" i="2" s="1"/>
  <c r="T61" i="2" s="1"/>
  <c r="Q62" i="2" s="1"/>
  <c r="X62" i="2" s="1"/>
  <c r="W61" i="2" l="1"/>
  <c r="N62" i="2"/>
  <c r="O62" i="2" s="1"/>
  <c r="P62" i="2" s="1"/>
  <c r="R62" i="2" s="1"/>
  <c r="T62" i="2" s="1"/>
  <c r="Q63" i="2" s="1"/>
  <c r="X63" i="2" s="1"/>
  <c r="W62" i="2" l="1"/>
  <c r="N63" i="2"/>
  <c r="W63" i="2" s="1"/>
  <c r="O63" i="2" l="1"/>
  <c r="P63" i="2" s="1"/>
  <c r="R63" i="2" s="1"/>
  <c r="T63" i="2" s="1"/>
  <c r="Q64" i="2" s="1"/>
  <c r="X64" i="2" s="1"/>
  <c r="N64" i="2" l="1"/>
  <c r="W64" i="2" s="1"/>
  <c r="O64" i="2" l="1"/>
  <c r="P64" i="2" s="1"/>
  <c r="R64" i="2" s="1"/>
  <c r="T64" i="2" s="1"/>
  <c r="Q65" i="2" s="1"/>
  <c r="X65" i="2" s="1"/>
  <c r="N65" i="2" l="1"/>
  <c r="W65" i="2" s="1"/>
  <c r="O65" i="2" l="1"/>
  <c r="P65" i="2" s="1"/>
  <c r="R65" i="2" s="1"/>
  <c r="T65" i="2" s="1"/>
  <c r="Q66" i="2" s="1"/>
  <c r="X66" i="2" s="1"/>
  <c r="N66" i="2" l="1"/>
  <c r="O66" i="2" s="1"/>
  <c r="P66" i="2" s="1"/>
  <c r="R66" i="2" s="1"/>
  <c r="T66" i="2" s="1"/>
  <c r="Q67" i="2" s="1"/>
  <c r="X67" i="2" s="1"/>
  <c r="W66" i="2" l="1"/>
  <c r="N67" i="2"/>
  <c r="O67" i="2" s="1"/>
  <c r="P67" i="2" s="1"/>
  <c r="W67" i="2" l="1"/>
  <c r="R67" i="2"/>
  <c r="T67" i="2" s="1"/>
  <c r="Q68" i="2" s="1"/>
  <c r="X68" i="2" s="1"/>
  <c r="N68" i="2" l="1"/>
  <c r="W68" i="2" s="1"/>
  <c r="O68" i="2" l="1"/>
  <c r="P68" i="2" s="1"/>
  <c r="R68" i="2" s="1"/>
  <c r="T68" i="2" s="1"/>
  <c r="Q69" i="2" s="1"/>
  <c r="X69" i="2" s="1"/>
  <c r="N69" i="2" l="1"/>
  <c r="O69" i="2" s="1"/>
  <c r="P69" i="2" s="1"/>
  <c r="R69" i="2" s="1"/>
  <c r="T69" i="2" s="1"/>
  <c r="Q70" i="2" s="1"/>
  <c r="X70" i="2" s="1"/>
  <c r="W69" i="2" l="1"/>
  <c r="N70" i="2"/>
  <c r="W70" i="2" s="1"/>
  <c r="O70" i="2" l="1"/>
  <c r="P70" i="2" s="1"/>
  <c r="R70" i="2" s="1"/>
  <c r="T70" i="2" s="1"/>
  <c r="Q71" i="2" s="1"/>
  <c r="X71" i="2" s="1"/>
  <c r="N71" i="2" l="1"/>
  <c r="W71" i="2" s="1"/>
  <c r="O71" i="2" l="1"/>
  <c r="P71" i="2" s="1"/>
  <c r="R71" i="2" s="1"/>
  <c r="T71" i="2" s="1"/>
  <c r="Q72" i="2" s="1"/>
  <c r="X72" i="2" s="1"/>
  <c r="N72" i="2" l="1"/>
  <c r="O72" i="2" s="1"/>
  <c r="P72" i="2" s="1"/>
  <c r="R72" i="2" s="1"/>
  <c r="T72" i="2" s="1"/>
  <c r="Q73" i="2" s="1"/>
  <c r="X73" i="2" s="1"/>
  <c r="W72" i="2" l="1"/>
  <c r="N73" i="2"/>
  <c r="W73" i="2" s="1"/>
  <c r="O73" i="2" l="1"/>
  <c r="P73" i="2" s="1"/>
  <c r="R73" i="2" s="1"/>
  <c r="T73" i="2" s="1"/>
  <c r="Q74" i="2" s="1"/>
  <c r="X74" i="2" s="1"/>
  <c r="N74" i="2" l="1"/>
  <c r="O74" i="2" s="1"/>
  <c r="P74" i="2" s="1"/>
  <c r="R74" i="2" s="1"/>
  <c r="T74" i="2" s="1"/>
  <c r="Q75" i="2" s="1"/>
  <c r="X75" i="2" s="1"/>
  <c r="W74" i="2" l="1"/>
  <c r="N75" i="2"/>
  <c r="W75" i="2" l="1"/>
  <c r="O75" i="2"/>
  <c r="P75" i="2" s="1"/>
  <c r="R75" i="2" s="1"/>
  <c r="T75" i="2" s="1"/>
  <c r="Q76" i="2" s="1"/>
  <c r="X76" i="2" s="1"/>
  <c r="N76" i="2" l="1"/>
  <c r="O76" i="2" l="1"/>
  <c r="P76" i="2" s="1"/>
  <c r="W76" i="2"/>
  <c r="R76" i="2" l="1"/>
  <c r="T76" i="2" s="1"/>
  <c r="Q77" i="2" s="1"/>
  <c r="X77" i="2" s="1"/>
  <c r="N77" i="2" l="1"/>
  <c r="O77" i="2" s="1"/>
  <c r="P77" i="2" s="1"/>
  <c r="R77" i="2" s="1"/>
  <c r="T77" i="2" s="1"/>
  <c r="Q78" i="2" s="1"/>
  <c r="W77" i="2" l="1"/>
  <c r="N78" i="2"/>
  <c r="O78" i="2" s="1"/>
  <c r="P78" i="2" s="1"/>
  <c r="R78" i="2" s="1"/>
  <c r="T78" i="2" s="1"/>
  <c r="X78" i="2"/>
  <c r="N79" i="2" l="1"/>
  <c r="O79" i="2" s="1"/>
  <c r="P79" i="2" s="1"/>
  <c r="Q79" i="2"/>
  <c r="X79" i="2" s="1"/>
  <c r="W78" i="2"/>
  <c r="W79" i="2" l="1"/>
  <c r="R79" i="2"/>
  <c r="T79" i="2" s="1"/>
  <c r="Q80" i="2" s="1"/>
  <c r="X80" i="2" s="1"/>
  <c r="N80" i="2" l="1"/>
  <c r="O80" i="2" s="1"/>
  <c r="P80" i="2" s="1"/>
  <c r="R80" i="2" s="1"/>
  <c r="T80" i="2" s="1"/>
  <c r="Q81" i="2" s="1"/>
  <c r="X81" i="2" s="1"/>
  <c r="W80" i="2" l="1"/>
  <c r="N81" i="2"/>
  <c r="O81" i="2" s="1"/>
  <c r="P81" i="2" s="1"/>
  <c r="W81" i="2" l="1"/>
  <c r="R81" i="2"/>
  <c r="T81" i="2" s="1"/>
  <c r="Q82" i="2" s="1"/>
  <c r="X82" i="2" s="1"/>
  <c r="N82" i="2" l="1"/>
  <c r="O82" i="2" l="1"/>
  <c r="P82" i="2" s="1"/>
  <c r="W82" i="2"/>
  <c r="R82" i="2" l="1"/>
  <c r="T82" i="2" s="1"/>
  <c r="Q83" i="2" s="1"/>
  <c r="X83" i="2" s="1"/>
  <c r="N83" i="2" l="1"/>
  <c r="O83" i="2" s="1"/>
  <c r="P83" i="2" s="1"/>
  <c r="W83" i="2" l="1"/>
  <c r="R83" i="2"/>
  <c r="T83" i="2" s="1"/>
  <c r="Q84" i="2" s="1"/>
  <c r="X84" i="2" s="1"/>
  <c r="N84" i="2" l="1"/>
  <c r="W84" i="2" s="1"/>
  <c r="O84" i="2" l="1"/>
  <c r="P84" i="2" s="1"/>
  <c r="R84" i="2" s="1"/>
  <c r="T84" i="2" s="1"/>
  <c r="Q85" i="2" s="1"/>
  <c r="X85" i="2" s="1"/>
  <c r="N85" i="2" l="1"/>
  <c r="O85" i="2" s="1"/>
  <c r="P85" i="2" s="1"/>
  <c r="R85" i="2" s="1"/>
  <c r="T85" i="2" s="1"/>
  <c r="Q86" i="2" s="1"/>
  <c r="X86" i="2" s="1"/>
  <c r="W85" i="2" l="1"/>
  <c r="N86" i="2"/>
  <c r="O86" i="2" l="1"/>
  <c r="P86" i="2" s="1"/>
  <c r="W86" i="2"/>
  <c r="R86" i="2" l="1"/>
  <c r="T86" i="2" s="1"/>
  <c r="Q87" i="2" s="1"/>
  <c r="X87" i="2" s="1"/>
  <c r="N87" i="2" l="1"/>
  <c r="O87" i="2" s="1"/>
  <c r="P87" i="2" s="1"/>
  <c r="R87" i="2" s="1"/>
  <c r="T87" i="2" s="1"/>
  <c r="Q88" i="2" s="1"/>
  <c r="X88" i="2" s="1"/>
  <c r="W87" i="2" l="1"/>
  <c r="N88" i="2"/>
  <c r="W88" i="2" s="1"/>
  <c r="O88" i="2" l="1"/>
  <c r="P88" i="2" s="1"/>
  <c r="R88" i="2" s="1"/>
  <c r="T88" i="2" s="1"/>
  <c r="Q89" i="2" s="1"/>
  <c r="X89" i="2" s="1"/>
  <c r="N89" i="2" l="1"/>
  <c r="O89" i="2" s="1"/>
  <c r="P89" i="2" s="1"/>
  <c r="R89" i="2" s="1"/>
  <c r="T89" i="2" s="1"/>
  <c r="Q90" i="2" s="1"/>
  <c r="X90" i="2" s="1"/>
  <c r="W89" i="2" l="1"/>
  <c r="N90" i="2"/>
  <c r="O90" i="2" s="1"/>
  <c r="P90" i="2" s="1"/>
  <c r="R90" i="2" s="1"/>
  <c r="T90" i="2" s="1"/>
  <c r="Q91" i="2" s="1"/>
  <c r="X91" i="2" s="1"/>
  <c r="W90" i="2" l="1"/>
  <c r="N91" i="2"/>
  <c r="O91" i="2" s="1"/>
  <c r="P91" i="2" s="1"/>
  <c r="R91" i="2" s="1"/>
  <c r="T91" i="2" s="1"/>
  <c r="Q92" i="2" s="1"/>
  <c r="X92" i="2" s="1"/>
  <c r="W91" i="2" l="1"/>
  <c r="N92" i="2"/>
  <c r="W92" i="2" s="1"/>
  <c r="O92" i="2" l="1"/>
  <c r="P92" i="2" s="1"/>
  <c r="R92" i="2" s="1"/>
  <c r="T92" i="2" s="1"/>
  <c r="Q93" i="2" s="1"/>
  <c r="X93" i="2" s="1"/>
  <c r="N93" i="2" l="1"/>
  <c r="O93" i="2" s="1"/>
  <c r="P93" i="2" s="1"/>
  <c r="R93" i="2" s="1"/>
  <c r="T93" i="2" s="1"/>
  <c r="Q94" i="2" s="1"/>
  <c r="X94" i="2" s="1"/>
  <c r="W93" i="2" l="1"/>
  <c r="N94" i="2"/>
  <c r="O94" i="2" s="1"/>
  <c r="P94" i="2" s="1"/>
  <c r="W94" i="2" l="1"/>
  <c r="R94" i="2"/>
  <c r="T94" i="2" s="1"/>
  <c r="Q95" i="2" s="1"/>
  <c r="X95" i="2" s="1"/>
  <c r="N95" i="2" l="1"/>
  <c r="W95" i="2" s="1"/>
  <c r="O95" i="2" l="1"/>
  <c r="P95" i="2" s="1"/>
  <c r="R95" i="2" s="1"/>
  <c r="T95" i="2" s="1"/>
  <c r="Q96" i="2" s="1"/>
  <c r="X96" i="2" s="1"/>
  <c r="N96" i="2" l="1"/>
  <c r="O96" i="2" s="1"/>
  <c r="P96" i="2" s="1"/>
  <c r="W96" i="2" l="1"/>
  <c r="R96" i="2"/>
  <c r="T96" i="2" s="1"/>
  <c r="Q97" i="2" s="1"/>
  <c r="X97" i="2" s="1"/>
  <c r="N97" i="2" l="1"/>
  <c r="O97" i="2" s="1"/>
  <c r="P97" i="2" s="1"/>
  <c r="R97" i="2" s="1"/>
  <c r="T97" i="2" s="1"/>
  <c r="Q98" i="2" s="1"/>
  <c r="X98" i="2" s="1"/>
  <c r="W97" i="2" l="1"/>
  <c r="N98" i="2"/>
  <c r="O98" i="2" s="1"/>
  <c r="P98" i="2" s="1"/>
  <c r="W98" i="2" l="1"/>
  <c r="R98" i="2"/>
  <c r="T98" i="2" s="1"/>
  <c r="Q99" i="2" s="1"/>
  <c r="X99" i="2" s="1"/>
  <c r="N99" i="2" l="1"/>
  <c r="W99" i="2" s="1"/>
  <c r="O99" i="2" l="1"/>
  <c r="P99" i="2" s="1"/>
  <c r="R99" i="2" s="1"/>
  <c r="T99" i="2" s="1"/>
  <c r="Q100" i="2" s="1"/>
  <c r="X100" i="2" s="1"/>
  <c r="N100" i="2" l="1"/>
  <c r="O100" i="2" s="1"/>
  <c r="P100" i="2" s="1"/>
  <c r="R100" i="2" s="1"/>
  <c r="T100" i="2" s="1"/>
  <c r="Q101" i="2" s="1"/>
  <c r="X101" i="2" s="1"/>
  <c r="W100" i="2" l="1"/>
  <c r="N101" i="2"/>
  <c r="O101" i="2" s="1"/>
  <c r="P101" i="2" s="1"/>
  <c r="W101" i="2" l="1"/>
  <c r="R101" i="2"/>
  <c r="T101" i="2" s="1"/>
  <c r="Q102" i="2" s="1"/>
  <c r="X102" i="2" s="1"/>
  <c r="N102" i="2" l="1"/>
  <c r="W102" i="2" s="1"/>
  <c r="O102" i="2" l="1"/>
  <c r="P102" i="2" s="1"/>
  <c r="R102" i="2" s="1"/>
  <c r="T102" i="2" s="1"/>
  <c r="Q103" i="2" s="1"/>
  <c r="X103" i="2" s="1"/>
  <c r="N103" i="2" l="1"/>
  <c r="O103" i="2" l="1"/>
  <c r="P103" i="2" s="1"/>
  <c r="W103" i="2"/>
  <c r="R103" i="2" l="1"/>
  <c r="T103" i="2" s="1"/>
  <c r="Q104" i="2" s="1"/>
  <c r="X104" i="2" s="1"/>
  <c r="N104" i="2" l="1"/>
  <c r="W104" i="2" s="1"/>
  <c r="O104" i="2" l="1"/>
  <c r="P104" i="2" s="1"/>
  <c r="R104" i="2" s="1"/>
  <c r="T104" i="2" s="1"/>
  <c r="Q105" i="2" s="1"/>
  <c r="X105" i="2" s="1"/>
  <c r="N105" i="2" l="1"/>
  <c r="W105" i="2" s="1"/>
  <c r="O105" i="2" l="1"/>
  <c r="P105" i="2" s="1"/>
  <c r="R105" i="2" s="1"/>
  <c r="T105" i="2" s="1"/>
  <c r="Q106" i="2" s="1"/>
  <c r="X106" i="2" s="1"/>
  <c r="N106" i="2" l="1"/>
  <c r="W106" i="2" s="1"/>
  <c r="O106" i="2" l="1"/>
  <c r="P106" i="2" s="1"/>
  <c r="R106" i="2" s="1"/>
  <c r="T106" i="2" s="1"/>
  <c r="Q107" i="2" s="1"/>
  <c r="X107" i="2" s="1"/>
  <c r="N107" i="2" l="1"/>
  <c r="O107" i="2" l="1"/>
  <c r="P107" i="2" s="1"/>
  <c r="R107" i="2" s="1"/>
  <c r="T107" i="2" s="1"/>
  <c r="Q108" i="2" s="1"/>
  <c r="X108" i="2" s="1"/>
  <c r="W107" i="2"/>
  <c r="N108" i="2" l="1"/>
  <c r="O108" i="2" s="1"/>
  <c r="P108" i="2" s="1"/>
  <c r="W108" i="2" l="1"/>
  <c r="R108" i="2"/>
  <c r="T108" i="2" s="1"/>
  <c r="Q109" i="2" s="1"/>
  <c r="X109" i="2" s="1"/>
  <c r="N109" i="2" l="1"/>
  <c r="W109" i="2" s="1"/>
  <c r="O109" i="2" l="1"/>
  <c r="P109" i="2" s="1"/>
  <c r="R109" i="2" s="1"/>
  <c r="T109" i="2" s="1"/>
  <c r="Q110" i="2" s="1"/>
  <c r="X110" i="2" s="1"/>
  <c r="N110" i="2" l="1"/>
  <c r="O110" i="2" s="1"/>
  <c r="P110" i="2" s="1"/>
  <c r="W110" i="2" l="1"/>
  <c r="R110" i="2"/>
  <c r="T110" i="2" s="1"/>
  <c r="Q111" i="2" s="1"/>
  <c r="X111" i="2" s="1"/>
  <c r="N111" i="2" l="1"/>
  <c r="O111" i="2" s="1"/>
  <c r="P111" i="2" s="1"/>
  <c r="W111" i="2" l="1"/>
  <c r="R111" i="2"/>
  <c r="T111" i="2" s="1"/>
  <c r="Q112" i="2" s="1"/>
  <c r="X112" i="2" s="1"/>
  <c r="N112" i="2" l="1"/>
  <c r="W112" i="2" s="1"/>
  <c r="O112" i="2" l="1"/>
  <c r="P112" i="2" s="1"/>
  <c r="R112" i="2" s="1"/>
  <c r="T112" i="2" s="1"/>
  <c r="Q113" i="2" s="1"/>
  <c r="X113" i="2" s="1"/>
  <c r="N113" i="2" l="1"/>
  <c r="W113" i="2" s="1"/>
  <c r="O113" i="2" l="1"/>
  <c r="P113" i="2" s="1"/>
  <c r="R113" i="2" s="1"/>
  <c r="T113" i="2" s="1"/>
  <c r="Q114" i="2" s="1"/>
  <c r="X114" i="2" s="1"/>
  <c r="N114" i="2" l="1"/>
  <c r="O114" i="2" s="1"/>
  <c r="P114" i="2" s="1"/>
  <c r="R114" i="2" s="1"/>
  <c r="T114" i="2" s="1"/>
  <c r="Q115" i="2" s="1"/>
  <c r="X115" i="2" s="1"/>
  <c r="N115" i="2" l="1"/>
  <c r="W115" i="2" s="1"/>
  <c r="W114" i="2"/>
  <c r="O115" i="2" l="1"/>
  <c r="P115" i="2" s="1"/>
  <c r="R115" i="2" s="1"/>
  <c r="T115" i="2" s="1"/>
  <c r="Q116" i="2" s="1"/>
  <c r="X116" i="2" s="1"/>
  <c r="N116" i="2" l="1"/>
  <c r="O116" i="2" s="1"/>
  <c r="P116" i="2" s="1"/>
  <c r="W116" i="2" l="1"/>
  <c r="R116" i="2"/>
  <c r="T116" i="2" s="1"/>
  <c r="Q117" i="2" s="1"/>
  <c r="N117" i="2" l="1"/>
  <c r="O117" i="2" s="1"/>
  <c r="P117" i="2" s="1"/>
  <c r="R117" i="2" s="1"/>
  <c r="T117" i="2" s="1"/>
  <c r="Q118" i="2" s="1"/>
  <c r="X118" i="2" s="1"/>
  <c r="X117" i="2"/>
  <c r="W117" i="2" l="1"/>
  <c r="N118" i="2"/>
  <c r="O118" i="2" s="1"/>
  <c r="P118" i="2" s="1"/>
  <c r="W118" i="2" l="1"/>
  <c r="R118" i="2"/>
  <c r="T118" i="2" s="1"/>
  <c r="Q119" i="2" s="1"/>
  <c r="X119" i="2" s="1"/>
  <c r="N119" i="2" l="1"/>
  <c r="W119" i="2" s="1"/>
  <c r="O119" i="2" l="1"/>
  <c r="P119" i="2" s="1"/>
  <c r="R119" i="2" s="1"/>
  <c r="T119" i="2" s="1"/>
  <c r="Q120" i="2" s="1"/>
  <c r="X120" i="2" s="1"/>
  <c r="N120" i="2" l="1"/>
  <c r="W120" i="2" s="1"/>
  <c r="O120" i="2" l="1"/>
  <c r="P120" i="2" s="1"/>
  <c r="R120" i="2" s="1"/>
  <c r="T120" i="2" s="1"/>
  <c r="Q121" i="2" s="1"/>
  <c r="X121" i="2" s="1"/>
  <c r="N121" i="2" l="1"/>
  <c r="O121" i="2" s="1"/>
  <c r="P121" i="2" s="1"/>
  <c r="R121" i="2" s="1"/>
  <c r="T121" i="2" s="1"/>
  <c r="Q122" i="2" s="1"/>
  <c r="X122" i="2" s="1"/>
  <c r="N122" i="2" l="1"/>
  <c r="O122" i="2" s="1"/>
  <c r="P122" i="2" s="1"/>
  <c r="R122" i="2" s="1"/>
  <c r="T122" i="2" s="1"/>
  <c r="Q123" i="2" s="1"/>
  <c r="X123" i="2" s="1"/>
  <c r="W121" i="2"/>
  <c r="W122" i="2" l="1"/>
  <c r="N123" i="2"/>
  <c r="W123" i="2" s="1"/>
  <c r="O123" i="2" l="1"/>
  <c r="P123" i="2" s="1"/>
  <c r="R123" i="2" s="1"/>
  <c r="T123" i="2" s="1"/>
  <c r="Q124" i="2" s="1"/>
  <c r="X124" i="2" s="1"/>
  <c r="N124" i="2" l="1"/>
  <c r="O124" i="2" s="1"/>
  <c r="P124" i="2" s="1"/>
  <c r="R124" i="2" s="1"/>
  <c r="T124" i="2" s="1"/>
  <c r="Q125" i="2" s="1"/>
  <c r="X125" i="2" s="1"/>
  <c r="W124" i="2" l="1"/>
  <c r="N125" i="2"/>
  <c r="O125" i="2" s="1"/>
  <c r="P125" i="2" s="1"/>
  <c r="R125" i="2" s="1"/>
  <c r="T125" i="2" s="1"/>
  <c r="Q126" i="2" s="1"/>
  <c r="X126" i="2" s="1"/>
  <c r="N126" i="2" l="1"/>
  <c r="W126" i="2" s="1"/>
  <c r="W125" i="2"/>
  <c r="O126" i="2" l="1"/>
  <c r="P126" i="2" s="1"/>
  <c r="R126" i="2" s="1"/>
  <c r="T126" i="2" s="1"/>
  <c r="Q127" i="2" s="1"/>
  <c r="X127" i="2" s="1"/>
  <c r="N127" i="2" l="1"/>
  <c r="W127" i="2" s="1"/>
  <c r="O127" i="2" l="1"/>
  <c r="P127" i="2" s="1"/>
  <c r="R127" i="2" s="1"/>
  <c r="T127" i="2" s="1"/>
  <c r="Q128" i="2" s="1"/>
  <c r="X128" i="2" s="1"/>
  <c r="N128" i="2" l="1"/>
  <c r="O128" i="2" s="1"/>
  <c r="P128" i="2" s="1"/>
  <c r="R128" i="2" s="1"/>
  <c r="T128" i="2" s="1"/>
  <c r="Q129" i="2" s="1"/>
  <c r="X129" i="2" s="1"/>
  <c r="W128" i="2" l="1"/>
  <c r="N129" i="2"/>
  <c r="W129" i="2" s="1"/>
  <c r="O129" i="2" l="1"/>
  <c r="P129" i="2" s="1"/>
  <c r="R129" i="2" s="1"/>
  <c r="T129" i="2" s="1"/>
  <c r="Q130" i="2" s="1"/>
  <c r="X130" i="2" s="1"/>
  <c r="N130" i="2" l="1"/>
  <c r="O130" i="2" s="1"/>
  <c r="P130" i="2" s="1"/>
  <c r="R130" i="2" s="1"/>
  <c r="T130" i="2" s="1"/>
  <c r="Q131" i="2" s="1"/>
  <c r="X131" i="2" s="1"/>
  <c r="W130" i="2" l="1"/>
  <c r="N131" i="2"/>
  <c r="W131" i="2" s="1"/>
  <c r="O131" i="2" l="1"/>
  <c r="P131" i="2" s="1"/>
  <c r="R131" i="2" s="1"/>
  <c r="T131" i="2" s="1"/>
  <c r="Q132" i="2" s="1"/>
  <c r="X132" i="2" s="1"/>
  <c r="N132" i="2" l="1"/>
  <c r="W132" i="2" s="1"/>
  <c r="O132" i="2" l="1"/>
  <c r="P132" i="2" s="1"/>
  <c r="R132" i="2" s="1"/>
  <c r="T132" i="2" s="1"/>
  <c r="Q133" i="2" s="1"/>
  <c r="X133" i="2" s="1"/>
  <c r="N133" i="2" l="1"/>
  <c r="O133" i="2" s="1"/>
  <c r="P133" i="2" s="1"/>
  <c r="R133" i="2" s="1"/>
  <c r="T133" i="2" s="1"/>
  <c r="Q134" i="2" s="1"/>
  <c r="X134" i="2" s="1"/>
  <c r="W133" i="2" l="1"/>
  <c r="N134" i="2"/>
  <c r="O134" i="2" s="1"/>
  <c r="P134" i="2" s="1"/>
  <c r="R134" i="2" s="1"/>
  <c r="T134" i="2" s="1"/>
  <c r="Q135" i="2" s="1"/>
  <c r="X135" i="2" s="1"/>
  <c r="W134" i="2" l="1"/>
  <c r="N135" i="2"/>
  <c r="O135" i="2" s="1"/>
  <c r="P135" i="2" s="1"/>
  <c r="R135" i="2" s="1"/>
  <c r="T135" i="2" s="1"/>
  <c r="Q136" i="2" s="1"/>
  <c r="X136" i="2" s="1"/>
  <c r="W135" i="2" l="1"/>
  <c r="N136" i="2"/>
  <c r="O136" i="2" s="1"/>
  <c r="P136" i="2" s="1"/>
  <c r="R136" i="2" s="1"/>
  <c r="T136" i="2" s="1"/>
  <c r="Q137" i="2" s="1"/>
  <c r="X137" i="2" s="1"/>
  <c r="W136" i="2" l="1"/>
  <c r="N137" i="2"/>
  <c r="W137" i="2" s="1"/>
  <c r="O137" i="2" l="1"/>
  <c r="P137" i="2" s="1"/>
  <c r="R137" i="2" s="1"/>
  <c r="T137" i="2" s="1"/>
  <c r="Q138" i="2" s="1"/>
  <c r="X138" i="2" s="1"/>
  <c r="N138" i="2" l="1"/>
  <c r="O138" i="2" s="1"/>
  <c r="P138" i="2" s="1"/>
  <c r="R138" i="2" s="1"/>
  <c r="T138" i="2" s="1"/>
  <c r="Q139" i="2" s="1"/>
  <c r="X139" i="2" s="1"/>
  <c r="W138" i="2" l="1"/>
  <c r="N139" i="2"/>
  <c r="O139" i="2" s="1"/>
  <c r="P139" i="2" s="1"/>
  <c r="R139" i="2" s="1"/>
  <c r="T139" i="2" s="1"/>
  <c r="Q140" i="2" s="1"/>
  <c r="X140" i="2" s="1"/>
  <c r="W139" i="2" l="1"/>
  <c r="N140" i="2"/>
  <c r="W140" i="2" s="1"/>
  <c r="O140" i="2" l="1"/>
  <c r="P140" i="2" s="1"/>
  <c r="R140" i="2" l="1"/>
  <c r="T140" i="2" s="1"/>
  <c r="Q141" i="2" s="1"/>
  <c r="X141" i="2" s="1"/>
  <c r="N141" i="2" l="1"/>
  <c r="O141" i="2" s="1"/>
  <c r="P141" i="2" s="1"/>
  <c r="R141" i="2" s="1"/>
  <c r="T141" i="2" s="1"/>
  <c r="Q142" i="2" s="1"/>
  <c r="X142" i="2" s="1"/>
  <c r="W141" i="2" l="1"/>
  <c r="N142" i="2"/>
  <c r="O142" i="2" s="1"/>
  <c r="P142" i="2" s="1"/>
  <c r="W142" i="2" l="1"/>
  <c r="R142" i="2"/>
  <c r="T142" i="2" s="1"/>
  <c r="Q143" i="2" s="1"/>
  <c r="X143" i="2" s="1"/>
  <c r="N143" i="2" l="1"/>
  <c r="O143" i="2" s="1"/>
  <c r="P143" i="2" s="1"/>
  <c r="R143" i="2" s="1"/>
  <c r="T143" i="2" s="1"/>
  <c r="Q144" i="2" s="1"/>
  <c r="X144" i="2" s="1"/>
  <c r="W143" i="2" l="1"/>
  <c r="N144" i="2"/>
  <c r="W144" i="2" s="1"/>
  <c r="O144" i="2" l="1"/>
  <c r="P144" i="2" s="1"/>
  <c r="R144" i="2" s="1"/>
  <c r="T144" i="2" s="1"/>
  <c r="Q145" i="2" s="1"/>
  <c r="X145" i="2" s="1"/>
  <c r="N145" i="2" l="1"/>
  <c r="O145" i="2" s="1"/>
  <c r="P145" i="2" s="1"/>
  <c r="R145" i="2" s="1"/>
  <c r="T145" i="2" s="1"/>
  <c r="Q146" i="2" s="1"/>
  <c r="X146" i="2" s="1"/>
  <c r="W145" i="2" l="1"/>
  <c r="N146" i="2"/>
  <c r="W146" i="2" s="1"/>
  <c r="O146" i="2" l="1"/>
  <c r="P146" i="2" s="1"/>
  <c r="R146" i="2" s="1"/>
  <c r="T146" i="2" s="1"/>
  <c r="Q147" i="2" s="1"/>
  <c r="X147" i="2" s="1"/>
  <c r="N147" i="2" l="1"/>
  <c r="W147" i="2" s="1"/>
  <c r="O147" i="2" l="1"/>
  <c r="P147" i="2" s="1"/>
  <c r="R147" i="2" s="1"/>
  <c r="T147" i="2" s="1"/>
  <c r="Q148" i="2" s="1"/>
  <c r="X148" i="2" s="1"/>
  <c r="N148" i="2" l="1"/>
  <c r="W148" i="2" s="1"/>
  <c r="O148" i="2" l="1"/>
  <c r="P148" i="2" s="1"/>
  <c r="R148" i="2" s="1"/>
  <c r="T148" i="2" s="1"/>
  <c r="Q149" i="2" s="1"/>
  <c r="X149" i="2" s="1"/>
  <c r="N149" i="2" l="1"/>
  <c r="W149" i="2" s="1"/>
  <c r="O149" i="2" l="1"/>
  <c r="P149" i="2" s="1"/>
  <c r="R149" i="2" s="1"/>
  <c r="T149" i="2" s="1"/>
  <c r="Q150" i="2" s="1"/>
  <c r="X150" i="2" s="1"/>
  <c r="N150" i="2" l="1"/>
  <c r="O150" i="2" s="1"/>
  <c r="P150" i="2" s="1"/>
  <c r="W150" i="2" l="1"/>
  <c r="R150" i="2"/>
  <c r="T150" i="2" s="1"/>
  <c r="Q151" i="2" s="1"/>
  <c r="X151" i="2" s="1"/>
  <c r="N151" i="2" l="1"/>
  <c r="W151" i="2" s="1"/>
  <c r="O151" i="2" l="1"/>
  <c r="P151" i="2" s="1"/>
  <c r="R151" i="2" s="1"/>
  <c r="T151" i="2" s="1"/>
  <c r="Q152" i="2" s="1"/>
  <c r="X152" i="2" s="1"/>
  <c r="N152" i="2" l="1"/>
  <c r="W152" i="2" s="1"/>
  <c r="O152" i="2" l="1"/>
  <c r="P152" i="2" s="1"/>
  <c r="R152" i="2" s="1"/>
  <c r="T152" i="2" s="1"/>
  <c r="Q153" i="2" s="1"/>
  <c r="X153" i="2" s="1"/>
  <c r="N153" i="2" l="1"/>
  <c r="W153" i="2" s="1"/>
  <c r="O153" i="2" l="1"/>
  <c r="P153" i="2" s="1"/>
  <c r="R153" i="2" s="1"/>
  <c r="T153" i="2" s="1"/>
  <c r="Q154" i="2" s="1"/>
  <c r="X154" i="2" s="1"/>
  <c r="N154" i="2" l="1"/>
  <c r="W154" i="2" l="1"/>
  <c r="O154" i="2"/>
  <c r="P154" i="2" s="1"/>
  <c r="R154" i="2" l="1"/>
  <c r="T154" i="2" s="1"/>
  <c r="Q155" i="2" s="1"/>
  <c r="X155" i="2" s="1"/>
  <c r="N155" i="2" l="1"/>
  <c r="O155" i="2" l="1"/>
  <c r="P155" i="2" s="1"/>
  <c r="R155" i="2" s="1"/>
  <c r="T155" i="2" s="1"/>
  <c r="Q156" i="2" s="1"/>
  <c r="X156" i="2" s="1"/>
  <c r="W155" i="2"/>
  <c r="N156" i="2" l="1"/>
  <c r="O156" i="2" s="1"/>
  <c r="P156" i="2" s="1"/>
  <c r="W156" i="2" l="1"/>
  <c r="R156" i="2"/>
  <c r="T156" i="2" s="1"/>
  <c r="Q157" i="2" s="1"/>
  <c r="X157" i="2" s="1"/>
  <c r="N157" i="2" l="1"/>
  <c r="W157" i="2" s="1"/>
  <c r="O157" i="2" l="1"/>
  <c r="P157" i="2" s="1"/>
  <c r="R157" i="2" s="1"/>
  <c r="T157" i="2" s="1"/>
  <c r="Q158" i="2" s="1"/>
  <c r="X158" i="2" s="1"/>
  <c r="N158" i="2" l="1"/>
  <c r="O158" i="2" s="1"/>
  <c r="P158" i="2" s="1"/>
  <c r="W158" i="2" l="1"/>
  <c r="R158" i="2"/>
  <c r="T158" i="2" s="1"/>
  <c r="Q159" i="2" s="1"/>
  <c r="X159" i="2" s="1"/>
  <c r="N159" i="2" l="1"/>
  <c r="O159" i="2" s="1"/>
  <c r="P159" i="2" s="1"/>
  <c r="W159" i="2" l="1"/>
  <c r="R159" i="2"/>
  <c r="T159" i="2" s="1"/>
  <c r="Q160" i="2" s="1"/>
  <c r="X160" i="2" s="1"/>
  <c r="N160" i="2" l="1"/>
  <c r="O160" i="2" l="1"/>
  <c r="P160" i="2" s="1"/>
  <c r="W160" i="2"/>
  <c r="R160" i="2" l="1"/>
  <c r="T160" i="2" s="1"/>
  <c r="Q161" i="2" s="1"/>
  <c r="X161" i="2" s="1"/>
  <c r="N161" i="2" l="1"/>
  <c r="O161" i="2" l="1"/>
  <c r="P161" i="2" s="1"/>
  <c r="R161" i="2" s="1"/>
  <c r="T161" i="2" s="1"/>
  <c r="Q162" i="2" s="1"/>
  <c r="X162" i="2" s="1"/>
  <c r="W161" i="2"/>
  <c r="N162" i="2" l="1"/>
  <c r="O162" i="2" s="1"/>
  <c r="P162" i="2" s="1"/>
  <c r="R162" i="2" s="1"/>
  <c r="T162" i="2" s="1"/>
  <c r="Q163" i="2" s="1"/>
  <c r="X163" i="2" s="1"/>
  <c r="W162" i="2" l="1"/>
  <c r="N163" i="2"/>
  <c r="O163" i="2" l="1"/>
  <c r="P163" i="2" s="1"/>
  <c r="R163" i="2" s="1"/>
  <c r="T163" i="2" s="1"/>
  <c r="Q164" i="2" s="1"/>
  <c r="X164" i="2" s="1"/>
  <c r="W163" i="2"/>
  <c r="N164" i="2" l="1"/>
  <c r="O164" i="2" s="1"/>
  <c r="P164" i="2" s="1"/>
  <c r="R164" i="2" s="1"/>
  <c r="T164" i="2" s="1"/>
  <c r="Q165" i="2" s="1"/>
  <c r="X165" i="2" s="1"/>
  <c r="W164" i="2" l="1"/>
  <c r="N165" i="2"/>
  <c r="W165" i="2" s="1"/>
  <c r="O165" i="2" l="1"/>
  <c r="P165" i="2" s="1"/>
  <c r="R165" i="2" l="1"/>
  <c r="T165" i="2" s="1"/>
  <c r="Q166" i="2" s="1"/>
  <c r="X166" i="2" s="1"/>
  <c r="N166" i="2" l="1"/>
  <c r="W166" i="2" l="1"/>
  <c r="O166" i="2"/>
  <c r="P166" i="2" s="1"/>
  <c r="R166" i="2" l="1"/>
  <c r="T166" i="2" s="1"/>
  <c r="Q167" i="2" s="1"/>
  <c r="X167" i="2" s="1"/>
  <c r="N167" i="2" l="1"/>
  <c r="O167" i="2" l="1"/>
  <c r="P167" i="2" s="1"/>
  <c r="R167" i="2" s="1"/>
  <c r="T167" i="2" s="1"/>
  <c r="Q168" i="2" s="1"/>
  <c r="X168" i="2" s="1"/>
  <c r="W167" i="2"/>
  <c r="N168" i="2" l="1"/>
  <c r="O168" i="2" s="1"/>
  <c r="P168" i="2" s="1"/>
  <c r="R168" i="2" s="1"/>
  <c r="T168" i="2" s="1"/>
  <c r="Q169" i="2" s="1"/>
  <c r="X169" i="2" s="1"/>
  <c r="W168" i="2" l="1"/>
  <c r="N169" i="2"/>
  <c r="O169" i="2" s="1"/>
  <c r="P169" i="2" s="1"/>
  <c r="W169" i="2" l="1"/>
  <c r="R169" i="2"/>
  <c r="T169" i="2" s="1"/>
  <c r="Q170" i="2" s="1"/>
  <c r="X170" i="2" s="1"/>
  <c r="N170" i="2" l="1"/>
  <c r="O170" i="2" s="1"/>
  <c r="P170" i="2" s="1"/>
  <c r="R170" i="2" s="1"/>
  <c r="T170" i="2" s="1"/>
  <c r="Q171" i="2" s="1"/>
  <c r="X171" i="2" s="1"/>
  <c r="W170" i="2" l="1"/>
  <c r="N171" i="2"/>
  <c r="O171" i="2" s="1"/>
  <c r="P171" i="2" s="1"/>
  <c r="W171" i="2" l="1"/>
  <c r="R171" i="2"/>
  <c r="T171" i="2" s="1"/>
  <c r="Q172" i="2" s="1"/>
  <c r="X172" i="2" s="1"/>
  <c r="N172" i="2" l="1"/>
  <c r="O172" i="2" s="1"/>
  <c r="P172" i="2" s="1"/>
  <c r="R172" i="2" s="1"/>
  <c r="T172" i="2" s="1"/>
  <c r="Q173" i="2" s="1"/>
  <c r="X173" i="2" s="1"/>
  <c r="W172" i="2" l="1"/>
  <c r="N173" i="2"/>
  <c r="O173" i="2" l="1"/>
  <c r="P173" i="2" s="1"/>
  <c r="R173" i="2" s="1"/>
  <c r="T173" i="2" s="1"/>
  <c r="Q174" i="2" s="1"/>
  <c r="X174" i="2" s="1"/>
  <c r="W173" i="2"/>
  <c r="N174" i="2" l="1"/>
  <c r="O174" i="2" s="1"/>
  <c r="P174" i="2" s="1"/>
  <c r="W174" i="2" l="1"/>
  <c r="R174" i="2"/>
  <c r="T174" i="2" s="1"/>
  <c r="Q175" i="2" s="1"/>
  <c r="X175" i="2" s="1"/>
  <c r="N175" i="2" l="1"/>
  <c r="O175" i="2" l="1"/>
  <c r="P175" i="2" s="1"/>
  <c r="W175" i="2"/>
  <c r="R175" i="2" l="1"/>
  <c r="T175" i="2" s="1"/>
  <c r="Q176" i="2" s="1"/>
  <c r="X176" i="2" s="1"/>
  <c r="N176" i="2" l="1"/>
  <c r="O176" i="2" s="1"/>
  <c r="P176" i="2" s="1"/>
  <c r="W176" i="2" l="1"/>
  <c r="R176" i="2"/>
  <c r="T176" i="2" s="1"/>
  <c r="Q177" i="2" s="1"/>
  <c r="X177" i="2" s="1"/>
  <c r="N177" i="2" l="1"/>
  <c r="O177" i="2" s="1"/>
  <c r="P177" i="2" s="1"/>
  <c r="W177" i="2" l="1"/>
  <c r="R177" i="2"/>
  <c r="T177" i="2" s="1"/>
  <c r="Q178" i="2" s="1"/>
  <c r="X178" i="2" s="1"/>
  <c r="N178" i="2" l="1"/>
  <c r="O178" i="2" s="1"/>
  <c r="P178" i="2" s="1"/>
  <c r="R178" i="2" s="1"/>
  <c r="T178" i="2" s="1"/>
  <c r="Q179" i="2" s="1"/>
  <c r="X179" i="2" s="1"/>
  <c r="W178" i="2" l="1"/>
  <c r="N179" i="2"/>
  <c r="W179" i="2" s="1"/>
  <c r="O179" i="2" l="1"/>
  <c r="P179" i="2" s="1"/>
  <c r="R179" i="2" s="1"/>
  <c r="T179" i="2" s="1"/>
  <c r="Q180" i="2" s="1"/>
  <c r="X180" i="2" s="1"/>
  <c r="N180" i="2" l="1"/>
  <c r="W180" i="2" s="1"/>
  <c r="O180" i="2" l="1"/>
  <c r="P180" i="2" s="1"/>
  <c r="R180" i="2" s="1"/>
  <c r="T180" i="2" s="1"/>
  <c r="Q181" i="2" s="1"/>
  <c r="X181" i="2" s="1"/>
  <c r="N181" i="2" l="1"/>
  <c r="W181" i="2" s="1"/>
  <c r="O181" i="2" l="1"/>
  <c r="P181" i="2" s="1"/>
  <c r="R181" i="2" s="1"/>
  <c r="T181" i="2" s="1"/>
  <c r="Q182" i="2" s="1"/>
  <c r="X182" i="2" s="1"/>
  <c r="N182" i="2" l="1"/>
  <c r="O182" i="2" s="1"/>
  <c r="P182" i="2" s="1"/>
  <c r="R182" i="2" s="1"/>
  <c r="T182" i="2" s="1"/>
  <c r="Q183" i="2" s="1"/>
  <c r="X183" i="2" s="1"/>
  <c r="W182" i="2" l="1"/>
  <c r="N183" i="2"/>
  <c r="O183" i="2" l="1"/>
  <c r="P183" i="2" s="1"/>
  <c r="R183" i="2" s="1"/>
  <c r="T183" i="2" s="1"/>
  <c r="Q184" i="2" s="1"/>
  <c r="X184" i="2" s="1"/>
  <c r="W183" i="2"/>
  <c r="N184" i="2" l="1"/>
  <c r="O184" i="2" l="1"/>
  <c r="P184" i="2" s="1"/>
  <c r="W184" i="2"/>
  <c r="R184" i="2" l="1"/>
  <c r="T184" i="2" s="1"/>
  <c r="Q185" i="2" s="1"/>
  <c r="X185" i="2" s="1"/>
  <c r="N185" i="2" l="1"/>
  <c r="W185" i="2" s="1"/>
  <c r="O185" i="2" l="1"/>
  <c r="P185" i="2" s="1"/>
  <c r="R185" i="2" s="1"/>
  <c r="T185" i="2" s="1"/>
  <c r="Q186" i="2" s="1"/>
  <c r="X186" i="2" s="1"/>
  <c r="N186" i="2" l="1"/>
  <c r="W186" i="2" s="1"/>
  <c r="O186" i="2" l="1"/>
  <c r="P186" i="2" s="1"/>
  <c r="R186" i="2" s="1"/>
  <c r="T186" i="2" s="1"/>
  <c r="Q187" i="2" s="1"/>
  <c r="X187" i="2" s="1"/>
  <c r="N187" i="2" l="1"/>
  <c r="W187" i="2" s="1"/>
  <c r="O187" i="2" l="1"/>
  <c r="P187" i="2" s="1"/>
  <c r="R187" i="2" s="1"/>
  <c r="T187" i="2" s="1"/>
  <c r="Q188" i="2" s="1"/>
  <c r="X188" i="2" s="1"/>
  <c r="N188" i="2" l="1"/>
  <c r="W188" i="2" s="1"/>
  <c r="O188" i="2" l="1"/>
  <c r="P188" i="2" s="1"/>
  <c r="R188" i="2" s="1"/>
  <c r="T188" i="2" s="1"/>
  <c r="Q189" i="2" s="1"/>
  <c r="X189" i="2" s="1"/>
  <c r="N189" i="2" l="1"/>
  <c r="O189" i="2" s="1"/>
  <c r="P189" i="2" s="1"/>
  <c r="W189" i="2" l="1"/>
  <c r="R189" i="2"/>
  <c r="T189" i="2" s="1"/>
  <c r="Q190" i="2" s="1"/>
  <c r="X190" i="2" s="1"/>
  <c r="N190" i="2" l="1"/>
  <c r="W190" i="2" l="1"/>
  <c r="O190" i="2"/>
  <c r="P190" i="2" s="1"/>
  <c r="R190" i="2" s="1"/>
  <c r="T190" i="2" s="1"/>
  <c r="Q191" i="2" s="1"/>
  <c r="X191" i="2" s="1"/>
  <c r="N191" i="2" l="1"/>
  <c r="O191" i="2" s="1"/>
  <c r="P191" i="2" s="1"/>
  <c r="W191" i="2" l="1"/>
  <c r="R191" i="2"/>
  <c r="T191" i="2" s="1"/>
  <c r="Q192" i="2" s="1"/>
  <c r="X192" i="2" s="1"/>
  <c r="N192" i="2" l="1"/>
  <c r="O192" i="2" s="1"/>
  <c r="P192" i="2" s="1"/>
  <c r="R192" i="2" s="1"/>
  <c r="T192" i="2" s="1"/>
  <c r="Q193" i="2" s="1"/>
  <c r="X193" i="2" s="1"/>
  <c r="W192" i="2" l="1"/>
  <c r="N193" i="2"/>
  <c r="O193" i="2" s="1"/>
  <c r="P193" i="2" s="1"/>
  <c r="R193" i="2" s="1"/>
  <c r="T193" i="2" s="1"/>
  <c r="Q194" i="2" s="1"/>
  <c r="X194" i="2" s="1"/>
  <c r="W193" i="2" l="1"/>
  <c r="N194" i="2"/>
  <c r="W194" i="2" s="1"/>
  <c r="O194" i="2" l="1"/>
  <c r="P194" i="2" s="1"/>
  <c r="R194" i="2" s="1"/>
  <c r="T194" i="2" s="1"/>
  <c r="Q195" i="2" s="1"/>
  <c r="X195" i="2" s="1"/>
  <c r="N195" i="2" l="1"/>
  <c r="O195" i="2" s="1"/>
  <c r="P195" i="2" s="1"/>
  <c r="R195" i="2" s="1"/>
  <c r="T195" i="2" s="1"/>
  <c r="Q196" i="2" s="1"/>
  <c r="X196" i="2" s="1"/>
  <c r="W195" i="2" l="1"/>
  <c r="N196" i="2"/>
  <c r="O196" i="2" l="1"/>
  <c r="P196" i="2" s="1"/>
  <c r="R196" i="2" s="1"/>
  <c r="T196" i="2" s="1"/>
  <c r="Q197" i="2" s="1"/>
  <c r="X197" i="2" s="1"/>
  <c r="W196" i="2"/>
  <c r="N197" i="2" l="1"/>
  <c r="O197" i="2" s="1"/>
  <c r="P197" i="2" s="1"/>
  <c r="R197" i="2" s="1"/>
  <c r="T197" i="2" s="1"/>
  <c r="Q198" i="2" s="1"/>
  <c r="X198" i="2" s="1"/>
  <c r="W197" i="2" l="1"/>
  <c r="N198" i="2"/>
  <c r="W198" i="2" l="1"/>
  <c r="O198" i="2"/>
  <c r="P198" i="2" s="1"/>
  <c r="R198" i="2" s="1"/>
  <c r="T198" i="2" s="1"/>
  <c r="Q199" i="2" s="1"/>
  <c r="X199" i="2" s="1"/>
  <c r="N199" i="2" l="1"/>
  <c r="O199" i="2" s="1"/>
  <c r="P199" i="2" s="1"/>
  <c r="R199" i="2" s="1"/>
  <c r="T199" i="2" s="1"/>
  <c r="Q200" i="2" s="1"/>
  <c r="X200" i="2" s="1"/>
  <c r="W199" i="2" l="1"/>
  <c r="N200" i="2"/>
  <c r="W200" i="2" s="1"/>
  <c r="O200" i="2" l="1"/>
  <c r="P200" i="2" s="1"/>
  <c r="R200" i="2" s="1"/>
  <c r="T200" i="2" s="1"/>
  <c r="Q201" i="2" s="1"/>
  <c r="X201" i="2" s="1"/>
  <c r="N201" i="2" l="1"/>
  <c r="W201" i="2" s="1"/>
  <c r="O201" i="2" l="1"/>
  <c r="P201" i="2" s="1"/>
  <c r="R201" i="2" s="1"/>
  <c r="T201" i="2" s="1"/>
  <c r="Q202" i="2" s="1"/>
  <c r="X202" i="2" s="1"/>
  <c r="N202" i="2" l="1"/>
  <c r="W202" i="2" s="1"/>
  <c r="O202" i="2" l="1"/>
  <c r="P202" i="2" s="1"/>
  <c r="R202" i="2" s="1"/>
  <c r="T202" i="2" s="1"/>
  <c r="Q203" i="2" s="1"/>
  <c r="X203" i="2" s="1"/>
  <c r="N203" i="2" l="1"/>
  <c r="O203" i="2" s="1"/>
  <c r="P203" i="2" s="1"/>
  <c r="R203" i="2" s="1"/>
  <c r="T203" i="2" s="1"/>
  <c r="Q204" i="2" s="1"/>
  <c r="X204" i="2" s="1"/>
  <c r="W203" i="2" l="1"/>
  <c r="N204" i="2"/>
  <c r="O204" i="2" s="1"/>
  <c r="P204" i="2" s="1"/>
  <c r="R204" i="2" s="1"/>
  <c r="T204" i="2" s="1"/>
  <c r="Q205" i="2" s="1"/>
  <c r="X205" i="2" s="1"/>
  <c r="W204" i="2" l="1"/>
  <c r="N205" i="2"/>
  <c r="O205" i="2" s="1"/>
  <c r="P205" i="2" s="1"/>
  <c r="W205" i="2" l="1"/>
  <c r="R205" i="2"/>
  <c r="T205" i="2" s="1"/>
  <c r="Q206" i="2" s="1"/>
  <c r="X206" i="2" s="1"/>
  <c r="N206" i="2" l="1"/>
  <c r="O206" i="2" s="1"/>
  <c r="P206" i="2" s="1"/>
  <c r="W206" i="2" l="1"/>
  <c r="R206" i="2"/>
  <c r="T206" i="2" s="1"/>
  <c r="Q207" i="2" s="1"/>
  <c r="X207" i="2" s="1"/>
  <c r="N207" i="2" l="1"/>
  <c r="O207" i="2" s="1"/>
  <c r="P207" i="2" s="1"/>
  <c r="W207" i="2" l="1"/>
  <c r="R207" i="2"/>
  <c r="T207" i="2" s="1"/>
  <c r="Q208" i="2" s="1"/>
  <c r="X208" i="2" s="1"/>
  <c r="N208" i="2" l="1"/>
  <c r="O208" i="2" s="1"/>
  <c r="P208" i="2" s="1"/>
  <c r="W208" i="2" l="1"/>
  <c r="R208" i="2"/>
  <c r="T208" i="2" s="1"/>
  <c r="Q209" i="2" s="1"/>
  <c r="X209" i="2" s="1"/>
  <c r="N209" i="2" l="1"/>
  <c r="O209" i="2" s="1"/>
  <c r="P209" i="2" s="1"/>
  <c r="R209" i="2" l="1"/>
  <c r="T209" i="2" s="1"/>
  <c r="Q210" i="2" s="1"/>
  <c r="X210" i="2" s="1"/>
  <c r="W209" i="2"/>
  <c r="N210" i="2" l="1"/>
  <c r="W210" i="2" s="1"/>
  <c r="O210" i="2" l="1"/>
  <c r="P210" i="2" s="1"/>
  <c r="R210" i="2" s="1"/>
  <c r="T210" i="2" s="1"/>
  <c r="Q211" i="2" s="1"/>
  <c r="X211" i="2" s="1"/>
  <c r="N211" i="2" l="1"/>
  <c r="W211" i="2" l="1"/>
  <c r="O211" i="2"/>
  <c r="P211" i="2" s="1"/>
  <c r="R211" i="2" s="1"/>
  <c r="T211" i="2" s="1"/>
  <c r="Q212" i="2" s="1"/>
  <c r="X212" i="2" s="1"/>
  <c r="N212" i="2" l="1"/>
  <c r="W212" i="2" s="1"/>
  <c r="O212" i="2" l="1"/>
  <c r="P212" i="2" s="1"/>
  <c r="R212" i="2" s="1"/>
  <c r="T212" i="2" s="1"/>
  <c r="Q213" i="2" s="1"/>
  <c r="X213" i="2" s="1"/>
  <c r="N213" i="2" l="1"/>
  <c r="O213" i="2" s="1"/>
  <c r="P213" i="2" s="1"/>
  <c r="R213" i="2" s="1"/>
  <c r="T213" i="2" s="1"/>
  <c r="Q214" i="2" s="1"/>
  <c r="X214" i="2" s="1"/>
  <c r="W213" i="2" l="1"/>
  <c r="N214" i="2"/>
  <c r="W214" i="2" s="1"/>
  <c r="O214" i="2" l="1"/>
  <c r="P214" i="2" s="1"/>
  <c r="R214" i="2" s="1"/>
  <c r="T214" i="2" s="1"/>
  <c r="Q215" i="2" s="1"/>
  <c r="X215" i="2" s="1"/>
  <c r="N215" i="2" l="1"/>
  <c r="O215" i="2" s="1"/>
  <c r="P215" i="2" s="1"/>
  <c r="W215" i="2" l="1"/>
  <c r="R215" i="2"/>
  <c r="T215" i="2" s="1"/>
  <c r="Q216" i="2" s="1"/>
  <c r="X216" i="2" s="1"/>
  <c r="N216" i="2" l="1"/>
  <c r="W216" i="2" s="1"/>
  <c r="O216" i="2" l="1"/>
  <c r="P216" i="2" s="1"/>
  <c r="R216" i="2" s="1"/>
  <c r="T216" i="2" s="1"/>
  <c r="Q217" i="2" s="1"/>
  <c r="X217" i="2" s="1"/>
  <c r="N217" i="2" l="1"/>
  <c r="W217" i="2" l="1"/>
  <c r="O217" i="2"/>
  <c r="P217" i="2" s="1"/>
  <c r="R217" i="2" s="1"/>
  <c r="T217" i="2" s="1"/>
  <c r="Q218" i="2" s="1"/>
  <c r="X218" i="2" s="1"/>
  <c r="N218" i="2" l="1"/>
  <c r="O218" i="2" s="1"/>
  <c r="P218" i="2" s="1"/>
  <c r="R218" i="2" s="1"/>
  <c r="T218" i="2" s="1"/>
  <c r="Q219" i="2" s="1"/>
  <c r="X219" i="2" s="1"/>
  <c r="W218" i="2" l="1"/>
  <c r="N219" i="2"/>
  <c r="O219" i="2" s="1"/>
  <c r="P219" i="2" s="1"/>
  <c r="R219" i="2" s="1"/>
  <c r="T219" i="2" s="1"/>
  <c r="Q220" i="2" s="1"/>
  <c r="X220" i="2" s="1"/>
  <c r="W219" i="2" l="1"/>
  <c r="N220" i="2"/>
  <c r="O220" i="2" s="1"/>
  <c r="P220" i="2" s="1"/>
  <c r="R220" i="2" s="1"/>
  <c r="T220" i="2" s="1"/>
  <c r="Q221" i="2" s="1"/>
  <c r="X221" i="2" s="1"/>
  <c r="W220" i="2" l="1"/>
  <c r="N221" i="2"/>
  <c r="W221" i="2" s="1"/>
  <c r="O221" i="2" l="1"/>
  <c r="P221" i="2" s="1"/>
  <c r="R221" i="2" s="1"/>
  <c r="T221" i="2" s="1"/>
  <c r="Q222" i="2" s="1"/>
  <c r="X222" i="2" s="1"/>
  <c r="N222" i="2" l="1"/>
  <c r="W222" i="2" s="1"/>
  <c r="O222" i="2" l="1"/>
  <c r="P222" i="2" s="1"/>
  <c r="R222" i="2" s="1"/>
  <c r="T222" i="2" s="1"/>
  <c r="Q223" i="2" s="1"/>
  <c r="X223" i="2" s="1"/>
  <c r="N223" i="2" l="1"/>
  <c r="W223" i="2" s="1"/>
  <c r="O223" i="2" l="1"/>
  <c r="P223" i="2" s="1"/>
  <c r="R223" i="2" s="1"/>
  <c r="T223" i="2" s="1"/>
  <c r="Q224" i="2" s="1"/>
  <c r="X224" i="2" s="1"/>
  <c r="N224" i="2" l="1"/>
  <c r="W224" i="2" s="1"/>
  <c r="O224" i="2" l="1"/>
  <c r="P224" i="2" s="1"/>
  <c r="R224" i="2" s="1"/>
  <c r="T224" i="2" s="1"/>
  <c r="Q225" i="2" s="1"/>
  <c r="X225" i="2" s="1"/>
  <c r="N225" i="2" l="1"/>
  <c r="W225" i="2" s="1"/>
  <c r="O225" i="2" l="1"/>
  <c r="P225" i="2" s="1"/>
  <c r="R225" i="2" s="1"/>
  <c r="T225" i="2" s="1"/>
  <c r="Q226" i="2" s="1"/>
  <c r="X226" i="2" s="1"/>
  <c r="N226" i="2" l="1"/>
  <c r="W226" i="2" s="1"/>
  <c r="O226" i="2" l="1"/>
  <c r="P226" i="2" s="1"/>
  <c r="R226" i="2" s="1"/>
  <c r="T226" i="2" s="1"/>
  <c r="Q227" i="2" s="1"/>
  <c r="X227" i="2" s="1"/>
  <c r="N227" i="2" l="1"/>
  <c r="W227" i="2" s="1"/>
  <c r="O227" i="2" l="1"/>
  <c r="P227" i="2" s="1"/>
  <c r="R227" i="2" s="1"/>
  <c r="T227" i="2" s="1"/>
  <c r="Q228" i="2" s="1"/>
  <c r="X228" i="2" s="1"/>
  <c r="N228" i="2" l="1"/>
  <c r="O228" i="2" s="1"/>
  <c r="P228" i="2" s="1"/>
  <c r="W228" i="2"/>
  <c r="R228" i="2"/>
  <c r="T228" i="2" s="1"/>
  <c r="Q229" i="2" s="1"/>
  <c r="X229" i="2" s="1"/>
  <c r="N229" i="2" l="1"/>
  <c r="O229" i="2" s="1"/>
  <c r="P229" i="2" s="1"/>
  <c r="W229" i="2" l="1"/>
  <c r="R229" i="2"/>
  <c r="T229" i="2" s="1"/>
  <c r="Q230" i="2" s="1"/>
  <c r="X230" i="2" s="1"/>
  <c r="N230" i="2" l="1"/>
  <c r="O230" i="2" s="1"/>
  <c r="P230" i="2" s="1"/>
  <c r="W230" i="2" l="1"/>
  <c r="R230" i="2"/>
  <c r="T230" i="2" s="1"/>
  <c r="Q231" i="2" s="1"/>
  <c r="X231" i="2" s="1"/>
  <c r="N231" i="2" l="1"/>
  <c r="O231" i="2" s="1"/>
  <c r="P231" i="2" s="1"/>
  <c r="R231" i="2" s="1"/>
  <c r="T231" i="2" s="1"/>
  <c r="Q232" i="2" s="1"/>
  <c r="X232" i="2" s="1"/>
  <c r="W231" i="2" l="1"/>
  <c r="N232" i="2"/>
  <c r="W232" i="2" s="1"/>
  <c r="O232" i="2" l="1"/>
  <c r="P232" i="2" s="1"/>
  <c r="R232" i="2" s="1"/>
  <c r="T232" i="2" s="1"/>
  <c r="Q233" i="2" s="1"/>
  <c r="X233" i="2" s="1"/>
  <c r="N233" i="2" l="1"/>
  <c r="O233" i="2" s="1"/>
  <c r="P233" i="2" s="1"/>
  <c r="R233" i="2" s="1"/>
  <c r="T233" i="2" s="1"/>
  <c r="Q234" i="2" s="1"/>
  <c r="X234" i="2" s="1"/>
  <c r="W233" i="2" l="1"/>
  <c r="N234" i="2"/>
  <c r="O234" i="2" l="1"/>
  <c r="P234" i="2" s="1"/>
  <c r="W234" i="2"/>
  <c r="R234" i="2" l="1"/>
  <c r="T234" i="2" s="1"/>
  <c r="Q235" i="2" s="1"/>
  <c r="X235" i="2" s="1"/>
  <c r="N235" i="2" l="1"/>
  <c r="W235" i="2" s="1"/>
  <c r="O235" i="2" l="1"/>
  <c r="P235" i="2" s="1"/>
  <c r="R235" i="2" s="1"/>
  <c r="T235" i="2" s="1"/>
  <c r="Q236" i="2" s="1"/>
  <c r="X236" i="2" s="1"/>
  <c r="N236" i="2" l="1"/>
  <c r="W236" i="2" s="1"/>
  <c r="O236" i="2" l="1"/>
  <c r="P236" i="2" s="1"/>
  <c r="R236" i="2" s="1"/>
  <c r="T236" i="2" s="1"/>
  <c r="Q237" i="2" s="1"/>
  <c r="X237" i="2" s="1"/>
  <c r="N237" i="2" l="1"/>
  <c r="O237" i="2" s="1"/>
  <c r="P237" i="2" s="1"/>
  <c r="R237" i="2" s="1"/>
  <c r="T237" i="2" s="1"/>
  <c r="Q238" i="2" s="1"/>
  <c r="X238" i="2" s="1"/>
  <c r="W237" i="2" l="1"/>
  <c r="N238" i="2"/>
  <c r="O238" i="2" l="1"/>
  <c r="P238" i="2" s="1"/>
  <c r="R238" i="2" s="1"/>
  <c r="T238" i="2" s="1"/>
  <c r="Q239" i="2" s="1"/>
  <c r="X239" i="2" s="1"/>
  <c r="W238" i="2"/>
  <c r="N239" i="2" l="1"/>
  <c r="O239" i="2" l="1"/>
  <c r="P239" i="2" s="1"/>
  <c r="W239" i="2"/>
  <c r="R239" i="2" l="1"/>
  <c r="T239" i="2" s="1"/>
  <c r="Q240" i="2" s="1"/>
  <c r="X240" i="2" s="1"/>
  <c r="N240" i="2" l="1"/>
  <c r="W240" i="2" s="1"/>
  <c r="O240" i="2" l="1"/>
  <c r="P240" i="2" s="1"/>
  <c r="R240" i="2" s="1"/>
  <c r="T240" i="2" s="1"/>
  <c r="Q241" i="2" s="1"/>
  <c r="X241" i="2" s="1"/>
  <c r="N241" i="2" l="1"/>
  <c r="O241" i="2" s="1"/>
  <c r="P241" i="2" s="1"/>
  <c r="R241" i="2" s="1"/>
  <c r="T241" i="2" s="1"/>
  <c r="Q242" i="2" s="1"/>
  <c r="X242" i="2" s="1"/>
  <c r="W241" i="2" l="1"/>
  <c r="N242" i="2"/>
  <c r="O242" i="2" s="1"/>
  <c r="P242" i="2" s="1"/>
  <c r="W242" i="2" l="1"/>
  <c r="R242" i="2"/>
  <c r="T242" i="2" s="1"/>
  <c r="Q243" i="2" s="1"/>
  <c r="X243" i="2" s="1"/>
  <c r="N243" i="2" l="1"/>
  <c r="O243" i="2" s="1"/>
  <c r="P243" i="2" s="1"/>
  <c r="W243" i="2" l="1"/>
  <c r="R243" i="2"/>
  <c r="T243" i="2" s="1"/>
  <c r="Q244" i="2" s="1"/>
  <c r="X244" i="2" s="1"/>
  <c r="N244" i="2" l="1"/>
  <c r="O244" i="2" s="1"/>
  <c r="P244" i="2" s="1"/>
  <c r="R244" i="2" s="1"/>
  <c r="T244" i="2" s="1"/>
  <c r="Q245" i="2" s="1"/>
  <c r="X245" i="2" s="1"/>
  <c r="W244" i="2" l="1"/>
  <c r="N245" i="2"/>
  <c r="W245" i="2" s="1"/>
  <c r="O245" i="2" l="1"/>
  <c r="P245" i="2" s="1"/>
  <c r="R245" i="2" s="1"/>
  <c r="T245" i="2" s="1"/>
  <c r="Q246" i="2" s="1"/>
  <c r="X246" i="2" s="1"/>
  <c r="N246" i="2" l="1"/>
  <c r="O246" i="2" s="1"/>
  <c r="P246" i="2" s="1"/>
  <c r="R246" i="2" l="1"/>
  <c r="T246" i="2" s="1"/>
  <c r="Q247" i="2" s="1"/>
  <c r="X247" i="2" s="1"/>
  <c r="W246" i="2"/>
  <c r="N247" i="2" l="1"/>
  <c r="W247" i="2" s="1"/>
  <c r="O247" i="2" l="1"/>
  <c r="P247" i="2" s="1"/>
  <c r="R247" i="2" s="1"/>
  <c r="T247" i="2" s="1"/>
  <c r="Q248" i="2" s="1"/>
  <c r="X248" i="2" s="1"/>
  <c r="N248" i="2" l="1"/>
  <c r="O248" i="2" s="1"/>
  <c r="P248" i="2" s="1"/>
  <c r="R248" i="2" s="1"/>
  <c r="T248" i="2" s="1"/>
  <c r="Q249" i="2" s="1"/>
  <c r="X249" i="2" s="1"/>
  <c r="W248" i="2" l="1"/>
  <c r="N249" i="2"/>
  <c r="O249" i="2" l="1"/>
  <c r="P249" i="2" s="1"/>
  <c r="R249" i="2" s="1"/>
  <c r="T249" i="2" s="1"/>
  <c r="Q250" i="2" s="1"/>
  <c r="X250" i="2" s="1"/>
  <c r="W249" i="2"/>
  <c r="N250" i="2" l="1"/>
  <c r="W250" i="2" s="1"/>
  <c r="O250" i="2" l="1"/>
  <c r="P250" i="2" s="1"/>
  <c r="R250" i="2" s="1"/>
  <c r="T250" i="2" s="1"/>
  <c r="Q251" i="2" s="1"/>
  <c r="X251" i="2" s="1"/>
  <c r="N251" i="2" l="1"/>
  <c r="W251" i="2" s="1"/>
  <c r="O251" i="2"/>
  <c r="P251" i="2" s="1"/>
  <c r="R251" i="2" s="1"/>
  <c r="T251" i="2" s="1"/>
  <c r="Q252" i="2" s="1"/>
  <c r="X252" i="2" s="1"/>
  <c r="N252" i="2" l="1"/>
  <c r="W252" i="2" s="1"/>
  <c r="O252" i="2" l="1"/>
  <c r="P252" i="2" s="1"/>
  <c r="R252" i="2" s="1"/>
  <c r="T252" i="2" s="1"/>
  <c r="Q253" i="2" s="1"/>
  <c r="X253" i="2" s="1"/>
  <c r="N253" i="2" l="1"/>
  <c r="O253" i="2" s="1"/>
  <c r="P253" i="2" s="1"/>
  <c r="W253" i="2"/>
  <c r="R253" i="2"/>
  <c r="T253" i="2" s="1"/>
  <c r="Q254" i="2" s="1"/>
  <c r="X254" i="2" s="1"/>
  <c r="N254" i="2" l="1"/>
  <c r="W254" i="2" s="1"/>
  <c r="O254" i="2" l="1"/>
  <c r="P254" i="2" s="1"/>
  <c r="R254" i="2" s="1"/>
  <c r="T254" i="2" s="1"/>
  <c r="Q255" i="2" s="1"/>
  <c r="X255" i="2" s="1"/>
  <c r="N255" i="2" l="1"/>
  <c r="W255" i="2" s="1"/>
  <c r="O255" i="2" l="1"/>
  <c r="P255" i="2" s="1"/>
  <c r="R255" i="2" s="1"/>
  <c r="T255" i="2" s="1"/>
  <c r="Q256" i="2" s="1"/>
  <c r="X256" i="2" s="1"/>
  <c r="N256" i="2" l="1"/>
  <c r="W256" i="2" s="1"/>
  <c r="O256" i="2" l="1"/>
  <c r="P256" i="2" s="1"/>
  <c r="R256" i="2" s="1"/>
  <c r="T256" i="2" s="1"/>
  <c r="Q257" i="2" s="1"/>
  <c r="X257" i="2" s="1"/>
  <c r="N257" i="2"/>
  <c r="O257" i="2" s="1"/>
  <c r="P257" i="2" s="1"/>
  <c r="W257" i="2" l="1"/>
  <c r="R257" i="2"/>
  <c r="T257" i="2" s="1"/>
  <c r="Q258" i="2" s="1"/>
  <c r="X258" i="2" s="1"/>
  <c r="N258" i="2" l="1"/>
  <c r="O258" i="2" s="1"/>
  <c r="P258" i="2" s="1"/>
  <c r="R258" i="2" s="1"/>
  <c r="T258" i="2" s="1"/>
  <c r="Q259" i="2" s="1"/>
  <c r="X259" i="2" s="1"/>
  <c r="W258" i="2" l="1"/>
  <c r="N259" i="2"/>
  <c r="O259" i="2" s="1"/>
  <c r="P259" i="2" s="1"/>
  <c r="W259" i="2" l="1"/>
  <c r="R259" i="2"/>
  <c r="T259" i="2" s="1"/>
  <c r="Q260" i="2" s="1"/>
  <c r="X260" i="2" s="1"/>
  <c r="N260" i="2" l="1"/>
  <c r="W260" i="2" s="1"/>
  <c r="O260" i="2" l="1"/>
  <c r="P260" i="2" s="1"/>
  <c r="R260" i="2" s="1"/>
  <c r="T260" i="2" s="1"/>
  <c r="Q261" i="2" s="1"/>
  <c r="X261" i="2" s="1"/>
  <c r="N261" i="2" l="1"/>
  <c r="O261" i="2" s="1"/>
  <c r="P261" i="2" s="1"/>
  <c r="R261" i="2" s="1"/>
  <c r="T261" i="2" s="1"/>
  <c r="Q262" i="2" s="1"/>
  <c r="X262" i="2" s="1"/>
  <c r="W261" i="2" l="1"/>
  <c r="N262" i="2"/>
  <c r="O262" i="2" s="1"/>
  <c r="P262" i="2" s="1"/>
  <c r="R262" i="2" s="1"/>
  <c r="T262" i="2" s="1"/>
  <c r="Q263" i="2" s="1"/>
  <c r="X263" i="2" s="1"/>
  <c r="W262" i="2" l="1"/>
  <c r="N263" i="2"/>
  <c r="O263" i="2" s="1"/>
  <c r="P263" i="2" s="1"/>
  <c r="R263" i="2" s="1"/>
  <c r="T263" i="2" s="1"/>
  <c r="Q264" i="2" s="1"/>
  <c r="X264" i="2" s="1"/>
  <c r="N264" i="2" l="1"/>
  <c r="O264" i="2" s="1"/>
  <c r="P264" i="2" s="1"/>
  <c r="R264" i="2" s="1"/>
  <c r="T264" i="2" s="1"/>
  <c r="Q265" i="2" s="1"/>
  <c r="X265" i="2" s="1"/>
  <c r="W263" i="2"/>
  <c r="N265" i="2" l="1"/>
  <c r="W265" i="2" s="1"/>
  <c r="W264" i="2"/>
  <c r="O265" i="2" l="1"/>
  <c r="P265" i="2" s="1"/>
  <c r="R265" i="2" s="1"/>
  <c r="T265" i="2" s="1"/>
  <c r="Q266" i="2" s="1"/>
  <c r="X266" i="2" s="1"/>
  <c r="N266" i="2" l="1"/>
  <c r="W266" i="2" s="1"/>
  <c r="O266" i="2" l="1"/>
  <c r="P266" i="2" s="1"/>
  <c r="R266" i="2" s="1"/>
  <c r="T266" i="2" s="1"/>
  <c r="Q267" i="2" s="1"/>
  <c r="X267" i="2" s="1"/>
  <c r="N267" i="2" l="1"/>
  <c r="W267" i="2" s="1"/>
  <c r="O267" i="2"/>
  <c r="P267" i="2" s="1"/>
  <c r="R267" i="2" s="1"/>
  <c r="T267" i="2" s="1"/>
  <c r="Q268" i="2" s="1"/>
  <c r="X268" i="2" s="1"/>
  <c r="N268" i="2" l="1"/>
  <c r="O268" i="2" s="1"/>
  <c r="P268" i="2" s="1"/>
  <c r="W268" i="2" l="1"/>
  <c r="R268" i="2"/>
  <c r="T268" i="2" s="1"/>
  <c r="Q269" i="2" s="1"/>
  <c r="X269" i="2" s="1"/>
  <c r="N269" i="2" l="1"/>
  <c r="O269" i="2" s="1"/>
  <c r="P269" i="2" s="1"/>
  <c r="W269" i="2" l="1"/>
  <c r="R269" i="2"/>
  <c r="T269" i="2" s="1"/>
  <c r="Q270" i="2" s="1"/>
  <c r="X270" i="2" s="1"/>
  <c r="N270" i="2" l="1"/>
  <c r="O270" i="2" s="1"/>
  <c r="P270" i="2" s="1"/>
  <c r="R270" i="2" s="1"/>
  <c r="T270" i="2" s="1"/>
  <c r="Q271" i="2" s="1"/>
  <c r="X271" i="2" s="1"/>
  <c r="W270" i="2" l="1"/>
  <c r="N271" i="2"/>
  <c r="W271" i="2" s="1"/>
  <c r="O271" i="2" l="1"/>
  <c r="P271" i="2" s="1"/>
  <c r="R271" i="2" s="1"/>
  <c r="T271" i="2" s="1"/>
  <c r="Q272" i="2" s="1"/>
  <c r="X272" i="2" s="1"/>
  <c r="N272" i="2" l="1"/>
  <c r="O272" i="2" s="1"/>
  <c r="P272" i="2" s="1"/>
  <c r="W272" i="2"/>
  <c r="R272" i="2" l="1"/>
  <c r="T272" i="2" s="1"/>
  <c r="Q273" i="2" s="1"/>
  <c r="X273" i="2" s="1"/>
  <c r="N273" i="2" l="1"/>
  <c r="O273" i="2" s="1"/>
  <c r="P273" i="2" s="1"/>
  <c r="W273" i="2" l="1"/>
  <c r="R273" i="2"/>
  <c r="T273" i="2" s="1"/>
  <c r="Q274" i="2" s="1"/>
  <c r="X274" i="2" s="1"/>
  <c r="N274" i="2" l="1"/>
  <c r="O274" i="2" s="1"/>
  <c r="P274" i="2" s="1"/>
  <c r="R274" i="2" s="1"/>
  <c r="T274" i="2" s="1"/>
  <c r="Q275" i="2" s="1"/>
  <c r="X275" i="2" s="1"/>
  <c r="W274" i="2" l="1"/>
  <c r="N275" i="2"/>
  <c r="W275" i="2" s="1"/>
  <c r="O275" i="2" l="1"/>
  <c r="P275" i="2" s="1"/>
  <c r="R275" i="2" s="1"/>
  <c r="T275" i="2" s="1"/>
  <c r="Q276" i="2" s="1"/>
  <c r="X276" i="2" s="1"/>
  <c r="N276" i="2" l="1"/>
  <c r="W276" i="2" s="1"/>
  <c r="O276" i="2" l="1"/>
  <c r="P276" i="2" s="1"/>
  <c r="R276" i="2" s="1"/>
  <c r="T276" i="2" s="1"/>
  <c r="Q277" i="2" s="1"/>
  <c r="X277" i="2" s="1"/>
  <c r="N277" i="2" l="1"/>
  <c r="O277" i="2" s="1"/>
  <c r="P277" i="2" s="1"/>
  <c r="W277" i="2" l="1"/>
  <c r="R277" i="2"/>
  <c r="T277" i="2" s="1"/>
  <c r="Q278" i="2" s="1"/>
  <c r="X278" i="2" s="1"/>
  <c r="N278" i="2" l="1"/>
  <c r="W278" i="2" s="1"/>
  <c r="O278" i="2" l="1"/>
  <c r="P278" i="2" s="1"/>
  <c r="R278" i="2" s="1"/>
  <c r="T278" i="2" s="1"/>
  <c r="Q279" i="2" s="1"/>
  <c r="X279" i="2" s="1"/>
  <c r="N279" i="2" l="1"/>
  <c r="O279" i="2" s="1"/>
  <c r="P279" i="2" s="1"/>
  <c r="R279" i="2" s="1"/>
  <c r="T279" i="2" s="1"/>
  <c r="Q280" i="2" s="1"/>
  <c r="X280" i="2" s="1"/>
  <c r="W279" i="2" l="1"/>
  <c r="N280" i="2"/>
  <c r="W280" i="2" s="1"/>
  <c r="O280" i="2" l="1"/>
  <c r="P280" i="2" s="1"/>
  <c r="R280" i="2" s="1"/>
  <c r="T280" i="2" s="1"/>
  <c r="Q281" i="2" s="1"/>
  <c r="X281" i="2" s="1"/>
  <c r="N281" i="2" l="1"/>
  <c r="O281" i="2" l="1"/>
  <c r="P281" i="2" s="1"/>
  <c r="W281" i="2"/>
  <c r="R281" i="2" l="1"/>
  <c r="T281" i="2" s="1"/>
  <c r="Q282" i="2" s="1"/>
  <c r="X282" i="2" s="1"/>
  <c r="N282" i="2" l="1"/>
  <c r="W282" i="2" s="1"/>
  <c r="O282" i="2" l="1"/>
  <c r="P282" i="2" s="1"/>
  <c r="R282" i="2" s="1"/>
  <c r="T282" i="2" s="1"/>
  <c r="Q283" i="2" s="1"/>
  <c r="X283" i="2" s="1"/>
  <c r="N283" i="2" l="1"/>
  <c r="W283" i="2" s="1"/>
  <c r="O283" i="2" l="1"/>
  <c r="P283" i="2" s="1"/>
  <c r="R283" i="2" s="1"/>
  <c r="T283" i="2" s="1"/>
  <c r="Q284" i="2" s="1"/>
  <c r="X284" i="2" s="1"/>
  <c r="N284" i="2"/>
  <c r="O284" i="2" s="1"/>
  <c r="P284" i="2" s="1"/>
  <c r="R284" i="2" s="1"/>
  <c r="T284" i="2" s="1"/>
  <c r="Q285" i="2" s="1"/>
  <c r="X285" i="2" s="1"/>
  <c r="W284" i="2" l="1"/>
  <c r="N285" i="2"/>
  <c r="O285" i="2" s="1"/>
  <c r="P285" i="2" s="1"/>
  <c r="R285" i="2" s="1"/>
  <c r="T285" i="2" s="1"/>
  <c r="Q286" i="2" s="1"/>
  <c r="X286" i="2" s="1"/>
  <c r="W285" i="2" l="1"/>
  <c r="N286" i="2"/>
  <c r="W286" i="2" s="1"/>
  <c r="O286" i="2" l="1"/>
  <c r="P286" i="2" s="1"/>
  <c r="R286" i="2" s="1"/>
  <c r="T286" i="2" s="1"/>
  <c r="Q287" i="2" s="1"/>
  <c r="X287" i="2" s="1"/>
  <c r="N287" i="2" l="1"/>
  <c r="W287" i="2" l="1"/>
  <c r="O287" i="2"/>
  <c r="P287" i="2" s="1"/>
  <c r="R287" i="2" l="1"/>
  <c r="T287" i="2" s="1"/>
  <c r="Q288" i="2" s="1"/>
  <c r="X288" i="2" s="1"/>
  <c r="N288" i="2" l="1"/>
  <c r="W288" i="2" s="1"/>
  <c r="O288" i="2" l="1"/>
  <c r="P288" i="2" s="1"/>
  <c r="R288" i="2" s="1"/>
  <c r="T288" i="2" s="1"/>
  <c r="Q289" i="2" s="1"/>
  <c r="X289" i="2" s="1"/>
  <c r="N289" i="2" l="1"/>
  <c r="W289" i="2" s="1"/>
  <c r="O289" i="2" l="1"/>
  <c r="P289" i="2" s="1"/>
  <c r="R289" i="2" s="1"/>
  <c r="T289" i="2" s="1"/>
  <c r="Q290" i="2" s="1"/>
  <c r="X290" i="2" s="1"/>
  <c r="N290" i="2" l="1"/>
  <c r="O290" i="2" s="1"/>
  <c r="P290" i="2" s="1"/>
  <c r="R290" i="2" s="1"/>
  <c r="T290" i="2" s="1"/>
  <c r="Q291" i="2" s="1"/>
  <c r="X291" i="2" s="1"/>
  <c r="N291" i="2" l="1"/>
  <c r="O291" i="2" s="1"/>
  <c r="P291" i="2" s="1"/>
  <c r="R291" i="2" s="1"/>
  <c r="T291" i="2" s="1"/>
  <c r="Q292" i="2" s="1"/>
  <c r="X292" i="2" s="1"/>
  <c r="W290" i="2"/>
  <c r="W291" i="2" l="1"/>
  <c r="N292" i="2"/>
  <c r="W292" i="2" s="1"/>
  <c r="O292" i="2" l="1"/>
  <c r="P292" i="2" s="1"/>
  <c r="R292" i="2" s="1"/>
  <c r="T292" i="2" s="1"/>
  <c r="Q293" i="2" s="1"/>
  <c r="X293" i="2" s="1"/>
  <c r="N293" i="2" l="1"/>
  <c r="W293" i="2" s="1"/>
  <c r="O293" i="2" l="1"/>
  <c r="P293" i="2" s="1"/>
  <c r="R293" i="2" s="1"/>
  <c r="T293" i="2" s="1"/>
  <c r="Q294" i="2" s="1"/>
  <c r="X294" i="2" s="1"/>
  <c r="N294" i="2" l="1"/>
  <c r="W294" i="2"/>
  <c r="O294" i="2"/>
  <c r="P294" i="2" s="1"/>
  <c r="R294" i="2" l="1"/>
  <c r="T294" i="2" s="1"/>
  <c r="Q295" i="2" s="1"/>
  <c r="X295" i="2" s="1"/>
  <c r="N295" i="2" l="1"/>
  <c r="W295" i="2" s="1"/>
  <c r="O295" i="2" l="1"/>
  <c r="P295" i="2" s="1"/>
  <c r="R295" i="2" s="1"/>
  <c r="T295" i="2" s="1"/>
  <c r="Q296" i="2" s="1"/>
  <c r="X296" i="2" s="1"/>
  <c r="N296" i="2" l="1"/>
  <c r="W296" i="2" s="1"/>
  <c r="O296" i="2" l="1"/>
  <c r="P296" i="2" s="1"/>
  <c r="R296" i="2"/>
  <c r="T296" i="2" s="1"/>
  <c r="Q297" i="2" s="1"/>
  <c r="X297" i="2" s="1"/>
  <c r="N297" i="2" l="1"/>
  <c r="O297" i="2" s="1"/>
  <c r="P297" i="2" s="1"/>
  <c r="R297" i="2" s="1"/>
  <c r="T297" i="2" s="1"/>
  <c r="Q298" i="2" s="1"/>
  <c r="X298" i="2" s="1"/>
  <c r="W297" i="2" l="1"/>
  <c r="N298" i="2"/>
  <c r="W298" i="2" s="1"/>
  <c r="O298" i="2" l="1"/>
  <c r="P298" i="2" s="1"/>
  <c r="R298" i="2" s="1"/>
  <c r="T298" i="2" s="1"/>
  <c r="Q299" i="2" s="1"/>
  <c r="X299" i="2" s="1"/>
  <c r="N299" i="2" l="1"/>
  <c r="O299" i="2" l="1"/>
  <c r="P299" i="2" s="1"/>
  <c r="R299" i="2" s="1"/>
  <c r="T299" i="2" s="1"/>
  <c r="Q300" i="2" s="1"/>
  <c r="X300" i="2" s="1"/>
  <c r="W299" i="2"/>
  <c r="N300" i="2" l="1"/>
  <c r="O300" i="2" l="1"/>
  <c r="P300" i="2" s="1"/>
  <c r="R300" i="2" s="1"/>
  <c r="T300" i="2" s="1"/>
  <c r="Q301" i="2" s="1"/>
  <c r="X301" i="2" s="1"/>
  <c r="W300" i="2"/>
  <c r="N301" i="2" l="1"/>
  <c r="O301" i="2" s="1"/>
  <c r="P301" i="2" s="1"/>
  <c r="R301" i="2" s="1"/>
  <c r="T301" i="2" s="1"/>
  <c r="Q302" i="2" s="1"/>
  <c r="X302" i="2" s="1"/>
  <c r="W301" i="2" l="1"/>
  <c r="N302" i="2"/>
  <c r="W302" i="2" s="1"/>
  <c r="O302" i="2" l="1"/>
  <c r="P302" i="2" s="1"/>
  <c r="R302" i="2" s="1"/>
  <c r="T302" i="2" s="1"/>
  <c r="Q303" i="2" s="1"/>
  <c r="X303" i="2" s="1"/>
  <c r="N303" i="2" l="1"/>
  <c r="O303" i="2" l="1"/>
  <c r="P303" i="2" s="1"/>
  <c r="R303" i="2" s="1"/>
  <c r="T303" i="2" s="1"/>
  <c r="Q304" i="2" s="1"/>
  <c r="X304" i="2" s="1"/>
  <c r="W303" i="2"/>
  <c r="N304" i="2" l="1"/>
  <c r="O304" i="2" s="1"/>
  <c r="P304" i="2" s="1"/>
  <c r="W304" i="2" l="1"/>
  <c r="R304" i="2"/>
  <c r="T304" i="2" s="1"/>
  <c r="Q305" i="2" s="1"/>
  <c r="X305" i="2" s="1"/>
  <c r="N305" i="2" l="1"/>
  <c r="O305" i="2"/>
  <c r="P305" i="2" s="1"/>
  <c r="W305" i="2"/>
  <c r="R305" i="2" l="1"/>
  <c r="T305" i="2" s="1"/>
  <c r="Q306" i="2" s="1"/>
  <c r="X306" i="2" s="1"/>
  <c r="N306" i="2" l="1"/>
  <c r="O306" i="2" s="1"/>
  <c r="P306" i="2" s="1"/>
  <c r="R306" i="2" s="1"/>
  <c r="T306" i="2" s="1"/>
  <c r="Q307" i="2" s="1"/>
  <c r="X307" i="2" s="1"/>
  <c r="W306" i="2" l="1"/>
  <c r="N307" i="2"/>
  <c r="O307" i="2" s="1"/>
  <c r="P307" i="2" s="1"/>
  <c r="W307" i="2" l="1"/>
  <c r="R307" i="2"/>
  <c r="T307" i="2" s="1"/>
  <c r="Q308" i="2" s="1"/>
  <c r="X308" i="2" s="1"/>
  <c r="N308" i="2"/>
  <c r="O308" i="2" s="1"/>
  <c r="P308" i="2" s="1"/>
  <c r="W308" i="2" l="1"/>
  <c r="R308" i="2"/>
  <c r="T308" i="2" s="1"/>
  <c r="Q309" i="2" s="1"/>
  <c r="X309" i="2" s="1"/>
  <c r="N309" i="2" l="1"/>
  <c r="W309" i="2" l="1"/>
  <c r="O309" i="2"/>
  <c r="P309" i="2" s="1"/>
  <c r="R309" i="2" s="1"/>
  <c r="T309" i="2" s="1"/>
  <c r="Q310" i="2" s="1"/>
  <c r="X310" i="2" s="1"/>
  <c r="N310" i="2" l="1"/>
  <c r="O310" i="2"/>
  <c r="P310" i="2" s="1"/>
  <c r="R310" i="2" s="1"/>
  <c r="T310" i="2" s="1"/>
  <c r="Q311" i="2" s="1"/>
  <c r="X311" i="2" s="1"/>
  <c r="W310" i="2"/>
  <c r="N311" i="2" l="1"/>
  <c r="O311" i="2" s="1"/>
  <c r="P311" i="2" s="1"/>
  <c r="R311" i="2" s="1"/>
  <c r="T311" i="2" s="1"/>
  <c r="Q312" i="2" s="1"/>
  <c r="X312" i="2" s="1"/>
  <c r="N312" i="2" l="1"/>
  <c r="O312" i="2" s="1"/>
  <c r="P312" i="2" s="1"/>
  <c r="R312" i="2" s="1"/>
  <c r="T312" i="2" s="1"/>
  <c r="Q313" i="2" s="1"/>
  <c r="X313" i="2" s="1"/>
  <c r="W311" i="2"/>
  <c r="W312" i="2" l="1"/>
  <c r="N313" i="2"/>
  <c r="W313" i="2" s="1"/>
  <c r="O313" i="2" l="1"/>
  <c r="P313" i="2" s="1"/>
  <c r="R313" i="2"/>
  <c r="T313" i="2" s="1"/>
  <c r="Q314" i="2" s="1"/>
  <c r="X314" i="2" s="1"/>
  <c r="N314" i="2" l="1"/>
  <c r="W314" i="2" l="1"/>
  <c r="O314" i="2"/>
  <c r="P314" i="2" s="1"/>
  <c r="R314" i="2" s="1"/>
  <c r="T314" i="2" s="1"/>
  <c r="Q315" i="2" s="1"/>
  <c r="X315" i="2" s="1"/>
  <c r="N315" i="2" l="1"/>
  <c r="O315" i="2" s="1"/>
  <c r="P315" i="2" s="1"/>
  <c r="R315" i="2" s="1"/>
  <c r="T315" i="2" s="1"/>
  <c r="Q316" i="2" s="1"/>
  <c r="X316" i="2" s="1"/>
  <c r="W315" i="2"/>
  <c r="N316" i="2" l="1"/>
  <c r="W316" i="2" l="1"/>
  <c r="O316" i="2"/>
  <c r="P316" i="2" s="1"/>
  <c r="R316" i="2" s="1"/>
  <c r="T316" i="2" s="1"/>
  <c r="Q317" i="2" s="1"/>
  <c r="X317" i="2" s="1"/>
  <c r="N317" i="2" l="1"/>
  <c r="O317" i="2" s="1"/>
  <c r="P317" i="2" s="1"/>
  <c r="W317" i="2"/>
  <c r="R317" i="2" l="1"/>
  <c r="T317" i="2" s="1"/>
  <c r="Q318" i="2" s="1"/>
  <c r="X318" i="2" s="1"/>
  <c r="N318" i="2" l="1"/>
  <c r="O318" i="2" s="1"/>
  <c r="P318" i="2" s="1"/>
  <c r="W318" i="2" l="1"/>
  <c r="R318" i="2"/>
  <c r="T318" i="2" s="1"/>
  <c r="Q319" i="2" s="1"/>
  <c r="X319" i="2" s="1"/>
  <c r="N319" i="2" l="1"/>
  <c r="O319" i="2" s="1"/>
  <c r="P319" i="2" s="1"/>
  <c r="W319" i="2"/>
  <c r="R319" i="2" l="1"/>
  <c r="T319" i="2" s="1"/>
  <c r="Q320" i="2" s="1"/>
  <c r="X320" i="2" s="1"/>
  <c r="N320" i="2" l="1"/>
  <c r="O320" i="2"/>
  <c r="P320" i="2" s="1"/>
  <c r="R320" i="2" s="1"/>
  <c r="T320" i="2" s="1"/>
  <c r="Q321" i="2" s="1"/>
  <c r="X321" i="2" s="1"/>
  <c r="W320" i="2"/>
  <c r="N321" i="2" l="1"/>
  <c r="W321" i="2" s="1"/>
  <c r="O321" i="2" l="1"/>
  <c r="P321" i="2" s="1"/>
  <c r="R321" i="2" s="1"/>
  <c r="T321" i="2" s="1"/>
  <c r="Q322" i="2" s="1"/>
  <c r="X322" i="2" s="1"/>
  <c r="N322" i="2" l="1"/>
  <c r="W322" i="2" s="1"/>
  <c r="O322" i="2" l="1"/>
  <c r="P322" i="2" s="1"/>
  <c r="R322" i="2" s="1"/>
  <c r="T322" i="2" s="1"/>
  <c r="Q323" i="2" l="1"/>
  <c r="X323" i="2" s="1"/>
  <c r="N323" i="2"/>
  <c r="O323" i="2" s="1"/>
  <c r="P323" i="2" s="1"/>
  <c r="W323" i="2"/>
  <c r="R323" i="2" l="1"/>
  <c r="T323" i="2" s="1"/>
  <c r="Q324" i="2" s="1"/>
  <c r="X324" i="2" s="1"/>
  <c r="N324" i="2"/>
  <c r="O324" i="2" s="1"/>
  <c r="P324" i="2" s="1"/>
  <c r="R324" i="2" s="1"/>
  <c r="T324" i="2" s="1"/>
  <c r="Q325" i="2" s="1"/>
  <c r="X325" i="2" s="1"/>
  <c r="W324" i="2" l="1"/>
  <c r="N325" i="2"/>
  <c r="O325" i="2" l="1"/>
  <c r="P325" i="2" s="1"/>
  <c r="R325" i="2" s="1"/>
  <c r="T325" i="2" s="1"/>
  <c r="Q326" i="2" s="1"/>
  <c r="X326" i="2" s="1"/>
  <c r="W325" i="2"/>
  <c r="N326" i="2" l="1"/>
  <c r="O326" i="2" s="1"/>
  <c r="P326" i="2" s="1"/>
  <c r="R326" i="2" s="1"/>
  <c r="T326" i="2" s="1"/>
  <c r="Q327" i="2" s="1"/>
  <c r="X327" i="2" s="1"/>
  <c r="N327" i="2" l="1"/>
  <c r="W326" i="2"/>
  <c r="W327" i="2"/>
  <c r="O327" i="2"/>
  <c r="P327" i="2" s="1"/>
  <c r="R327" i="2" l="1"/>
  <c r="T327" i="2" s="1"/>
  <c r="Q328" i="2" s="1"/>
  <c r="X328" i="2" s="1"/>
  <c r="N328" i="2" l="1"/>
  <c r="W328" i="2" s="1"/>
  <c r="O328" i="2" l="1"/>
  <c r="P328" i="2" s="1"/>
  <c r="R328" i="2" l="1"/>
  <c r="T328" i="2" s="1"/>
  <c r="Q329" i="2" s="1"/>
  <c r="X329" i="2" s="1"/>
  <c r="N329" i="2" l="1"/>
  <c r="O329" i="2" s="1"/>
  <c r="P329" i="2" s="1"/>
  <c r="R329" i="2" s="1"/>
  <c r="T329" i="2" s="1"/>
  <c r="Q330" i="2" s="1"/>
  <c r="X330" i="2" s="1"/>
  <c r="W329" i="2" l="1"/>
  <c r="N330" i="2"/>
  <c r="O330" i="2" s="1"/>
  <c r="P330" i="2" s="1"/>
  <c r="R330" i="2" s="1"/>
  <c r="T330" i="2" s="1"/>
  <c r="Q331" i="2" s="1"/>
  <c r="X331" i="2" s="1"/>
  <c r="N331" i="2" l="1"/>
  <c r="O331" i="2" s="1"/>
  <c r="P331" i="2" s="1"/>
  <c r="W330" i="2"/>
  <c r="W331" i="2"/>
  <c r="R331" i="2"/>
  <c r="T331" i="2" s="1"/>
  <c r="Q332" i="2" s="1"/>
  <c r="X332" i="2" s="1"/>
  <c r="N332" i="2" l="1"/>
  <c r="W332" i="2" s="1"/>
  <c r="O332" i="2"/>
  <c r="P332" i="2" s="1"/>
  <c r="R332" i="2" s="1"/>
  <c r="T332" i="2" s="1"/>
  <c r="Q333" i="2" s="1"/>
  <c r="X333" i="2" s="1"/>
  <c r="N333" i="2" l="1"/>
  <c r="O333" i="2" s="1"/>
  <c r="P333" i="2" s="1"/>
  <c r="W333" i="2"/>
  <c r="R333" i="2" l="1"/>
  <c r="T333" i="2" s="1"/>
  <c r="Q334" i="2" s="1"/>
  <c r="X334" i="2" s="1"/>
  <c r="N334" i="2" l="1"/>
  <c r="O334" i="2" l="1"/>
  <c r="P334" i="2" s="1"/>
  <c r="W334" i="2"/>
  <c r="R334" i="2" l="1"/>
  <c r="T334" i="2" s="1"/>
  <c r="Q335" i="2" s="1"/>
  <c r="X335" i="2" s="1"/>
  <c r="N335" i="2" l="1"/>
  <c r="O335" i="2" s="1"/>
  <c r="P335" i="2" s="1"/>
  <c r="R335" i="2" s="1"/>
  <c r="T335" i="2" s="1"/>
  <c r="Q336" i="2" s="1"/>
  <c r="X336" i="2" s="1"/>
  <c r="N336" i="2" l="1"/>
  <c r="W336" i="2" s="1"/>
  <c r="W335" i="2"/>
  <c r="O336" i="2" l="1"/>
  <c r="P336" i="2" s="1"/>
  <c r="R336" i="2"/>
  <c r="T336" i="2" s="1"/>
  <c r="Q337" i="2" s="1"/>
  <c r="X337" i="2" s="1"/>
  <c r="N337" i="2" l="1"/>
  <c r="W337" i="2" s="1"/>
  <c r="O337" i="2"/>
  <c r="P337" i="2" s="1"/>
  <c r="R337" i="2" l="1"/>
  <c r="T337" i="2" s="1"/>
  <c r="Q338" i="2" s="1"/>
  <c r="X338" i="2" s="1"/>
  <c r="N338" i="2" l="1"/>
  <c r="O338" i="2"/>
  <c r="P338" i="2" s="1"/>
  <c r="W338" i="2"/>
  <c r="R338" i="2" l="1"/>
  <c r="T338" i="2" s="1"/>
  <c r="Q339" i="2" s="1"/>
  <c r="X339" i="2" s="1"/>
  <c r="N339" i="2" l="1"/>
  <c r="W339" i="2" s="1"/>
  <c r="O339" i="2" l="1"/>
  <c r="P339" i="2" s="1"/>
  <c r="R339" i="2"/>
  <c r="T339" i="2" s="1"/>
  <c r="Q340" i="2" s="1"/>
  <c r="X340" i="2" s="1"/>
  <c r="N340" i="2" l="1"/>
  <c r="O340" i="2" s="1"/>
  <c r="P340" i="2" s="1"/>
  <c r="W340" i="2"/>
  <c r="R340" i="2" l="1"/>
  <c r="T340" i="2" s="1"/>
  <c r="Q341" i="2" s="1"/>
  <c r="X341" i="2" s="1"/>
  <c r="N341" i="2"/>
  <c r="W341" i="2" s="1"/>
  <c r="O341" i="2" l="1"/>
  <c r="P341" i="2" s="1"/>
  <c r="R341" i="2"/>
  <c r="T341" i="2" s="1"/>
  <c r="Q342" i="2" s="1"/>
  <c r="X342" i="2" s="1"/>
  <c r="N342" i="2" l="1"/>
  <c r="O342" i="2"/>
  <c r="P342" i="2" s="1"/>
  <c r="R342" i="2" s="1"/>
  <c r="T342" i="2" s="1"/>
  <c r="Q343" i="2" s="1"/>
  <c r="X343" i="2" s="1"/>
  <c r="W342" i="2"/>
  <c r="N343" i="2" l="1"/>
  <c r="W343" i="2"/>
  <c r="O343" i="2"/>
  <c r="P343" i="2" s="1"/>
  <c r="R343" i="2" s="1"/>
  <c r="T343" i="2" s="1"/>
  <c r="Q344" i="2" s="1"/>
  <c r="X344" i="2" s="1"/>
  <c r="N344" i="2" l="1"/>
  <c r="W344" i="2"/>
  <c r="O344" i="2"/>
  <c r="P344" i="2" s="1"/>
  <c r="R344" i="2" l="1"/>
  <c r="T344" i="2" s="1"/>
  <c r="Q345" i="2" s="1"/>
  <c r="X345" i="2" s="1"/>
  <c r="N345" i="2" l="1"/>
  <c r="W345" i="2"/>
  <c r="O345" i="2"/>
  <c r="P345" i="2" s="1"/>
  <c r="R345" i="2" s="1"/>
  <c r="T345" i="2" s="1"/>
  <c r="Q346" i="2" s="1"/>
  <c r="X346" i="2" s="1"/>
  <c r="N346" i="2" l="1"/>
  <c r="W346" i="2" s="1"/>
  <c r="O346" i="2" l="1"/>
  <c r="P346" i="2" s="1"/>
  <c r="R346" i="2" s="1"/>
  <c r="T346" i="2" s="1"/>
  <c r="Q347" i="2" s="1"/>
  <c r="X347" i="2" s="1"/>
  <c r="N347" i="2" l="1"/>
  <c r="O347" i="2" l="1"/>
  <c r="P347" i="2" s="1"/>
  <c r="W347" i="2"/>
  <c r="R347" i="2" l="1"/>
  <c r="T347" i="2" s="1"/>
  <c r="Q348" i="2" s="1"/>
  <c r="X348" i="2" s="1"/>
  <c r="N348" i="2"/>
  <c r="W348" i="2" l="1"/>
  <c r="O348" i="2"/>
  <c r="P348" i="2" s="1"/>
  <c r="R348" i="2" s="1"/>
  <c r="T348" i="2" s="1"/>
  <c r="Q349" i="2" s="1"/>
  <c r="X349" i="2" s="1"/>
  <c r="N349" i="2" l="1"/>
  <c r="O349" i="2" s="1"/>
  <c r="P349" i="2" s="1"/>
  <c r="W349" i="2" l="1"/>
  <c r="R349" i="2"/>
  <c r="T349" i="2" s="1"/>
  <c r="Q350" i="2" s="1"/>
  <c r="X350" i="2" s="1"/>
  <c r="N350" i="2"/>
  <c r="O350" i="2" s="1"/>
  <c r="P350" i="2" s="1"/>
  <c r="R350" i="2" l="1"/>
  <c r="T350" i="2" s="1"/>
  <c r="Q351" i="2" s="1"/>
  <c r="X351" i="2" s="1"/>
  <c r="W350" i="2"/>
  <c r="N351" i="2" l="1"/>
  <c r="O351" i="2" s="1"/>
  <c r="P351" i="2" s="1"/>
  <c r="R351" i="2"/>
  <c r="T351" i="2" s="1"/>
  <c r="Q352" i="2" s="1"/>
  <c r="X352" i="2" s="1"/>
  <c r="W351" i="2"/>
  <c r="N352" i="2" l="1"/>
  <c r="O352" i="2" s="1"/>
  <c r="P352" i="2" s="1"/>
  <c r="W352" i="2"/>
  <c r="R352" i="2" l="1"/>
  <c r="T352" i="2" s="1"/>
  <c r="Q353" i="2" s="1"/>
  <c r="X353" i="2" s="1"/>
  <c r="N353" i="2"/>
  <c r="W353" i="2" l="1"/>
  <c r="O353" i="2"/>
  <c r="P353" i="2" s="1"/>
  <c r="R353" i="2" s="1"/>
  <c r="T353" i="2" s="1"/>
  <c r="Q354" i="2" s="1"/>
  <c r="X354" i="2" s="1"/>
  <c r="N354" i="2" l="1"/>
  <c r="O354" i="2"/>
  <c r="P354" i="2" s="1"/>
  <c r="W354" i="2"/>
  <c r="R354" i="2" l="1"/>
  <c r="T354" i="2" s="1"/>
  <c r="Q355" i="2" s="1"/>
  <c r="X355" i="2" s="1"/>
  <c r="N355" i="2" l="1"/>
  <c r="O355" i="2" s="1"/>
  <c r="P355" i="2" s="1"/>
  <c r="R355" i="2" s="1"/>
  <c r="T355" i="2" s="1"/>
  <c r="Q356" i="2" s="1"/>
  <c r="X356" i="2" s="1"/>
  <c r="W355" i="2" l="1"/>
  <c r="N356" i="2"/>
  <c r="O356" i="2" l="1"/>
  <c r="P356" i="2" s="1"/>
  <c r="W356" i="2"/>
  <c r="R356" i="2" l="1"/>
  <c r="T356" i="2" s="1"/>
  <c r="Q357" i="2" s="1"/>
  <c r="X357" i="2" s="1"/>
  <c r="N357" i="2"/>
  <c r="O357" i="2" l="1"/>
  <c r="P357" i="2" s="1"/>
  <c r="R357" i="2" s="1"/>
  <c r="T357" i="2" s="1"/>
  <c r="Q358" i="2" s="1"/>
  <c r="X358" i="2" s="1"/>
  <c r="W357" i="2"/>
  <c r="N358" i="2" l="1"/>
  <c r="O358" i="2"/>
  <c r="P358" i="2" s="1"/>
  <c r="R358" i="2" s="1"/>
  <c r="T358" i="2" s="1"/>
  <c r="Q359" i="2" s="1"/>
  <c r="X359" i="2" s="1"/>
  <c r="W358" i="2"/>
  <c r="N359" i="2" l="1"/>
  <c r="O359" i="2" l="1"/>
  <c r="P359" i="2" s="1"/>
  <c r="R359" i="2" s="1"/>
  <c r="T359" i="2" s="1"/>
  <c r="Q360" i="2" s="1"/>
  <c r="X360" i="2" s="1"/>
  <c r="W359" i="2"/>
  <c r="N360" i="2"/>
  <c r="O360" i="2" l="1"/>
  <c r="P360" i="2" s="1"/>
  <c r="R360" i="2" s="1"/>
  <c r="T360" i="2" s="1"/>
  <c r="Q361" i="2" s="1"/>
  <c r="X361" i="2" s="1"/>
  <c r="W360" i="2"/>
  <c r="N361" i="2" l="1"/>
  <c r="O361" i="2" l="1"/>
  <c r="P361" i="2" s="1"/>
  <c r="W361" i="2"/>
  <c r="R361" i="2" l="1"/>
  <c r="T361" i="2" s="1"/>
  <c r="Q362" i="2" s="1"/>
  <c r="X362" i="2" s="1"/>
  <c r="N362" i="2"/>
  <c r="O362" i="2" l="1"/>
  <c r="P362" i="2" s="1"/>
  <c r="R362" i="2" s="1"/>
  <c r="T362" i="2" s="1"/>
  <c r="Q363" i="2" s="1"/>
  <c r="X363" i="2" s="1"/>
  <c r="W362" i="2"/>
  <c r="N363" i="2" l="1"/>
  <c r="O363" i="2" l="1"/>
  <c r="P363" i="2" s="1"/>
  <c r="R363" i="2" s="1"/>
  <c r="T363" i="2" s="1"/>
  <c r="Q364" i="2" s="1"/>
  <c r="X364" i="2" s="1"/>
  <c r="W363" i="2"/>
  <c r="N364" i="2"/>
  <c r="O364" i="2" l="1"/>
  <c r="P364" i="2" s="1"/>
  <c r="R364" i="2" s="1"/>
  <c r="T364" i="2" s="1"/>
  <c r="Q365" i="2" s="1"/>
  <c r="X365" i="2" s="1"/>
  <c r="W364" i="2"/>
  <c r="N365" i="2" l="1"/>
  <c r="W365" i="2" l="1"/>
  <c r="O365" i="2"/>
  <c r="P365" i="2" s="1"/>
  <c r="R365" i="2" s="1"/>
  <c r="T365" i="2" s="1"/>
  <c r="Q366" i="2" s="1"/>
  <c r="X366" i="2" s="1"/>
  <c r="N366" i="2" l="1"/>
  <c r="W366" i="2"/>
  <c r="O366" i="2"/>
  <c r="P366" i="2" s="1"/>
  <c r="R366" i="2" s="1"/>
  <c r="T366" i="2" s="1"/>
  <c r="Q367" i="2" s="1"/>
  <c r="X367" i="2" s="1"/>
  <c r="N367" i="2" l="1"/>
  <c r="O367" i="2" l="1"/>
  <c r="P367" i="2" s="1"/>
  <c r="R367" i="2" s="1"/>
  <c r="T367" i="2" s="1"/>
  <c r="Q368" i="2" s="1"/>
  <c r="X368" i="2" s="1"/>
  <c r="W367" i="2"/>
  <c r="N368" i="2"/>
  <c r="O368" i="2" l="1"/>
  <c r="P368" i="2" s="1"/>
  <c r="R368" i="2" s="1"/>
  <c r="T368" i="2" s="1"/>
  <c r="Q369" i="2" s="1"/>
  <c r="X369" i="2" s="1"/>
  <c r="W368" i="2"/>
  <c r="N369" i="2"/>
  <c r="O369" i="2" l="1"/>
  <c r="P369" i="2" s="1"/>
  <c r="W369" i="2"/>
  <c r="R369" i="2" l="1"/>
  <c r="T369" i="2" s="1"/>
  <c r="Q370" i="2" s="1"/>
  <c r="X370" i="2" s="1"/>
  <c r="N370" i="2" l="1"/>
  <c r="O370" i="2" l="1"/>
  <c r="P370" i="2" s="1"/>
  <c r="R370" i="2" s="1"/>
  <c r="T370" i="2" s="1"/>
  <c r="Q371" i="2" s="1"/>
  <c r="X371" i="2" s="1"/>
  <c r="W370" i="2"/>
  <c r="N371" i="2"/>
  <c r="W371" i="2" l="1"/>
  <c r="O371" i="2"/>
  <c r="P371" i="2" s="1"/>
  <c r="R371" i="2" s="1"/>
  <c r="T371" i="2" s="1"/>
  <c r="Q372" i="2" s="1"/>
  <c r="X372" i="2" s="1"/>
  <c r="N372" i="2"/>
  <c r="O372" i="2" l="1"/>
  <c r="P372" i="2" s="1"/>
  <c r="W372" i="2"/>
  <c r="R372" i="2" l="1"/>
  <c r="T372" i="2" s="1"/>
  <c r="Q373" i="2" s="1"/>
  <c r="X373" i="2" s="1"/>
  <c r="N373" i="2" l="1"/>
  <c r="O373" i="2" l="1"/>
  <c r="P373" i="2" s="1"/>
  <c r="W373" i="2"/>
  <c r="R373" i="2" l="1"/>
  <c r="T373" i="2" s="1"/>
  <c r="Q374" i="2" s="1"/>
  <c r="X374" i="2" s="1"/>
  <c r="N374" i="2"/>
  <c r="O374" i="2" l="1"/>
  <c r="P374" i="2" s="1"/>
  <c r="R374" i="2" s="1"/>
  <c r="T374" i="2" s="1"/>
  <c r="Q375" i="2" s="1"/>
  <c r="X375" i="2" s="1"/>
  <c r="W374" i="2"/>
  <c r="N375" i="2" l="1"/>
  <c r="W375" i="2"/>
  <c r="O375" i="2"/>
  <c r="P375" i="2" s="1"/>
  <c r="R375" i="2" s="1"/>
  <c r="T375" i="2" s="1"/>
  <c r="Q376" i="2" s="1"/>
  <c r="X376" i="2" s="1"/>
  <c r="N376" i="2" l="1"/>
  <c r="O376" i="2"/>
  <c r="P376" i="2" s="1"/>
  <c r="R376" i="2" s="1"/>
  <c r="T376" i="2" s="1"/>
  <c r="Q377" i="2" s="1"/>
  <c r="X377" i="2" s="1"/>
  <c r="W376" i="2"/>
  <c r="N377" i="2" l="1"/>
  <c r="W377" i="2"/>
  <c r="O377" i="2"/>
  <c r="P377" i="2" s="1"/>
  <c r="R377" i="2" s="1"/>
  <c r="T377" i="2" s="1"/>
  <c r="Q378" i="2" s="1"/>
  <c r="X378" i="2" s="1"/>
  <c r="N378" i="2"/>
  <c r="O378" i="2" l="1"/>
  <c r="P378" i="2" s="1"/>
  <c r="R378" i="2" s="1"/>
  <c r="T378" i="2" s="1"/>
  <c r="Q379" i="2" s="1"/>
  <c r="X379" i="2" s="1"/>
  <c r="W378" i="2"/>
  <c r="N379" i="2"/>
  <c r="W379" i="2" l="1"/>
  <c r="O379" i="2"/>
  <c r="P379" i="2" s="1"/>
  <c r="R379" i="2" l="1"/>
  <c r="T379" i="2" s="1"/>
  <c r="Q380" i="2" s="1"/>
  <c r="X380" i="2" s="1"/>
  <c r="N380" i="2" l="1"/>
  <c r="W380" i="2" s="1"/>
  <c r="O380" i="2" l="1"/>
  <c r="P380" i="2" s="1"/>
  <c r="R380" i="2"/>
  <c r="T380" i="2" s="1"/>
  <c r="Q381" i="2" s="1"/>
  <c r="X381" i="2" s="1"/>
  <c r="N381" i="2" l="1"/>
  <c r="O381" i="2" l="1"/>
  <c r="P381" i="2" s="1"/>
  <c r="R381" i="2" s="1"/>
  <c r="T381" i="2" s="1"/>
  <c r="Q382" i="2" s="1"/>
  <c r="X382" i="2" s="1"/>
  <c r="W381" i="2"/>
  <c r="N382" i="2" l="1"/>
  <c r="W382" i="2"/>
  <c r="O382" i="2"/>
  <c r="P382" i="2" s="1"/>
  <c r="R382" i="2" s="1"/>
  <c r="T382" i="2" s="1"/>
  <c r="Q383" i="2" s="1"/>
  <c r="X383" i="2" s="1"/>
  <c r="N383" i="2"/>
  <c r="O383" i="2" l="1"/>
  <c r="P383" i="2" s="1"/>
  <c r="W383" i="2"/>
  <c r="R383" i="2" l="1"/>
  <c r="T383" i="2" s="1"/>
  <c r="Q384" i="2" s="1"/>
  <c r="X384" i="2" s="1"/>
  <c r="N384" i="2" l="1"/>
  <c r="O384" i="2" l="1"/>
  <c r="P384" i="2" s="1"/>
  <c r="R384" i="2" s="1"/>
  <c r="T384" i="2" s="1"/>
  <c r="Q385" i="2" s="1"/>
  <c r="X385" i="2" s="1"/>
  <c r="W384" i="2"/>
  <c r="N385" i="2" l="1"/>
  <c r="W385" i="2" l="1"/>
  <c r="O385" i="2"/>
  <c r="P385" i="2" s="1"/>
  <c r="R385" i="2" s="1"/>
  <c r="T385" i="2" s="1"/>
  <c r="Q386" i="2" s="1"/>
  <c r="X386" i="2" s="1"/>
  <c r="N386" i="2" l="1"/>
  <c r="O386" i="2" s="1"/>
  <c r="P386" i="2" s="1"/>
  <c r="R386" i="2" s="1"/>
  <c r="T386" i="2" s="1"/>
  <c r="Q387" i="2" s="1"/>
  <c r="X387" i="2" s="1"/>
  <c r="W386" i="2" l="1"/>
  <c r="N387" i="2"/>
  <c r="O387" i="2"/>
  <c r="P387" i="2" s="1"/>
  <c r="W387" i="2"/>
  <c r="R387" i="2" l="1"/>
  <c r="T387" i="2" s="1"/>
  <c r="Q388" i="2" s="1"/>
  <c r="X388" i="2" s="1"/>
  <c r="N388" i="2" l="1"/>
  <c r="O388" i="2" s="1"/>
  <c r="P388" i="2" s="1"/>
  <c r="R388" i="2" s="1"/>
  <c r="T388" i="2" s="1"/>
  <c r="Q389" i="2" s="1"/>
  <c r="X389" i="2" s="1"/>
  <c r="W388" i="2"/>
  <c r="N389" i="2" l="1"/>
  <c r="W389" i="2"/>
  <c r="O389" i="2"/>
  <c r="P389" i="2" s="1"/>
  <c r="R389" i="2" s="1"/>
  <c r="T389" i="2" s="1"/>
  <c r="Q390" i="2" s="1"/>
  <c r="X390" i="2" s="1"/>
  <c r="N390" i="2" l="1"/>
  <c r="W390" i="2" l="1"/>
  <c r="O390" i="2"/>
  <c r="P390" i="2" s="1"/>
  <c r="R390" i="2" s="1"/>
  <c r="T390" i="2" s="1"/>
  <c r="Q391" i="2" s="1"/>
  <c r="X391" i="2" s="1"/>
  <c r="N391" i="2" l="1"/>
  <c r="O391" i="2" l="1"/>
  <c r="P391" i="2" s="1"/>
  <c r="R391" i="2" s="1"/>
  <c r="T391" i="2" s="1"/>
  <c r="Q392" i="2" s="1"/>
  <c r="X392" i="2" s="1"/>
  <c r="W391" i="2"/>
  <c r="N392" i="2" l="1"/>
  <c r="O392" i="2"/>
  <c r="P392" i="2" s="1"/>
  <c r="R392" i="2" s="1"/>
  <c r="T392" i="2" s="1"/>
  <c r="Q393" i="2" s="1"/>
  <c r="X393" i="2" s="1"/>
  <c r="W392" i="2"/>
  <c r="N393" i="2" l="1"/>
  <c r="O393" i="2" l="1"/>
  <c r="P393" i="2" s="1"/>
  <c r="R393" i="2" s="1"/>
  <c r="T393" i="2" s="1"/>
  <c r="Q394" i="2" s="1"/>
  <c r="X394" i="2" s="1"/>
  <c r="N394" i="2"/>
  <c r="W393" i="2"/>
  <c r="W394" i="2" l="1"/>
  <c r="O394" i="2"/>
  <c r="P394" i="2" s="1"/>
  <c r="R394" i="2" s="1"/>
  <c r="T394" i="2" s="1"/>
  <c r="Q395" i="2" s="1"/>
  <c r="X395" i="2" s="1"/>
  <c r="N395" i="2" l="1"/>
  <c r="W395" i="2" s="1"/>
  <c r="O395" i="2"/>
  <c r="P395" i="2" s="1"/>
  <c r="R395" i="2" s="1"/>
  <c r="T395" i="2" s="1"/>
  <c r="Q396" i="2" s="1"/>
  <c r="X396" i="2" s="1"/>
  <c r="N396" i="2" l="1"/>
  <c r="O396" i="2" l="1"/>
  <c r="P396" i="2" s="1"/>
  <c r="R396" i="2" s="1"/>
  <c r="T396" i="2" s="1"/>
  <c r="Q397" i="2" s="1"/>
  <c r="X397" i="2" s="1"/>
  <c r="W396" i="2"/>
  <c r="N397" i="2"/>
  <c r="O397" i="2" l="1"/>
  <c r="P397" i="2" s="1"/>
  <c r="R397" i="2" s="1"/>
  <c r="T397" i="2" s="1"/>
  <c r="Q398" i="2" s="1"/>
  <c r="X398" i="2" s="1"/>
  <c r="W397" i="2"/>
  <c r="N398" i="2" l="1"/>
  <c r="W398" i="2"/>
  <c r="O398" i="2"/>
  <c r="P398" i="2" s="1"/>
  <c r="R398" i="2" s="1"/>
  <c r="T398" i="2" s="1"/>
  <c r="Q399" i="2" s="1"/>
  <c r="X399" i="2" s="1"/>
  <c r="N399" i="2" l="1"/>
  <c r="O399" i="2"/>
  <c r="P399" i="2" s="1"/>
  <c r="R399" i="2" s="1"/>
  <c r="T399" i="2" s="1"/>
  <c r="Q400" i="2" s="1"/>
  <c r="X400" i="2" s="1"/>
  <c r="W399" i="2"/>
  <c r="N400" i="2"/>
  <c r="W400" i="2" l="1"/>
  <c r="O400" i="2"/>
  <c r="P400" i="2" s="1"/>
  <c r="R400" i="2" s="1"/>
  <c r="T400" i="2" s="1"/>
  <c r="Q401" i="2" s="1"/>
  <c r="X401" i="2" s="1"/>
  <c r="N401" i="2"/>
  <c r="O401" i="2" l="1"/>
  <c r="P401" i="2" s="1"/>
  <c r="R401" i="2" s="1"/>
  <c r="T401" i="2" s="1"/>
  <c r="Q402" i="2" s="1"/>
  <c r="X402" i="2" s="1"/>
  <c r="W401" i="2"/>
  <c r="N402" i="2" l="1"/>
  <c r="O402" i="2" s="1"/>
  <c r="P402" i="2" s="1"/>
  <c r="R402" i="2" s="1"/>
  <c r="T402" i="2" s="1"/>
  <c r="Q403" i="2" s="1"/>
  <c r="X403" i="2" s="1"/>
  <c r="W402" i="2"/>
  <c r="N403" i="2"/>
  <c r="O403" i="2" s="1"/>
  <c r="P403" i="2" s="1"/>
  <c r="W403" i="2" l="1"/>
  <c r="R403" i="2"/>
  <c r="T403" i="2" s="1"/>
  <c r="Q404" i="2" s="1"/>
  <c r="X404" i="2" s="1"/>
  <c r="N404" i="2" l="1"/>
  <c r="W404" i="2" s="1"/>
  <c r="O404" i="2" l="1"/>
  <c r="P404" i="2" s="1"/>
  <c r="R404" i="2" s="1"/>
  <c r="T404" i="2" s="1"/>
  <c r="Q405" i="2" s="1"/>
  <c r="X405" i="2" s="1"/>
  <c r="N405" i="2" l="1"/>
  <c r="O405" i="2" l="1"/>
  <c r="P405" i="2" s="1"/>
  <c r="R405" i="2" s="1"/>
  <c r="T405" i="2" s="1"/>
  <c r="Q406" i="2" s="1"/>
  <c r="X406" i="2" s="1"/>
  <c r="W405" i="2"/>
  <c r="N406" i="2" l="1"/>
  <c r="O406" i="2" l="1"/>
  <c r="P406" i="2" s="1"/>
  <c r="W406" i="2"/>
  <c r="R406" i="2" l="1"/>
  <c r="T406" i="2" s="1"/>
  <c r="Q407" i="2" s="1"/>
  <c r="X407" i="2" s="1"/>
  <c r="N407" i="2" l="1"/>
  <c r="O407" i="2"/>
  <c r="P407" i="2" s="1"/>
  <c r="W407" i="2"/>
  <c r="R407" i="2" l="1"/>
  <c r="T407" i="2" s="1"/>
  <c r="Q408" i="2" s="1"/>
  <c r="X408" i="2" s="1"/>
  <c r="N408" i="2" l="1"/>
  <c r="O408" i="2"/>
  <c r="P408" i="2" s="1"/>
  <c r="R408" i="2" s="1"/>
  <c r="T408" i="2" s="1"/>
  <c r="Q409" i="2" s="1"/>
  <c r="X409" i="2" s="1"/>
  <c r="W408" i="2"/>
  <c r="N409" i="2" l="1"/>
  <c r="O409" i="2"/>
  <c r="P409" i="2" s="1"/>
  <c r="R409" i="2" s="1"/>
  <c r="T409" i="2" s="1"/>
  <c r="Q410" i="2" s="1"/>
  <c r="X410" i="2" s="1"/>
  <c r="W409" i="2"/>
  <c r="N410" i="2" l="1"/>
  <c r="O410" i="2"/>
  <c r="P410" i="2" s="1"/>
  <c r="W410" i="2"/>
  <c r="R410" i="2" l="1"/>
  <c r="T410" i="2" s="1"/>
  <c r="Q411" i="2" s="1"/>
  <c r="X411" i="2" s="1"/>
  <c r="N411" i="2" l="1"/>
  <c r="O411" i="2" s="1"/>
  <c r="P411" i="2" s="1"/>
  <c r="W411" i="2" l="1"/>
  <c r="R411" i="2"/>
  <c r="T411" i="2" s="1"/>
  <c r="Q412" i="2" s="1"/>
  <c r="X412" i="2" s="1"/>
  <c r="N412" i="2" l="1"/>
  <c r="W412" i="2" l="1"/>
  <c r="O412" i="2"/>
  <c r="P412" i="2" s="1"/>
  <c r="R412" i="2" s="1"/>
  <c r="T412" i="2" s="1"/>
  <c r="Q413" i="2" s="1"/>
  <c r="X413" i="2" s="1"/>
  <c r="N413" i="2" l="1"/>
  <c r="O413" i="2" s="1"/>
  <c r="P413" i="2" s="1"/>
  <c r="R413" i="2" s="1"/>
  <c r="T413" i="2" s="1"/>
  <c r="Q414" i="2" s="1"/>
  <c r="X414" i="2" s="1"/>
  <c r="W413" i="2"/>
  <c r="N414" i="2"/>
  <c r="W414" i="2" s="1"/>
  <c r="O414" i="2" l="1"/>
  <c r="P414" i="2" s="1"/>
  <c r="R414" i="2" s="1"/>
  <c r="T414" i="2" s="1"/>
  <c r="Q415" i="2" s="1"/>
  <c r="X415" i="2" s="1"/>
  <c r="N415" i="2" l="1"/>
  <c r="O415" i="2" l="1"/>
  <c r="P415" i="2" s="1"/>
  <c r="R415" i="2" s="1"/>
  <c r="T415" i="2" s="1"/>
  <c r="Q416" i="2" s="1"/>
  <c r="X416" i="2" s="1"/>
  <c r="W415" i="2"/>
  <c r="N416" i="2" l="1"/>
  <c r="W416" i="2" s="1"/>
  <c r="O416" i="2" l="1"/>
  <c r="P416" i="2" s="1"/>
  <c r="R416" i="2"/>
  <c r="T416" i="2" s="1"/>
  <c r="Q417" i="2" s="1"/>
  <c r="X417" i="2" s="1"/>
  <c r="N417" i="2"/>
  <c r="O417" i="2" l="1"/>
  <c r="P417" i="2" s="1"/>
  <c r="W417" i="2"/>
  <c r="R417" i="2" l="1"/>
  <c r="T417" i="2" s="1"/>
  <c r="Q418" i="2" s="1"/>
  <c r="X418" i="2" s="1"/>
  <c r="N418" i="2"/>
  <c r="W418" i="2" l="1"/>
  <c r="O418" i="2"/>
  <c r="P418" i="2" s="1"/>
  <c r="R418" i="2" s="1"/>
  <c r="T418" i="2" s="1"/>
  <c r="Q419" i="2" s="1"/>
  <c r="X419" i="2" s="1"/>
  <c r="N419" i="2" l="1"/>
  <c r="O419" i="2" l="1"/>
  <c r="P419" i="2" s="1"/>
  <c r="R419" i="2" s="1"/>
  <c r="T419" i="2" s="1"/>
  <c r="Q420" i="2" s="1"/>
  <c r="X420" i="2" s="1"/>
  <c r="W419" i="2"/>
  <c r="N420" i="2" l="1"/>
  <c r="O420" i="2"/>
  <c r="P420" i="2" s="1"/>
  <c r="R420" i="2" s="1"/>
  <c r="T420" i="2" s="1"/>
  <c r="Q421" i="2" s="1"/>
  <c r="X421" i="2" s="1"/>
  <c r="W420" i="2"/>
  <c r="N421" i="2"/>
  <c r="O421" i="2" l="1"/>
  <c r="P421" i="2" s="1"/>
  <c r="R421" i="2" s="1"/>
  <c r="T421" i="2" s="1"/>
  <c r="Q422" i="2" s="1"/>
  <c r="X422" i="2" s="1"/>
  <c r="W421" i="2"/>
  <c r="N422" i="2" l="1"/>
  <c r="W422" i="2" s="1"/>
  <c r="O422" i="2" l="1"/>
  <c r="P422" i="2" s="1"/>
  <c r="R422" i="2"/>
  <c r="T422" i="2" s="1"/>
  <c r="Q423" i="2" s="1"/>
  <c r="X423" i="2" s="1"/>
  <c r="N423" i="2"/>
  <c r="O423" i="2" l="1"/>
  <c r="P423" i="2" s="1"/>
  <c r="R423" i="2" s="1"/>
  <c r="T423" i="2" s="1"/>
  <c r="Q424" i="2" s="1"/>
  <c r="X424" i="2" s="1"/>
  <c r="W423" i="2"/>
  <c r="N424" i="2" l="1"/>
  <c r="O424" i="2" s="1"/>
  <c r="P424" i="2" s="1"/>
  <c r="W424" i="2"/>
  <c r="R424" i="2" l="1"/>
  <c r="T424" i="2" s="1"/>
  <c r="Q425" i="2" s="1"/>
  <c r="X425" i="2" s="1"/>
  <c r="N425" i="2"/>
  <c r="O425" i="2" l="1"/>
  <c r="P425" i="2" s="1"/>
  <c r="W425" i="2"/>
  <c r="R425" i="2" l="1"/>
  <c r="T425" i="2" s="1"/>
  <c r="Q426" i="2" s="1"/>
  <c r="X426" i="2" s="1"/>
  <c r="N426" i="2"/>
  <c r="O426" i="2" l="1"/>
  <c r="P426" i="2" s="1"/>
  <c r="R426" i="2" s="1"/>
  <c r="T426" i="2" s="1"/>
  <c r="Q427" i="2" s="1"/>
  <c r="X427" i="2" s="1"/>
  <c r="W426" i="2"/>
  <c r="N427" i="2"/>
  <c r="O427" i="2" l="1"/>
  <c r="P427" i="2" s="1"/>
  <c r="W427" i="2"/>
  <c r="R427" i="2" l="1"/>
  <c r="T427" i="2" s="1"/>
  <c r="Q428" i="2" s="1"/>
  <c r="X428" i="2" s="1"/>
  <c r="N428" i="2"/>
  <c r="O428" i="2" l="1"/>
  <c r="P428" i="2" s="1"/>
  <c r="R428" i="2" s="1"/>
  <c r="T428" i="2" s="1"/>
  <c r="Q429" i="2" s="1"/>
  <c r="X429" i="2" s="1"/>
  <c r="W428" i="2"/>
  <c r="N429" i="2" l="1"/>
  <c r="O429" i="2"/>
  <c r="P429" i="2" s="1"/>
  <c r="R429" i="2" s="1"/>
  <c r="T429" i="2" s="1"/>
  <c r="Q430" i="2" s="1"/>
  <c r="X430" i="2" s="1"/>
  <c r="W429" i="2"/>
  <c r="N430" i="2"/>
  <c r="O430" i="2" l="1"/>
  <c r="P430" i="2" s="1"/>
  <c r="R430" i="2" s="1"/>
  <c r="T430" i="2" s="1"/>
  <c r="Q431" i="2" s="1"/>
  <c r="X431" i="2" s="1"/>
  <c r="W430" i="2"/>
  <c r="N431" i="2" l="1"/>
  <c r="O431" i="2" s="1"/>
  <c r="P431" i="2" s="1"/>
  <c r="R431" i="2" s="1"/>
  <c r="T431" i="2" s="1"/>
  <c r="Q432" i="2" s="1"/>
  <c r="X432" i="2" s="1"/>
  <c r="W431" i="2"/>
  <c r="N432" i="2" l="1"/>
  <c r="W432" i="2"/>
  <c r="O432" i="2"/>
  <c r="P432" i="2" s="1"/>
  <c r="R432" i="2" s="1"/>
  <c r="T432" i="2" s="1"/>
  <c r="Q433" i="2" s="1"/>
  <c r="X433" i="2" s="1"/>
  <c r="N433" i="2" l="1"/>
  <c r="O433" i="2" s="1"/>
  <c r="P433" i="2" s="1"/>
  <c r="R433" i="2" s="1"/>
  <c r="T433" i="2" s="1"/>
  <c r="Q434" i="2" s="1"/>
  <c r="X434" i="2" s="1"/>
  <c r="W433" i="2" l="1"/>
  <c r="N434" i="2"/>
  <c r="O434" i="2" s="1"/>
  <c r="P434" i="2" s="1"/>
  <c r="R434" i="2" s="1"/>
  <c r="T434" i="2" s="1"/>
  <c r="Q435" i="2" s="1"/>
  <c r="X435" i="2" s="1"/>
  <c r="W434" i="2" l="1"/>
  <c r="N435" i="2"/>
  <c r="O435" i="2" s="1"/>
  <c r="P435" i="2" s="1"/>
  <c r="W435" i="2" l="1"/>
  <c r="R435" i="2"/>
  <c r="T435" i="2" s="1"/>
  <c r="Q436" i="2" s="1"/>
  <c r="X436" i="2" s="1"/>
  <c r="N436" i="2" l="1"/>
  <c r="W436" i="2" s="1"/>
  <c r="O436" i="2" l="1"/>
  <c r="P436" i="2" s="1"/>
  <c r="R436" i="2" s="1"/>
  <c r="T436" i="2" s="1"/>
  <c r="Q437" i="2" s="1"/>
  <c r="X437" i="2" s="1"/>
  <c r="N437" i="2" l="1"/>
  <c r="W437" i="2" s="1"/>
  <c r="O437" i="2"/>
  <c r="P437" i="2" s="1"/>
  <c r="R437" i="2" s="1"/>
  <c r="T437" i="2" s="1"/>
  <c r="Q438" i="2" s="1"/>
  <c r="X438" i="2" s="1"/>
  <c r="N438" i="2" l="1"/>
  <c r="W438" i="2" s="1"/>
  <c r="O438" i="2" l="1"/>
  <c r="P438" i="2" s="1"/>
  <c r="R438" i="2" s="1"/>
  <c r="T438" i="2" s="1"/>
  <c r="Q439" i="2" s="1"/>
  <c r="X439" i="2" s="1"/>
  <c r="N439" i="2" l="1"/>
  <c r="W439" i="2" s="1"/>
  <c r="O439" i="2"/>
  <c r="P439" i="2" s="1"/>
  <c r="R439" i="2" s="1"/>
  <c r="T439" i="2" s="1"/>
  <c r="Q440" i="2" s="1"/>
  <c r="X440" i="2" s="1"/>
  <c r="N440" i="2" l="1"/>
  <c r="W440" i="2" s="1"/>
  <c r="O440" i="2" l="1"/>
  <c r="P440" i="2" s="1"/>
  <c r="R440" i="2" s="1"/>
  <c r="T440" i="2" s="1"/>
  <c r="Q441" i="2" s="1"/>
  <c r="X441" i="2" s="1"/>
  <c r="N441" i="2" l="1"/>
  <c r="O441" i="2" s="1"/>
  <c r="P441" i="2" s="1"/>
  <c r="R441" i="2" s="1"/>
  <c r="T441" i="2" s="1"/>
  <c r="Q442" i="2" s="1"/>
  <c r="X442" i="2" s="1"/>
  <c r="N442" i="2" l="1"/>
  <c r="W442" i="2" s="1"/>
  <c r="W441" i="2"/>
  <c r="O442" i="2" l="1"/>
  <c r="P442" i="2" s="1"/>
  <c r="R442" i="2" s="1"/>
  <c r="T442" i="2" s="1"/>
  <c r="Q443" i="2" s="1"/>
  <c r="X443" i="2" s="1"/>
  <c r="N443" i="2" l="1"/>
  <c r="W443" i="2" s="1"/>
  <c r="O443" i="2"/>
  <c r="P443" i="2" s="1"/>
  <c r="R443" i="2" s="1"/>
  <c r="T443" i="2" s="1"/>
  <c r="Q444" i="2" s="1"/>
  <c r="X444" i="2" s="1"/>
  <c r="N444" i="2" l="1"/>
  <c r="W444" i="2" s="1"/>
  <c r="O444" i="2" l="1"/>
  <c r="P444" i="2" s="1"/>
  <c r="R444" i="2" s="1"/>
  <c r="T444" i="2" s="1"/>
  <c r="Q445" i="2" s="1"/>
  <c r="X445" i="2" s="1"/>
  <c r="N445" i="2" l="1"/>
  <c r="O445" i="2" s="1"/>
  <c r="P445" i="2" s="1"/>
  <c r="R445" i="2"/>
  <c r="T445" i="2" s="1"/>
  <c r="Q446" i="2" s="1"/>
  <c r="X446" i="2" s="1"/>
  <c r="W445" i="2"/>
  <c r="N446" i="2"/>
  <c r="O446" i="2" s="1"/>
  <c r="P446" i="2" s="1"/>
  <c r="R446" i="2" s="1"/>
  <c r="T446" i="2" s="1"/>
  <c r="Q447" i="2" s="1"/>
  <c r="X447" i="2" s="1"/>
  <c r="W446" i="2" l="1"/>
  <c r="N447" i="2"/>
  <c r="W447" i="2" s="1"/>
  <c r="O447" i="2" l="1"/>
  <c r="P447" i="2" s="1"/>
  <c r="R447" i="2" s="1"/>
  <c r="T447" i="2" s="1"/>
  <c r="Q448" i="2" s="1"/>
  <c r="X448" i="2" s="1"/>
  <c r="N448" i="2" l="1"/>
  <c r="O448" i="2" s="1"/>
  <c r="P448" i="2" s="1"/>
  <c r="R448" i="2" s="1"/>
  <c r="T448" i="2" s="1"/>
  <c r="Q449" i="2" s="1"/>
  <c r="X449" i="2" s="1"/>
  <c r="W448" i="2" l="1"/>
  <c r="N449" i="2"/>
  <c r="W449" i="2" s="1"/>
  <c r="O449" i="2" l="1"/>
  <c r="P449" i="2" s="1"/>
  <c r="R449" i="2" s="1"/>
  <c r="T449" i="2" s="1"/>
  <c r="Q450" i="2" s="1"/>
  <c r="X450" i="2" s="1"/>
  <c r="N450" i="2" l="1"/>
  <c r="O450" i="2" s="1"/>
  <c r="P450" i="2" s="1"/>
  <c r="R450" i="2" s="1"/>
  <c r="T450" i="2" s="1"/>
  <c r="Q451" i="2" s="1"/>
  <c r="X451" i="2" s="1"/>
  <c r="W450" i="2" l="1"/>
  <c r="N451" i="2"/>
  <c r="O451" i="2" s="1"/>
  <c r="P451" i="2" s="1"/>
  <c r="R451" i="2" s="1"/>
  <c r="T451" i="2" s="1"/>
  <c r="Q452" i="2" s="1"/>
  <c r="X452" i="2" s="1"/>
  <c r="N452" i="2" l="1"/>
  <c r="O452" i="2" s="1"/>
  <c r="P452" i="2" s="1"/>
  <c r="R452" i="2" s="1"/>
  <c r="T452" i="2" s="1"/>
  <c r="Q453" i="2" s="1"/>
  <c r="X453" i="2" s="1"/>
  <c r="W451" i="2"/>
  <c r="W452" i="2" l="1"/>
  <c r="N453" i="2"/>
  <c r="W453" i="2" s="1"/>
  <c r="O453" i="2" l="1"/>
  <c r="P453" i="2" s="1"/>
  <c r="R453" i="2" s="1"/>
  <c r="T453" i="2" s="1"/>
  <c r="Q454" i="2" s="1"/>
  <c r="X454" i="2" s="1"/>
  <c r="N454" i="2" l="1"/>
  <c r="W454" i="2" s="1"/>
  <c r="O454" i="2" l="1"/>
  <c r="P454" i="2" s="1"/>
  <c r="R454" i="2" s="1"/>
  <c r="T454" i="2" s="1"/>
  <c r="Q455" i="2" s="1"/>
  <c r="X455" i="2" s="1"/>
  <c r="N455" i="2" l="1"/>
  <c r="W455" i="2" s="1"/>
  <c r="O455" i="2" l="1"/>
  <c r="P455" i="2" s="1"/>
  <c r="R455" i="2" s="1"/>
  <c r="T455" i="2" s="1"/>
  <c r="Q456" i="2" s="1"/>
  <c r="X456" i="2" s="1"/>
  <c r="N456" i="2" l="1"/>
  <c r="W456" i="2"/>
  <c r="O456" i="2"/>
  <c r="P456" i="2" s="1"/>
  <c r="R456" i="2" s="1"/>
  <c r="T456" i="2" s="1"/>
  <c r="Q457" i="2" s="1"/>
  <c r="X457" i="2" s="1"/>
  <c r="N457" i="2" l="1"/>
  <c r="O457" i="2" l="1"/>
  <c r="P457" i="2" s="1"/>
  <c r="R457" i="2" s="1"/>
  <c r="T457" i="2" s="1"/>
  <c r="Q458" i="2" s="1"/>
  <c r="X458" i="2" s="1"/>
  <c r="W457" i="2"/>
  <c r="N458" i="2" l="1"/>
  <c r="O458" i="2" l="1"/>
  <c r="P458" i="2" s="1"/>
  <c r="R458" i="2" s="1"/>
  <c r="T458" i="2" s="1"/>
  <c r="Q459" i="2" s="1"/>
  <c r="X459" i="2" s="1"/>
  <c r="W458" i="2"/>
  <c r="N459" i="2" l="1"/>
  <c r="W459" i="2" s="1"/>
  <c r="O459" i="2" l="1"/>
  <c r="P459" i="2" s="1"/>
  <c r="R459" i="2" s="1"/>
  <c r="T459" i="2" s="1"/>
  <c r="Q460" i="2" s="1"/>
  <c r="X460" i="2" s="1"/>
  <c r="N460" i="2" l="1"/>
  <c r="O460" i="2" s="1"/>
  <c r="P460" i="2" s="1"/>
  <c r="R460" i="2" s="1"/>
  <c r="T460" i="2" s="1"/>
  <c r="Q461" i="2" s="1"/>
  <c r="X461" i="2" s="1"/>
  <c r="W460" i="2" l="1"/>
  <c r="N461" i="2"/>
  <c r="W461" i="2" s="1"/>
  <c r="O461" i="2" l="1"/>
  <c r="P461" i="2" s="1"/>
  <c r="R461" i="2" s="1"/>
  <c r="T461" i="2" s="1"/>
  <c r="Q462" i="2" s="1"/>
  <c r="X462" i="2" s="1"/>
  <c r="N462" i="2" l="1"/>
  <c r="O462" i="2" s="1"/>
  <c r="P462" i="2" s="1"/>
  <c r="R462" i="2" s="1"/>
  <c r="T462" i="2" s="1"/>
  <c r="Q463" i="2" s="1"/>
  <c r="X463" i="2" s="1"/>
  <c r="N463" i="2" l="1"/>
  <c r="O463" i="2" s="1"/>
  <c r="P463" i="2" s="1"/>
  <c r="R463" i="2" s="1"/>
  <c r="T463" i="2" s="1"/>
  <c r="Q464" i="2" s="1"/>
  <c r="X464" i="2" s="1"/>
  <c r="W462" i="2"/>
  <c r="W463" i="2" l="1"/>
  <c r="N464" i="2"/>
  <c r="O464" i="2" s="1"/>
  <c r="P464" i="2" s="1"/>
  <c r="R464" i="2" s="1"/>
  <c r="T464" i="2" s="1"/>
  <c r="Q465" i="2" s="1"/>
  <c r="X465" i="2" s="1"/>
  <c r="W464" i="2" l="1"/>
  <c r="N465" i="2"/>
  <c r="O465" i="2" s="1"/>
  <c r="P465" i="2" s="1"/>
  <c r="W465" i="2" l="1"/>
  <c r="R465" i="2"/>
  <c r="T465" i="2" s="1"/>
  <c r="Q466" i="2" s="1"/>
  <c r="X466" i="2" s="1"/>
  <c r="N466" i="2" l="1"/>
  <c r="O466" i="2" s="1"/>
  <c r="P466" i="2" s="1"/>
  <c r="R466" i="2" s="1"/>
  <c r="T466" i="2" s="1"/>
  <c r="Q467" i="2" s="1"/>
  <c r="X467" i="2" s="1"/>
  <c r="W466" i="2" l="1"/>
  <c r="N467" i="2"/>
  <c r="W467" i="2" s="1"/>
  <c r="O467" i="2" l="1"/>
  <c r="P467" i="2" s="1"/>
  <c r="R467" i="2" s="1"/>
  <c r="T467" i="2" s="1"/>
  <c r="Q468" i="2" s="1"/>
  <c r="X468" i="2" s="1"/>
  <c r="N468" i="2" l="1"/>
  <c r="W468" i="2" s="1"/>
  <c r="O468" i="2" l="1"/>
  <c r="P468" i="2" s="1"/>
  <c r="R468" i="2" s="1"/>
  <c r="T468" i="2" s="1"/>
  <c r="Q469" i="2" s="1"/>
  <c r="X469" i="2" s="1"/>
  <c r="N469" i="2" l="1"/>
  <c r="W469" i="2" s="1"/>
  <c r="O469" i="2" l="1"/>
  <c r="P469" i="2" s="1"/>
  <c r="R469" i="2" s="1"/>
  <c r="T469" i="2" s="1"/>
  <c r="Q470" i="2" s="1"/>
  <c r="X470" i="2" s="1"/>
  <c r="N470" i="2" l="1"/>
  <c r="O470" i="2" l="1"/>
  <c r="P470" i="2" s="1"/>
  <c r="W470" i="2"/>
  <c r="R470" i="2" l="1"/>
  <c r="T470" i="2" s="1"/>
  <c r="Q471" i="2" s="1"/>
  <c r="X471" i="2" s="1"/>
  <c r="N471" i="2" l="1"/>
  <c r="W471" i="2" l="1"/>
  <c r="O471" i="2"/>
  <c r="P471" i="2" s="1"/>
  <c r="R471" i="2" s="1"/>
  <c r="T471" i="2" s="1"/>
  <c r="Q472" i="2" s="1"/>
  <c r="X472" i="2" s="1"/>
  <c r="N472" i="2" l="1"/>
  <c r="O472" i="2" s="1"/>
  <c r="P472" i="2" s="1"/>
  <c r="R472" i="2" s="1"/>
  <c r="T472" i="2" s="1"/>
  <c r="Q473" i="2" s="1"/>
  <c r="X473" i="2" s="1"/>
  <c r="W472" i="2" l="1"/>
  <c r="N473" i="2"/>
  <c r="O473" i="2" s="1"/>
  <c r="P473" i="2" s="1"/>
  <c r="R473" i="2" s="1"/>
  <c r="T473" i="2" s="1"/>
  <c r="Q474" i="2" s="1"/>
  <c r="X474" i="2" s="1"/>
  <c r="W473" i="2" l="1"/>
  <c r="N474" i="2"/>
  <c r="W474" i="2" s="1"/>
  <c r="O474" i="2" l="1"/>
  <c r="P474" i="2" s="1"/>
  <c r="R474" i="2" s="1"/>
  <c r="T474" i="2" s="1"/>
  <c r="Q475" i="2" s="1"/>
  <c r="X475" i="2" s="1"/>
  <c r="N475" i="2" l="1"/>
  <c r="W475" i="2" s="1"/>
  <c r="O475" i="2" l="1"/>
  <c r="P475" i="2" s="1"/>
  <c r="R475" i="2" s="1"/>
  <c r="T475" i="2" s="1"/>
  <c r="Q476" i="2" s="1"/>
  <c r="X476" i="2" s="1"/>
  <c r="N476" i="2" l="1"/>
  <c r="O476" i="2" s="1"/>
  <c r="P476" i="2" s="1"/>
  <c r="W476" i="2" l="1"/>
  <c r="R476" i="2"/>
  <c r="T476" i="2" s="1"/>
  <c r="Q477" i="2" s="1"/>
  <c r="X477" i="2" s="1"/>
  <c r="N477" i="2" l="1"/>
  <c r="W477" i="2" s="1"/>
  <c r="O477" i="2" l="1"/>
  <c r="P477" i="2" s="1"/>
  <c r="R477" i="2" s="1"/>
  <c r="T477" i="2" s="1"/>
  <c r="Q478" i="2" s="1"/>
  <c r="X478" i="2" s="1"/>
  <c r="N478" i="2" l="1"/>
  <c r="O478" i="2" s="1"/>
  <c r="P478" i="2" s="1"/>
  <c r="R478" i="2" s="1"/>
  <c r="T478" i="2" s="1"/>
  <c r="Q479" i="2" s="1"/>
  <c r="X479" i="2" s="1"/>
  <c r="W478" i="2" l="1"/>
  <c r="N479" i="2"/>
  <c r="O479" i="2" l="1"/>
  <c r="P479" i="2" s="1"/>
  <c r="W479" i="2"/>
  <c r="R479" i="2" l="1"/>
  <c r="T479" i="2" s="1"/>
  <c r="Q480" i="2" s="1"/>
  <c r="X480" i="2" s="1"/>
  <c r="N480" i="2" l="1"/>
  <c r="O480" i="2" s="1"/>
  <c r="P480" i="2" s="1"/>
  <c r="W480" i="2" l="1"/>
  <c r="R480" i="2"/>
  <c r="T480" i="2" s="1"/>
  <c r="Q481" i="2" s="1"/>
  <c r="X481" i="2" s="1"/>
  <c r="N481" i="2" l="1"/>
  <c r="O481" i="2" l="1"/>
  <c r="P481" i="2" s="1"/>
  <c r="R481" i="2" s="1"/>
  <c r="T481" i="2" s="1"/>
  <c r="Q482" i="2" s="1"/>
  <c r="X482" i="2" s="1"/>
  <c r="W481" i="2"/>
  <c r="N482" i="2" l="1"/>
  <c r="W482" i="2" s="1"/>
  <c r="O482" i="2" l="1"/>
  <c r="P482" i="2" s="1"/>
  <c r="R482" i="2" l="1"/>
  <c r="T482" i="2" s="1"/>
  <c r="Q483" i="2" s="1"/>
  <c r="X483" i="2" s="1"/>
  <c r="N483" i="2" l="1"/>
  <c r="O483" i="2" s="1"/>
  <c r="P483" i="2" s="1"/>
  <c r="W483" i="2" l="1"/>
  <c r="R483" i="2"/>
  <c r="T483" i="2" s="1"/>
  <c r="Q484" i="2" s="1"/>
  <c r="X484" i="2" s="1"/>
  <c r="N484" i="2" l="1"/>
  <c r="W484" i="2" s="1"/>
  <c r="O484" i="2" l="1"/>
  <c r="P484" i="2" s="1"/>
  <c r="R484" i="2" s="1"/>
  <c r="T484" i="2" s="1"/>
  <c r="Q485" i="2" s="1"/>
  <c r="X485" i="2" s="1"/>
  <c r="N485" i="2" l="1"/>
  <c r="W485" i="2" s="1"/>
  <c r="O485" i="2" l="1"/>
  <c r="P485" i="2" s="1"/>
  <c r="R485" i="2" s="1"/>
  <c r="T485" i="2" s="1"/>
  <c r="Q486" i="2" s="1"/>
  <c r="X486" i="2" s="1"/>
  <c r="N486" i="2" l="1"/>
  <c r="O486" i="2" l="1"/>
  <c r="P486" i="2" s="1"/>
  <c r="R486" i="2" s="1"/>
  <c r="T486" i="2" s="1"/>
  <c r="Q487" i="2" s="1"/>
  <c r="X487" i="2" s="1"/>
  <c r="W486" i="2"/>
  <c r="N487" i="2" l="1"/>
  <c r="O487" i="2" s="1"/>
  <c r="P487" i="2" s="1"/>
  <c r="R487" i="2" s="1"/>
  <c r="T487" i="2" s="1"/>
  <c r="Q488" i="2" s="1"/>
  <c r="X488" i="2" s="1"/>
  <c r="W487" i="2" l="1"/>
  <c r="N488" i="2"/>
  <c r="O488" i="2" l="1"/>
  <c r="P488" i="2" s="1"/>
  <c r="W488" i="2"/>
  <c r="R488" i="2" l="1"/>
  <c r="T488" i="2" s="1"/>
  <c r="Q489" i="2" s="1"/>
  <c r="X489" i="2" s="1"/>
  <c r="N489" i="2" l="1"/>
  <c r="O489" i="2" s="1"/>
  <c r="P489" i="2" s="1"/>
  <c r="R489" i="2" s="1"/>
  <c r="T489" i="2" s="1"/>
  <c r="Q490" i="2" s="1"/>
  <c r="X490" i="2" s="1"/>
  <c r="W489" i="2" l="1"/>
  <c r="N490" i="2"/>
  <c r="W490" i="2" s="1"/>
  <c r="O490" i="2" l="1"/>
  <c r="P490" i="2" s="1"/>
  <c r="R490" i="2" s="1"/>
  <c r="T490" i="2" s="1"/>
  <c r="Q491" i="2" s="1"/>
  <c r="X491" i="2" s="1"/>
  <c r="N491" i="2" l="1"/>
  <c r="O491" i="2" s="1"/>
  <c r="P491" i="2" s="1"/>
  <c r="R491" i="2" s="1"/>
  <c r="T491" i="2" s="1"/>
  <c r="Q492" i="2" s="1"/>
  <c r="X492" i="2" s="1"/>
  <c r="W491" i="2" l="1"/>
  <c r="N492" i="2"/>
  <c r="W492" i="2" s="1"/>
  <c r="O492" i="2" l="1"/>
  <c r="P492" i="2" s="1"/>
  <c r="R492" i="2" s="1"/>
  <c r="T492" i="2" s="1"/>
  <c r="Q493" i="2" s="1"/>
  <c r="X493" i="2" s="1"/>
  <c r="N493" i="2" l="1"/>
  <c r="O493" i="2" l="1"/>
  <c r="P493" i="2" s="1"/>
  <c r="R493" i="2" s="1"/>
  <c r="T493" i="2" s="1"/>
  <c r="Q494" i="2" s="1"/>
  <c r="X494" i="2" s="1"/>
  <c r="W493" i="2"/>
  <c r="N494" i="2" l="1"/>
  <c r="W494" i="2" s="1"/>
  <c r="O494" i="2" l="1"/>
  <c r="P494" i="2" s="1"/>
  <c r="R494" i="2" s="1"/>
  <c r="T494" i="2" s="1"/>
  <c r="Q495" i="2" s="1"/>
  <c r="X495" i="2" s="1"/>
  <c r="N495" i="2" l="1"/>
  <c r="O495" i="2" l="1"/>
  <c r="P495" i="2" s="1"/>
  <c r="W495" i="2"/>
  <c r="R495" i="2" l="1"/>
  <c r="T495" i="2" s="1"/>
  <c r="Q496" i="2" s="1"/>
  <c r="X496" i="2" s="1"/>
  <c r="N496" i="2" l="1"/>
  <c r="O496" i="2" s="1"/>
  <c r="P496" i="2" s="1"/>
  <c r="R496" i="2" s="1"/>
  <c r="T496" i="2" s="1"/>
  <c r="Q497" i="2" s="1"/>
  <c r="X497" i="2" s="1"/>
  <c r="N497" i="2" l="1"/>
  <c r="O497" i="2" s="1"/>
  <c r="P497" i="2" s="1"/>
  <c r="W496" i="2"/>
  <c r="W497" i="2" l="1"/>
  <c r="R497" i="2"/>
  <c r="T497" i="2" s="1"/>
  <c r="Q498" i="2" s="1"/>
  <c r="X498" i="2" s="1"/>
  <c r="N498" i="2" l="1"/>
  <c r="W498" i="2" s="1"/>
  <c r="O498" i="2" l="1"/>
  <c r="P498" i="2" s="1"/>
  <c r="R498" i="2"/>
  <c r="T498" i="2" s="1"/>
  <c r="Q499" i="2" s="1"/>
  <c r="X499" i="2" s="1"/>
  <c r="N499" i="2" l="1"/>
  <c r="W499" i="2" s="1"/>
  <c r="O499" i="2" l="1"/>
  <c r="P499" i="2" s="1"/>
  <c r="R499" i="2" s="1"/>
  <c r="T499" i="2" s="1"/>
  <c r="Q500" i="2" l="1"/>
  <c r="X500" i="2" s="1"/>
  <c r="N500" i="2"/>
  <c r="O500" i="2" s="1"/>
  <c r="P500" i="2" s="1"/>
  <c r="W500" i="2"/>
  <c r="R500" i="2" l="1"/>
  <c r="T500" i="2" s="1"/>
  <c r="Q501" i="2" s="1"/>
  <c r="X501" i="2" s="1"/>
  <c r="N501" i="2" l="1"/>
  <c r="O501" i="2" s="1"/>
  <c r="P501" i="2" s="1"/>
  <c r="W501" i="2"/>
  <c r="R501" i="2" l="1"/>
  <c r="T501" i="2" s="1"/>
  <c r="Q502" i="2" s="1"/>
  <c r="X502" i="2" s="1"/>
  <c r="N502" i="2"/>
  <c r="W502" i="2" s="1"/>
  <c r="O502" i="2" l="1"/>
  <c r="P502" i="2" s="1"/>
  <c r="R502" i="2"/>
  <c r="T502" i="2" s="1"/>
  <c r="Q503" i="2" s="1"/>
  <c r="X503" i="2" s="1"/>
  <c r="N503" i="2" l="1"/>
  <c r="O503" i="2" s="1"/>
  <c r="P503" i="2" s="1"/>
  <c r="W503" i="2"/>
  <c r="R503" i="2" l="1"/>
  <c r="T503" i="2" s="1"/>
  <c r="Q504" i="2" s="1"/>
  <c r="X504" i="2" s="1"/>
  <c r="N504" i="2" l="1"/>
  <c r="W504" i="2" s="1"/>
  <c r="O504" i="2"/>
  <c r="P504" i="2" s="1"/>
  <c r="R504" i="2" s="1"/>
  <c r="T504" i="2" s="1"/>
  <c r="Q505" i="2" s="1"/>
  <c r="X505" i="2" s="1"/>
  <c r="N505" i="2" l="1"/>
  <c r="O505" i="2" s="1"/>
  <c r="P505" i="2" s="1"/>
  <c r="W505" i="2"/>
  <c r="R505" i="2" l="1"/>
  <c r="T505" i="2" s="1"/>
  <c r="Q506" i="2" s="1"/>
  <c r="X506" i="2" s="1"/>
  <c r="N506" i="2" l="1"/>
  <c r="O506" i="2" l="1"/>
  <c r="P506" i="2" s="1"/>
  <c r="W506" i="2"/>
  <c r="R506" i="2" l="1"/>
  <c r="T506" i="2" s="1"/>
  <c r="Q507" i="2" s="1"/>
  <c r="X507" i="2" s="1"/>
  <c r="N507" i="2" l="1"/>
  <c r="O507" i="2"/>
  <c r="P507" i="2" s="1"/>
  <c r="R507" i="2" s="1"/>
  <c r="T507" i="2" s="1"/>
  <c r="Q508" i="2" s="1"/>
  <c r="X508" i="2" s="1"/>
  <c r="W507" i="2"/>
  <c r="N508" i="2" l="1"/>
  <c r="O508" i="2" l="1"/>
  <c r="P508" i="2" s="1"/>
  <c r="R508" i="2" s="1"/>
  <c r="T508" i="2" s="1"/>
  <c r="Q509" i="2" s="1"/>
  <c r="X509" i="2" s="1"/>
  <c r="W508" i="2"/>
  <c r="N509" i="2" l="1"/>
  <c r="O509" i="2"/>
  <c r="P509" i="2" s="1"/>
  <c r="R509" i="2" s="1"/>
  <c r="T509" i="2" s="1"/>
  <c r="Q510" i="2" s="1"/>
  <c r="X510" i="2" s="1"/>
  <c r="W509" i="2"/>
  <c r="N510" i="2" l="1"/>
  <c r="W510" i="2" s="1"/>
  <c r="O510" i="2" l="1"/>
  <c r="P510" i="2" s="1"/>
  <c r="R510" i="2"/>
  <c r="T510" i="2" s="1"/>
  <c r="Q511" i="2" s="1"/>
  <c r="X511" i="2" s="1"/>
  <c r="N511" i="2" l="1"/>
  <c r="O511" i="2"/>
  <c r="P511" i="2" s="1"/>
  <c r="R511" i="2" s="1"/>
  <c r="T511" i="2" s="1"/>
  <c r="Q512" i="2" s="1"/>
  <c r="X512" i="2" s="1"/>
  <c r="W511" i="2"/>
  <c r="N512" i="2" l="1"/>
  <c r="W512" i="2"/>
  <c r="O512" i="2"/>
  <c r="P512" i="2" s="1"/>
  <c r="R512" i="2" s="1"/>
  <c r="T512" i="2" s="1"/>
  <c r="Q513" i="2" s="1"/>
  <c r="X513" i="2" s="1"/>
  <c r="N513" i="2" l="1"/>
  <c r="O513" i="2" l="1"/>
  <c r="P513" i="2" s="1"/>
  <c r="R513" i="2" s="1"/>
  <c r="T513" i="2" s="1"/>
  <c r="Q514" i="2" s="1"/>
  <c r="X514" i="2" s="1"/>
  <c r="W513" i="2"/>
  <c r="N514" i="2"/>
  <c r="O514" i="2" l="1"/>
  <c r="P514" i="2" s="1"/>
  <c r="R514" i="2" s="1"/>
  <c r="T514" i="2" s="1"/>
  <c r="Q515" i="2" s="1"/>
  <c r="X515" i="2" s="1"/>
  <c r="W514" i="2"/>
  <c r="N515" i="2" l="1"/>
  <c r="W515" i="2" l="1"/>
  <c r="O515" i="2"/>
  <c r="P515" i="2" s="1"/>
  <c r="R515" i="2" s="1"/>
  <c r="T515" i="2" s="1"/>
  <c r="Q516" i="2" s="1"/>
  <c r="X516" i="2" s="1"/>
  <c r="N516" i="2" l="1"/>
  <c r="W516" i="2" s="1"/>
  <c r="O516" i="2" l="1"/>
  <c r="P516" i="2" s="1"/>
  <c r="R516" i="2" s="1"/>
  <c r="T516" i="2" s="1"/>
  <c r="Q517" i="2" s="1"/>
  <c r="X517" i="2" s="1"/>
  <c r="N517" i="2"/>
  <c r="W517" i="2" s="1"/>
  <c r="O517" i="2" l="1"/>
  <c r="P517" i="2" s="1"/>
  <c r="R517" i="2"/>
  <c r="T517" i="2" s="1"/>
  <c r="Q518" i="2" s="1"/>
  <c r="X518" i="2" s="1"/>
  <c r="N518" i="2" l="1"/>
  <c r="W518" i="2"/>
  <c r="O518" i="2"/>
  <c r="P518" i="2" s="1"/>
  <c r="R518" i="2" s="1"/>
  <c r="T518" i="2" s="1"/>
  <c r="Q519" i="2" s="1"/>
  <c r="X519" i="2" s="1"/>
  <c r="N519" i="2" l="1"/>
  <c r="O519" i="2"/>
  <c r="P519" i="2" s="1"/>
  <c r="W519" i="2"/>
  <c r="R519" i="2" l="1"/>
  <c r="T519" i="2" s="1"/>
  <c r="Q520" i="2" s="1"/>
  <c r="X520" i="2" s="1"/>
  <c r="N520" i="2" l="1"/>
  <c r="W520" i="2"/>
  <c r="O520" i="2"/>
  <c r="P520" i="2" s="1"/>
  <c r="R520" i="2" s="1"/>
  <c r="T520" i="2" s="1"/>
  <c r="Q521" i="2" s="1"/>
  <c r="X521" i="2" s="1"/>
  <c r="N521" i="2" l="1"/>
  <c r="O521" i="2" s="1"/>
  <c r="P521" i="2" s="1"/>
  <c r="R521" i="2" s="1"/>
  <c r="T521" i="2" s="1"/>
  <c r="Q522" i="2" s="1"/>
  <c r="X522" i="2" s="1"/>
  <c r="W521" i="2" l="1"/>
  <c r="N522" i="2"/>
  <c r="W522" i="2" l="1"/>
  <c r="O522" i="2"/>
  <c r="P522" i="2" s="1"/>
  <c r="R522" i="2" l="1"/>
  <c r="T522" i="2" s="1"/>
  <c r="Q523" i="2" s="1"/>
  <c r="X523" i="2" s="1"/>
  <c r="N523" i="2" l="1"/>
  <c r="O523" i="2" s="1"/>
  <c r="P523" i="2" s="1"/>
  <c r="W523" i="2" l="1"/>
  <c r="R523" i="2"/>
  <c r="T523" i="2" s="1"/>
  <c r="Q524" i="2" s="1"/>
  <c r="X524" i="2" s="1"/>
  <c r="N524" i="2" l="1"/>
  <c r="O524" i="2"/>
  <c r="P524" i="2" s="1"/>
  <c r="R524" i="2" s="1"/>
  <c r="T524" i="2" s="1"/>
  <c r="Q525" i="2" s="1"/>
  <c r="X525" i="2" s="1"/>
  <c r="W524" i="2"/>
  <c r="N525" i="2" l="1"/>
  <c r="W525" i="2" s="1"/>
  <c r="O525" i="2" l="1"/>
  <c r="P525" i="2" s="1"/>
  <c r="R525" i="2"/>
  <c r="T525" i="2" s="1"/>
  <c r="Q526" i="2" s="1"/>
  <c r="X526" i="2" s="1"/>
  <c r="N526" i="2" l="1"/>
  <c r="O526" i="2" s="1"/>
  <c r="P526" i="2" s="1"/>
  <c r="R526" i="2" s="1"/>
  <c r="T526" i="2" s="1"/>
  <c r="Q527" i="2" s="1"/>
  <c r="X527" i="2" s="1"/>
  <c r="W526" i="2" l="1"/>
  <c r="N527" i="2"/>
  <c r="O527" i="2"/>
  <c r="P527" i="2" s="1"/>
  <c r="W527" i="2"/>
  <c r="R527" i="2" l="1"/>
  <c r="T527" i="2" s="1"/>
  <c r="Q528" i="2" s="1"/>
  <c r="X528" i="2" s="1"/>
  <c r="N528" i="2" l="1"/>
  <c r="O528" i="2"/>
  <c r="P528" i="2" s="1"/>
  <c r="W528" i="2"/>
  <c r="R528" i="2" l="1"/>
  <c r="T528" i="2" s="1"/>
  <c r="Q529" i="2" s="1"/>
  <c r="X529" i="2" s="1"/>
  <c r="N529" i="2"/>
  <c r="O529" i="2" l="1"/>
  <c r="P529" i="2" s="1"/>
  <c r="W529" i="2"/>
  <c r="R529" i="2" l="1"/>
  <c r="T529" i="2" s="1"/>
  <c r="Q530" i="2" s="1"/>
  <c r="X530" i="2" s="1"/>
  <c r="N530" i="2"/>
  <c r="O530" i="2" l="1"/>
  <c r="P530" i="2" s="1"/>
  <c r="W530" i="2"/>
  <c r="R530" i="2" l="1"/>
  <c r="T530" i="2" s="1"/>
  <c r="Q531" i="2" s="1"/>
  <c r="X531" i="2" s="1"/>
  <c r="N531" i="2" l="1"/>
  <c r="O531" i="2" s="1"/>
  <c r="P531" i="2" s="1"/>
  <c r="W531" i="2" l="1"/>
  <c r="R531" i="2"/>
  <c r="T531" i="2" s="1"/>
  <c r="Q532" i="2" s="1"/>
  <c r="X532" i="2" s="1"/>
  <c r="N532" i="2"/>
  <c r="O532" i="2" s="1"/>
  <c r="P532" i="2" s="1"/>
  <c r="W532" i="2" l="1"/>
  <c r="R532" i="2"/>
  <c r="T532" i="2" s="1"/>
  <c r="Q533" i="2" s="1"/>
  <c r="X533" i="2" s="1"/>
  <c r="N533" i="2"/>
  <c r="O533" i="2" l="1"/>
  <c r="P533" i="2" s="1"/>
  <c r="R533" i="2" s="1"/>
  <c r="T533" i="2" s="1"/>
  <c r="Q534" i="2" s="1"/>
  <c r="X534" i="2" s="1"/>
  <c r="W533" i="2"/>
  <c r="N534" i="2" l="1"/>
  <c r="O534" i="2" s="1"/>
  <c r="P534" i="2" s="1"/>
  <c r="R534" i="2" s="1"/>
  <c r="T534" i="2" s="1"/>
  <c r="Q535" i="2" s="1"/>
  <c r="X535" i="2" s="1"/>
  <c r="W534" i="2" l="1"/>
  <c r="N535" i="2"/>
  <c r="W535" i="2"/>
  <c r="O535" i="2"/>
  <c r="P535" i="2" s="1"/>
  <c r="R535" i="2" s="1"/>
  <c r="T535" i="2" s="1"/>
  <c r="Q536" i="2" s="1"/>
  <c r="X536" i="2" s="1"/>
  <c r="N536" i="2" l="1"/>
  <c r="W536" i="2"/>
  <c r="O536" i="2"/>
  <c r="P536" i="2" s="1"/>
  <c r="R536" i="2" l="1"/>
  <c r="T536" i="2" s="1"/>
  <c r="Q537" i="2" s="1"/>
  <c r="X537" i="2" s="1"/>
  <c r="N537" i="2" l="1"/>
  <c r="O537" i="2"/>
  <c r="P537" i="2" s="1"/>
  <c r="W537" i="2"/>
  <c r="R537" i="2" l="1"/>
  <c r="T537" i="2" s="1"/>
  <c r="Q538" i="2" s="1"/>
  <c r="X538" i="2" s="1"/>
  <c r="N538" i="2" l="1"/>
  <c r="O538" i="2" s="1"/>
  <c r="P538" i="2" s="1"/>
  <c r="W538" i="2"/>
  <c r="R538" i="2" l="1"/>
  <c r="T538" i="2" s="1"/>
  <c r="Q539" i="2" s="1"/>
  <c r="X539" i="2" s="1"/>
  <c r="N539" i="2"/>
  <c r="W539" i="2" l="1"/>
  <c r="O539" i="2"/>
  <c r="P539" i="2" s="1"/>
  <c r="R539" i="2" s="1"/>
  <c r="T539" i="2" s="1"/>
  <c r="Q540" i="2" s="1"/>
  <c r="X540" i="2" s="1"/>
  <c r="N540" i="2" l="1"/>
  <c r="W540" i="2" s="1"/>
  <c r="O540" i="2"/>
  <c r="P540" i="2" s="1"/>
  <c r="R540" i="2" s="1"/>
  <c r="T540" i="2" s="1"/>
  <c r="Q541" i="2" s="1"/>
  <c r="X541" i="2" s="1"/>
  <c r="N541" i="2" l="1"/>
  <c r="O541" i="2"/>
  <c r="P541" i="2" s="1"/>
  <c r="R541" i="2" s="1"/>
  <c r="T541" i="2" s="1"/>
  <c r="Q542" i="2" s="1"/>
  <c r="X542" i="2" s="1"/>
  <c r="W541" i="2"/>
  <c r="N542" i="2" l="1"/>
  <c r="O542" i="2" s="1"/>
  <c r="P542" i="2" s="1"/>
  <c r="R542" i="2" s="1"/>
  <c r="T542" i="2" s="1"/>
  <c r="Q543" i="2" s="1"/>
  <c r="X543" i="2" s="1"/>
  <c r="W542" i="2"/>
  <c r="N543" i="2" l="1"/>
  <c r="O543" i="2"/>
  <c r="P543" i="2" s="1"/>
  <c r="R543" i="2" s="1"/>
  <c r="T543" i="2" s="1"/>
  <c r="Q544" i="2" s="1"/>
  <c r="X544" i="2" s="1"/>
  <c r="W543" i="2"/>
  <c r="N544" i="2" l="1"/>
  <c r="O544" i="2" s="1"/>
  <c r="P544" i="2" s="1"/>
  <c r="W544" i="2" l="1"/>
  <c r="R544" i="2"/>
  <c r="T544" i="2" s="1"/>
  <c r="Q545" i="2" s="1"/>
  <c r="X545" i="2" s="1"/>
  <c r="N545" i="2" l="1"/>
  <c r="O545" i="2" l="1"/>
  <c r="P545" i="2" s="1"/>
  <c r="W545" i="2"/>
  <c r="R545" i="2" l="1"/>
  <c r="T545" i="2" s="1"/>
  <c r="Q546" i="2" s="1"/>
  <c r="X546" i="2" s="1"/>
  <c r="N546" i="2"/>
  <c r="W546" i="2" l="1"/>
  <c r="O546" i="2"/>
  <c r="P546" i="2" s="1"/>
  <c r="R546" i="2" l="1"/>
  <c r="T546" i="2" s="1"/>
  <c r="Q547" i="2" s="1"/>
  <c r="X547" i="2" s="1"/>
  <c r="N547" i="2" l="1"/>
  <c r="O547" i="2"/>
  <c r="P547" i="2" s="1"/>
  <c r="R547" i="2" s="1"/>
  <c r="T547" i="2" s="1"/>
  <c r="Q548" i="2" s="1"/>
  <c r="X548" i="2" s="1"/>
  <c r="W547" i="2"/>
  <c r="N548" i="2" l="1"/>
  <c r="W548" i="2"/>
  <c r="O548" i="2"/>
  <c r="P548" i="2" s="1"/>
  <c r="R548" i="2" s="1"/>
  <c r="T548" i="2" s="1"/>
  <c r="Q549" i="2" s="1"/>
  <c r="X549" i="2" s="1"/>
  <c r="N549" i="2" l="1"/>
  <c r="W549" i="2" s="1"/>
  <c r="O549" i="2" l="1"/>
  <c r="P549" i="2" s="1"/>
  <c r="R549" i="2"/>
  <c r="T549" i="2" s="1"/>
  <c r="Q550" i="2" s="1"/>
  <c r="X550" i="2" s="1"/>
  <c r="N550" i="2" l="1"/>
  <c r="O550" i="2" s="1"/>
  <c r="P550" i="2" s="1"/>
  <c r="R550" i="2" s="1"/>
  <c r="T550" i="2" s="1"/>
  <c r="Q551" i="2" s="1"/>
  <c r="X551" i="2" s="1"/>
  <c r="W550" i="2"/>
  <c r="N551" i="2" l="1"/>
  <c r="O551" i="2" l="1"/>
  <c r="P551" i="2" s="1"/>
  <c r="R551" i="2" s="1"/>
  <c r="T551" i="2" s="1"/>
  <c r="Q552" i="2" s="1"/>
  <c r="X552" i="2" s="1"/>
  <c r="W551" i="2"/>
  <c r="N552" i="2"/>
  <c r="W552" i="2" l="1"/>
  <c r="O552" i="2"/>
  <c r="P552" i="2" s="1"/>
  <c r="R552" i="2" s="1"/>
  <c r="T552" i="2" s="1"/>
  <c r="Q553" i="2" s="1"/>
  <c r="X553" i="2" s="1"/>
  <c r="N553" i="2" l="1"/>
  <c r="W553" i="2"/>
  <c r="O553" i="2"/>
  <c r="P553" i="2" s="1"/>
  <c r="R553" i="2" l="1"/>
  <c r="T553" i="2" s="1"/>
  <c r="Q554" i="2" s="1"/>
  <c r="X554" i="2" s="1"/>
  <c r="N554" i="2"/>
  <c r="W554" i="2" l="1"/>
  <c r="O554" i="2"/>
  <c r="P554" i="2" s="1"/>
  <c r="R554" i="2" l="1"/>
  <c r="T554" i="2" s="1"/>
  <c r="Q555" i="2" s="1"/>
  <c r="X555" i="2" s="1"/>
  <c r="N555" i="2"/>
  <c r="W555" i="2" l="1"/>
  <c r="O555" i="2"/>
  <c r="P555" i="2" s="1"/>
  <c r="R555" i="2" s="1"/>
  <c r="T555" i="2" s="1"/>
  <c r="Q556" i="2" s="1"/>
  <c r="X556" i="2" s="1"/>
  <c r="N556" i="2" l="1"/>
  <c r="W556" i="2" s="1"/>
  <c r="O556" i="2" l="1"/>
  <c r="P556" i="2" s="1"/>
  <c r="R556" i="2" s="1"/>
  <c r="T556" i="2" s="1"/>
  <c r="Q557" i="2" s="1"/>
  <c r="X557" i="2" s="1"/>
  <c r="N557" i="2" l="1"/>
  <c r="O557" i="2" l="1"/>
  <c r="P557" i="2" s="1"/>
  <c r="R557" i="2" s="1"/>
  <c r="T557" i="2" s="1"/>
  <c r="Q558" i="2" s="1"/>
  <c r="X558" i="2" s="1"/>
  <c r="W557" i="2"/>
  <c r="N558" i="2"/>
  <c r="O558" i="2" s="1"/>
  <c r="P558" i="2" s="1"/>
  <c r="R558" i="2" s="1"/>
  <c r="T558" i="2" s="1"/>
  <c r="Q559" i="2" s="1"/>
  <c r="X559" i="2" s="1"/>
  <c r="W558" i="2" l="1"/>
  <c r="N559" i="2"/>
  <c r="W559" i="2" s="1"/>
  <c r="O559" i="2"/>
  <c r="P559" i="2" s="1"/>
  <c r="R559" i="2" l="1"/>
  <c r="T559" i="2" s="1"/>
  <c r="Q560" i="2" s="1"/>
  <c r="X560" i="2" s="1"/>
  <c r="N560" i="2" l="1"/>
  <c r="W560" i="2"/>
  <c r="O560" i="2"/>
  <c r="P560" i="2" s="1"/>
  <c r="R560" i="2" s="1"/>
  <c r="T560" i="2" s="1"/>
  <c r="Q561" i="2" s="1"/>
  <c r="X561" i="2" s="1"/>
  <c r="N561" i="2" l="1"/>
  <c r="W561" i="2" s="1"/>
  <c r="O561" i="2"/>
  <c r="P561" i="2" s="1"/>
  <c r="R561" i="2" s="1"/>
  <c r="T561" i="2" s="1"/>
  <c r="Q562" i="2" s="1"/>
  <c r="X562" i="2" s="1"/>
  <c r="N562" i="2" l="1"/>
  <c r="W562" i="2" s="1"/>
  <c r="O562" i="2" l="1"/>
  <c r="P562" i="2" s="1"/>
  <c r="R562" i="2" s="1"/>
  <c r="T562" i="2" s="1"/>
  <c r="Q563" i="2" s="1"/>
  <c r="X563" i="2" s="1"/>
  <c r="N563" i="2" l="1"/>
  <c r="W563" i="2" l="1"/>
  <c r="O563" i="2"/>
  <c r="P563" i="2" s="1"/>
  <c r="R563" i="2" s="1"/>
  <c r="T563" i="2" s="1"/>
  <c r="Q564" i="2" s="1"/>
  <c r="X564" i="2" s="1"/>
  <c r="N564" i="2" l="1"/>
  <c r="W564" i="2" s="1"/>
  <c r="O564" i="2"/>
  <c r="P564" i="2" s="1"/>
  <c r="R564" i="2" s="1"/>
  <c r="T564" i="2" s="1"/>
  <c r="Q565" i="2" s="1"/>
  <c r="X565" i="2" s="1"/>
  <c r="N565" i="2" l="1"/>
  <c r="W565" i="2" l="1"/>
  <c r="O565" i="2"/>
  <c r="P565" i="2" s="1"/>
  <c r="R565" i="2" l="1"/>
  <c r="T565" i="2" s="1"/>
  <c r="Q566" i="2" s="1"/>
  <c r="X566" i="2" s="1"/>
  <c r="N566" i="2" l="1"/>
  <c r="W566" i="2"/>
  <c r="O566" i="2"/>
  <c r="P566" i="2" s="1"/>
  <c r="R566" i="2" s="1"/>
  <c r="T566" i="2" s="1"/>
  <c r="Q567" i="2" s="1"/>
  <c r="X567" i="2" s="1"/>
  <c r="N567" i="2" l="1"/>
  <c r="W567" i="2" s="1"/>
  <c r="O567" i="2"/>
  <c r="P567" i="2" s="1"/>
  <c r="R567" i="2" l="1"/>
  <c r="T567" i="2" s="1"/>
  <c r="Q568" i="2" s="1"/>
  <c r="X568" i="2" s="1"/>
  <c r="N568" i="2" l="1"/>
  <c r="O568" i="2" s="1"/>
  <c r="P568" i="2" s="1"/>
  <c r="R568" i="2" s="1"/>
  <c r="T568" i="2" s="1"/>
  <c r="Q569" i="2" s="1"/>
  <c r="X569" i="2" s="1"/>
  <c r="W568" i="2"/>
  <c r="N569" i="2" l="1"/>
  <c r="W569" i="2"/>
  <c r="O569" i="2"/>
  <c r="P569" i="2" s="1"/>
  <c r="R569" i="2" s="1"/>
  <c r="T569" i="2" s="1"/>
  <c r="Q570" i="2" s="1"/>
  <c r="X570" i="2" s="1"/>
  <c r="N570" i="2"/>
  <c r="W570" i="2" l="1"/>
  <c r="O570" i="2"/>
  <c r="P570" i="2" s="1"/>
  <c r="R570" i="2" s="1"/>
  <c r="T570" i="2" s="1"/>
  <c r="Q571" i="2" s="1"/>
  <c r="X571" i="2" s="1"/>
  <c r="N571" i="2"/>
  <c r="O571" i="2" l="1"/>
  <c r="P571" i="2" s="1"/>
  <c r="W571" i="2"/>
  <c r="R571" i="2" l="1"/>
  <c r="T571" i="2" s="1"/>
  <c r="Q572" i="2" s="1"/>
  <c r="X572" i="2" s="1"/>
  <c r="N572" i="2" l="1"/>
  <c r="W572" i="2" s="1"/>
  <c r="O572" i="2" l="1"/>
  <c r="P572" i="2" s="1"/>
  <c r="R572" i="2" s="1"/>
  <c r="T572" i="2" s="1"/>
  <c r="Q573" i="2" s="1"/>
  <c r="X573" i="2" s="1"/>
  <c r="N573" i="2" l="1"/>
  <c r="O573" i="2" s="1"/>
  <c r="P573" i="2" s="1"/>
  <c r="W573" i="2"/>
  <c r="R573" i="2"/>
  <c r="T573" i="2" s="1"/>
  <c r="Q574" i="2" s="1"/>
  <c r="X574" i="2" s="1"/>
  <c r="N574" i="2" l="1"/>
  <c r="W574" i="2"/>
  <c r="O574" i="2"/>
  <c r="P574" i="2" s="1"/>
  <c r="R574" i="2" l="1"/>
  <c r="T574" i="2" s="1"/>
  <c r="Q575" i="2" s="1"/>
  <c r="X575" i="2" s="1"/>
  <c r="N575" i="2" l="1"/>
  <c r="O575" i="2"/>
  <c r="P575" i="2" s="1"/>
  <c r="W575" i="2"/>
  <c r="R575" i="2" l="1"/>
  <c r="T575" i="2" s="1"/>
  <c r="Q576" i="2" s="1"/>
  <c r="X576" i="2" s="1"/>
  <c r="N576" i="2" l="1"/>
  <c r="W576" i="2"/>
  <c r="O576" i="2"/>
  <c r="P576" i="2" s="1"/>
  <c r="R576" i="2" l="1"/>
  <c r="T576" i="2" s="1"/>
  <c r="Q577" i="2" s="1"/>
  <c r="X577" i="2" s="1"/>
  <c r="N577" i="2" l="1"/>
  <c r="O577" i="2"/>
  <c r="P577" i="2" s="1"/>
  <c r="W577" i="2"/>
  <c r="R577" i="2" l="1"/>
  <c r="T577" i="2" s="1"/>
  <c r="Q578" i="2" s="1"/>
  <c r="X578" i="2" s="1"/>
  <c r="N578" i="2" l="1"/>
  <c r="W578" i="2"/>
  <c r="O578" i="2"/>
  <c r="P578" i="2" s="1"/>
  <c r="R578" i="2" s="1"/>
  <c r="T578" i="2" s="1"/>
  <c r="Q579" i="2" s="1"/>
  <c r="X579" i="2" s="1"/>
  <c r="N579" i="2" l="1"/>
  <c r="O579" i="2"/>
  <c r="P579" i="2" s="1"/>
  <c r="R579" i="2" s="1"/>
  <c r="T579" i="2" s="1"/>
  <c r="Q580" i="2" s="1"/>
  <c r="X580" i="2" s="1"/>
  <c r="W579" i="2"/>
  <c r="N580" i="2" l="1"/>
  <c r="O580" i="2"/>
  <c r="P580" i="2" s="1"/>
  <c r="R580" i="2" s="1"/>
  <c r="T580" i="2" s="1"/>
  <c r="Q581" i="2" s="1"/>
  <c r="X581" i="2" s="1"/>
  <c r="W580" i="2"/>
  <c r="N581" i="2" l="1"/>
  <c r="O581" i="2"/>
  <c r="P581" i="2" s="1"/>
  <c r="R581" i="2" s="1"/>
  <c r="T581" i="2" s="1"/>
  <c r="Q582" i="2" s="1"/>
  <c r="X582" i="2" s="1"/>
  <c r="W581" i="2"/>
  <c r="N582" i="2" l="1"/>
  <c r="O582" i="2"/>
  <c r="P582" i="2" s="1"/>
  <c r="R582" i="2" s="1"/>
  <c r="T582" i="2" s="1"/>
  <c r="Q583" i="2" s="1"/>
  <c r="X583" i="2" s="1"/>
  <c r="W582" i="2"/>
  <c r="N583" i="2" l="1"/>
  <c r="W583" i="2"/>
  <c r="O583" i="2"/>
  <c r="P583" i="2" s="1"/>
  <c r="R583" i="2" s="1"/>
  <c r="T583" i="2" s="1"/>
  <c r="Q584" i="2" s="1"/>
  <c r="X584" i="2" s="1"/>
  <c r="N584" i="2" l="1"/>
  <c r="O584" i="2"/>
  <c r="P584" i="2" s="1"/>
  <c r="W584" i="2"/>
  <c r="R584" i="2" l="1"/>
  <c r="T584" i="2" s="1"/>
  <c r="Q585" i="2" s="1"/>
  <c r="X585" i="2" s="1"/>
  <c r="N585" i="2" l="1"/>
  <c r="W585" i="2" l="1"/>
  <c r="O585" i="2"/>
  <c r="P585" i="2" s="1"/>
  <c r="R585" i="2" s="1"/>
  <c r="T585" i="2" s="1"/>
  <c r="Q586" i="2" s="1"/>
  <c r="X586" i="2" s="1"/>
  <c r="N586" i="2" l="1"/>
  <c r="W586" i="2" s="1"/>
  <c r="O586" i="2"/>
  <c r="P586" i="2" s="1"/>
  <c r="R586" i="2" l="1"/>
  <c r="T586" i="2" s="1"/>
  <c r="Q587" i="2" s="1"/>
  <c r="X587" i="2" s="1"/>
  <c r="N587" i="2" l="1"/>
  <c r="O587" i="2" s="1"/>
  <c r="P587" i="2" s="1"/>
  <c r="R587" i="2" s="1"/>
  <c r="T587" i="2" s="1"/>
  <c r="Q588" i="2" s="1"/>
  <c r="X588" i="2" s="1"/>
  <c r="W587" i="2" l="1"/>
  <c r="N588" i="2"/>
  <c r="W588" i="2" l="1"/>
  <c r="O588" i="2"/>
  <c r="P588" i="2" s="1"/>
  <c r="R588" i="2" s="1"/>
  <c r="T588" i="2" s="1"/>
  <c r="Q589" i="2" s="1"/>
  <c r="X589" i="2" s="1"/>
  <c r="N589" i="2" l="1"/>
  <c r="W589" i="2"/>
  <c r="O589" i="2"/>
  <c r="P589" i="2" s="1"/>
  <c r="R589" i="2" s="1"/>
  <c r="T589" i="2" s="1"/>
  <c r="Q590" i="2" s="1"/>
  <c r="X590" i="2" s="1"/>
  <c r="N590" i="2" l="1"/>
  <c r="W590" i="2" s="1"/>
  <c r="O590" i="2" l="1"/>
  <c r="P590" i="2" s="1"/>
  <c r="R590" i="2" s="1"/>
  <c r="T590" i="2" s="1"/>
  <c r="Q591" i="2" s="1"/>
  <c r="X591" i="2" s="1"/>
  <c r="N591" i="2" l="1"/>
  <c r="O591" i="2" l="1"/>
  <c r="P591" i="2" s="1"/>
  <c r="W591" i="2"/>
  <c r="R591" i="2" l="1"/>
  <c r="T591" i="2" s="1"/>
  <c r="Q592" i="2" s="1"/>
  <c r="X592" i="2" s="1"/>
  <c r="N592" i="2"/>
  <c r="W592" i="2" l="1"/>
  <c r="O592" i="2"/>
  <c r="P592" i="2" s="1"/>
  <c r="R592" i="2" s="1"/>
  <c r="T592" i="2" s="1"/>
  <c r="Q593" i="2" s="1"/>
  <c r="X593" i="2" s="1"/>
  <c r="N593" i="2" l="1"/>
  <c r="O593" i="2"/>
  <c r="P593" i="2" s="1"/>
  <c r="W593" i="2"/>
  <c r="R593" i="2" l="1"/>
  <c r="T593" i="2" s="1"/>
  <c r="Q594" i="2" s="1"/>
  <c r="X594" i="2" s="1"/>
  <c r="N594" i="2" l="1"/>
  <c r="W594" i="2"/>
  <c r="O594" i="2"/>
  <c r="P594" i="2" s="1"/>
  <c r="R594" i="2" l="1"/>
  <c r="T594" i="2" s="1"/>
  <c r="Q595" i="2" s="1"/>
  <c r="X595" i="2" s="1"/>
  <c r="N595" i="2"/>
  <c r="W595" i="2" l="1"/>
  <c r="O595" i="2"/>
  <c r="P595" i="2" s="1"/>
  <c r="R595" i="2" s="1"/>
  <c r="T595" i="2" s="1"/>
  <c r="Q596" i="2" s="1"/>
  <c r="X596" i="2" s="1"/>
  <c r="N596" i="2"/>
  <c r="W596" i="2" l="1"/>
  <c r="O596" i="2"/>
  <c r="P596" i="2" s="1"/>
  <c r="R596" i="2" s="1"/>
  <c r="T596" i="2" s="1"/>
  <c r="Q597" i="2" s="1"/>
  <c r="X597" i="2" s="1"/>
  <c r="N597" i="2" l="1"/>
  <c r="O597" i="2" s="1"/>
  <c r="P597" i="2" s="1"/>
  <c r="W597" i="2" l="1"/>
  <c r="R597" i="2"/>
  <c r="T597" i="2" s="1"/>
  <c r="Q598" i="2" s="1"/>
  <c r="X598" i="2" s="1"/>
  <c r="N598" i="2"/>
  <c r="O598" i="2" l="1"/>
  <c r="P598" i="2" s="1"/>
  <c r="R598" i="2" s="1"/>
  <c r="T598" i="2" s="1"/>
  <c r="Q599" i="2" s="1"/>
  <c r="X599" i="2" s="1"/>
  <c r="W598" i="2"/>
  <c r="N599" i="2" l="1"/>
  <c r="O599" i="2"/>
  <c r="P599" i="2" s="1"/>
  <c r="R599" i="2" s="1"/>
  <c r="T599" i="2" s="1"/>
  <c r="Q600" i="2" s="1"/>
  <c r="X600" i="2" s="1"/>
  <c r="W599" i="2"/>
  <c r="N600" i="2"/>
  <c r="W600" i="2" s="1"/>
  <c r="O600" i="2" l="1"/>
  <c r="P600" i="2" s="1"/>
  <c r="R600" i="2" s="1"/>
  <c r="T600" i="2" s="1"/>
  <c r="Q601" i="2" s="1"/>
  <c r="X601" i="2" s="1"/>
  <c r="N601" i="2" l="1"/>
  <c r="O601" i="2" s="1"/>
  <c r="P601" i="2" s="1"/>
  <c r="W601" i="2"/>
  <c r="R601" i="2"/>
  <c r="T601" i="2" s="1"/>
  <c r="Q602" i="2" s="1"/>
  <c r="X602" i="2" s="1"/>
  <c r="N602" i="2" l="1"/>
  <c r="O602" i="2" s="1"/>
  <c r="P602" i="2" s="1"/>
  <c r="R602" i="2" l="1"/>
  <c r="T602" i="2" s="1"/>
  <c r="Q603" i="2" s="1"/>
  <c r="X603" i="2" s="1"/>
  <c r="N603" i="2"/>
  <c r="W603" i="2" s="1"/>
  <c r="W602" i="2"/>
  <c r="O603" i="2" l="1"/>
  <c r="P603" i="2" s="1"/>
  <c r="R603" i="2" s="1"/>
  <c r="T603" i="2" s="1"/>
  <c r="Q604" i="2" s="1"/>
  <c r="X604" i="2" s="1"/>
  <c r="N604" i="2"/>
  <c r="W604" i="2" l="1"/>
  <c r="O604" i="2"/>
  <c r="P604" i="2" s="1"/>
  <c r="R604" i="2" s="1"/>
  <c r="T604" i="2" s="1"/>
  <c r="Q605" i="2" s="1"/>
  <c r="X605" i="2" s="1"/>
  <c r="N605" i="2" l="1"/>
  <c r="O605" i="2" s="1"/>
  <c r="P605" i="2" s="1"/>
  <c r="W605" i="2"/>
  <c r="R605" i="2"/>
  <c r="T605" i="2" s="1"/>
  <c r="Q606" i="2" s="1"/>
  <c r="X606" i="2" s="1"/>
  <c r="N606" i="2" l="1"/>
  <c r="W606" i="2" s="1"/>
  <c r="O606" i="2" l="1"/>
  <c r="P606" i="2" s="1"/>
  <c r="R606" i="2" s="1"/>
  <c r="T606" i="2" s="1"/>
  <c r="Q607" i="2" s="1"/>
  <c r="X607" i="2" s="1"/>
  <c r="N607" i="2"/>
  <c r="W607" i="2" l="1"/>
  <c r="O607" i="2"/>
  <c r="P607" i="2" s="1"/>
  <c r="R607" i="2" s="1"/>
  <c r="T607" i="2" s="1"/>
  <c r="Q608" i="2" s="1"/>
  <c r="X608" i="2" s="1"/>
  <c r="N608" i="2" l="1"/>
  <c r="W608" i="2" l="1"/>
  <c r="O608" i="2"/>
  <c r="P608" i="2" s="1"/>
  <c r="R608" i="2" s="1"/>
  <c r="T608" i="2" s="1"/>
  <c r="Q609" i="2" s="1"/>
  <c r="X609" i="2" s="1"/>
  <c r="N609" i="2" l="1"/>
  <c r="W609" i="2" s="1"/>
  <c r="O609" i="2"/>
  <c r="P609" i="2" s="1"/>
  <c r="R609" i="2" l="1"/>
  <c r="T609" i="2" s="1"/>
  <c r="Q610" i="2" s="1"/>
  <c r="X610" i="2" s="1"/>
  <c r="N610" i="2" l="1"/>
  <c r="O610" i="2" s="1"/>
  <c r="P610" i="2" s="1"/>
  <c r="W610" i="2"/>
  <c r="R610" i="2" l="1"/>
  <c r="T610" i="2" s="1"/>
  <c r="Q611" i="2" s="1"/>
  <c r="X611" i="2" s="1"/>
  <c r="N611" i="2" l="1"/>
  <c r="O611" i="2" s="1"/>
  <c r="P611" i="2" s="1"/>
  <c r="W611" i="2" l="1"/>
  <c r="R611" i="2"/>
  <c r="T611" i="2" s="1"/>
  <c r="Q612" i="2" s="1"/>
  <c r="X612" i="2" s="1"/>
  <c r="N612" i="2" l="1"/>
  <c r="W612" i="2" s="1"/>
  <c r="O612" i="2" l="1"/>
  <c r="P612" i="2" s="1"/>
  <c r="R612" i="2" s="1"/>
  <c r="T612" i="2" s="1"/>
  <c r="Q613" i="2" s="1"/>
  <c r="X613" i="2" s="1"/>
  <c r="N613" i="2" l="1"/>
  <c r="W613" i="2"/>
  <c r="O613" i="2"/>
  <c r="P613" i="2" s="1"/>
  <c r="R613" i="2" l="1"/>
  <c r="T613" i="2" s="1"/>
  <c r="Q614" i="2" s="1"/>
  <c r="X614" i="2" s="1"/>
  <c r="N614" i="2" l="1"/>
  <c r="W614" i="2" s="1"/>
  <c r="O614" i="2"/>
  <c r="P614" i="2" s="1"/>
  <c r="R614" i="2" s="1"/>
  <c r="T614" i="2" s="1"/>
  <c r="Q615" i="2" s="1"/>
  <c r="X615" i="2" s="1"/>
  <c r="N615" i="2" l="1"/>
  <c r="W615" i="2" l="1"/>
  <c r="O615" i="2"/>
  <c r="P615" i="2" s="1"/>
  <c r="R615" i="2" s="1"/>
  <c r="T615" i="2" s="1"/>
  <c r="Q616" i="2" s="1"/>
  <c r="X616" i="2" s="1"/>
  <c r="N616" i="2" l="1"/>
  <c r="O616" i="2"/>
  <c r="P616" i="2" s="1"/>
  <c r="R616" i="2" s="1"/>
  <c r="T616" i="2" s="1"/>
  <c r="Q617" i="2" s="1"/>
  <c r="X617" i="2" s="1"/>
  <c r="W616" i="2"/>
  <c r="N617" i="2" l="1"/>
  <c r="W617" i="2"/>
  <c r="O617" i="2"/>
  <c r="P617" i="2" s="1"/>
  <c r="R617" i="2" s="1"/>
  <c r="T617" i="2" s="1"/>
  <c r="Q618" i="2" s="1"/>
  <c r="X618" i="2" s="1"/>
  <c r="N618" i="2" l="1"/>
  <c r="O618" i="2"/>
  <c r="P618" i="2" s="1"/>
  <c r="W618" i="2"/>
  <c r="R618" i="2" l="1"/>
  <c r="T618" i="2" s="1"/>
  <c r="Q619" i="2" s="1"/>
  <c r="X619" i="2" s="1"/>
  <c r="N619" i="2" l="1"/>
  <c r="O619" i="2" s="1"/>
  <c r="P619" i="2" s="1"/>
  <c r="R619" i="2" s="1"/>
  <c r="T619" i="2" s="1"/>
  <c r="Q620" i="2" s="1"/>
  <c r="X620" i="2" s="1"/>
  <c r="N620" i="2" l="1"/>
  <c r="W619" i="2"/>
  <c r="O620" i="2"/>
  <c r="P620" i="2" s="1"/>
  <c r="R620" i="2" s="1"/>
  <c r="T620" i="2" s="1"/>
  <c r="Q621" i="2" s="1"/>
  <c r="X621" i="2" s="1"/>
  <c r="W620" i="2"/>
  <c r="N621" i="2" l="1"/>
  <c r="O621" i="2" s="1"/>
  <c r="P621" i="2" s="1"/>
  <c r="W621" i="2" l="1"/>
  <c r="R621" i="2"/>
  <c r="T621" i="2" s="1"/>
  <c r="Q622" i="2" s="1"/>
  <c r="X622" i="2" s="1"/>
  <c r="N622" i="2" l="1"/>
  <c r="W622" i="2"/>
  <c r="O622" i="2"/>
  <c r="P622" i="2" s="1"/>
  <c r="R622" i="2" l="1"/>
  <c r="T622" i="2" s="1"/>
  <c r="Q623" i="2" s="1"/>
  <c r="X623" i="2" s="1"/>
  <c r="N623" i="2" l="1"/>
  <c r="W623" i="2" s="1"/>
  <c r="O623" i="2" l="1"/>
  <c r="P623" i="2" s="1"/>
  <c r="R623" i="2" s="1"/>
  <c r="T623" i="2" s="1"/>
  <c r="Q624" i="2" s="1"/>
  <c r="X624" i="2" s="1"/>
  <c r="N624" i="2" l="1"/>
  <c r="O624" i="2" s="1"/>
  <c r="P624" i="2" s="1"/>
  <c r="W624" i="2"/>
  <c r="R624" i="2"/>
  <c r="T624" i="2" s="1"/>
  <c r="Q625" i="2" s="1"/>
  <c r="X625" i="2" s="1"/>
  <c r="N625" i="2" l="1"/>
  <c r="W625" i="2" s="1"/>
  <c r="O625" i="2"/>
  <c r="P625" i="2" s="1"/>
  <c r="R625" i="2" l="1"/>
  <c r="T625" i="2" s="1"/>
  <c r="Q626" i="2" s="1"/>
  <c r="X626" i="2" s="1"/>
  <c r="N626" i="2" l="1"/>
  <c r="O626" i="2"/>
  <c r="P626" i="2" s="1"/>
  <c r="R626" i="2" s="1"/>
  <c r="T626" i="2" s="1"/>
  <c r="Q627" i="2" s="1"/>
  <c r="X627" i="2" s="1"/>
  <c r="W626" i="2"/>
  <c r="N627" i="2" l="1"/>
  <c r="O627" i="2"/>
  <c r="P627" i="2" s="1"/>
  <c r="R627" i="2" s="1"/>
  <c r="T627" i="2" s="1"/>
  <c r="Q628" i="2" s="1"/>
  <c r="X628" i="2" s="1"/>
  <c r="W627" i="2"/>
  <c r="N628" i="2" l="1"/>
  <c r="W628" i="2" s="1"/>
  <c r="O628" i="2" l="1"/>
  <c r="P628" i="2" s="1"/>
  <c r="R628" i="2"/>
  <c r="T628" i="2" s="1"/>
  <c r="Q629" i="2" s="1"/>
  <c r="X629" i="2" s="1"/>
  <c r="N629" i="2"/>
  <c r="O629" i="2" l="1"/>
  <c r="P629" i="2" s="1"/>
  <c r="R629" i="2" s="1"/>
  <c r="T629" i="2" s="1"/>
  <c r="Q630" i="2" s="1"/>
  <c r="X630" i="2" s="1"/>
  <c r="W629" i="2"/>
  <c r="N630" i="2" l="1"/>
  <c r="O630" i="2"/>
  <c r="P630" i="2" s="1"/>
  <c r="W630" i="2"/>
  <c r="R630" i="2" l="1"/>
  <c r="T630" i="2" s="1"/>
  <c r="Q631" i="2" s="1"/>
  <c r="X631" i="2" s="1"/>
  <c r="N631" i="2" l="1"/>
  <c r="O631" i="2"/>
  <c r="P631" i="2" s="1"/>
  <c r="R631" i="2" s="1"/>
  <c r="T631" i="2" s="1"/>
  <c r="Q632" i="2" s="1"/>
  <c r="X632" i="2" s="1"/>
  <c r="W631" i="2"/>
  <c r="N632" i="2" l="1"/>
  <c r="O632" i="2"/>
  <c r="P632" i="2" s="1"/>
  <c r="R632" i="2" s="1"/>
  <c r="T632" i="2" s="1"/>
  <c r="Q633" i="2" s="1"/>
  <c r="X633" i="2" s="1"/>
  <c r="W632" i="2"/>
  <c r="N633" i="2" l="1"/>
  <c r="W633" i="2" l="1"/>
  <c r="O633" i="2"/>
  <c r="P633" i="2" s="1"/>
  <c r="R633" i="2" s="1"/>
  <c r="T633" i="2" s="1"/>
  <c r="Q634" i="2" s="1"/>
  <c r="X634" i="2" s="1"/>
  <c r="N634" i="2" l="1"/>
  <c r="O634" i="2" s="1"/>
  <c r="P634" i="2" s="1"/>
  <c r="W634" i="2"/>
  <c r="R634" i="2"/>
  <c r="T634" i="2" s="1"/>
  <c r="Q635" i="2" s="1"/>
  <c r="X635" i="2" s="1"/>
  <c r="N635" i="2" l="1"/>
  <c r="W635" i="2" s="1"/>
  <c r="O635" i="2"/>
  <c r="P635" i="2" s="1"/>
  <c r="R635" i="2"/>
  <c r="T635" i="2" s="1"/>
  <c r="Q636" i="2" s="1"/>
  <c r="X636" i="2" s="1"/>
  <c r="N636" i="2" l="1"/>
  <c r="W636" i="2" s="1"/>
  <c r="O636" i="2" l="1"/>
  <c r="P636" i="2" s="1"/>
  <c r="R636" i="2" s="1"/>
  <c r="T636" i="2" s="1"/>
  <c r="Q637" i="2" s="1"/>
  <c r="X637" i="2" s="1"/>
  <c r="N637" i="2" l="1"/>
  <c r="W637" i="2" s="1"/>
  <c r="O637" i="2"/>
  <c r="P637" i="2" s="1"/>
  <c r="R637" i="2" s="1"/>
  <c r="T637" i="2" s="1"/>
  <c r="Q638" i="2" s="1"/>
  <c r="X638" i="2" s="1"/>
  <c r="N638" i="2" l="1"/>
  <c r="W638" i="2" l="1"/>
  <c r="O638" i="2"/>
  <c r="P638" i="2" s="1"/>
  <c r="R638" i="2" l="1"/>
  <c r="T638" i="2" s="1"/>
  <c r="Q639" i="2" s="1"/>
  <c r="X639" i="2" s="1"/>
  <c r="N639" i="2"/>
  <c r="W639" i="2" l="1"/>
  <c r="O639" i="2"/>
  <c r="P639" i="2" s="1"/>
  <c r="R639" i="2" l="1"/>
  <c r="T639" i="2" s="1"/>
  <c r="Q640" i="2" s="1"/>
  <c r="X640" i="2" s="1"/>
  <c r="N640" i="2" l="1"/>
  <c r="O640" i="2" s="1"/>
  <c r="P640" i="2" s="1"/>
  <c r="R640" i="2" s="1"/>
  <c r="T640" i="2" s="1"/>
  <c r="Q641" i="2" s="1"/>
  <c r="X641" i="2" s="1"/>
  <c r="N641" i="2" l="1"/>
  <c r="W640" i="2"/>
  <c r="W641" i="2"/>
  <c r="O641" i="2"/>
  <c r="P641" i="2" s="1"/>
  <c r="R641" i="2" s="1"/>
  <c r="T641" i="2" s="1"/>
  <c r="Q642" i="2" s="1"/>
  <c r="X642" i="2" s="1"/>
  <c r="N642" i="2" l="1"/>
  <c r="W642" i="2" l="1"/>
  <c r="O642" i="2"/>
  <c r="P642" i="2" s="1"/>
  <c r="R642" i="2" s="1"/>
  <c r="T642" i="2" s="1"/>
  <c r="Q643" i="2" s="1"/>
  <c r="X643" i="2" s="1"/>
  <c r="N643" i="2" l="1"/>
  <c r="W643" i="2"/>
  <c r="O643" i="2"/>
  <c r="P643" i="2" s="1"/>
  <c r="R643" i="2" s="1"/>
  <c r="T643" i="2" s="1"/>
  <c r="Q644" i="2" s="1"/>
  <c r="X644" i="2" s="1"/>
  <c r="N644" i="2" l="1"/>
  <c r="O644" i="2"/>
  <c r="P644" i="2" s="1"/>
  <c r="W644" i="2"/>
  <c r="R644" i="2" l="1"/>
  <c r="T644" i="2" s="1"/>
  <c r="Q645" i="2" s="1"/>
  <c r="X645" i="2" s="1"/>
  <c r="N645" i="2" l="1"/>
  <c r="O645" i="2" s="1"/>
  <c r="P645" i="2" s="1"/>
  <c r="W645" i="2"/>
  <c r="R645" i="2" l="1"/>
  <c r="T645" i="2" s="1"/>
  <c r="Q646" i="2" s="1"/>
  <c r="X646" i="2" s="1"/>
  <c r="N646" i="2" l="1"/>
  <c r="O646" i="2" s="1"/>
  <c r="P646" i="2" s="1"/>
  <c r="W646" i="2"/>
  <c r="R646" i="2" l="1"/>
  <c r="T646" i="2" s="1"/>
  <c r="Q647" i="2" s="1"/>
  <c r="X647" i="2" s="1"/>
  <c r="N647" i="2"/>
  <c r="W647" i="2" s="1"/>
  <c r="O647" i="2"/>
  <c r="P647" i="2" s="1"/>
  <c r="R647" i="2" s="1"/>
  <c r="T647" i="2" s="1"/>
  <c r="Q648" i="2" s="1"/>
  <c r="X648" i="2" s="1"/>
  <c r="N648" i="2" l="1"/>
  <c r="O648" i="2" s="1"/>
  <c r="P648" i="2" s="1"/>
  <c r="R648" i="2" l="1"/>
  <c r="T648" i="2" s="1"/>
  <c r="Q649" i="2" s="1"/>
  <c r="X649" i="2" s="1"/>
  <c r="N649" i="2"/>
  <c r="O649" i="2" s="1"/>
  <c r="P649" i="2" s="1"/>
  <c r="R649" i="2" s="1"/>
  <c r="T649" i="2" s="1"/>
  <c r="Q650" i="2" s="1"/>
  <c r="X650" i="2" s="1"/>
  <c r="W648" i="2"/>
  <c r="W649" i="2" l="1"/>
  <c r="N650" i="2"/>
  <c r="W650" i="2" l="1"/>
  <c r="O650" i="2"/>
  <c r="P650" i="2" s="1"/>
  <c r="R650" i="2" s="1"/>
  <c r="T650" i="2" s="1"/>
  <c r="Q651" i="2" s="1"/>
  <c r="X651" i="2" s="1"/>
  <c r="N651" i="2" l="1"/>
  <c r="W651" i="2" s="1"/>
  <c r="O651" i="2" l="1"/>
  <c r="P651" i="2" s="1"/>
  <c r="R651" i="2" s="1"/>
  <c r="T651" i="2" s="1"/>
  <c r="Q652" i="2" s="1"/>
  <c r="X652" i="2" s="1"/>
  <c r="N652" i="2" l="1"/>
  <c r="O652" i="2" s="1"/>
  <c r="P652" i="2" s="1"/>
  <c r="R652" i="2" s="1"/>
  <c r="T652" i="2" s="1"/>
  <c r="Q653" i="2" s="1"/>
  <c r="X653" i="2" s="1"/>
  <c r="N653" i="2" l="1"/>
  <c r="O653" i="2" s="1"/>
  <c r="P653" i="2" s="1"/>
  <c r="W652" i="2"/>
  <c r="R653" i="2"/>
  <c r="T653" i="2" s="1"/>
  <c r="Q654" i="2" s="1"/>
  <c r="X654" i="2" s="1"/>
  <c r="W653" i="2"/>
  <c r="N654" i="2" l="1"/>
  <c r="O654" i="2"/>
  <c r="P654" i="2" s="1"/>
  <c r="R654" i="2" s="1"/>
  <c r="T654" i="2" s="1"/>
  <c r="Q655" i="2" s="1"/>
  <c r="X655" i="2" s="1"/>
  <c r="W654" i="2"/>
  <c r="N655" i="2" l="1"/>
  <c r="W655" i="2"/>
  <c r="O655" i="2"/>
  <c r="P655" i="2" s="1"/>
  <c r="R655" i="2" s="1"/>
  <c r="T655" i="2" s="1"/>
  <c r="Q656" i="2" s="1"/>
  <c r="X656" i="2" s="1"/>
  <c r="N656" i="2" l="1"/>
  <c r="O656" i="2" l="1"/>
  <c r="P656" i="2" s="1"/>
  <c r="R656" i="2" s="1"/>
  <c r="T656" i="2" s="1"/>
  <c r="Q657" i="2" s="1"/>
  <c r="X657" i="2" s="1"/>
  <c r="W656" i="2"/>
  <c r="N657" i="2" l="1"/>
  <c r="W657" i="2" s="1"/>
  <c r="O657" i="2"/>
  <c r="P657" i="2" s="1"/>
  <c r="R657" i="2" s="1"/>
  <c r="T657" i="2" s="1"/>
  <c r="Q658" i="2" s="1"/>
  <c r="X658" i="2" s="1"/>
  <c r="N658" i="2" l="1"/>
  <c r="W658" i="2" s="1"/>
  <c r="O658" i="2" l="1"/>
  <c r="P658" i="2" s="1"/>
  <c r="R658" i="2" s="1"/>
  <c r="T658" i="2" s="1"/>
  <c r="Q659" i="2" s="1"/>
  <c r="X659" i="2" s="1"/>
  <c r="N659" i="2" l="1"/>
  <c r="W659" i="2" s="1"/>
  <c r="O659" i="2" l="1"/>
  <c r="P659" i="2" s="1"/>
  <c r="R659" i="2" s="1"/>
  <c r="T659" i="2" s="1"/>
  <c r="Q660" i="2" s="1"/>
  <c r="X660" i="2" s="1"/>
  <c r="N660" i="2"/>
  <c r="O660" i="2" s="1"/>
  <c r="P660" i="2" s="1"/>
  <c r="W660" i="2"/>
  <c r="R660" i="2" l="1"/>
  <c r="T660" i="2" s="1"/>
  <c r="Q661" i="2" s="1"/>
  <c r="X661" i="2" s="1"/>
  <c r="N661" i="2" l="1"/>
  <c r="O661" i="2" l="1"/>
  <c r="P661" i="2" s="1"/>
  <c r="R661" i="2" s="1"/>
  <c r="T661" i="2" s="1"/>
  <c r="Q662" i="2" s="1"/>
  <c r="X662" i="2" s="1"/>
  <c r="W661" i="2"/>
  <c r="N662" i="2"/>
  <c r="O662" i="2" l="1"/>
  <c r="P662" i="2" s="1"/>
  <c r="W662" i="2"/>
  <c r="R662" i="2" l="1"/>
  <c r="T662" i="2" s="1"/>
  <c r="Q663" i="2" s="1"/>
  <c r="X663" i="2" s="1"/>
  <c r="N663" i="2" l="1"/>
  <c r="W663" i="2"/>
  <c r="O663" i="2"/>
  <c r="P663" i="2" s="1"/>
  <c r="R663" i="2" l="1"/>
  <c r="T663" i="2" s="1"/>
  <c r="Q664" i="2" s="1"/>
  <c r="X664" i="2" s="1"/>
  <c r="N664" i="2" l="1"/>
  <c r="W664" i="2" s="1"/>
  <c r="O664" i="2" l="1"/>
  <c r="P664" i="2" s="1"/>
  <c r="R664" i="2" s="1"/>
  <c r="T664" i="2" s="1"/>
  <c r="Q665" i="2" s="1"/>
  <c r="X665" i="2" s="1"/>
  <c r="N665" i="2" l="1"/>
  <c r="W665" i="2" l="1"/>
  <c r="O665" i="2"/>
  <c r="P665" i="2" s="1"/>
  <c r="R665" i="2" s="1"/>
  <c r="T665" i="2" s="1"/>
  <c r="Q666" i="2" s="1"/>
  <c r="X666" i="2" s="1"/>
  <c r="N666" i="2" l="1"/>
  <c r="W666" i="2" l="1"/>
  <c r="O666" i="2"/>
  <c r="P666" i="2" s="1"/>
  <c r="R666" i="2" l="1"/>
  <c r="T666" i="2" s="1"/>
  <c r="Q667" i="2" s="1"/>
  <c r="X667" i="2" s="1"/>
  <c r="N667" i="2"/>
  <c r="W667" i="2" l="1"/>
  <c r="O667" i="2"/>
  <c r="P667" i="2" s="1"/>
  <c r="R667" i="2" s="1"/>
  <c r="T667" i="2" s="1"/>
  <c r="Q668" i="2" s="1"/>
  <c r="X668" i="2" s="1"/>
  <c r="N668" i="2" l="1"/>
  <c r="O668" i="2" l="1"/>
  <c r="P668" i="2" s="1"/>
  <c r="R668" i="2" s="1"/>
  <c r="T668" i="2" s="1"/>
  <c r="Q669" i="2" s="1"/>
  <c r="X669" i="2" s="1"/>
  <c r="W668" i="2"/>
  <c r="N669" i="2"/>
  <c r="O669" i="2" l="1"/>
  <c r="P669" i="2" s="1"/>
  <c r="R669" i="2" s="1"/>
  <c r="T669" i="2" s="1"/>
  <c r="Q670" i="2" s="1"/>
  <c r="X670" i="2" s="1"/>
  <c r="W669" i="2"/>
  <c r="N670" i="2" l="1"/>
  <c r="W670" i="2"/>
  <c r="O670" i="2"/>
  <c r="P670" i="2" s="1"/>
  <c r="R670" i="2" l="1"/>
  <c r="T670" i="2" s="1"/>
  <c r="Q671" i="2" s="1"/>
  <c r="X671" i="2" s="1"/>
  <c r="N671" i="2"/>
  <c r="O671" i="2" l="1"/>
  <c r="P671" i="2" s="1"/>
  <c r="W671" i="2"/>
  <c r="R671" i="2" l="1"/>
  <c r="T671" i="2" s="1"/>
  <c r="Q672" i="2" s="1"/>
  <c r="X672" i="2" s="1"/>
  <c r="N672" i="2"/>
  <c r="W672" i="2" l="1"/>
  <c r="O672" i="2"/>
  <c r="P672" i="2" s="1"/>
  <c r="R672" i="2" l="1"/>
  <c r="T672" i="2" s="1"/>
  <c r="Q673" i="2" s="1"/>
  <c r="X673" i="2" s="1"/>
  <c r="N673" i="2" l="1"/>
  <c r="O673" i="2"/>
  <c r="P673" i="2" s="1"/>
  <c r="R673" i="2" s="1"/>
  <c r="T673" i="2" s="1"/>
  <c r="Q674" i="2" s="1"/>
  <c r="X674" i="2" s="1"/>
  <c r="W673" i="2"/>
  <c r="N674" i="2"/>
  <c r="W674" i="2" l="1"/>
  <c r="O674" i="2"/>
  <c r="P674" i="2" s="1"/>
  <c r="R674" i="2" s="1"/>
  <c r="T674" i="2" s="1"/>
  <c r="Q675" i="2" s="1"/>
  <c r="X675" i="2" s="1"/>
  <c r="N675" i="2"/>
  <c r="W675" i="2" s="1"/>
  <c r="O675" i="2" l="1"/>
  <c r="P675" i="2" s="1"/>
  <c r="R675" i="2"/>
  <c r="T675" i="2" s="1"/>
  <c r="Q676" i="2" s="1"/>
  <c r="X676" i="2" s="1"/>
  <c r="N676" i="2"/>
  <c r="W676" i="2" l="1"/>
  <c r="O676" i="2"/>
  <c r="P676" i="2" s="1"/>
  <c r="R676" i="2" s="1"/>
  <c r="T676" i="2" s="1"/>
  <c r="Q677" i="2" s="1"/>
  <c r="X677" i="2" s="1"/>
  <c r="N677" i="2"/>
  <c r="W677" i="2" l="1"/>
  <c r="O677" i="2"/>
  <c r="P677" i="2" s="1"/>
  <c r="R677" i="2" l="1"/>
  <c r="T677" i="2" s="1"/>
  <c r="Q678" i="2" s="1"/>
  <c r="X678" i="2" s="1"/>
  <c r="N678" i="2"/>
  <c r="O678" i="2" l="1"/>
  <c r="P678" i="2" s="1"/>
  <c r="R678" i="2" s="1"/>
  <c r="T678" i="2" s="1"/>
  <c r="Q679" i="2" s="1"/>
  <c r="X679" i="2" s="1"/>
  <c r="W678" i="2"/>
  <c r="N679" i="2"/>
  <c r="W679" i="2" l="1"/>
  <c r="O679" i="2"/>
  <c r="P679" i="2" s="1"/>
  <c r="R679" i="2" s="1"/>
  <c r="T679" i="2" s="1"/>
  <c r="Q680" i="2" s="1"/>
  <c r="X680" i="2" s="1"/>
  <c r="N680" i="2" l="1"/>
  <c r="W680" i="2"/>
  <c r="O680" i="2"/>
  <c r="P680" i="2" s="1"/>
  <c r="R680" i="2" l="1"/>
  <c r="T680" i="2" s="1"/>
  <c r="Q681" i="2" s="1"/>
  <c r="X681" i="2" s="1"/>
  <c r="N681" i="2"/>
  <c r="O681" i="2" l="1"/>
  <c r="P681" i="2" s="1"/>
  <c r="W681" i="2"/>
  <c r="R681" i="2" l="1"/>
  <c r="T681" i="2" s="1"/>
  <c r="Q682" i="2" s="1"/>
  <c r="X682" i="2" s="1"/>
  <c r="N682" i="2"/>
  <c r="W682" i="2" l="1"/>
  <c r="O682" i="2"/>
  <c r="P682" i="2" s="1"/>
  <c r="R682" i="2" s="1"/>
  <c r="T682" i="2" s="1"/>
  <c r="Q683" i="2" s="1"/>
  <c r="X683" i="2" s="1"/>
  <c r="N683" i="2"/>
  <c r="O683" i="2" l="1"/>
  <c r="P683" i="2" s="1"/>
  <c r="W683" i="2"/>
  <c r="R683" i="2" l="1"/>
  <c r="T683" i="2" s="1"/>
  <c r="Q684" i="2" s="1"/>
  <c r="X684" i="2" s="1"/>
  <c r="N684" i="2"/>
  <c r="W684" i="2" l="1"/>
  <c r="O684" i="2"/>
  <c r="P684" i="2" s="1"/>
  <c r="R684" i="2" s="1"/>
  <c r="T684" i="2" s="1"/>
  <c r="Q685" i="2" s="1"/>
  <c r="X685" i="2" s="1"/>
  <c r="N685" i="2" l="1"/>
  <c r="O685" i="2"/>
  <c r="P685" i="2" s="1"/>
  <c r="R685" i="2" s="1"/>
  <c r="T685" i="2" s="1"/>
  <c r="Q686" i="2" s="1"/>
  <c r="X686" i="2" s="1"/>
  <c r="W685" i="2"/>
  <c r="N686" i="2" l="1"/>
  <c r="O686" i="2"/>
  <c r="P686" i="2" s="1"/>
  <c r="R686" i="2" s="1"/>
  <c r="T686" i="2" s="1"/>
  <c r="Q687" i="2" s="1"/>
  <c r="X687" i="2" s="1"/>
  <c r="W686" i="2"/>
  <c r="N687" i="2" l="1"/>
  <c r="O687" i="2" l="1"/>
  <c r="P687" i="2" s="1"/>
  <c r="R687" i="2" s="1"/>
  <c r="T687" i="2" s="1"/>
  <c r="Q688" i="2" s="1"/>
  <c r="X688" i="2" s="1"/>
  <c r="W687" i="2"/>
  <c r="N688" i="2" l="1"/>
  <c r="O688" i="2" s="1"/>
  <c r="P688" i="2" s="1"/>
  <c r="R688" i="2" s="1"/>
  <c r="T688" i="2" s="1"/>
  <c r="Q689" i="2" s="1"/>
  <c r="X689" i="2" s="1"/>
  <c r="W688" i="2" l="1"/>
  <c r="N689" i="2"/>
  <c r="W689" i="2" l="1"/>
  <c r="O689" i="2"/>
  <c r="P689" i="2" s="1"/>
  <c r="R689" i="2" l="1"/>
  <c r="T689" i="2" s="1"/>
  <c r="Q690" i="2" s="1"/>
  <c r="X690" i="2" s="1"/>
  <c r="N690" i="2" l="1"/>
  <c r="O690" i="2" l="1"/>
  <c r="P690" i="2" s="1"/>
  <c r="R690" i="2" s="1"/>
  <c r="T690" i="2" s="1"/>
  <c r="Q691" i="2" s="1"/>
  <c r="X691" i="2" s="1"/>
  <c r="W690" i="2"/>
  <c r="N691" i="2" l="1"/>
  <c r="W691" i="2"/>
  <c r="O691" i="2"/>
  <c r="P691" i="2" s="1"/>
  <c r="R691" i="2" s="1"/>
  <c r="T691" i="2" s="1"/>
  <c r="Q692" i="2" s="1"/>
  <c r="X692" i="2" s="1"/>
  <c r="N692" i="2" l="1"/>
  <c r="W692" i="2"/>
  <c r="O692" i="2"/>
  <c r="P692" i="2" s="1"/>
  <c r="R692" i="2" s="1"/>
  <c r="T692" i="2" s="1"/>
  <c r="Q693" i="2" s="1"/>
  <c r="X693" i="2" s="1"/>
  <c r="N693" i="2" l="1"/>
  <c r="W693" i="2" s="1"/>
  <c r="O693" i="2" l="1"/>
  <c r="P693" i="2" s="1"/>
  <c r="R693" i="2" s="1"/>
  <c r="T693" i="2" s="1"/>
  <c r="Q694" i="2" s="1"/>
  <c r="X694" i="2" s="1"/>
  <c r="N694" i="2"/>
  <c r="O694" i="2" l="1"/>
  <c r="P694" i="2" s="1"/>
  <c r="R694" i="2" s="1"/>
  <c r="T694" i="2" s="1"/>
  <c r="Q695" i="2" s="1"/>
  <c r="X695" i="2" s="1"/>
  <c r="W694" i="2"/>
  <c r="N695" i="2" l="1"/>
  <c r="O695" i="2" s="1"/>
  <c r="P695" i="2" s="1"/>
  <c r="W695" i="2" l="1"/>
  <c r="R695" i="2"/>
  <c r="T695" i="2" s="1"/>
  <c r="Q696" i="2" s="1"/>
  <c r="X696" i="2" s="1"/>
  <c r="N696" i="2" l="1"/>
  <c r="O696" i="2"/>
  <c r="P696" i="2" s="1"/>
  <c r="R696" i="2" s="1"/>
  <c r="T696" i="2" s="1"/>
  <c r="Q697" i="2" s="1"/>
  <c r="X697" i="2" s="1"/>
  <c r="W696" i="2"/>
  <c r="N697" i="2" l="1"/>
  <c r="O697" i="2"/>
  <c r="P697" i="2" s="1"/>
  <c r="R697" i="2" s="1"/>
  <c r="T697" i="2" s="1"/>
  <c r="Q698" i="2" s="1"/>
  <c r="X698" i="2" s="1"/>
  <c r="W697" i="2"/>
  <c r="N698" i="2"/>
  <c r="O698" i="2" s="1"/>
  <c r="P698" i="2" s="1"/>
  <c r="W698" i="2" l="1"/>
  <c r="R698" i="2"/>
  <c r="T698" i="2" s="1"/>
  <c r="Q699" i="2" s="1"/>
  <c r="X699" i="2" s="1"/>
  <c r="N699" i="2" l="1"/>
  <c r="O699" i="2" s="1"/>
  <c r="P699" i="2" s="1"/>
  <c r="W699" i="2" l="1"/>
  <c r="R699" i="2"/>
  <c r="T699" i="2" s="1"/>
  <c r="Q700" i="2" s="1"/>
  <c r="X700" i="2" s="1"/>
  <c r="N700" i="2" l="1"/>
  <c r="W700" i="2" s="1"/>
  <c r="O700" i="2" l="1"/>
  <c r="P700" i="2" s="1"/>
  <c r="R700" i="2"/>
  <c r="T700" i="2" s="1"/>
  <c r="Q701" i="2" s="1"/>
  <c r="X701" i="2" s="1"/>
  <c r="N701" i="2" l="1"/>
  <c r="W701" i="2" s="1"/>
  <c r="O701" i="2"/>
  <c r="P701" i="2" s="1"/>
  <c r="R701" i="2" l="1"/>
  <c r="T701" i="2" s="1"/>
  <c r="Q702" i="2" s="1"/>
  <c r="X702" i="2" s="1"/>
  <c r="N702" i="2"/>
  <c r="W702" i="2" l="1"/>
  <c r="O702" i="2"/>
  <c r="P702" i="2" s="1"/>
  <c r="R702" i="2" l="1"/>
  <c r="T702" i="2" s="1"/>
  <c r="Q703" i="2" s="1"/>
  <c r="X703" i="2" s="1"/>
  <c r="N703" i="2"/>
  <c r="W703" i="2" l="1"/>
  <c r="O703" i="2"/>
  <c r="P703" i="2" s="1"/>
  <c r="R703" i="2" l="1"/>
  <c r="T703" i="2" s="1"/>
  <c r="Q704" i="2" s="1"/>
  <c r="X704" i="2" s="1"/>
  <c r="N704" i="2" l="1"/>
  <c r="O704" i="2" s="1"/>
  <c r="P704" i="2" s="1"/>
  <c r="W704" i="2"/>
  <c r="R704" i="2" l="1"/>
  <c r="T704" i="2" s="1"/>
  <c r="Q705" i="2" s="1"/>
  <c r="X705" i="2" s="1"/>
  <c r="N705" i="2" l="1"/>
  <c r="W705" i="2"/>
  <c r="O705" i="2"/>
  <c r="P705" i="2" s="1"/>
  <c r="R705" i="2" s="1"/>
  <c r="T705" i="2" s="1"/>
  <c r="Q706" i="2" s="1"/>
  <c r="X706" i="2" s="1"/>
  <c r="N706" i="2" l="1"/>
  <c r="O706" i="2"/>
  <c r="P706" i="2" s="1"/>
  <c r="R706" i="2" s="1"/>
  <c r="T706" i="2" s="1"/>
  <c r="Q707" i="2" s="1"/>
  <c r="X707" i="2" s="1"/>
  <c r="W706" i="2"/>
  <c r="N707" i="2" l="1"/>
  <c r="O707" i="2"/>
  <c r="P707" i="2" s="1"/>
  <c r="R707" i="2" s="1"/>
  <c r="T707" i="2" s="1"/>
  <c r="Q708" i="2" s="1"/>
  <c r="X708" i="2" s="1"/>
  <c r="W707" i="2"/>
  <c r="N708" i="2"/>
  <c r="O708" i="2" l="1"/>
  <c r="P708" i="2" s="1"/>
  <c r="W708" i="2"/>
  <c r="R708" i="2" l="1"/>
  <c r="T708" i="2" s="1"/>
  <c r="Q709" i="2" s="1"/>
  <c r="X709" i="2" s="1"/>
  <c r="N709" i="2" l="1"/>
  <c r="O709" i="2"/>
  <c r="P709" i="2" s="1"/>
  <c r="W709" i="2"/>
  <c r="R709" i="2" l="1"/>
  <c r="T709" i="2" s="1"/>
  <c r="Q710" i="2" s="1"/>
  <c r="X710" i="2" s="1"/>
  <c r="N710" i="2" l="1"/>
  <c r="W710" i="2"/>
  <c r="O710" i="2"/>
  <c r="P710" i="2" s="1"/>
  <c r="R710" i="2" s="1"/>
  <c r="T710" i="2" s="1"/>
  <c r="Q711" i="2" s="1"/>
  <c r="X711" i="2" s="1"/>
  <c r="N711" i="2" l="1"/>
  <c r="W711" i="2"/>
  <c r="O711" i="2"/>
  <c r="P711" i="2" s="1"/>
  <c r="R711" i="2" s="1"/>
  <c r="T711" i="2" s="1"/>
  <c r="Q712" i="2" s="1"/>
  <c r="X712" i="2" s="1"/>
  <c r="N712" i="2" l="1"/>
  <c r="O712" i="2" s="1"/>
  <c r="P712" i="2" s="1"/>
  <c r="R712" i="2" s="1"/>
  <c r="T712" i="2" s="1"/>
  <c r="Q713" i="2" s="1"/>
  <c r="X713" i="2" s="1"/>
  <c r="N713" i="2" l="1"/>
  <c r="W712" i="2"/>
  <c r="W713" i="2"/>
  <c r="O713" i="2"/>
  <c r="P713" i="2" s="1"/>
  <c r="R713" i="2" s="1"/>
  <c r="T713" i="2" s="1"/>
  <c r="Q714" i="2" s="1"/>
  <c r="X714" i="2" s="1"/>
  <c r="N714" i="2" l="1"/>
  <c r="W714" i="2" s="1"/>
  <c r="O714" i="2" l="1"/>
  <c r="P714" i="2" s="1"/>
  <c r="R714" i="2" s="1"/>
  <c r="T714" i="2" s="1"/>
  <c r="Q715" i="2" s="1"/>
  <c r="X715" i="2" s="1"/>
  <c r="N715" i="2" l="1"/>
  <c r="W715" i="2" l="1"/>
  <c r="O715" i="2"/>
  <c r="P715" i="2" s="1"/>
  <c r="R715" i="2" s="1"/>
  <c r="T715" i="2" s="1"/>
  <c r="N716" i="2" l="1"/>
  <c r="Q716" i="2"/>
  <c r="X716" i="2" s="1"/>
  <c r="O716" i="2" l="1"/>
  <c r="P716" i="2" s="1"/>
  <c r="W716" i="2"/>
  <c r="R716" i="2" l="1"/>
  <c r="T716" i="2" s="1"/>
  <c r="Q717" i="2" s="1"/>
  <c r="X717" i="2" s="1"/>
  <c r="N717" i="2" l="1"/>
  <c r="O717" i="2"/>
  <c r="P717" i="2" s="1"/>
  <c r="W717" i="2"/>
  <c r="R717" i="2" l="1"/>
  <c r="T717" i="2" s="1"/>
  <c r="Q718" i="2" s="1"/>
  <c r="X718" i="2" s="1"/>
  <c r="N718" i="2" l="1"/>
  <c r="W718" i="2" l="1"/>
  <c r="O718" i="2"/>
  <c r="P718" i="2" s="1"/>
  <c r="R718" i="2" s="1"/>
  <c r="T718" i="2" s="1"/>
  <c r="Q719" i="2" s="1"/>
  <c r="X719" i="2" s="1"/>
  <c r="N719" i="2"/>
  <c r="O719" i="2" l="1"/>
  <c r="P719" i="2" s="1"/>
  <c r="R719" i="2" s="1"/>
  <c r="T719" i="2" s="1"/>
  <c r="Q720" i="2" s="1"/>
  <c r="X720" i="2" s="1"/>
  <c r="W719" i="2"/>
  <c r="N720" i="2"/>
  <c r="W720" i="2" l="1"/>
  <c r="O720" i="2"/>
  <c r="P720" i="2" s="1"/>
  <c r="R720" i="2" s="1"/>
  <c r="T720" i="2" s="1"/>
  <c r="Q721" i="2" s="1"/>
  <c r="X721" i="2" s="1"/>
  <c r="N721" i="2" l="1"/>
  <c r="O721" i="2" l="1"/>
  <c r="P721" i="2" s="1"/>
  <c r="W721" i="2"/>
  <c r="R721" i="2" l="1"/>
  <c r="T721" i="2" s="1"/>
  <c r="Q722" i="2" s="1"/>
  <c r="X722" i="2" s="1"/>
  <c r="N722" i="2"/>
  <c r="O722" i="2" l="1"/>
  <c r="P722" i="2" s="1"/>
  <c r="W722" i="2"/>
  <c r="R722" i="2" l="1"/>
  <c r="T722" i="2" s="1"/>
  <c r="Q723" i="2" s="1"/>
  <c r="X723" i="2" s="1"/>
  <c r="N723" i="2"/>
  <c r="O723" i="2" l="1"/>
  <c r="P723" i="2" s="1"/>
  <c r="R723" i="2" s="1"/>
  <c r="T723" i="2" s="1"/>
  <c r="Q724" i="2" s="1"/>
  <c r="X724" i="2" s="1"/>
  <c r="W723" i="2"/>
  <c r="N724" i="2"/>
  <c r="W724" i="2" l="1"/>
  <c r="O724" i="2"/>
  <c r="P724" i="2" s="1"/>
  <c r="R724" i="2" s="1"/>
  <c r="T724" i="2" s="1"/>
  <c r="Q725" i="2" s="1"/>
  <c r="X725" i="2" s="1"/>
  <c r="N725" i="2" l="1"/>
  <c r="W725" i="2"/>
  <c r="O725" i="2"/>
  <c r="P725" i="2" s="1"/>
  <c r="R725" i="2" l="1"/>
  <c r="T725" i="2" s="1"/>
  <c r="Q726" i="2" s="1"/>
  <c r="X726" i="2" s="1"/>
  <c r="N726" i="2" l="1"/>
  <c r="O726" i="2" l="1"/>
  <c r="P726" i="2" s="1"/>
  <c r="R726" i="2" s="1"/>
  <c r="T726" i="2" s="1"/>
  <c r="Q727" i="2" s="1"/>
  <c r="X727" i="2" s="1"/>
  <c r="W726" i="2"/>
  <c r="N727" i="2" l="1"/>
  <c r="O727" i="2"/>
  <c r="P727" i="2" s="1"/>
  <c r="R727" i="2" s="1"/>
  <c r="T727" i="2" s="1"/>
  <c r="Q728" i="2" s="1"/>
  <c r="X728" i="2" s="1"/>
  <c r="W727" i="2"/>
  <c r="N728" i="2" l="1"/>
  <c r="W728" i="2"/>
  <c r="O728" i="2"/>
  <c r="P728" i="2" s="1"/>
  <c r="R728" i="2" l="1"/>
  <c r="T728" i="2" s="1"/>
  <c r="Q729" i="2" s="1"/>
  <c r="X729" i="2" s="1"/>
  <c r="N729" i="2" l="1"/>
  <c r="O729" i="2"/>
  <c r="P729" i="2" s="1"/>
  <c r="R729" i="2" s="1"/>
  <c r="T729" i="2" s="1"/>
  <c r="Q730" i="2" s="1"/>
  <c r="X730" i="2" s="1"/>
  <c r="W729" i="2"/>
  <c r="N730" i="2"/>
  <c r="O730" i="2" l="1"/>
  <c r="P730" i="2" s="1"/>
  <c r="R730" i="2" s="1"/>
  <c r="T730" i="2" s="1"/>
  <c r="Q731" i="2" s="1"/>
  <c r="X731" i="2" s="1"/>
  <c r="W730" i="2"/>
  <c r="N731" i="2"/>
  <c r="W731" i="2" l="1"/>
  <c r="O731" i="2"/>
  <c r="P731" i="2" s="1"/>
  <c r="R731" i="2" s="1"/>
  <c r="T731" i="2" s="1"/>
  <c r="Q732" i="2" s="1"/>
  <c r="X732" i="2" s="1"/>
  <c r="N732" i="2"/>
  <c r="O732" i="2" l="1"/>
  <c r="P732" i="2" s="1"/>
  <c r="R732" i="2" s="1"/>
  <c r="T732" i="2" s="1"/>
  <c r="Q733" i="2" s="1"/>
  <c r="X733" i="2" s="1"/>
  <c r="W732" i="2"/>
  <c r="N733" i="2" l="1"/>
  <c r="O733" i="2"/>
  <c r="P733" i="2" s="1"/>
  <c r="W733" i="2"/>
  <c r="R733" i="2" l="1"/>
  <c r="T733" i="2" s="1"/>
  <c r="Q734" i="2" s="1"/>
  <c r="X734" i="2" s="1"/>
  <c r="N734" i="2"/>
  <c r="O734" i="2" l="1"/>
  <c r="P734" i="2" s="1"/>
  <c r="W734" i="2"/>
  <c r="R734" i="2" l="1"/>
  <c r="T734" i="2" s="1"/>
  <c r="Q735" i="2" s="1"/>
  <c r="X735" i="2" s="1"/>
  <c r="N735" i="2"/>
  <c r="W735" i="2" l="1"/>
  <c r="O735" i="2"/>
  <c r="P735" i="2" s="1"/>
  <c r="R735" i="2" s="1"/>
  <c r="T735" i="2" s="1"/>
  <c r="Q736" i="2" s="1"/>
  <c r="X736" i="2" s="1"/>
  <c r="N736" i="2"/>
  <c r="W736" i="2" l="1"/>
  <c r="O736" i="2"/>
  <c r="P736" i="2" s="1"/>
  <c r="R736" i="2" l="1"/>
  <c r="T736" i="2" s="1"/>
  <c r="Q737" i="2" s="1"/>
  <c r="X737" i="2" s="1"/>
  <c r="N737" i="2" l="1"/>
  <c r="O737" i="2" s="1"/>
  <c r="P737" i="2" s="1"/>
  <c r="R737" i="2" s="1"/>
  <c r="T737" i="2" s="1"/>
  <c r="Q738" i="2" s="1"/>
  <c r="X738" i="2" s="1"/>
  <c r="W737" i="2"/>
  <c r="N738" i="2" l="1"/>
  <c r="W738" i="2"/>
  <c r="O738" i="2"/>
  <c r="P738" i="2" s="1"/>
  <c r="R738" i="2" l="1"/>
  <c r="T738" i="2" s="1"/>
  <c r="Q739" i="2" s="1"/>
  <c r="X739" i="2" s="1"/>
  <c r="N739" i="2"/>
  <c r="O739" i="2" l="1"/>
  <c r="P739" i="2" s="1"/>
  <c r="R739" i="2" s="1"/>
  <c r="T739" i="2" s="1"/>
  <c r="Q740" i="2" s="1"/>
  <c r="X740" i="2" s="1"/>
  <c r="W739" i="2"/>
  <c r="N740" i="2" l="1"/>
  <c r="W740" i="2"/>
  <c r="O740" i="2"/>
  <c r="P740" i="2" s="1"/>
  <c r="R740" i="2" s="1"/>
  <c r="T740" i="2" s="1"/>
  <c r="Q741" i="2" s="1"/>
  <c r="X741" i="2" s="1"/>
  <c r="N741" i="2"/>
  <c r="W741" i="2" l="1"/>
  <c r="O741" i="2"/>
  <c r="P741" i="2" s="1"/>
  <c r="R741" i="2" s="1"/>
  <c r="T741" i="2" s="1"/>
  <c r="Q742" i="2" s="1"/>
  <c r="X742" i="2" s="1"/>
  <c r="N742" i="2" l="1"/>
  <c r="O742" i="2" l="1"/>
  <c r="P742" i="2" s="1"/>
  <c r="R742" i="2" s="1"/>
  <c r="T742" i="2" s="1"/>
  <c r="Q743" i="2" s="1"/>
  <c r="X743" i="2" s="1"/>
  <c r="W742" i="2"/>
  <c r="N743" i="2"/>
  <c r="O743" i="2" l="1"/>
  <c r="P743" i="2" s="1"/>
  <c r="R743" i="2" s="1"/>
  <c r="T743" i="2" s="1"/>
  <c r="Q744" i="2" s="1"/>
  <c r="X744" i="2" s="1"/>
  <c r="W743" i="2"/>
  <c r="N744" i="2"/>
  <c r="O744" i="2" l="1"/>
  <c r="P744" i="2" s="1"/>
  <c r="R744" i="2" s="1"/>
  <c r="T744" i="2" s="1"/>
  <c r="Q745" i="2" s="1"/>
  <c r="X745" i="2" s="1"/>
  <c r="W744" i="2"/>
  <c r="N745" i="2"/>
  <c r="W745" i="2" l="1"/>
  <c r="O745" i="2"/>
  <c r="P745" i="2" s="1"/>
  <c r="R745" i="2" l="1"/>
  <c r="T745" i="2" s="1"/>
  <c r="Q746" i="2" s="1"/>
  <c r="X746" i="2" s="1"/>
  <c r="N746" i="2"/>
  <c r="O746" i="2" l="1"/>
  <c r="P746" i="2" s="1"/>
  <c r="W746" i="2"/>
  <c r="R746" i="2" l="1"/>
  <c r="T746" i="2" s="1"/>
  <c r="Q747" i="2" s="1"/>
  <c r="X747" i="2" s="1"/>
  <c r="N747" i="2"/>
  <c r="W747" i="2" l="1"/>
  <c r="O747" i="2"/>
  <c r="P747" i="2" s="1"/>
  <c r="R747" i="2" s="1"/>
  <c r="T747" i="2" s="1"/>
  <c r="Q748" i="2" s="1"/>
  <c r="X748" i="2" s="1"/>
  <c r="N748" i="2" l="1"/>
  <c r="W748" i="2"/>
  <c r="O748" i="2"/>
  <c r="P748" i="2" s="1"/>
  <c r="R748" i="2" l="1"/>
  <c r="T748" i="2" s="1"/>
  <c r="Q749" i="2" s="1"/>
  <c r="X749" i="2" s="1"/>
  <c r="N749" i="2"/>
  <c r="W749" i="2" l="1"/>
  <c r="O749" i="2"/>
  <c r="P749" i="2" s="1"/>
  <c r="R749" i="2" l="1"/>
  <c r="T749" i="2" s="1"/>
  <c r="Q750" i="2" s="1"/>
  <c r="X750" i="2" s="1"/>
  <c r="N750" i="2" l="1"/>
  <c r="O750" i="2"/>
  <c r="P750" i="2" s="1"/>
  <c r="R750" i="2" s="1"/>
  <c r="T750" i="2" s="1"/>
  <c r="Q751" i="2" s="1"/>
  <c r="X751" i="2" s="1"/>
  <c r="W750" i="2"/>
  <c r="N751" i="2" l="1"/>
  <c r="W751" i="2" l="1"/>
  <c r="O751" i="2"/>
  <c r="P751" i="2" s="1"/>
  <c r="R751" i="2" s="1"/>
  <c r="T751" i="2" s="1"/>
  <c r="Q752" i="2" s="1"/>
  <c r="X752" i="2" s="1"/>
  <c r="N752" i="2" l="1"/>
  <c r="O752" i="2" s="1"/>
  <c r="P752" i="2" s="1"/>
  <c r="W752" i="2"/>
  <c r="R752" i="2" l="1"/>
  <c r="T752" i="2" s="1"/>
  <c r="Q753" i="2" s="1"/>
  <c r="X753" i="2" s="1"/>
  <c r="N753" i="2" l="1"/>
  <c r="W753" i="2"/>
  <c r="O753" i="2"/>
  <c r="P753" i="2" s="1"/>
  <c r="R753" i="2" s="1"/>
  <c r="T753" i="2" s="1"/>
  <c r="Q754" i="2" s="1"/>
  <c r="X754" i="2" s="1"/>
  <c r="N754" i="2" l="1"/>
  <c r="O754" i="2" l="1"/>
  <c r="P754" i="2" s="1"/>
  <c r="R754" i="2" s="1"/>
  <c r="T754" i="2" s="1"/>
  <c r="Q755" i="2" s="1"/>
  <c r="X755" i="2" s="1"/>
  <c r="W754" i="2"/>
  <c r="N755" i="2" l="1"/>
  <c r="W755" i="2"/>
  <c r="O755" i="2"/>
  <c r="P755" i="2" s="1"/>
  <c r="R755" i="2" l="1"/>
  <c r="T755" i="2" s="1"/>
  <c r="Q756" i="2" s="1"/>
  <c r="X756" i="2" s="1"/>
  <c r="N756" i="2" l="1"/>
  <c r="W756" i="2"/>
  <c r="O756" i="2"/>
  <c r="P756" i="2" s="1"/>
  <c r="R756" i="2" s="1"/>
  <c r="T756" i="2" s="1"/>
  <c r="Q757" i="2" s="1"/>
  <c r="X757" i="2" s="1"/>
  <c r="N757" i="2" l="1"/>
  <c r="O757" i="2"/>
  <c r="P757" i="2" s="1"/>
  <c r="R757" i="2" s="1"/>
  <c r="T757" i="2" s="1"/>
  <c r="Q758" i="2" s="1"/>
  <c r="X758" i="2" s="1"/>
  <c r="W757" i="2"/>
  <c r="N758" i="2"/>
  <c r="O758" i="2" l="1"/>
  <c r="P758" i="2" s="1"/>
  <c r="R758" i="2" s="1"/>
  <c r="T758" i="2" s="1"/>
  <c r="Q759" i="2" s="1"/>
  <c r="X759" i="2" s="1"/>
  <c r="W758" i="2"/>
  <c r="N759" i="2"/>
  <c r="O759" i="2" l="1"/>
  <c r="P759" i="2" s="1"/>
  <c r="W759" i="2"/>
  <c r="R759" i="2" l="1"/>
  <c r="T759" i="2" s="1"/>
  <c r="Q760" i="2" s="1"/>
  <c r="X760" i="2" s="1"/>
  <c r="N760" i="2"/>
  <c r="W760" i="2" l="1"/>
  <c r="O760" i="2"/>
  <c r="P760" i="2" s="1"/>
  <c r="R760" i="2" s="1"/>
  <c r="T760" i="2" s="1"/>
  <c r="Q761" i="2" s="1"/>
  <c r="X761" i="2" s="1"/>
  <c r="N761" i="2" l="1"/>
  <c r="W761" i="2"/>
  <c r="O761" i="2"/>
  <c r="P761" i="2" s="1"/>
  <c r="R761" i="2" s="1"/>
  <c r="T761" i="2" s="1"/>
  <c r="Q762" i="2" s="1"/>
  <c r="X762" i="2" s="1"/>
  <c r="N762" i="2" l="1"/>
  <c r="W762" i="2"/>
  <c r="O762" i="2"/>
  <c r="P762" i="2" s="1"/>
  <c r="R762" i="2" s="1"/>
  <c r="T762" i="2" s="1"/>
  <c r="Q763" i="2" s="1"/>
  <c r="X763" i="2" s="1"/>
  <c r="N763" i="2" l="1"/>
  <c r="W763" i="2" s="1"/>
  <c r="O763" i="2"/>
  <c r="P763" i="2" s="1"/>
  <c r="R763" i="2"/>
  <c r="T763" i="2" s="1"/>
  <c r="Q764" i="2" s="1"/>
  <c r="X764" i="2" s="1"/>
  <c r="N764" i="2" l="1"/>
  <c r="O764" i="2"/>
  <c r="P764" i="2" s="1"/>
  <c r="R764" i="2" s="1"/>
  <c r="T764" i="2" s="1"/>
  <c r="Q765" i="2" s="1"/>
  <c r="X765" i="2" s="1"/>
  <c r="W764" i="2"/>
  <c r="N765" i="2" l="1"/>
  <c r="O765" i="2" l="1"/>
  <c r="P765" i="2" s="1"/>
  <c r="R765" i="2" s="1"/>
  <c r="T765" i="2" s="1"/>
  <c r="Q766" i="2" s="1"/>
  <c r="X766" i="2" s="1"/>
  <c r="W765" i="2"/>
  <c r="N766" i="2" l="1"/>
  <c r="O766" i="2"/>
  <c r="P766" i="2" s="1"/>
  <c r="R766" i="2" s="1"/>
  <c r="T766" i="2" s="1"/>
  <c r="Q767" i="2" s="1"/>
  <c r="X767" i="2" s="1"/>
  <c r="W766" i="2"/>
  <c r="N767" i="2" l="1"/>
  <c r="W767" i="2"/>
  <c r="O767" i="2"/>
  <c r="P767" i="2" s="1"/>
  <c r="R767" i="2" s="1"/>
  <c r="T767" i="2" s="1"/>
  <c r="Q768" i="2" s="1"/>
  <c r="X768" i="2" s="1"/>
  <c r="N768" i="2"/>
  <c r="O768" i="2" l="1"/>
  <c r="P768" i="2" s="1"/>
  <c r="R768" i="2" s="1"/>
  <c r="T768" i="2" s="1"/>
  <c r="Q769" i="2" s="1"/>
  <c r="X769" i="2" s="1"/>
  <c r="W768" i="2"/>
  <c r="N769" i="2" l="1"/>
  <c r="W769" i="2"/>
  <c r="O769" i="2"/>
  <c r="P769" i="2" s="1"/>
  <c r="R769" i="2" l="1"/>
  <c r="T769" i="2" s="1"/>
  <c r="Q770" i="2" s="1"/>
  <c r="X770" i="2" s="1"/>
  <c r="N770" i="2" l="1"/>
  <c r="O770" i="2" s="1"/>
  <c r="P770" i="2" s="1"/>
  <c r="R770" i="2" s="1"/>
  <c r="T770" i="2" s="1"/>
  <c r="Q771" i="2" s="1"/>
  <c r="X771" i="2" s="1"/>
  <c r="N771" i="2" l="1"/>
  <c r="W771" i="2" s="1"/>
  <c r="W770" i="2"/>
  <c r="O771" i="2" l="1"/>
  <c r="P771" i="2" s="1"/>
  <c r="R771" i="2" s="1"/>
  <c r="T771" i="2" s="1"/>
  <c r="Q772" i="2" s="1"/>
  <c r="X772" i="2" s="1"/>
  <c r="N772" i="2"/>
  <c r="O772" i="2"/>
  <c r="P772" i="2" s="1"/>
  <c r="W772" i="2"/>
  <c r="R772" i="2" l="1"/>
  <c r="T772" i="2" s="1"/>
  <c r="Q773" i="2" s="1"/>
  <c r="X773" i="2" s="1"/>
  <c r="N773" i="2" l="1"/>
  <c r="W773" i="2" s="1"/>
  <c r="O773" i="2" l="1"/>
  <c r="P773" i="2" s="1"/>
  <c r="R773" i="2" s="1"/>
  <c r="T773" i="2" s="1"/>
  <c r="Q774" i="2" s="1"/>
  <c r="X774" i="2" s="1"/>
  <c r="N774" i="2" l="1"/>
  <c r="W774" i="2"/>
  <c r="O774" i="2"/>
  <c r="P774" i="2" s="1"/>
  <c r="R774" i="2" s="1"/>
  <c r="T774" i="2" s="1"/>
  <c r="Q775" i="2" s="1"/>
  <c r="X775" i="2" s="1"/>
  <c r="N775" i="2" l="1"/>
  <c r="O775" i="2" l="1"/>
  <c r="P775" i="2" s="1"/>
  <c r="R775" i="2" s="1"/>
  <c r="T775" i="2" s="1"/>
  <c r="Q776" i="2" s="1"/>
  <c r="X776" i="2" s="1"/>
  <c r="W775" i="2"/>
  <c r="N776" i="2" l="1"/>
  <c r="W776" i="2"/>
  <c r="O776" i="2"/>
  <c r="P776" i="2" s="1"/>
  <c r="R776" i="2" l="1"/>
  <c r="T776" i="2" s="1"/>
  <c r="Q777" i="2" s="1"/>
  <c r="X777" i="2" s="1"/>
  <c r="N777" i="2" l="1"/>
  <c r="O777" i="2" s="1"/>
  <c r="P777" i="2" s="1"/>
  <c r="R777" i="2" s="1"/>
  <c r="T777" i="2" s="1"/>
  <c r="Q778" i="2" s="1"/>
  <c r="X778" i="2" s="1"/>
  <c r="W777" i="2" l="1"/>
  <c r="N778" i="2"/>
  <c r="O778" i="2" l="1"/>
  <c r="P778" i="2" s="1"/>
  <c r="R778" i="2" s="1"/>
  <c r="T778" i="2" s="1"/>
  <c r="Q779" i="2" s="1"/>
  <c r="X779" i="2" s="1"/>
  <c r="W778" i="2"/>
  <c r="N779" i="2" l="1"/>
  <c r="O779" i="2"/>
  <c r="P779" i="2" s="1"/>
  <c r="W779" i="2"/>
  <c r="R779" i="2" l="1"/>
  <c r="T779" i="2" s="1"/>
  <c r="Q780" i="2" s="1"/>
  <c r="X780" i="2" s="1"/>
  <c r="N780" i="2" l="1"/>
  <c r="W780" i="2"/>
  <c r="O780" i="2"/>
  <c r="P780" i="2" s="1"/>
  <c r="R780" i="2" s="1"/>
  <c r="T780" i="2" s="1"/>
  <c r="Q781" i="2" s="1"/>
  <c r="X781" i="2" s="1"/>
  <c r="N781" i="2" l="1"/>
  <c r="O781" i="2" l="1"/>
  <c r="P781" i="2" s="1"/>
  <c r="R781" i="2" s="1"/>
  <c r="T781" i="2" s="1"/>
  <c r="Q782" i="2" s="1"/>
  <c r="X782" i="2" s="1"/>
  <c r="W781" i="2"/>
  <c r="N782" i="2" l="1"/>
  <c r="W782" i="2" s="1"/>
  <c r="O782" i="2" l="1"/>
  <c r="P782" i="2" s="1"/>
  <c r="R782" i="2" s="1"/>
  <c r="T782" i="2" s="1"/>
  <c r="Q783" i="2" s="1"/>
  <c r="X783" i="2" s="1"/>
  <c r="N783" i="2" l="1"/>
  <c r="W783" i="2"/>
  <c r="O783" i="2"/>
  <c r="P783" i="2" s="1"/>
  <c r="R783" i="2" s="1"/>
  <c r="T783" i="2" s="1"/>
  <c r="Q784" i="2" s="1"/>
  <c r="X784" i="2" s="1"/>
  <c r="N784" i="2" l="1"/>
  <c r="O784" i="2"/>
  <c r="P784" i="2" s="1"/>
  <c r="W784" i="2"/>
  <c r="R784" i="2" l="1"/>
  <c r="T784" i="2" s="1"/>
  <c r="Q785" i="2" s="1"/>
  <c r="X785" i="2" s="1"/>
  <c r="N785" i="2" l="1"/>
  <c r="W785" i="2" s="1"/>
  <c r="O785" i="2"/>
  <c r="P785" i="2" s="1"/>
  <c r="R785" i="2" s="1"/>
  <c r="T785" i="2" s="1"/>
  <c r="Q786" i="2" s="1"/>
  <c r="X786" i="2" s="1"/>
  <c r="N786" i="2" l="1"/>
  <c r="O786" i="2"/>
  <c r="P786" i="2" s="1"/>
  <c r="R786" i="2" s="1"/>
  <c r="T786" i="2" s="1"/>
  <c r="Q787" i="2" s="1"/>
  <c r="X787" i="2" s="1"/>
  <c r="W786" i="2"/>
  <c r="N787" i="2"/>
  <c r="O787" i="2" l="1"/>
  <c r="P787" i="2" s="1"/>
  <c r="W787" i="2"/>
  <c r="R787" i="2" l="1"/>
  <c r="T787" i="2" s="1"/>
  <c r="Q788" i="2" s="1"/>
  <c r="X788" i="2" s="1"/>
  <c r="N788" i="2" l="1"/>
  <c r="W788" i="2"/>
  <c r="O788" i="2"/>
  <c r="P788" i="2" s="1"/>
  <c r="R788" i="2" s="1"/>
  <c r="T788" i="2" s="1"/>
  <c r="Q789" i="2" s="1"/>
  <c r="X789" i="2" s="1"/>
  <c r="N789" i="2" l="1"/>
  <c r="O789" i="2"/>
  <c r="P789" i="2" s="1"/>
  <c r="R789" i="2" s="1"/>
  <c r="T789" i="2" s="1"/>
  <c r="Q790" i="2" s="1"/>
  <c r="X790" i="2" s="1"/>
  <c r="W789" i="2"/>
  <c r="N790" i="2" l="1"/>
  <c r="W790" i="2" s="1"/>
  <c r="O790" i="2"/>
  <c r="P790" i="2" s="1"/>
  <c r="R790" i="2" l="1"/>
  <c r="T790" i="2" s="1"/>
  <c r="Q791" i="2" s="1"/>
  <c r="X791" i="2" s="1"/>
  <c r="N791" i="2" l="1"/>
  <c r="W791" i="2"/>
  <c r="O791" i="2"/>
  <c r="P791" i="2" s="1"/>
  <c r="R791" i="2" l="1"/>
  <c r="T791" i="2" s="1"/>
  <c r="Q792" i="2" s="1"/>
  <c r="X792" i="2" s="1"/>
  <c r="N792" i="2" l="1"/>
  <c r="W792" i="2"/>
  <c r="O792" i="2"/>
  <c r="P792" i="2" s="1"/>
  <c r="R792" i="2" s="1"/>
  <c r="T792" i="2" s="1"/>
  <c r="Q793" i="2" s="1"/>
  <c r="X793" i="2" s="1"/>
  <c r="N793" i="2" l="1"/>
  <c r="O793" i="2"/>
  <c r="P793" i="2" s="1"/>
  <c r="R793" i="2" s="1"/>
  <c r="T793" i="2" s="1"/>
  <c r="Q794" i="2" s="1"/>
  <c r="X794" i="2" s="1"/>
  <c r="W793" i="2"/>
  <c r="N794" i="2" l="1"/>
  <c r="O794" i="2"/>
  <c r="P794" i="2" s="1"/>
  <c r="R794" i="2" s="1"/>
  <c r="T794" i="2" s="1"/>
  <c r="Q795" i="2" s="1"/>
  <c r="X795" i="2" s="1"/>
  <c r="W794" i="2"/>
  <c r="N795" i="2"/>
  <c r="O795" i="2" l="1"/>
  <c r="P795" i="2" s="1"/>
  <c r="R795" i="2" s="1"/>
  <c r="T795" i="2" s="1"/>
  <c r="Q796" i="2" s="1"/>
  <c r="X796" i="2" s="1"/>
  <c r="W795" i="2"/>
  <c r="N796" i="2" l="1"/>
  <c r="W796" i="2"/>
  <c r="O796" i="2"/>
  <c r="P796" i="2" s="1"/>
  <c r="R796" i="2" s="1"/>
  <c r="T796" i="2" s="1"/>
  <c r="Q797" i="2" s="1"/>
  <c r="X797" i="2" s="1"/>
  <c r="N797" i="2" l="1"/>
  <c r="W797" i="2" s="1"/>
  <c r="O797" i="2" l="1"/>
  <c r="P797" i="2" s="1"/>
  <c r="R797" i="2" s="1"/>
  <c r="T797" i="2" s="1"/>
  <c r="Q798" i="2" s="1"/>
  <c r="X798" i="2" s="1"/>
  <c r="N798" i="2" l="1"/>
  <c r="W798" i="2" s="1"/>
  <c r="O798" i="2"/>
  <c r="P798" i="2" s="1"/>
  <c r="R798" i="2" s="1"/>
  <c r="T798" i="2" s="1"/>
  <c r="Q799" i="2" s="1"/>
  <c r="X799" i="2" s="1"/>
  <c r="N799" i="2" l="1"/>
  <c r="W799" i="2"/>
  <c r="O799" i="2"/>
  <c r="P799" i="2" s="1"/>
  <c r="R799" i="2" s="1"/>
  <c r="T799" i="2" s="1"/>
  <c r="Q800" i="2" s="1"/>
  <c r="X800" i="2" s="1"/>
  <c r="N800" i="2" l="1"/>
  <c r="W800" i="2" s="1"/>
  <c r="O800" i="2" l="1"/>
  <c r="P800" i="2" s="1"/>
  <c r="R800" i="2" s="1"/>
  <c r="T800" i="2" s="1"/>
  <c r="Q801" i="2" s="1"/>
  <c r="X801" i="2" s="1"/>
  <c r="N801" i="2" l="1"/>
  <c r="W801" i="2"/>
  <c r="O801" i="2"/>
  <c r="P801" i="2" s="1"/>
  <c r="R801" i="2" s="1"/>
  <c r="T801" i="2" s="1"/>
  <c r="Q802" i="2" s="1"/>
  <c r="X802" i="2" s="1"/>
  <c r="N802" i="2" l="1"/>
  <c r="O802" i="2"/>
  <c r="P802" i="2" s="1"/>
  <c r="R802" i="2" s="1"/>
  <c r="T802" i="2" s="1"/>
  <c r="Q803" i="2" s="1"/>
  <c r="X803" i="2" s="1"/>
  <c r="N803" i="2"/>
  <c r="W802" i="2"/>
  <c r="O803" i="2" l="1"/>
  <c r="P803" i="2" s="1"/>
  <c r="W803" i="2"/>
  <c r="R803" i="2" l="1"/>
  <c r="T803" i="2" s="1"/>
  <c r="Q804" i="2" s="1"/>
  <c r="X804" i="2" s="1"/>
  <c r="N804" i="2" l="1"/>
  <c r="O804" i="2" s="1"/>
  <c r="P804" i="2" s="1"/>
  <c r="W804" i="2" l="1"/>
  <c r="R804" i="2"/>
  <c r="T804" i="2" s="1"/>
  <c r="Q805" i="2" s="1"/>
  <c r="X805" i="2" s="1"/>
  <c r="N805" i="2" l="1"/>
  <c r="W805" i="2"/>
  <c r="O805" i="2"/>
  <c r="P805" i="2" s="1"/>
  <c r="R805" i="2" s="1"/>
  <c r="T805" i="2" s="1"/>
  <c r="Q806" i="2" s="1"/>
  <c r="X806" i="2" s="1"/>
  <c r="N806" i="2" l="1"/>
  <c r="O806" i="2" l="1"/>
  <c r="P806" i="2" s="1"/>
  <c r="R806" i="2" s="1"/>
  <c r="T806" i="2" s="1"/>
  <c r="Q807" i="2" s="1"/>
  <c r="X807" i="2" s="1"/>
  <c r="W806" i="2"/>
  <c r="N807" i="2" l="1"/>
  <c r="O807" i="2" s="1"/>
  <c r="P807" i="2" s="1"/>
  <c r="W807" i="2"/>
  <c r="R807" i="2" l="1"/>
  <c r="T807" i="2" s="1"/>
  <c r="Q808" i="2" s="1"/>
  <c r="X808" i="2" s="1"/>
  <c r="N808" i="2"/>
  <c r="O808" i="2" s="1"/>
  <c r="P808" i="2" s="1"/>
  <c r="W808" i="2" l="1"/>
  <c r="R808" i="2"/>
  <c r="T808" i="2" s="1"/>
  <c r="Q809" i="2" l="1"/>
  <c r="X809" i="2" s="1"/>
  <c r="N809" i="2"/>
  <c r="W809" i="2" l="1"/>
  <c r="O809" i="2"/>
  <c r="P809" i="2" s="1"/>
  <c r="R809" i="2" l="1"/>
  <c r="T809" i="2" s="1"/>
  <c r="Q810" i="2" s="1"/>
  <c r="X810" i="2" s="1"/>
  <c r="N810" i="2" l="1"/>
  <c r="O810" i="2" s="1"/>
  <c r="P810" i="2" s="1"/>
  <c r="R810" i="2" s="1"/>
  <c r="T810" i="2" s="1"/>
  <c r="Q811" i="2" s="1"/>
  <c r="X811" i="2" s="1"/>
  <c r="W810" i="2"/>
  <c r="N811" i="2" l="1"/>
  <c r="W811" i="2"/>
  <c r="O811" i="2"/>
  <c r="P811" i="2" s="1"/>
  <c r="R811" i="2" s="1"/>
  <c r="T811" i="2" s="1"/>
  <c r="Q812" i="2" s="1"/>
  <c r="X812" i="2" s="1"/>
  <c r="N812" i="2" l="1"/>
  <c r="O812" i="2"/>
  <c r="P812" i="2" s="1"/>
  <c r="R812" i="2" s="1"/>
  <c r="T812" i="2" s="1"/>
  <c r="Q813" i="2" s="1"/>
  <c r="X813" i="2" s="1"/>
  <c r="W812" i="2"/>
  <c r="N813" i="2" l="1"/>
  <c r="W813" i="2" s="1"/>
  <c r="O813" i="2" l="1"/>
  <c r="P813" i="2" s="1"/>
  <c r="R813" i="2" s="1"/>
  <c r="T813" i="2" s="1"/>
  <c r="Q814" i="2" s="1"/>
  <c r="X814" i="2" s="1"/>
  <c r="N814" i="2" l="1"/>
  <c r="W814" i="2"/>
  <c r="O814" i="2"/>
  <c r="P814" i="2" s="1"/>
  <c r="R814" i="2" s="1"/>
  <c r="T814" i="2" s="1"/>
  <c r="Q815" i="2" s="1"/>
  <c r="X815" i="2" s="1"/>
  <c r="N815" i="2" l="1"/>
  <c r="O815" i="2"/>
  <c r="P815" i="2" s="1"/>
  <c r="R815" i="2" s="1"/>
  <c r="T815" i="2" s="1"/>
  <c r="Q816" i="2" s="1"/>
  <c r="X816" i="2" s="1"/>
  <c r="W815" i="2"/>
  <c r="N816" i="2" l="1"/>
  <c r="W816" i="2" s="1"/>
  <c r="O816" i="2"/>
  <c r="P816" i="2" s="1"/>
  <c r="R816" i="2" l="1"/>
  <c r="T816" i="2" s="1"/>
  <c r="Q817" i="2" s="1"/>
  <c r="X817" i="2" s="1"/>
  <c r="N817" i="2" l="1"/>
  <c r="O817" i="2"/>
  <c r="P817" i="2" s="1"/>
  <c r="W817" i="2"/>
  <c r="R817" i="2" l="1"/>
  <c r="T817" i="2" s="1"/>
  <c r="Q818" i="2" s="1"/>
  <c r="X818" i="2" s="1"/>
  <c r="N818" i="2" l="1"/>
  <c r="O818" i="2"/>
  <c r="P818" i="2" s="1"/>
  <c r="R818" i="2" s="1"/>
  <c r="T818" i="2" s="1"/>
  <c r="Q819" i="2" s="1"/>
  <c r="X819" i="2" s="1"/>
  <c r="W818" i="2"/>
  <c r="N819" i="2"/>
  <c r="O819" i="2" l="1"/>
  <c r="P819" i="2" s="1"/>
  <c r="R819" i="2" s="1"/>
  <c r="T819" i="2" s="1"/>
  <c r="Q820" i="2" s="1"/>
  <c r="X820" i="2" s="1"/>
  <c r="W819" i="2"/>
  <c r="N820" i="2" l="1"/>
  <c r="W820" i="2"/>
  <c r="O820" i="2"/>
  <c r="P820" i="2" s="1"/>
  <c r="R820" i="2" l="1"/>
  <c r="T820" i="2" s="1"/>
  <c r="Q821" i="2" s="1"/>
  <c r="X821" i="2" s="1"/>
  <c r="N821" i="2"/>
  <c r="O821" i="2" l="1"/>
  <c r="P821" i="2" s="1"/>
  <c r="R821" i="2" s="1"/>
  <c r="T821" i="2" s="1"/>
  <c r="Q822" i="2" s="1"/>
  <c r="X822" i="2" s="1"/>
  <c r="W821" i="2"/>
  <c r="N822" i="2" l="1"/>
  <c r="W822" i="2" s="1"/>
  <c r="O822" i="2"/>
  <c r="P822" i="2" s="1"/>
  <c r="R822" i="2" l="1"/>
  <c r="T822" i="2" s="1"/>
  <c r="Q823" i="2" s="1"/>
  <c r="X823" i="2" s="1"/>
  <c r="N823" i="2" l="1"/>
  <c r="O823" i="2" s="1"/>
  <c r="P823" i="2" s="1"/>
  <c r="W823" i="2" l="1"/>
  <c r="R823" i="2"/>
  <c r="T823" i="2" s="1"/>
  <c r="Q824" i="2" s="1"/>
  <c r="X824" i="2" s="1"/>
  <c r="N824" i="2" l="1"/>
  <c r="O824" i="2" s="1"/>
  <c r="P824" i="2" s="1"/>
  <c r="R824" i="2" s="1"/>
  <c r="T824" i="2" s="1"/>
  <c r="Q825" i="2" s="1"/>
  <c r="X825" i="2" s="1"/>
  <c r="W824" i="2" l="1"/>
  <c r="N825" i="2"/>
  <c r="O825" i="2"/>
  <c r="P825" i="2" s="1"/>
  <c r="W825" i="2"/>
  <c r="R825" i="2" l="1"/>
  <c r="T825" i="2" s="1"/>
  <c r="Q826" i="2" s="1"/>
  <c r="X826" i="2" s="1"/>
  <c r="N826" i="2" l="1"/>
  <c r="O826" i="2" s="1"/>
  <c r="P826" i="2" s="1"/>
  <c r="R826" i="2" s="1"/>
  <c r="T826" i="2" s="1"/>
  <c r="Q827" i="2" s="1"/>
  <c r="X827" i="2" s="1"/>
  <c r="W826" i="2" l="1"/>
  <c r="N827" i="2"/>
  <c r="O827" i="2" s="1"/>
  <c r="P827" i="2" s="1"/>
  <c r="W827" i="2"/>
  <c r="R827" i="2"/>
  <c r="T827" i="2" s="1"/>
  <c r="Q828" i="2" s="1"/>
  <c r="X828" i="2" s="1"/>
  <c r="N828" i="2" l="1"/>
  <c r="O828" i="2" l="1"/>
  <c r="P828" i="2" s="1"/>
  <c r="R828" i="2" s="1"/>
  <c r="T828" i="2" s="1"/>
  <c r="Q829" i="2" s="1"/>
  <c r="X829" i="2" s="1"/>
  <c r="W828" i="2"/>
  <c r="N829" i="2" l="1"/>
  <c r="W829" i="2" s="1"/>
  <c r="O829" i="2" l="1"/>
  <c r="P829" i="2" s="1"/>
  <c r="R829" i="2"/>
  <c r="T829" i="2" s="1"/>
  <c r="Q830" i="2" s="1"/>
  <c r="X830" i="2" s="1"/>
  <c r="N830" i="2" l="1"/>
  <c r="O830" i="2" s="1"/>
  <c r="P830" i="2" s="1"/>
  <c r="R830" i="2" s="1"/>
  <c r="T830" i="2" s="1"/>
  <c r="Q831" i="2" s="1"/>
  <c r="X831" i="2" s="1"/>
  <c r="W830" i="2" l="1"/>
  <c r="N831" i="2"/>
  <c r="O831" i="2" s="1"/>
  <c r="P831" i="2" s="1"/>
  <c r="R831" i="2" s="1"/>
  <c r="T831" i="2" s="1"/>
  <c r="Q832" i="2" s="1"/>
  <c r="X832" i="2" s="1"/>
  <c r="W831" i="2" l="1"/>
  <c r="N832" i="2"/>
  <c r="W832" i="2" l="1"/>
  <c r="O832" i="2"/>
  <c r="P832" i="2" s="1"/>
  <c r="R832" i="2" l="1"/>
  <c r="T832" i="2" s="1"/>
  <c r="Q833" i="2" s="1"/>
  <c r="X833" i="2" s="1"/>
  <c r="N833" i="2" l="1"/>
  <c r="W833" i="2"/>
  <c r="O833" i="2"/>
  <c r="P833" i="2" s="1"/>
  <c r="R833" i="2" l="1"/>
  <c r="T833" i="2" s="1"/>
  <c r="Q834" i="2" s="1"/>
  <c r="X834" i="2" s="1"/>
  <c r="N834" i="2" l="1"/>
  <c r="W834" i="2" s="1"/>
  <c r="O834" i="2" l="1"/>
  <c r="P834" i="2" s="1"/>
  <c r="R834" i="2" s="1"/>
  <c r="T834" i="2" s="1"/>
  <c r="Q835" i="2" s="1"/>
  <c r="X835" i="2" s="1"/>
  <c r="N835" i="2" l="1"/>
  <c r="O835" i="2" l="1"/>
  <c r="P835" i="2" s="1"/>
  <c r="W835" i="2"/>
  <c r="R835" i="2" l="1"/>
  <c r="T835" i="2" s="1"/>
  <c r="Q836" i="2" s="1"/>
  <c r="X836" i="2" s="1"/>
  <c r="N836" i="2" l="1"/>
  <c r="O836" i="2" s="1"/>
  <c r="P836" i="2" s="1"/>
  <c r="W836" i="2" l="1"/>
  <c r="R836" i="2"/>
  <c r="T836" i="2" s="1"/>
  <c r="Q837" i="2" s="1"/>
  <c r="X837" i="2" s="1"/>
  <c r="N837" i="2" l="1"/>
  <c r="W837" i="2" s="1"/>
  <c r="O837" i="2" l="1"/>
  <c r="P837" i="2" s="1"/>
  <c r="R837" i="2" l="1"/>
  <c r="T837" i="2" s="1"/>
  <c r="Q838" i="2" s="1"/>
  <c r="X838" i="2" s="1"/>
  <c r="N838" i="2" l="1"/>
  <c r="O838" i="2"/>
  <c r="P838" i="2" s="1"/>
  <c r="W838" i="2"/>
  <c r="R838" i="2" l="1"/>
  <c r="T838" i="2" s="1"/>
  <c r="Q839" i="2" s="1"/>
  <c r="X839" i="2" s="1"/>
  <c r="N839" i="2"/>
  <c r="O839" i="2" l="1"/>
  <c r="P839" i="2" s="1"/>
  <c r="R839" i="2" s="1"/>
  <c r="T839" i="2" s="1"/>
  <c r="Q840" i="2" s="1"/>
  <c r="X840" i="2" s="1"/>
  <c r="W839" i="2"/>
  <c r="N840" i="2"/>
  <c r="O840" i="2" l="1"/>
  <c r="P840" i="2" s="1"/>
  <c r="R840" i="2" s="1"/>
  <c r="T840" i="2" s="1"/>
  <c r="Q841" i="2" s="1"/>
  <c r="X841" i="2" s="1"/>
  <c r="N841" i="2"/>
  <c r="W840" i="2"/>
  <c r="W841" i="2" l="1"/>
  <c r="O841" i="2"/>
  <c r="P841" i="2" s="1"/>
  <c r="R841" i="2" s="1"/>
  <c r="T841" i="2" s="1"/>
  <c r="Q842" i="2" s="1"/>
  <c r="X842" i="2" s="1"/>
  <c r="N842" i="2" l="1"/>
  <c r="W842" i="2" s="1"/>
  <c r="O842" i="2" l="1"/>
  <c r="P842" i="2" s="1"/>
  <c r="R842" i="2" s="1"/>
  <c r="T842" i="2" s="1"/>
  <c r="Q843" i="2" s="1"/>
  <c r="X843" i="2" s="1"/>
  <c r="N843" i="2" l="1"/>
  <c r="O843" i="2" l="1"/>
  <c r="P843" i="2" s="1"/>
  <c r="W843" i="2"/>
  <c r="R843" i="2" l="1"/>
  <c r="T843" i="2" s="1"/>
  <c r="Q844" i="2" s="1"/>
  <c r="X844" i="2" s="1"/>
  <c r="N844" i="2" l="1"/>
  <c r="O844" i="2"/>
  <c r="P844" i="2" s="1"/>
  <c r="R844" i="2" s="1"/>
  <c r="T844" i="2" s="1"/>
  <c r="Q845" i="2" s="1"/>
  <c r="X845" i="2" s="1"/>
  <c r="W844" i="2"/>
  <c r="N845" i="2" l="1"/>
  <c r="O845" i="2"/>
  <c r="P845" i="2" s="1"/>
  <c r="R845" i="2" s="1"/>
  <c r="T845" i="2" s="1"/>
  <c r="Q846" i="2" s="1"/>
  <c r="X846" i="2" s="1"/>
  <c r="W845" i="2"/>
  <c r="N846" i="2"/>
  <c r="O846" i="2" l="1"/>
  <c r="P846" i="2" s="1"/>
  <c r="R846" i="2" s="1"/>
  <c r="T846" i="2" s="1"/>
  <c r="Q847" i="2" s="1"/>
  <c r="X847" i="2" s="1"/>
  <c r="W846" i="2"/>
  <c r="N847" i="2"/>
  <c r="O847" i="2" l="1"/>
  <c r="P847" i="2" s="1"/>
  <c r="R847" i="2" s="1"/>
  <c r="T847" i="2" s="1"/>
  <c r="Q848" i="2" s="1"/>
  <c r="X848" i="2" s="1"/>
  <c r="W847" i="2"/>
  <c r="N848" i="2"/>
  <c r="W848" i="2" l="1"/>
  <c r="O848" i="2"/>
  <c r="P848" i="2" s="1"/>
  <c r="R848" i="2" s="1"/>
  <c r="T848" i="2" s="1"/>
  <c r="Q849" i="2" s="1"/>
  <c r="X849" i="2" s="1"/>
  <c r="N849" i="2"/>
  <c r="W849" i="2" l="1"/>
  <c r="O849" i="2"/>
  <c r="P849" i="2" s="1"/>
  <c r="R849" i="2" s="1"/>
  <c r="T849" i="2" s="1"/>
  <c r="Q850" i="2" s="1"/>
  <c r="X850" i="2" s="1"/>
  <c r="N850" i="2" l="1"/>
  <c r="W850" i="2" l="1"/>
  <c r="O850" i="2"/>
  <c r="P850" i="2" s="1"/>
  <c r="R850" i="2" s="1"/>
  <c r="T850" i="2" s="1"/>
  <c r="Q851" i="2" s="1"/>
  <c r="X851" i="2" s="1"/>
  <c r="N851" i="2"/>
  <c r="W851" i="2" l="1"/>
  <c r="O851" i="2"/>
  <c r="P851" i="2" s="1"/>
  <c r="R851" i="2" s="1"/>
  <c r="T851" i="2" s="1"/>
  <c r="Q852" i="2" s="1"/>
  <c r="X852" i="2" s="1"/>
  <c r="N852" i="2"/>
  <c r="O852" i="2" l="1"/>
  <c r="P852" i="2" s="1"/>
  <c r="W852" i="2"/>
  <c r="R852" i="2" l="1"/>
  <c r="T852" i="2" s="1"/>
  <c r="Q853" i="2" s="1"/>
  <c r="X853" i="2" s="1"/>
  <c r="N853" i="2" l="1"/>
  <c r="O853" i="2"/>
  <c r="P853" i="2" s="1"/>
  <c r="W853" i="2"/>
  <c r="R853" i="2" l="1"/>
  <c r="T853" i="2" s="1"/>
  <c r="Q854" i="2" s="1"/>
  <c r="X854" i="2" s="1"/>
  <c r="N854" i="2" l="1"/>
  <c r="O854" i="2"/>
  <c r="P854" i="2" s="1"/>
  <c r="W854" i="2"/>
  <c r="R854" i="2" l="1"/>
  <c r="T854" i="2" s="1"/>
  <c r="Q855" i="2" s="1"/>
  <c r="X855" i="2" s="1"/>
  <c r="N855" i="2" l="1"/>
  <c r="O855" i="2" l="1"/>
  <c r="P855" i="2" s="1"/>
  <c r="R855" i="2" s="1"/>
  <c r="T855" i="2" s="1"/>
  <c r="Q856" i="2" s="1"/>
  <c r="X856" i="2" s="1"/>
  <c r="W855" i="2"/>
  <c r="N856" i="2" l="1"/>
  <c r="O856" i="2" l="1"/>
  <c r="P856" i="2" s="1"/>
  <c r="R856" i="2" s="1"/>
  <c r="T856" i="2" s="1"/>
  <c r="Q857" i="2" s="1"/>
  <c r="X857" i="2" s="1"/>
  <c r="N857" i="2"/>
  <c r="W856" i="2"/>
  <c r="W857" i="2" l="1"/>
  <c r="O857" i="2"/>
  <c r="P857" i="2" s="1"/>
  <c r="R857" i="2" s="1"/>
  <c r="T857" i="2" s="1"/>
  <c r="Q858" i="2" s="1"/>
  <c r="X858" i="2" s="1"/>
  <c r="N858" i="2"/>
  <c r="O858" i="2" l="1"/>
  <c r="P858" i="2" s="1"/>
  <c r="R858" i="2" s="1"/>
  <c r="T858" i="2" s="1"/>
  <c r="Q859" i="2" s="1"/>
  <c r="X859" i="2" s="1"/>
  <c r="W858" i="2"/>
  <c r="N859" i="2" l="1"/>
  <c r="W859" i="2" s="1"/>
  <c r="O859" i="2" l="1"/>
  <c r="P859" i="2" s="1"/>
  <c r="R859" i="2" s="1"/>
  <c r="T859" i="2" s="1"/>
  <c r="Q860" i="2" s="1"/>
  <c r="X860" i="2" s="1"/>
  <c r="N860" i="2" l="1"/>
  <c r="W860" i="2"/>
  <c r="O860" i="2"/>
  <c r="P860" i="2" s="1"/>
  <c r="R860" i="2" s="1"/>
  <c r="T860" i="2" s="1"/>
  <c r="Q861" i="2" s="1"/>
  <c r="X861" i="2" s="1"/>
  <c r="N861" i="2" l="1"/>
  <c r="W861" i="2" l="1"/>
  <c r="O861" i="2"/>
  <c r="P861" i="2" s="1"/>
  <c r="R861" i="2" s="1"/>
  <c r="T861" i="2" s="1"/>
  <c r="Q862" i="2" s="1"/>
  <c r="X862" i="2" s="1"/>
  <c r="N862" i="2" l="1"/>
  <c r="O862" i="2" s="1"/>
  <c r="P862" i="2" s="1"/>
  <c r="R862" i="2" s="1"/>
  <c r="T862" i="2" s="1"/>
  <c r="Q863" i="2" s="1"/>
  <c r="X863" i="2" s="1"/>
  <c r="W862" i="2"/>
  <c r="N863" i="2" l="1"/>
  <c r="W863" i="2"/>
  <c r="O863" i="2"/>
  <c r="P863" i="2" s="1"/>
  <c r="R863" i="2" s="1"/>
  <c r="T863" i="2" s="1"/>
  <c r="Q864" i="2" s="1"/>
  <c r="X864" i="2" s="1"/>
  <c r="N864" i="2" l="1"/>
  <c r="O864" i="2"/>
  <c r="P864" i="2" s="1"/>
  <c r="R864" i="2" s="1"/>
  <c r="T864" i="2" s="1"/>
  <c r="Q865" i="2" s="1"/>
  <c r="X865" i="2" s="1"/>
  <c r="W864" i="2"/>
  <c r="N865" i="2" l="1"/>
  <c r="O865" i="2"/>
  <c r="P865" i="2" s="1"/>
  <c r="R865" i="2" s="1"/>
  <c r="T865" i="2" s="1"/>
  <c r="Q866" i="2" s="1"/>
  <c r="X866" i="2" s="1"/>
  <c r="W865" i="2"/>
  <c r="N866" i="2"/>
  <c r="O866" i="2" l="1"/>
  <c r="P866" i="2" s="1"/>
  <c r="R866" i="2" s="1"/>
  <c r="T866" i="2" s="1"/>
  <c r="Q867" i="2" s="1"/>
  <c r="X867" i="2" s="1"/>
  <c r="W866" i="2"/>
  <c r="N867" i="2"/>
  <c r="W867" i="2" l="1"/>
  <c r="O867" i="2"/>
  <c r="P867" i="2" s="1"/>
  <c r="R867" i="2" s="1"/>
  <c r="T867" i="2" s="1"/>
  <c r="Q868" i="2" s="1"/>
  <c r="X868" i="2" s="1"/>
  <c r="N868" i="2" l="1"/>
  <c r="W868" i="2" l="1"/>
  <c r="O868" i="2"/>
  <c r="P868" i="2" s="1"/>
  <c r="R868" i="2" s="1"/>
  <c r="T868" i="2" s="1"/>
  <c r="Q869" i="2" s="1"/>
  <c r="X869" i="2" s="1"/>
  <c r="N869" i="2"/>
  <c r="O869" i="2" l="1"/>
  <c r="P869" i="2" s="1"/>
  <c r="R869" i="2" s="1"/>
  <c r="T869" i="2" s="1"/>
  <c r="Q870" i="2" s="1"/>
  <c r="X870" i="2" s="1"/>
  <c r="W869" i="2"/>
  <c r="N870" i="2" l="1"/>
  <c r="O870" i="2" s="1"/>
  <c r="P870" i="2" s="1"/>
  <c r="W870" i="2"/>
  <c r="R870" i="2" l="1"/>
  <c r="T870" i="2" s="1"/>
  <c r="Q871" i="2" s="1"/>
  <c r="X871" i="2" s="1"/>
  <c r="N871" i="2"/>
  <c r="O871" i="2"/>
  <c r="P871" i="2" s="1"/>
  <c r="R871" i="2" s="1"/>
  <c r="T871" i="2" s="1"/>
  <c r="Q872" i="2" s="1"/>
  <c r="X872" i="2" s="1"/>
  <c r="W871" i="2"/>
  <c r="N872" i="2"/>
  <c r="O872" i="2" l="1"/>
  <c r="P872" i="2" s="1"/>
  <c r="R872" i="2" s="1"/>
  <c r="T872" i="2" s="1"/>
  <c r="Q873" i="2" s="1"/>
  <c r="X873" i="2" s="1"/>
  <c r="W872" i="2"/>
  <c r="N873" i="2" l="1"/>
  <c r="O873" i="2" l="1"/>
  <c r="P873" i="2" s="1"/>
  <c r="R873" i="2" s="1"/>
  <c r="T873" i="2" s="1"/>
  <c r="Q874" i="2" s="1"/>
  <c r="X874" i="2" s="1"/>
  <c r="W873" i="2"/>
  <c r="N874" i="2" l="1"/>
  <c r="O874" i="2" s="1"/>
  <c r="P874" i="2" s="1"/>
  <c r="R874" i="2" s="1"/>
  <c r="T874" i="2" s="1"/>
  <c r="Q875" i="2" s="1"/>
  <c r="X875" i="2" s="1"/>
  <c r="W874" i="2"/>
  <c r="N875" i="2" l="1"/>
  <c r="W875" i="2"/>
  <c r="O875" i="2"/>
  <c r="P875" i="2" s="1"/>
  <c r="R875" i="2" l="1"/>
  <c r="T875" i="2" s="1"/>
  <c r="Q876" i="2" s="1"/>
  <c r="X876" i="2" s="1"/>
  <c r="N876" i="2"/>
  <c r="O876" i="2" l="1"/>
  <c r="P876" i="2" s="1"/>
  <c r="W876" i="2"/>
  <c r="R876" i="2" l="1"/>
  <c r="T876" i="2" s="1"/>
  <c r="Q877" i="2" s="1"/>
  <c r="X877" i="2" s="1"/>
  <c r="N877" i="2"/>
  <c r="W877" i="2" l="1"/>
  <c r="O877" i="2"/>
  <c r="P877" i="2" s="1"/>
  <c r="R877" i="2" l="1"/>
  <c r="T877" i="2" s="1"/>
  <c r="Q878" i="2" s="1"/>
  <c r="X878" i="2" s="1"/>
  <c r="N878" i="2"/>
  <c r="W878" i="2" l="1"/>
  <c r="O878" i="2"/>
  <c r="P878" i="2" s="1"/>
  <c r="R878" i="2" s="1"/>
  <c r="T878" i="2" s="1"/>
  <c r="Q879" i="2" s="1"/>
  <c r="X879" i="2" s="1"/>
  <c r="N879" i="2" l="1"/>
  <c r="O879" i="2" s="1"/>
  <c r="P879" i="2" s="1"/>
  <c r="W879" i="2"/>
  <c r="R879" i="2"/>
  <c r="T879" i="2" s="1"/>
  <c r="Q880" i="2" s="1"/>
  <c r="X880" i="2" s="1"/>
  <c r="N880" i="2" l="1"/>
  <c r="W880" i="2" s="1"/>
  <c r="O880" i="2" l="1"/>
  <c r="P880" i="2" s="1"/>
  <c r="R880" i="2" s="1"/>
  <c r="T880" i="2" s="1"/>
  <c r="Q881" i="2" s="1"/>
  <c r="X881" i="2" s="1"/>
  <c r="N881" i="2" l="1"/>
  <c r="W881" i="2" l="1"/>
  <c r="O881" i="2"/>
  <c r="P881" i="2" s="1"/>
  <c r="R881" i="2" s="1"/>
  <c r="T881" i="2" s="1"/>
  <c r="Q882" i="2" s="1"/>
  <c r="X882" i="2" s="1"/>
  <c r="N882" i="2" l="1"/>
  <c r="W882" i="2" l="1"/>
  <c r="O882" i="2"/>
  <c r="P882" i="2" s="1"/>
  <c r="R882" i="2" s="1"/>
  <c r="T882" i="2" s="1"/>
  <c r="Q883" i="2" s="1"/>
  <c r="X883" i="2" s="1"/>
  <c r="N883" i="2"/>
  <c r="W883" i="2" s="1"/>
  <c r="O883" i="2" l="1"/>
  <c r="P883" i="2" s="1"/>
  <c r="R883" i="2"/>
  <c r="T883" i="2" s="1"/>
  <c r="Q884" i="2" s="1"/>
  <c r="X884" i="2" s="1"/>
  <c r="N884" i="2" l="1"/>
  <c r="O884" i="2" s="1"/>
  <c r="P884" i="2" s="1"/>
  <c r="R884" i="2" s="1"/>
  <c r="T884" i="2" s="1"/>
  <c r="Q885" i="2" s="1"/>
  <c r="X885" i="2" s="1"/>
  <c r="W884" i="2" l="1"/>
  <c r="N885" i="2"/>
  <c r="W885" i="2" s="1"/>
  <c r="O885" i="2" l="1"/>
  <c r="P885" i="2" s="1"/>
  <c r="R885" i="2"/>
  <c r="T885" i="2" s="1"/>
  <c r="Q886" i="2" s="1"/>
  <c r="X886" i="2" s="1"/>
  <c r="N886" i="2" l="1"/>
  <c r="O886" i="2" s="1"/>
  <c r="P886" i="2" s="1"/>
  <c r="R886" i="2" s="1"/>
  <c r="T886" i="2" s="1"/>
  <c r="Q887" i="2" s="1"/>
  <c r="X887" i="2" s="1"/>
  <c r="W886" i="2" l="1"/>
  <c r="N887" i="2"/>
  <c r="O887" i="2" s="1"/>
  <c r="P887" i="2" s="1"/>
  <c r="R887" i="2" s="1"/>
  <c r="T887" i="2" s="1"/>
  <c r="Q888" i="2" s="1"/>
  <c r="X888" i="2" s="1"/>
  <c r="W887" i="2" l="1"/>
  <c r="N888" i="2"/>
  <c r="W888" i="2" s="1"/>
  <c r="O888" i="2"/>
  <c r="P888" i="2" s="1"/>
  <c r="R888" i="2" l="1"/>
  <c r="T888" i="2" s="1"/>
  <c r="Q889" i="2" s="1"/>
  <c r="X889" i="2" s="1"/>
  <c r="N889" i="2" l="1"/>
  <c r="O889" i="2"/>
  <c r="P889" i="2" s="1"/>
  <c r="R889" i="2" s="1"/>
  <c r="T889" i="2" s="1"/>
  <c r="Q890" i="2" s="1"/>
  <c r="X890" i="2" s="1"/>
  <c r="W889" i="2"/>
  <c r="N890" i="2" l="1"/>
  <c r="O890" i="2" s="1"/>
  <c r="P890" i="2" s="1"/>
  <c r="W890" i="2" l="1"/>
  <c r="R890" i="2"/>
  <c r="T890" i="2" s="1"/>
  <c r="Q891" i="2" s="1"/>
  <c r="X891" i="2" s="1"/>
  <c r="N891" i="2" l="1"/>
  <c r="W891" i="2"/>
  <c r="O891" i="2"/>
  <c r="P891" i="2" s="1"/>
  <c r="R891" i="2" s="1"/>
  <c r="T891" i="2" s="1"/>
  <c r="Q892" i="2" s="1"/>
  <c r="X892" i="2" s="1"/>
  <c r="N892" i="2" l="1"/>
  <c r="O892" i="2" s="1"/>
  <c r="P892" i="2" s="1"/>
  <c r="W892" i="2" l="1"/>
  <c r="R892" i="2"/>
  <c r="T892" i="2" s="1"/>
  <c r="Q893" i="2" s="1"/>
  <c r="X893" i="2" s="1"/>
  <c r="N893" i="2" l="1"/>
  <c r="O893" i="2" s="1"/>
  <c r="P893" i="2" s="1"/>
  <c r="W893" i="2" l="1"/>
  <c r="R893" i="2"/>
  <c r="T893" i="2" s="1"/>
  <c r="Q894" i="2" s="1"/>
  <c r="X894" i="2" s="1"/>
  <c r="N894" i="2" l="1"/>
  <c r="O894" i="2" s="1"/>
  <c r="P894" i="2" s="1"/>
  <c r="R894" i="2" s="1"/>
  <c r="T894" i="2" s="1"/>
  <c r="Q895" i="2" s="1"/>
  <c r="X895" i="2" s="1"/>
  <c r="W894" i="2" l="1"/>
  <c r="N895" i="2"/>
  <c r="W895" i="2" l="1"/>
  <c r="O895" i="2"/>
  <c r="P895" i="2" s="1"/>
  <c r="R895" i="2" l="1"/>
  <c r="T895" i="2" s="1"/>
  <c r="Q896" i="2" s="1"/>
  <c r="X896" i="2" s="1"/>
  <c r="N896" i="2" l="1"/>
  <c r="O896" i="2" l="1"/>
  <c r="P896" i="2" s="1"/>
  <c r="R896" i="2" s="1"/>
  <c r="T896" i="2" s="1"/>
  <c r="Q897" i="2" s="1"/>
  <c r="X897" i="2" s="1"/>
  <c r="W896" i="2"/>
  <c r="N897" i="2" l="1"/>
  <c r="O897" i="2"/>
  <c r="P897" i="2" s="1"/>
  <c r="R897" i="2" s="1"/>
  <c r="T897" i="2" s="1"/>
  <c r="Q898" i="2" s="1"/>
  <c r="X898" i="2" s="1"/>
  <c r="W897" i="2"/>
  <c r="N898" i="2" l="1"/>
  <c r="O898" i="2"/>
  <c r="P898" i="2" s="1"/>
  <c r="W898" i="2"/>
  <c r="R898" i="2" l="1"/>
  <c r="T898" i="2" s="1"/>
  <c r="Q899" i="2" s="1"/>
  <c r="X899" i="2" s="1"/>
  <c r="N899" i="2" l="1"/>
  <c r="O899" i="2" s="1"/>
  <c r="P899" i="2" s="1"/>
  <c r="R899" i="2" s="1"/>
  <c r="T899" i="2" s="1"/>
  <c r="Q900" i="2" s="1"/>
  <c r="X900" i="2" s="1"/>
  <c r="W899" i="2"/>
  <c r="N900" i="2" l="1"/>
  <c r="O900" i="2" s="1"/>
  <c r="P900" i="2" s="1"/>
  <c r="R900" i="2" s="1"/>
  <c r="T900" i="2" s="1"/>
  <c r="Q901" i="2" s="1"/>
  <c r="X901" i="2" s="1"/>
  <c r="W900" i="2" l="1"/>
  <c r="N901" i="2"/>
  <c r="W901" i="2" s="1"/>
  <c r="O901" i="2" l="1"/>
  <c r="P901" i="2" s="1"/>
  <c r="R901" i="2" s="1"/>
  <c r="T901" i="2" s="1"/>
  <c r="Q902" i="2" s="1"/>
  <c r="X902" i="2" s="1"/>
  <c r="N902" i="2" l="1"/>
  <c r="O902" i="2" s="1"/>
  <c r="P902" i="2" s="1"/>
  <c r="R902" i="2" s="1"/>
  <c r="T902" i="2" s="1"/>
  <c r="Q903" i="2" s="1"/>
  <c r="X903" i="2" s="1"/>
  <c r="W902" i="2" l="1"/>
  <c r="N903" i="2"/>
  <c r="W903" i="2" s="1"/>
  <c r="O903" i="2" l="1"/>
  <c r="P903" i="2" s="1"/>
  <c r="R903" i="2" s="1"/>
  <c r="T903" i="2" s="1"/>
  <c r="Q904" i="2" s="1"/>
  <c r="X904" i="2" s="1"/>
  <c r="N904" i="2" l="1"/>
  <c r="O904" i="2" s="1"/>
  <c r="P904" i="2" s="1"/>
  <c r="R904" i="2" s="1"/>
  <c r="T904" i="2" s="1"/>
  <c r="Q905" i="2" s="1"/>
  <c r="X905" i="2" s="1"/>
  <c r="W904" i="2" l="1"/>
  <c r="N905" i="2"/>
  <c r="W905" i="2" s="1"/>
  <c r="O905" i="2" l="1"/>
  <c r="P905" i="2" s="1"/>
  <c r="R905" i="2" s="1"/>
  <c r="T905" i="2" s="1"/>
  <c r="Q906" i="2" s="1"/>
  <c r="X906" i="2" s="1"/>
  <c r="N906" i="2"/>
  <c r="W906" i="2" s="1"/>
  <c r="O906" i="2" l="1"/>
  <c r="P906" i="2" s="1"/>
  <c r="R906" i="2" s="1"/>
  <c r="T906" i="2" s="1"/>
  <c r="Q907" i="2" s="1"/>
  <c r="X907" i="2" s="1"/>
  <c r="N907" i="2"/>
  <c r="O907" i="2" s="1"/>
  <c r="P907" i="2" s="1"/>
  <c r="W907" i="2"/>
  <c r="R907" i="2" l="1"/>
  <c r="T907" i="2" s="1"/>
  <c r="Q908" i="2" s="1"/>
  <c r="X908" i="2" s="1"/>
  <c r="N908" i="2" l="1"/>
  <c r="O908" i="2"/>
  <c r="P908" i="2" s="1"/>
  <c r="W908" i="2"/>
  <c r="R908" i="2" l="1"/>
  <c r="T908" i="2" s="1"/>
  <c r="Q909" i="2" s="1"/>
  <c r="X909" i="2" s="1"/>
  <c r="N909" i="2" l="1"/>
  <c r="W909" i="2" s="1"/>
  <c r="O909" i="2" l="1"/>
  <c r="P909" i="2" s="1"/>
  <c r="R909" i="2" l="1"/>
  <c r="T909" i="2" s="1"/>
  <c r="Q910" i="2" s="1"/>
  <c r="X910" i="2" s="1"/>
  <c r="N910" i="2"/>
  <c r="O910" i="2" l="1"/>
  <c r="P910" i="2" s="1"/>
  <c r="W910" i="2"/>
  <c r="R910" i="2" l="1"/>
  <c r="T910" i="2" s="1"/>
  <c r="Q911" i="2" s="1"/>
  <c r="X911" i="2" s="1"/>
  <c r="N911" i="2" l="1"/>
  <c r="W911" i="2"/>
  <c r="O911" i="2"/>
  <c r="P911" i="2" s="1"/>
  <c r="R911" i="2" l="1"/>
  <c r="T911" i="2" s="1"/>
  <c r="Q912" i="2" s="1"/>
  <c r="X912" i="2" s="1"/>
  <c r="N912" i="2" l="1"/>
  <c r="O912" i="2" s="1"/>
  <c r="P912" i="2" s="1"/>
  <c r="W912" i="2" l="1"/>
  <c r="R912" i="2"/>
  <c r="T912" i="2" s="1"/>
  <c r="Q913" i="2" s="1"/>
  <c r="X913" i="2" s="1"/>
  <c r="N913" i="2"/>
  <c r="O913" i="2" l="1"/>
  <c r="P913" i="2" s="1"/>
  <c r="R913" i="2" s="1"/>
  <c r="T913" i="2" s="1"/>
  <c r="Q914" i="2" s="1"/>
  <c r="X914" i="2" s="1"/>
  <c r="W913" i="2"/>
  <c r="N914" i="2" l="1"/>
  <c r="O914" i="2"/>
  <c r="P914" i="2" s="1"/>
  <c r="R914" i="2" s="1"/>
  <c r="T914" i="2" s="1"/>
  <c r="Q915" i="2" s="1"/>
  <c r="X915" i="2" s="1"/>
  <c r="W914" i="2"/>
  <c r="N915" i="2" l="1"/>
  <c r="W915" i="2" s="1"/>
  <c r="O915" i="2" l="1"/>
  <c r="P915" i="2" s="1"/>
  <c r="R915" i="2"/>
  <c r="T915" i="2" s="1"/>
  <c r="Q916" i="2" s="1"/>
  <c r="X916" i="2" s="1"/>
  <c r="N916" i="2" l="1"/>
  <c r="W916" i="2" s="1"/>
  <c r="O916" i="2" l="1"/>
  <c r="P916" i="2" s="1"/>
  <c r="R916" i="2" s="1"/>
  <c r="T916" i="2" s="1"/>
  <c r="Q917" i="2" s="1"/>
  <c r="X917" i="2" s="1"/>
  <c r="N917" i="2" l="1"/>
  <c r="O917" i="2" l="1"/>
  <c r="P917" i="2" s="1"/>
  <c r="R917" i="2" s="1"/>
  <c r="T917" i="2" s="1"/>
  <c r="Q918" i="2" s="1"/>
  <c r="X918" i="2" s="1"/>
  <c r="W917" i="2"/>
  <c r="N918" i="2"/>
  <c r="O918" i="2" l="1"/>
  <c r="P918" i="2" s="1"/>
  <c r="R918" i="2" s="1"/>
  <c r="T918" i="2" s="1"/>
  <c r="Q919" i="2" s="1"/>
  <c r="X919" i="2" s="1"/>
  <c r="W918" i="2"/>
  <c r="N919" i="2" l="1"/>
  <c r="W919" i="2" l="1"/>
  <c r="O919" i="2"/>
  <c r="P919" i="2" s="1"/>
  <c r="R919" i="2" l="1"/>
  <c r="T919" i="2" s="1"/>
  <c r="Q920" i="2" s="1"/>
  <c r="X920" i="2" s="1"/>
  <c r="N920" i="2" l="1"/>
  <c r="O920" i="2" s="1"/>
  <c r="P920" i="2" s="1"/>
  <c r="W920" i="2"/>
  <c r="R920" i="2" l="1"/>
  <c r="T920" i="2" s="1"/>
  <c r="Q921" i="2" s="1"/>
  <c r="X921" i="2" s="1"/>
  <c r="N921" i="2"/>
  <c r="O921" i="2" l="1"/>
  <c r="P921" i="2" s="1"/>
  <c r="R921" i="2" s="1"/>
  <c r="T921" i="2" s="1"/>
  <c r="Q922" i="2" s="1"/>
  <c r="X922" i="2" s="1"/>
  <c r="W921" i="2"/>
  <c r="N922" i="2"/>
  <c r="O922" i="2" s="1"/>
  <c r="P922" i="2" s="1"/>
  <c r="W922" i="2" l="1"/>
  <c r="R922" i="2"/>
  <c r="T922" i="2" s="1"/>
  <c r="Q923" i="2" s="1"/>
  <c r="X923" i="2" s="1"/>
  <c r="N923" i="2" l="1"/>
  <c r="O923" i="2" s="1"/>
  <c r="P923" i="2" s="1"/>
  <c r="R923" i="2" s="1"/>
  <c r="T923" i="2" s="1"/>
  <c r="Q924" i="2" s="1"/>
  <c r="X924" i="2" s="1"/>
  <c r="W923" i="2"/>
  <c r="N924" i="2" l="1"/>
  <c r="O924" i="2" s="1"/>
  <c r="P924" i="2" s="1"/>
  <c r="R924" i="2" s="1"/>
  <c r="T924" i="2" s="1"/>
  <c r="Q925" i="2" s="1"/>
  <c r="X925" i="2" s="1"/>
  <c r="W924" i="2"/>
  <c r="N925" i="2" l="1"/>
  <c r="O925" i="2" s="1"/>
  <c r="P925" i="2" s="1"/>
  <c r="W925" i="2"/>
  <c r="R925" i="2" l="1"/>
  <c r="T925" i="2" s="1"/>
  <c r="Q926" i="2" s="1"/>
  <c r="X926" i="2" s="1"/>
  <c r="N926" i="2" l="1"/>
  <c r="W926" i="2"/>
  <c r="O926" i="2"/>
  <c r="P926" i="2" s="1"/>
  <c r="R926" i="2" l="1"/>
  <c r="T926" i="2" s="1"/>
  <c r="Q927" i="2" s="1"/>
  <c r="X927" i="2" s="1"/>
  <c r="N927" i="2" l="1"/>
  <c r="O927" i="2" s="1"/>
  <c r="P927" i="2" s="1"/>
  <c r="W927" i="2"/>
  <c r="R927" i="2" l="1"/>
  <c r="T927" i="2" s="1"/>
  <c r="Q928" i="2" s="1"/>
  <c r="X928" i="2" s="1"/>
  <c r="N928" i="2" l="1"/>
  <c r="W928" i="2" s="1"/>
  <c r="O928" i="2" l="1"/>
  <c r="P928" i="2" s="1"/>
  <c r="R928" i="2" s="1"/>
  <c r="T928" i="2" s="1"/>
  <c r="Q929" i="2" s="1"/>
  <c r="X929" i="2" s="1"/>
  <c r="N929" i="2" l="1"/>
  <c r="O929" i="2" s="1"/>
  <c r="P929" i="2" s="1"/>
  <c r="R929" i="2" s="1"/>
  <c r="T929" i="2" s="1"/>
  <c r="Q930" i="2" s="1"/>
  <c r="X930" i="2" s="1"/>
  <c r="W929" i="2"/>
  <c r="N930" i="2"/>
  <c r="W930" i="2" s="1"/>
  <c r="O930" i="2" l="1"/>
  <c r="P930" i="2" s="1"/>
  <c r="R930" i="2"/>
  <c r="T930" i="2" s="1"/>
  <c r="Q931" i="2" s="1"/>
  <c r="X931" i="2" s="1"/>
  <c r="N931" i="2" l="1"/>
  <c r="W931" i="2" s="1"/>
  <c r="O931" i="2" l="1"/>
  <c r="P931" i="2" s="1"/>
  <c r="R931" i="2"/>
  <c r="T931" i="2" s="1"/>
  <c r="Q932" i="2" s="1"/>
  <c r="X932" i="2" s="1"/>
  <c r="N932" i="2" l="1"/>
  <c r="O932" i="2" s="1"/>
  <c r="P932" i="2" s="1"/>
  <c r="W932" i="2"/>
  <c r="R932" i="2" l="1"/>
  <c r="T932" i="2" s="1"/>
  <c r="Q933" i="2" s="1"/>
  <c r="X933" i="2" s="1"/>
  <c r="N933" i="2" l="1"/>
  <c r="W933" i="2" s="1"/>
  <c r="O933" i="2"/>
  <c r="P933" i="2" s="1"/>
  <c r="R933" i="2" s="1"/>
  <c r="T933" i="2" s="1"/>
  <c r="Q934" i="2" s="1"/>
  <c r="X934" i="2" s="1"/>
  <c r="N934" i="2" l="1"/>
  <c r="W934" i="2"/>
  <c r="O934" i="2"/>
  <c r="P934" i="2" s="1"/>
  <c r="R934" i="2" s="1"/>
  <c r="T934" i="2" s="1"/>
  <c r="Q935" i="2" s="1"/>
  <c r="X935" i="2" s="1"/>
  <c r="N935" i="2" l="1"/>
  <c r="O935" i="2" l="1"/>
  <c r="P935" i="2" s="1"/>
  <c r="R935" i="2" s="1"/>
  <c r="T935" i="2" s="1"/>
  <c r="Q936" i="2" s="1"/>
  <c r="X936" i="2" s="1"/>
  <c r="W935" i="2"/>
  <c r="N936" i="2" l="1"/>
  <c r="O936" i="2" l="1"/>
  <c r="P936" i="2" s="1"/>
  <c r="R936" i="2" s="1"/>
  <c r="T936" i="2" s="1"/>
  <c r="Q937" i="2" s="1"/>
  <c r="X937" i="2" s="1"/>
  <c r="W936" i="2"/>
  <c r="N937" i="2"/>
  <c r="O937" i="2" l="1"/>
  <c r="P937" i="2" s="1"/>
  <c r="R937" i="2" s="1"/>
  <c r="T937" i="2" s="1"/>
  <c r="Q938" i="2" s="1"/>
  <c r="X938" i="2" s="1"/>
  <c r="W937" i="2"/>
  <c r="N938" i="2" l="1"/>
  <c r="W938" i="2" s="1"/>
  <c r="O938" i="2"/>
  <c r="P938" i="2" s="1"/>
  <c r="R938" i="2" s="1"/>
  <c r="T938" i="2" s="1"/>
  <c r="Q939" i="2" s="1"/>
  <c r="X939" i="2" s="1"/>
  <c r="N939" i="2" l="1"/>
  <c r="W939" i="2"/>
  <c r="O939" i="2"/>
  <c r="P939" i="2" s="1"/>
  <c r="R939" i="2" s="1"/>
  <c r="T939" i="2" s="1"/>
  <c r="Q940" i="2" s="1"/>
  <c r="X940" i="2" s="1"/>
  <c r="N940" i="2" l="1"/>
  <c r="O940" i="2"/>
  <c r="P940" i="2" s="1"/>
  <c r="W940" i="2"/>
  <c r="R940" i="2" l="1"/>
  <c r="T940" i="2" s="1"/>
  <c r="Q941" i="2" s="1"/>
  <c r="X941" i="2" s="1"/>
  <c r="N941" i="2" l="1"/>
  <c r="W941" i="2"/>
  <c r="O941" i="2"/>
  <c r="P941" i="2" s="1"/>
  <c r="R941" i="2" l="1"/>
  <c r="T941" i="2" s="1"/>
  <c r="Q942" i="2" s="1"/>
  <c r="X942" i="2" s="1"/>
  <c r="N942" i="2" l="1"/>
  <c r="W942" i="2"/>
  <c r="O942" i="2"/>
  <c r="P942" i="2" s="1"/>
  <c r="R942" i="2" s="1"/>
  <c r="T942" i="2" s="1"/>
  <c r="Q943" i="2" s="1"/>
  <c r="X943" i="2" s="1"/>
  <c r="N943" i="2" l="1"/>
  <c r="W943" i="2" l="1"/>
  <c r="O943" i="2"/>
  <c r="P943" i="2" s="1"/>
  <c r="R943" i="2" s="1"/>
  <c r="T943" i="2" s="1"/>
  <c r="Q944" i="2" s="1"/>
  <c r="X944" i="2" s="1"/>
  <c r="N944" i="2" l="1"/>
  <c r="W944" i="2"/>
  <c r="O944" i="2"/>
  <c r="P944" i="2" s="1"/>
  <c r="R944" i="2" s="1"/>
  <c r="T944" i="2" s="1"/>
  <c r="Q945" i="2" s="1"/>
  <c r="X945" i="2" s="1"/>
  <c r="N945" i="2" l="1"/>
  <c r="W945" i="2"/>
  <c r="O945" i="2"/>
  <c r="P945" i="2" s="1"/>
  <c r="R945" i="2" s="1"/>
  <c r="T945" i="2" s="1"/>
  <c r="Q946" i="2" s="1"/>
  <c r="X946" i="2" s="1"/>
  <c r="N946" i="2" l="1"/>
  <c r="W946" i="2"/>
  <c r="O946" i="2"/>
  <c r="P946" i="2" s="1"/>
  <c r="R946" i="2" l="1"/>
  <c r="T946" i="2" s="1"/>
  <c r="Q947" i="2" s="1"/>
  <c r="X947" i="2" s="1"/>
  <c r="N947" i="2"/>
  <c r="W947" i="2" l="1"/>
  <c r="O947" i="2"/>
  <c r="P947" i="2" s="1"/>
  <c r="R947" i="2" l="1"/>
  <c r="T947" i="2" s="1"/>
  <c r="Q948" i="2" s="1"/>
  <c r="X948" i="2" s="1"/>
  <c r="N948" i="2"/>
  <c r="W948" i="2" l="1"/>
  <c r="O948" i="2"/>
  <c r="P948" i="2" s="1"/>
  <c r="R948" i="2" s="1"/>
  <c r="T948" i="2" s="1"/>
  <c r="Q949" i="2" s="1"/>
  <c r="X949" i="2" s="1"/>
  <c r="N949" i="2" l="1"/>
  <c r="W949" i="2"/>
  <c r="O949" i="2"/>
  <c r="P949" i="2" s="1"/>
  <c r="R949" i="2" s="1"/>
  <c r="T949" i="2" s="1"/>
  <c r="Q950" i="2" s="1"/>
  <c r="X950" i="2" s="1"/>
  <c r="N950" i="2" l="1"/>
  <c r="W950" i="2"/>
  <c r="O950" i="2"/>
  <c r="P950" i="2" s="1"/>
  <c r="R950" i="2" l="1"/>
  <c r="T950" i="2" s="1"/>
  <c r="Q951" i="2" s="1"/>
  <c r="X951" i="2" s="1"/>
  <c r="N951" i="2"/>
  <c r="W951" i="2" l="1"/>
  <c r="O951" i="2"/>
  <c r="P951" i="2" s="1"/>
  <c r="R951" i="2" s="1"/>
  <c r="T951" i="2" s="1"/>
  <c r="Q952" i="2" s="1"/>
  <c r="X952" i="2" s="1"/>
  <c r="N952" i="2"/>
  <c r="O952" i="2" l="1"/>
  <c r="P952" i="2" s="1"/>
  <c r="R952" i="2" s="1"/>
  <c r="T952" i="2" s="1"/>
  <c r="Q953" i="2" s="1"/>
  <c r="X953" i="2" s="1"/>
  <c r="W952" i="2"/>
  <c r="N953" i="2" l="1"/>
  <c r="O953" i="2"/>
  <c r="P953" i="2" s="1"/>
  <c r="R953" i="2" s="1"/>
  <c r="T953" i="2" s="1"/>
  <c r="Q954" i="2" s="1"/>
  <c r="X954" i="2" s="1"/>
  <c r="W953" i="2"/>
  <c r="N954" i="2" l="1"/>
  <c r="O954" i="2"/>
  <c r="P954" i="2" s="1"/>
  <c r="R954" i="2" s="1"/>
  <c r="T954" i="2" s="1"/>
  <c r="Q955" i="2" s="1"/>
  <c r="X955" i="2" s="1"/>
  <c r="W954" i="2"/>
  <c r="N955" i="2" l="1"/>
  <c r="O955" i="2"/>
  <c r="P955" i="2" s="1"/>
  <c r="R955" i="2" s="1"/>
  <c r="T955" i="2" s="1"/>
  <c r="Q956" i="2" s="1"/>
  <c r="X956" i="2" s="1"/>
  <c r="W955" i="2"/>
  <c r="N956" i="2" l="1"/>
  <c r="W956" i="2" s="1"/>
  <c r="O956" i="2" l="1"/>
  <c r="P956" i="2" s="1"/>
  <c r="R956" i="2" s="1"/>
  <c r="T956" i="2" s="1"/>
  <c r="Q957" i="2" s="1"/>
  <c r="X957" i="2" s="1"/>
  <c r="N957" i="2" l="1"/>
  <c r="O957" i="2" l="1"/>
  <c r="P957" i="2" s="1"/>
  <c r="W957" i="2"/>
  <c r="R957" i="2" l="1"/>
  <c r="T957" i="2" s="1"/>
  <c r="Q958" i="2" s="1"/>
  <c r="X958" i="2" s="1"/>
  <c r="N958" i="2"/>
  <c r="O958" i="2" l="1"/>
  <c r="P958" i="2" s="1"/>
  <c r="R958" i="2" s="1"/>
  <c r="T958" i="2" s="1"/>
  <c r="Q959" i="2" s="1"/>
  <c r="X959" i="2" s="1"/>
  <c r="N959" i="2"/>
  <c r="W958" i="2"/>
  <c r="O959" i="2" l="1"/>
  <c r="P959" i="2" s="1"/>
  <c r="W959" i="2"/>
  <c r="R959" i="2" l="1"/>
  <c r="T959" i="2" s="1"/>
  <c r="Q960" i="2" s="1"/>
  <c r="X960" i="2" s="1"/>
  <c r="N960" i="2"/>
  <c r="W960" i="2" l="1"/>
  <c r="O960" i="2"/>
  <c r="P960" i="2" s="1"/>
  <c r="R960" i="2" l="1"/>
  <c r="T960" i="2" s="1"/>
  <c r="Q961" i="2" s="1"/>
  <c r="X961" i="2" s="1"/>
  <c r="N961" i="2"/>
  <c r="O961" i="2" l="1"/>
  <c r="P961" i="2" s="1"/>
  <c r="R961" i="2" s="1"/>
  <c r="T961" i="2" s="1"/>
  <c r="Q962" i="2" s="1"/>
  <c r="X962" i="2" s="1"/>
  <c r="W961" i="2"/>
  <c r="N962" i="2"/>
  <c r="W962" i="2" l="1"/>
  <c r="O962" i="2"/>
  <c r="P962" i="2" s="1"/>
  <c r="R962" i="2" s="1"/>
  <c r="T962" i="2" s="1"/>
  <c r="Q963" i="2" s="1"/>
  <c r="X963" i="2" s="1"/>
  <c r="N963" i="2" l="1"/>
  <c r="W963" i="2" l="1"/>
  <c r="O963" i="2"/>
  <c r="P963" i="2" s="1"/>
  <c r="R963" i="2" s="1"/>
  <c r="T963" i="2" s="1"/>
  <c r="Q964" i="2" s="1"/>
  <c r="X964" i="2" s="1"/>
  <c r="N964" i="2"/>
  <c r="O964" i="2" l="1"/>
  <c r="P964" i="2" s="1"/>
  <c r="W964" i="2"/>
  <c r="R964" i="2" l="1"/>
  <c r="T964" i="2" s="1"/>
  <c r="Q965" i="2" s="1"/>
  <c r="X965" i="2" s="1"/>
  <c r="N965" i="2"/>
  <c r="O965" i="2" l="1"/>
  <c r="P965" i="2" s="1"/>
  <c r="W965" i="2"/>
  <c r="R965" i="2" l="1"/>
  <c r="T965" i="2" s="1"/>
  <c r="Q966" i="2" s="1"/>
  <c r="X966" i="2" s="1"/>
  <c r="N966" i="2"/>
  <c r="W966" i="2" l="1"/>
  <c r="O966" i="2"/>
  <c r="P966" i="2" s="1"/>
  <c r="R966" i="2" l="1"/>
  <c r="T966" i="2" s="1"/>
  <c r="Q967" i="2" s="1"/>
  <c r="X967" i="2" s="1"/>
  <c r="N967" i="2"/>
  <c r="W967" i="2" l="1"/>
  <c r="O967" i="2"/>
  <c r="P967" i="2" s="1"/>
  <c r="R967" i="2" s="1"/>
  <c r="T967" i="2" s="1"/>
  <c r="Q968" i="2" s="1"/>
  <c r="X968" i="2" s="1"/>
  <c r="N968" i="2"/>
  <c r="O968" i="2" l="1"/>
  <c r="P968" i="2" s="1"/>
  <c r="W968" i="2"/>
  <c r="R968" i="2" l="1"/>
  <c r="T968" i="2" s="1"/>
  <c r="Q969" i="2" s="1"/>
  <c r="X969" i="2" s="1"/>
  <c r="N969" i="2"/>
  <c r="W969" i="2" l="1"/>
  <c r="O969" i="2"/>
  <c r="P969" i="2" s="1"/>
  <c r="R969" i="2" l="1"/>
  <c r="T969" i="2" s="1"/>
  <c r="Q970" i="2" s="1"/>
  <c r="X970" i="2" s="1"/>
  <c r="N970" i="2" l="1"/>
  <c r="O970" i="2"/>
  <c r="P970" i="2" s="1"/>
  <c r="W970" i="2"/>
  <c r="R970" i="2" l="1"/>
  <c r="T970" i="2" s="1"/>
  <c r="Q971" i="2" s="1"/>
  <c r="X971" i="2" s="1"/>
  <c r="N971" i="2"/>
  <c r="O971" i="2" l="1"/>
  <c r="P971" i="2" s="1"/>
  <c r="W971" i="2"/>
  <c r="R971" i="2" l="1"/>
  <c r="T971" i="2" s="1"/>
  <c r="Q972" i="2" s="1"/>
  <c r="X972" i="2" s="1"/>
  <c r="N972" i="2"/>
  <c r="W972" i="2" l="1"/>
  <c r="O972" i="2"/>
  <c r="P972" i="2" s="1"/>
  <c r="R972" i="2" l="1"/>
  <c r="T972" i="2" s="1"/>
  <c r="Q973" i="2" s="1"/>
  <c r="X973" i="2" s="1"/>
  <c r="N973" i="2"/>
  <c r="W973" i="2" l="1"/>
  <c r="O973" i="2"/>
  <c r="P973" i="2" s="1"/>
  <c r="R973" i="2" s="1"/>
  <c r="T973" i="2" s="1"/>
  <c r="Q974" i="2" s="1"/>
  <c r="X974" i="2" s="1"/>
  <c r="N974" i="2" l="1"/>
  <c r="W974" i="2"/>
  <c r="O974" i="2"/>
  <c r="P974" i="2" s="1"/>
  <c r="R974" i="2" s="1"/>
  <c r="T974" i="2" s="1"/>
  <c r="Q975" i="2" s="1"/>
  <c r="X975" i="2" s="1"/>
  <c r="N975" i="2"/>
  <c r="O975" i="2" s="1"/>
  <c r="P975" i="2" s="1"/>
  <c r="W975" i="2" l="1"/>
  <c r="R975" i="2"/>
  <c r="T975" i="2" s="1"/>
  <c r="Q976" i="2" s="1"/>
  <c r="X976" i="2" s="1"/>
  <c r="N976" i="2"/>
  <c r="O976" i="2"/>
  <c r="P976" i="2" s="1"/>
  <c r="W976" i="2"/>
  <c r="R976" i="2" l="1"/>
  <c r="T976" i="2" s="1"/>
  <c r="Q977" i="2" s="1"/>
  <c r="X977" i="2" s="1"/>
  <c r="N977" i="2" l="1"/>
  <c r="O977" i="2"/>
  <c r="P977" i="2" s="1"/>
  <c r="R977" i="2" s="1"/>
  <c r="T977" i="2" s="1"/>
  <c r="Q978" i="2" s="1"/>
  <c r="X978" i="2" s="1"/>
  <c r="W977" i="2"/>
  <c r="N978" i="2" l="1"/>
  <c r="W978" i="2" s="1"/>
  <c r="O978" i="2" l="1"/>
  <c r="P978" i="2" s="1"/>
  <c r="R978" i="2"/>
  <c r="T978" i="2" s="1"/>
  <c r="Q979" i="2" s="1"/>
  <c r="X979" i="2" s="1"/>
  <c r="N979" i="2" l="1"/>
  <c r="O979" i="2" s="1"/>
  <c r="P979" i="2" s="1"/>
  <c r="W979" i="2" l="1"/>
  <c r="R979" i="2"/>
  <c r="T979" i="2" s="1"/>
  <c r="Q980" i="2" s="1"/>
  <c r="X980" i="2" s="1"/>
  <c r="N980" i="2" l="1"/>
  <c r="W980" i="2" s="1"/>
  <c r="O980" i="2"/>
  <c r="P980" i="2" s="1"/>
  <c r="R980" i="2" l="1"/>
  <c r="T980" i="2" s="1"/>
  <c r="Q981" i="2" s="1"/>
  <c r="X981" i="2" s="1"/>
  <c r="N981" i="2" l="1"/>
  <c r="W981" i="2"/>
  <c r="O981" i="2"/>
  <c r="P981" i="2" s="1"/>
  <c r="R981" i="2" s="1"/>
  <c r="T981" i="2" s="1"/>
  <c r="Q982" i="2" s="1"/>
  <c r="X982" i="2" s="1"/>
  <c r="N982" i="2" l="1"/>
  <c r="O982" i="2"/>
  <c r="P982" i="2" s="1"/>
  <c r="R982" i="2" s="1"/>
  <c r="T982" i="2" s="1"/>
  <c r="Q983" i="2" s="1"/>
  <c r="X983" i="2" s="1"/>
  <c r="W982" i="2"/>
  <c r="N983" i="2" l="1"/>
  <c r="W983" i="2"/>
  <c r="O983" i="2"/>
  <c r="P983" i="2" s="1"/>
  <c r="R983" i="2" l="1"/>
  <c r="T983" i="2" s="1"/>
  <c r="Q984" i="2" s="1"/>
  <c r="X984" i="2" s="1"/>
  <c r="N984" i="2" l="1"/>
  <c r="W984" i="2" s="1"/>
  <c r="O984" i="2"/>
  <c r="P984" i="2" s="1"/>
  <c r="R984" i="2" l="1"/>
  <c r="T984" i="2" s="1"/>
  <c r="Q985" i="2" s="1"/>
  <c r="X985" i="2" s="1"/>
  <c r="N985" i="2" l="1"/>
  <c r="W985" i="2" s="1"/>
  <c r="O985" i="2" l="1"/>
  <c r="P985" i="2" s="1"/>
  <c r="R985" i="2" s="1"/>
  <c r="T985" i="2" s="1"/>
  <c r="Q986" i="2" s="1"/>
  <c r="X986" i="2" s="1"/>
  <c r="N986" i="2" l="1"/>
  <c r="O986" i="2" l="1"/>
  <c r="P986" i="2" s="1"/>
  <c r="R986" i="2" s="1"/>
  <c r="T986" i="2" s="1"/>
  <c r="Q987" i="2" s="1"/>
  <c r="X987" i="2" s="1"/>
  <c r="W986" i="2"/>
  <c r="N987" i="2" l="1"/>
  <c r="W987" i="2"/>
  <c r="O987" i="2"/>
  <c r="P987" i="2" s="1"/>
  <c r="R987" i="2" l="1"/>
  <c r="T987" i="2" s="1"/>
  <c r="Q988" i="2" s="1"/>
  <c r="X988" i="2" s="1"/>
  <c r="N988" i="2"/>
  <c r="O988" i="2" l="1"/>
  <c r="P988" i="2" s="1"/>
  <c r="R988" i="2" s="1"/>
  <c r="T988" i="2" s="1"/>
  <c r="Q989" i="2" s="1"/>
  <c r="X989" i="2" s="1"/>
  <c r="W988" i="2"/>
  <c r="N989" i="2"/>
  <c r="W989" i="2" l="1"/>
  <c r="O989" i="2"/>
  <c r="P989" i="2" s="1"/>
  <c r="R989" i="2" s="1"/>
  <c r="T989" i="2" s="1"/>
  <c r="Q990" i="2" s="1"/>
  <c r="X990" i="2" s="1"/>
  <c r="N990" i="2" l="1"/>
  <c r="O990" i="2" l="1"/>
  <c r="P990" i="2" s="1"/>
  <c r="R990" i="2" s="1"/>
  <c r="T990" i="2" s="1"/>
  <c r="Q991" i="2" s="1"/>
  <c r="X991" i="2" s="1"/>
  <c r="W990" i="2"/>
  <c r="N991" i="2" l="1"/>
  <c r="W991" i="2"/>
  <c r="O991" i="2"/>
  <c r="P991" i="2" s="1"/>
  <c r="R991" i="2" s="1"/>
  <c r="T991" i="2" s="1"/>
  <c r="Q992" i="2" s="1"/>
  <c r="X992" i="2" s="1"/>
  <c r="N992" i="2" l="1"/>
  <c r="O992" i="2"/>
  <c r="P992" i="2" s="1"/>
  <c r="R992" i="2" s="1"/>
  <c r="T992" i="2" s="1"/>
  <c r="Q993" i="2" s="1"/>
  <c r="X993" i="2" s="1"/>
  <c r="W992" i="2"/>
  <c r="N993" i="2"/>
  <c r="O993" i="2" l="1"/>
  <c r="P993" i="2" s="1"/>
  <c r="W993" i="2"/>
  <c r="R993" i="2" l="1"/>
  <c r="T993" i="2" s="1"/>
  <c r="Q994" i="2" s="1"/>
  <c r="X994" i="2" s="1"/>
  <c r="N994" i="2"/>
  <c r="O994" i="2" l="1"/>
  <c r="P994" i="2" s="1"/>
  <c r="R994" i="2" s="1"/>
  <c r="T994" i="2" s="1"/>
  <c r="Q995" i="2" s="1"/>
  <c r="X995" i="2" s="1"/>
  <c r="W994" i="2"/>
  <c r="N995" i="2"/>
  <c r="W995" i="2" l="1"/>
  <c r="O995" i="2"/>
  <c r="P995" i="2" s="1"/>
  <c r="R995" i="2" s="1"/>
  <c r="T995" i="2" s="1"/>
  <c r="Q996" i="2" s="1"/>
  <c r="X996" i="2" s="1"/>
  <c r="N996" i="2" l="1"/>
  <c r="O996" i="2"/>
  <c r="P996" i="2" s="1"/>
  <c r="R996" i="2" s="1"/>
  <c r="T996" i="2" s="1"/>
  <c r="Q997" i="2" s="1"/>
  <c r="X997" i="2" s="1"/>
  <c r="W996" i="2"/>
  <c r="N997" i="2"/>
  <c r="W997" i="2" s="1"/>
  <c r="O997" i="2" l="1"/>
  <c r="P997" i="2" s="1"/>
  <c r="R997" i="2" s="1"/>
  <c r="T997" i="2" s="1"/>
  <c r="Q998" i="2" s="1"/>
  <c r="X998" i="2" s="1"/>
  <c r="N998" i="2" l="1"/>
  <c r="O998" i="2" l="1"/>
  <c r="P998" i="2" s="1"/>
  <c r="R998" i="2" s="1"/>
  <c r="T998" i="2" s="1"/>
  <c r="Q999" i="2" s="1"/>
  <c r="X999" i="2" s="1"/>
  <c r="W998" i="2"/>
  <c r="N999" i="2"/>
  <c r="O999" i="2" s="1"/>
  <c r="P999" i="2" s="1"/>
  <c r="R999" i="2" s="1"/>
  <c r="T999" i="2" s="1"/>
  <c r="Q1000" i="2" s="1"/>
  <c r="X1000" i="2" s="1"/>
  <c r="W999" i="2"/>
  <c r="N1000" i="2" l="1"/>
  <c r="O1000" i="2" s="1"/>
  <c r="P1000" i="2" s="1"/>
  <c r="R1000" i="2" s="1"/>
  <c r="T1000" i="2" s="1"/>
  <c r="Q1001" i="2" s="1"/>
  <c r="X1001" i="2" s="1"/>
  <c r="W1000" i="2"/>
  <c r="N1001" i="2"/>
  <c r="W1001" i="2"/>
  <c r="O1001" i="2"/>
  <c r="P1001" i="2" s="1"/>
  <c r="R1001" i="2" l="1"/>
  <c r="T1001" i="2" s="1"/>
  <c r="Q1002" i="2" s="1"/>
  <c r="X1002" i="2" s="1"/>
  <c r="N1002" i="2" l="1"/>
  <c r="W1002" i="2" s="1"/>
  <c r="O1002" i="2" l="1"/>
  <c r="P1002" i="2" s="1"/>
  <c r="R1002" i="2" l="1"/>
  <c r="T1002" i="2" s="1"/>
  <c r="Q1003" i="2" s="1"/>
  <c r="X1003" i="2" s="1"/>
  <c r="N1003" i="2" l="1"/>
  <c r="O1003" i="2"/>
  <c r="P1003" i="2" s="1"/>
  <c r="R1003" i="2" s="1"/>
  <c r="T1003" i="2" s="1"/>
  <c r="Q1004" i="2" s="1"/>
  <c r="X1004" i="2" s="1"/>
  <c r="W1003" i="2"/>
  <c r="N1004" i="2" l="1"/>
  <c r="W1004" i="2"/>
  <c r="O1004" i="2"/>
  <c r="P1004" i="2" s="1"/>
  <c r="R1004" i="2" l="1"/>
  <c r="T1004" i="2" s="1"/>
  <c r="Q1005" i="2" s="1"/>
  <c r="X1005" i="2" s="1"/>
  <c r="N1005" i="2" l="1"/>
  <c r="W1005" i="2"/>
  <c r="O1005" i="2"/>
  <c r="P1005" i="2" s="1"/>
  <c r="R1005" i="2" s="1"/>
  <c r="T1005" i="2" s="1"/>
  <c r="Q1006" i="2" s="1"/>
  <c r="X1006" i="2" s="1"/>
  <c r="N1006" i="2" l="1"/>
  <c r="O1006" i="2" l="1"/>
  <c r="P1006" i="2" s="1"/>
  <c r="R1006" i="2" s="1"/>
  <c r="T1006" i="2" s="1"/>
  <c r="Q1007" i="2" s="1"/>
  <c r="X1007" i="2" s="1"/>
  <c r="W1006" i="2"/>
  <c r="N1007" i="2" l="1"/>
  <c r="W1007" i="2" s="1"/>
  <c r="O1007" i="2" l="1"/>
  <c r="P1007" i="2" s="1"/>
  <c r="R1007" i="2"/>
  <c r="T1007" i="2" s="1"/>
  <c r="Q1008" i="2" s="1"/>
  <c r="X1008" i="2" s="1"/>
  <c r="N1008" i="2" l="1"/>
  <c r="W1008" i="2"/>
  <c r="O1008" i="2"/>
  <c r="P1008" i="2" s="1"/>
  <c r="R1008" i="2" s="1"/>
  <c r="T1008" i="2" s="1"/>
  <c r="Q1009" i="2" s="1"/>
  <c r="X1009" i="2" s="1"/>
  <c r="N1009" i="2" l="1"/>
  <c r="O1009" i="2" l="1"/>
  <c r="P1009" i="2" s="1"/>
  <c r="R1009" i="2" s="1"/>
  <c r="T1009" i="2" s="1"/>
  <c r="Q1010" i="2" s="1"/>
  <c r="X1010" i="2" s="1"/>
  <c r="W1009" i="2"/>
  <c r="N1010" i="2" l="1"/>
  <c r="W1010" i="2" s="1"/>
  <c r="O1010" i="2" l="1"/>
  <c r="P1010" i="2" s="1"/>
  <c r="R1010" i="2" s="1"/>
  <c r="T1010" i="2" s="1"/>
  <c r="Q1011" i="2" s="1"/>
  <c r="X1011" i="2" s="1"/>
  <c r="N1011" i="2" l="1"/>
  <c r="O1011" i="2" s="1"/>
  <c r="P1011" i="2" s="1"/>
  <c r="R1011" i="2" s="1"/>
  <c r="T1011" i="2" s="1"/>
  <c r="Q1012" i="2" s="1"/>
  <c r="X1012" i="2" s="1"/>
  <c r="N1012" i="2"/>
  <c r="O1012" i="2" s="1"/>
  <c r="P1012" i="2" s="1"/>
  <c r="R1012" i="2" l="1"/>
  <c r="T1012" i="2" s="1"/>
  <c r="W1011" i="2"/>
  <c r="W1012" i="2"/>
  <c r="O4" i="2"/>
  <c r="AO162" i="2"/>
  <c r="AQ163" i="2" l="1"/>
  <c r="AO163" i="2"/>
  <c r="AQ164" i="2" l="1"/>
  <c r="AO164" i="2"/>
  <c r="AQ165" i="2" l="1"/>
  <c r="AO165" i="2"/>
  <c r="AO166" i="2" l="1"/>
  <c r="AQ166" i="2"/>
  <c r="AQ167" i="2" l="1"/>
  <c r="AO167" i="2"/>
  <c r="AQ168" i="2" l="1"/>
  <c r="AO168" i="2"/>
  <c r="AN162" i="2"/>
  <c r="AN163" i="2" s="1"/>
  <c r="AN164" i="2" s="1"/>
  <c r="AN165" i="2" s="1"/>
  <c r="AN166" i="2" s="1"/>
  <c r="AN167" i="2" s="1"/>
  <c r="AN168" i="2" s="1"/>
  <c r="AN169" i="2" s="1"/>
  <c r="AN170" i="2" s="1"/>
  <c r="AN171" i="2" s="1"/>
  <c r="AN172" i="2" s="1"/>
  <c r="AN173" i="2" s="1"/>
  <c r="AN174" i="2" s="1"/>
  <c r="AN175" i="2" s="1"/>
  <c r="AN176" i="2" s="1"/>
  <c r="AN177" i="2" s="1"/>
  <c r="AN178" i="2" s="1"/>
  <c r="AN179" i="2" s="1"/>
  <c r="AN180" i="2" s="1"/>
  <c r="AN181" i="2" s="1"/>
  <c r="AN182" i="2" s="1"/>
  <c r="AN183" i="2" s="1"/>
  <c r="AN184" i="2" s="1"/>
  <c r="AN185" i="2" s="1"/>
  <c r="AN186" i="2" s="1"/>
  <c r="AN187" i="2" s="1"/>
  <c r="AN188" i="2" s="1"/>
  <c r="AN189" i="2" s="1"/>
  <c r="AN190" i="2" s="1"/>
  <c r="AN191" i="2" s="1"/>
  <c r="AN192" i="2" s="1"/>
  <c r="AN193" i="2" s="1"/>
  <c r="AN194" i="2" s="1"/>
  <c r="AN195" i="2" s="1"/>
  <c r="AN196" i="2" s="1"/>
  <c r="AN197" i="2" s="1"/>
  <c r="AN198" i="2" s="1"/>
  <c r="AN199" i="2" s="1"/>
  <c r="AN200" i="2" s="1"/>
  <c r="AN201" i="2" s="1"/>
  <c r="AN202" i="2" s="1"/>
  <c r="AN203" i="2" s="1"/>
  <c r="AN204" i="2" s="1"/>
  <c r="AN205" i="2" s="1"/>
  <c r="AN206" i="2" s="1"/>
  <c r="AN207" i="2" s="1"/>
  <c r="AN208" i="2" s="1"/>
  <c r="AN209" i="2" s="1"/>
  <c r="AN210" i="2" s="1"/>
  <c r="AN211" i="2" s="1"/>
  <c r="AN212" i="2" s="1"/>
  <c r="AN213" i="2" s="1"/>
  <c r="AN214" i="2" s="1"/>
  <c r="AN215" i="2" s="1"/>
  <c r="AN216" i="2" s="1"/>
  <c r="AN217" i="2" s="1"/>
  <c r="AN218" i="2" s="1"/>
  <c r="AN219" i="2" s="1"/>
  <c r="AN220" i="2" s="1"/>
  <c r="AN221" i="2" s="1"/>
  <c r="AN222" i="2" s="1"/>
  <c r="AN223" i="2" s="1"/>
  <c r="AN224" i="2" s="1"/>
  <c r="AN225" i="2" s="1"/>
  <c r="AN226" i="2" s="1"/>
  <c r="AN227" i="2" s="1"/>
  <c r="AN228" i="2" s="1"/>
  <c r="AN229" i="2" s="1"/>
  <c r="AN230" i="2" s="1"/>
  <c r="AN231" i="2" s="1"/>
  <c r="AN232" i="2" s="1"/>
  <c r="AN233" i="2" s="1"/>
  <c r="AN234" i="2" s="1"/>
  <c r="AN235" i="2" s="1"/>
  <c r="AN236" i="2" s="1"/>
  <c r="AN237" i="2" s="1"/>
  <c r="AN238" i="2" s="1"/>
  <c r="AN239" i="2" s="1"/>
  <c r="AN240" i="2" s="1"/>
  <c r="AN241" i="2" s="1"/>
  <c r="AN242" i="2" s="1"/>
  <c r="AN243" i="2" s="1"/>
  <c r="AN244" i="2" s="1"/>
  <c r="AN245" i="2" s="1"/>
  <c r="AN246" i="2" s="1"/>
  <c r="AN247" i="2" s="1"/>
  <c r="AN248" i="2" s="1"/>
  <c r="AN249" i="2" s="1"/>
  <c r="AN250" i="2" s="1"/>
  <c r="AN251" i="2" s="1"/>
  <c r="AN252" i="2" s="1"/>
  <c r="AN253" i="2" s="1"/>
  <c r="AN254" i="2" s="1"/>
  <c r="AN255" i="2" s="1"/>
  <c r="AN256" i="2" s="1"/>
  <c r="AN257" i="2" s="1"/>
  <c r="AN258" i="2" s="1"/>
  <c r="AN259" i="2" s="1"/>
  <c r="AN260" i="2" s="1"/>
  <c r="AN261" i="2" s="1"/>
  <c r="AN262" i="2" s="1"/>
  <c r="AN263" i="2" s="1"/>
  <c r="AN264" i="2" s="1"/>
  <c r="AN265" i="2" s="1"/>
  <c r="AN266" i="2" s="1"/>
  <c r="AN267" i="2" s="1"/>
  <c r="AN268" i="2" s="1"/>
  <c r="AN269" i="2" s="1"/>
  <c r="AN270" i="2" s="1"/>
  <c r="AN271" i="2" s="1"/>
  <c r="AN272" i="2" s="1"/>
  <c r="AN273" i="2" s="1"/>
  <c r="AN274" i="2" s="1"/>
  <c r="AN275" i="2" s="1"/>
  <c r="AN276" i="2" s="1"/>
  <c r="AN277" i="2" s="1"/>
  <c r="AN278" i="2" s="1"/>
  <c r="AN279" i="2" s="1"/>
  <c r="AN280" i="2" s="1"/>
  <c r="AN281" i="2" s="1"/>
  <c r="AN282" i="2" s="1"/>
  <c r="AN283" i="2" s="1"/>
  <c r="AN284" i="2" s="1"/>
  <c r="AN285" i="2" s="1"/>
  <c r="AN286" i="2" s="1"/>
  <c r="AN287" i="2" s="1"/>
  <c r="AN288" i="2" s="1"/>
  <c r="AN289" i="2" s="1"/>
  <c r="AN290" i="2" s="1"/>
  <c r="AN291" i="2" s="1"/>
  <c r="AN292" i="2" s="1"/>
  <c r="AN293" i="2" s="1"/>
  <c r="AN294" i="2" s="1"/>
  <c r="AN295" i="2" s="1"/>
  <c r="AN296" i="2" s="1"/>
  <c r="AN297" i="2" s="1"/>
  <c r="AN298" i="2" s="1"/>
  <c r="AN299" i="2" s="1"/>
  <c r="AN300" i="2" s="1"/>
  <c r="AN301" i="2" s="1"/>
  <c r="AN302" i="2" s="1"/>
  <c r="AN303" i="2" s="1"/>
  <c r="AN304" i="2" s="1"/>
  <c r="AN305" i="2" s="1"/>
  <c r="AN306" i="2" s="1"/>
  <c r="AN307" i="2" s="1"/>
  <c r="AN308" i="2" s="1"/>
  <c r="AN309" i="2" s="1"/>
  <c r="AN310" i="2" s="1"/>
  <c r="AN311" i="2" s="1"/>
  <c r="AN312" i="2" s="1"/>
  <c r="AN313" i="2" s="1"/>
  <c r="AN314" i="2" s="1"/>
  <c r="AN315" i="2" s="1"/>
  <c r="AN316" i="2" s="1"/>
  <c r="AN317" i="2" s="1"/>
  <c r="AN318" i="2" s="1"/>
  <c r="AN319" i="2" s="1"/>
  <c r="AN320" i="2" s="1"/>
  <c r="AN321" i="2" s="1"/>
  <c r="AN322" i="2" s="1"/>
  <c r="AN323" i="2" s="1"/>
  <c r="AN324" i="2" s="1"/>
  <c r="AN325" i="2" s="1"/>
  <c r="AN326" i="2" s="1"/>
  <c r="AN327" i="2" s="1"/>
  <c r="AN328" i="2" s="1"/>
  <c r="AN329" i="2" s="1"/>
  <c r="AN330" i="2" s="1"/>
  <c r="AN331" i="2" s="1"/>
  <c r="AN332" i="2" s="1"/>
  <c r="AN333" i="2" s="1"/>
  <c r="AN334" i="2" s="1"/>
  <c r="AN335" i="2" s="1"/>
  <c r="AN336" i="2" s="1"/>
  <c r="AN337" i="2" s="1"/>
  <c r="AN338" i="2" s="1"/>
  <c r="AN339" i="2" s="1"/>
  <c r="AN340" i="2" s="1"/>
  <c r="AN341" i="2" s="1"/>
  <c r="AN342" i="2" s="1"/>
  <c r="AN343" i="2" s="1"/>
  <c r="AN344" i="2" s="1"/>
  <c r="AN345" i="2" s="1"/>
  <c r="AN346" i="2" s="1"/>
  <c r="AN347" i="2" s="1"/>
  <c r="AN348" i="2" s="1"/>
  <c r="AN349" i="2" s="1"/>
  <c r="AN350" i="2" s="1"/>
  <c r="AN351" i="2" s="1"/>
  <c r="AN352" i="2" s="1"/>
  <c r="AN353" i="2" s="1"/>
  <c r="AN354" i="2" s="1"/>
  <c r="AN355" i="2" s="1"/>
  <c r="AN356" i="2" s="1"/>
  <c r="AN357" i="2" s="1"/>
  <c r="AN358" i="2" s="1"/>
  <c r="AN359" i="2" s="1"/>
  <c r="AN360" i="2" s="1"/>
  <c r="AN361" i="2" s="1"/>
  <c r="AN362" i="2" s="1"/>
  <c r="AN363" i="2" s="1"/>
  <c r="AN364" i="2" s="1"/>
  <c r="AN365" i="2" s="1"/>
  <c r="AN366" i="2" s="1"/>
  <c r="AN367" i="2" s="1"/>
  <c r="AN368" i="2" s="1"/>
  <c r="AN369" i="2" s="1"/>
  <c r="AN370" i="2" s="1"/>
  <c r="AN371" i="2" s="1"/>
  <c r="AN372" i="2" s="1"/>
  <c r="AN373" i="2" s="1"/>
  <c r="AN374" i="2" s="1"/>
  <c r="AN375" i="2" s="1"/>
  <c r="AN376" i="2" s="1"/>
  <c r="AN377" i="2" s="1"/>
  <c r="AN378" i="2" s="1"/>
  <c r="AN379" i="2" s="1"/>
  <c r="AN380" i="2" s="1"/>
  <c r="AN381" i="2" s="1"/>
  <c r="AN382" i="2" s="1"/>
  <c r="AN383" i="2" s="1"/>
  <c r="AN384" i="2" s="1"/>
  <c r="AN385" i="2" s="1"/>
  <c r="AN386" i="2" s="1"/>
  <c r="AN387" i="2" s="1"/>
  <c r="AN388" i="2" s="1"/>
  <c r="AN389" i="2" s="1"/>
  <c r="AN390" i="2" s="1"/>
  <c r="AN391" i="2" s="1"/>
  <c r="AN392" i="2" s="1"/>
  <c r="AN393" i="2" s="1"/>
  <c r="AN394" i="2" s="1"/>
  <c r="AN395" i="2" s="1"/>
  <c r="AN396" i="2" s="1"/>
  <c r="AN397" i="2" s="1"/>
  <c r="AN398" i="2" s="1"/>
  <c r="AN399" i="2" s="1"/>
  <c r="AN400" i="2" s="1"/>
  <c r="AN401" i="2" s="1"/>
  <c r="AN402" i="2" s="1"/>
  <c r="AN403" i="2" s="1"/>
  <c r="AN404" i="2" s="1"/>
  <c r="AN405" i="2" s="1"/>
  <c r="AN406" i="2" s="1"/>
  <c r="AN407" i="2" s="1"/>
  <c r="AN408" i="2" s="1"/>
  <c r="AN409" i="2" s="1"/>
  <c r="AN410" i="2" s="1"/>
  <c r="AN411" i="2" s="1"/>
  <c r="AN412" i="2" s="1"/>
  <c r="AN413" i="2" s="1"/>
  <c r="AN414" i="2" s="1"/>
  <c r="AN415" i="2" s="1"/>
  <c r="AN416" i="2" s="1"/>
  <c r="AN417" i="2" s="1"/>
  <c r="AN418" i="2" s="1"/>
  <c r="AN419" i="2" s="1"/>
  <c r="AN420" i="2" s="1"/>
  <c r="AN421" i="2" s="1"/>
  <c r="AN422" i="2" s="1"/>
  <c r="AN423" i="2" s="1"/>
  <c r="AN424" i="2" s="1"/>
  <c r="AN425" i="2" s="1"/>
  <c r="AN426" i="2" s="1"/>
  <c r="AN427" i="2" s="1"/>
  <c r="AN428" i="2" s="1"/>
  <c r="AN429" i="2" s="1"/>
  <c r="AN430" i="2" s="1"/>
  <c r="AN431" i="2" s="1"/>
  <c r="AN432" i="2" s="1"/>
  <c r="AN433" i="2" s="1"/>
  <c r="AN434" i="2" s="1"/>
  <c r="AN435" i="2" s="1"/>
  <c r="AN436" i="2" s="1"/>
  <c r="AN437" i="2" s="1"/>
  <c r="AN438" i="2" s="1"/>
  <c r="AN439" i="2" s="1"/>
  <c r="AN440" i="2" s="1"/>
  <c r="AN441" i="2" s="1"/>
  <c r="AN442" i="2" s="1"/>
  <c r="AN443" i="2" s="1"/>
  <c r="AN444" i="2" s="1"/>
  <c r="AN445" i="2" s="1"/>
  <c r="AN446" i="2" s="1"/>
  <c r="AN447" i="2" s="1"/>
  <c r="AN448" i="2" s="1"/>
  <c r="AN449" i="2" s="1"/>
  <c r="AN450" i="2" s="1"/>
  <c r="AN451" i="2" s="1"/>
  <c r="AN452" i="2" s="1"/>
  <c r="AN453" i="2" s="1"/>
  <c r="AN454" i="2" s="1"/>
  <c r="AN455" i="2" s="1"/>
  <c r="AN456" i="2" s="1"/>
  <c r="AN457" i="2" s="1"/>
  <c r="AN458" i="2" s="1"/>
  <c r="AN459" i="2" s="1"/>
  <c r="AN460" i="2" s="1"/>
  <c r="AN461" i="2" s="1"/>
  <c r="AN462" i="2" s="1"/>
  <c r="AN463" i="2" s="1"/>
  <c r="AN464" i="2" s="1"/>
  <c r="AN465" i="2" s="1"/>
  <c r="AN466" i="2" s="1"/>
  <c r="AN467" i="2" s="1"/>
  <c r="AN468" i="2" s="1"/>
  <c r="AN469" i="2" s="1"/>
  <c r="AN470" i="2" s="1"/>
  <c r="AN471" i="2" s="1"/>
  <c r="AN472" i="2" s="1"/>
  <c r="AN473" i="2" s="1"/>
  <c r="AN474" i="2" s="1"/>
  <c r="AN475" i="2" s="1"/>
  <c r="AN476" i="2" s="1"/>
  <c r="AN477" i="2" s="1"/>
  <c r="AN478" i="2" s="1"/>
  <c r="AN479" i="2" s="1"/>
  <c r="AN480" i="2" s="1"/>
  <c r="AN481" i="2" s="1"/>
  <c r="AN482" i="2" s="1"/>
  <c r="AN483" i="2" s="1"/>
  <c r="AN484" i="2" s="1"/>
  <c r="AN485" i="2" s="1"/>
  <c r="AN486" i="2" s="1"/>
  <c r="AN487" i="2" s="1"/>
  <c r="AN488" i="2" s="1"/>
  <c r="AN489" i="2" s="1"/>
  <c r="AN490" i="2" s="1"/>
  <c r="AN491" i="2" s="1"/>
  <c r="AN492" i="2" s="1"/>
  <c r="AN493" i="2" s="1"/>
  <c r="AN494" i="2" s="1"/>
  <c r="AN495" i="2" s="1"/>
  <c r="AN496" i="2" s="1"/>
  <c r="AN497" i="2" s="1"/>
  <c r="AN498" i="2" s="1"/>
  <c r="AN499" i="2" s="1"/>
  <c r="AN500" i="2" s="1"/>
  <c r="AN501" i="2" s="1"/>
  <c r="AN502" i="2" s="1"/>
  <c r="AN503" i="2" s="1"/>
  <c r="AN504" i="2" s="1"/>
  <c r="AN505" i="2" s="1"/>
  <c r="AN506" i="2" s="1"/>
  <c r="AN507" i="2" s="1"/>
  <c r="AN508" i="2" s="1"/>
  <c r="AN509" i="2" s="1"/>
  <c r="AN510" i="2" s="1"/>
  <c r="AN511" i="2" s="1"/>
  <c r="AN512" i="2" s="1"/>
  <c r="AN513" i="2" s="1"/>
  <c r="AN514" i="2" s="1"/>
  <c r="AN515" i="2" s="1"/>
  <c r="AN516" i="2" s="1"/>
  <c r="AN517" i="2" s="1"/>
  <c r="AN518" i="2" s="1"/>
  <c r="AN519" i="2" s="1"/>
  <c r="AN520" i="2" s="1"/>
  <c r="AN521" i="2" s="1"/>
  <c r="AN522" i="2" s="1"/>
  <c r="AN523" i="2" s="1"/>
  <c r="AN524" i="2" s="1"/>
  <c r="AN525" i="2" s="1"/>
  <c r="AN526" i="2" s="1"/>
  <c r="AN527" i="2" s="1"/>
  <c r="AN528" i="2" s="1"/>
  <c r="AN529" i="2" s="1"/>
  <c r="AN530" i="2" s="1"/>
  <c r="AN531" i="2" s="1"/>
  <c r="AN532" i="2" s="1"/>
  <c r="AN533" i="2" s="1"/>
  <c r="AN534" i="2" s="1"/>
  <c r="AN535" i="2" s="1"/>
  <c r="AN536" i="2" s="1"/>
  <c r="AN537" i="2" s="1"/>
  <c r="AN538" i="2" s="1"/>
  <c r="AN539" i="2" s="1"/>
  <c r="AN540" i="2" s="1"/>
  <c r="AN541" i="2" s="1"/>
  <c r="AN542" i="2" s="1"/>
  <c r="AN543" i="2" s="1"/>
  <c r="AN544" i="2" s="1"/>
  <c r="AN545" i="2" s="1"/>
  <c r="AN546" i="2" s="1"/>
  <c r="AN547" i="2" s="1"/>
  <c r="AN548" i="2" s="1"/>
  <c r="AN549" i="2" s="1"/>
  <c r="AN550" i="2" s="1"/>
  <c r="AN551" i="2" s="1"/>
  <c r="AN552" i="2" s="1"/>
  <c r="AN553" i="2" s="1"/>
  <c r="AN554" i="2" s="1"/>
  <c r="AN555" i="2" s="1"/>
  <c r="AN556" i="2" s="1"/>
  <c r="AN557" i="2" s="1"/>
  <c r="AN558" i="2" s="1"/>
  <c r="AN559" i="2" s="1"/>
  <c r="AN560" i="2" s="1"/>
  <c r="AN561" i="2" s="1"/>
  <c r="AN562" i="2" s="1"/>
  <c r="AN563" i="2" s="1"/>
  <c r="AN564" i="2" s="1"/>
  <c r="AN565" i="2" s="1"/>
  <c r="AN566" i="2" s="1"/>
  <c r="AN567" i="2" s="1"/>
  <c r="AN568" i="2" s="1"/>
  <c r="AN569" i="2" s="1"/>
  <c r="AN570" i="2" s="1"/>
  <c r="AN571" i="2" s="1"/>
  <c r="AN572" i="2" s="1"/>
  <c r="AN573" i="2" s="1"/>
  <c r="AN574" i="2" s="1"/>
  <c r="AN575" i="2" s="1"/>
  <c r="AN576" i="2" s="1"/>
  <c r="AN577" i="2" s="1"/>
  <c r="AN578" i="2" s="1"/>
  <c r="AN579" i="2" s="1"/>
  <c r="AN580" i="2" s="1"/>
  <c r="AN581" i="2" s="1"/>
  <c r="AN582" i="2" s="1"/>
  <c r="AN583" i="2" s="1"/>
  <c r="AN584" i="2" s="1"/>
  <c r="AN585" i="2" s="1"/>
  <c r="AN586" i="2" s="1"/>
  <c r="AN587" i="2" s="1"/>
  <c r="AN588" i="2" s="1"/>
  <c r="AN589" i="2" s="1"/>
  <c r="AN590" i="2" s="1"/>
  <c r="AN591" i="2" s="1"/>
  <c r="AN592" i="2" s="1"/>
  <c r="AN593" i="2" s="1"/>
  <c r="AN594" i="2" s="1"/>
  <c r="AN595" i="2" s="1"/>
  <c r="AN596" i="2" s="1"/>
  <c r="AN597" i="2" s="1"/>
  <c r="AN598" i="2" s="1"/>
  <c r="AN599" i="2" s="1"/>
  <c r="AN600" i="2" s="1"/>
  <c r="AN601" i="2" s="1"/>
  <c r="AN602" i="2" s="1"/>
  <c r="AN603" i="2" s="1"/>
  <c r="AN604" i="2" s="1"/>
  <c r="AN605" i="2" s="1"/>
  <c r="AN606" i="2" s="1"/>
  <c r="AN607" i="2" s="1"/>
  <c r="AN608" i="2" s="1"/>
  <c r="AN609" i="2" s="1"/>
  <c r="AN610" i="2" s="1"/>
  <c r="AN611" i="2" s="1"/>
  <c r="AN612" i="2" s="1"/>
  <c r="AN613" i="2" s="1"/>
  <c r="AN614" i="2" s="1"/>
  <c r="AN615" i="2" s="1"/>
  <c r="AN616" i="2" s="1"/>
  <c r="AN617" i="2" s="1"/>
  <c r="AN618" i="2" s="1"/>
  <c r="AN619" i="2" s="1"/>
  <c r="AN620" i="2" s="1"/>
  <c r="AN621" i="2" s="1"/>
  <c r="AN622" i="2" s="1"/>
  <c r="AN623" i="2" s="1"/>
  <c r="AN624" i="2" s="1"/>
  <c r="AN625" i="2" s="1"/>
  <c r="AN626" i="2" s="1"/>
  <c r="AN627" i="2" s="1"/>
  <c r="AN628" i="2" s="1"/>
  <c r="AN629" i="2" s="1"/>
  <c r="AN630" i="2" s="1"/>
  <c r="AN631" i="2" s="1"/>
  <c r="AN632" i="2" s="1"/>
  <c r="AN633" i="2" s="1"/>
  <c r="AN634" i="2" s="1"/>
  <c r="AN635" i="2" s="1"/>
  <c r="AN636" i="2" s="1"/>
  <c r="AN637" i="2" s="1"/>
  <c r="AN638" i="2" s="1"/>
  <c r="AN639" i="2" s="1"/>
  <c r="AN640" i="2" s="1"/>
  <c r="AN641" i="2" s="1"/>
  <c r="AN642" i="2" s="1"/>
  <c r="AN643" i="2" s="1"/>
  <c r="AN644" i="2" s="1"/>
  <c r="AN645" i="2" s="1"/>
  <c r="AN646" i="2" s="1"/>
  <c r="AN647" i="2" s="1"/>
  <c r="AN648" i="2" s="1"/>
  <c r="AN649" i="2" s="1"/>
  <c r="AN650" i="2" s="1"/>
  <c r="AN651" i="2" s="1"/>
  <c r="AN652" i="2" s="1"/>
  <c r="AN653" i="2" s="1"/>
  <c r="AN654" i="2" s="1"/>
  <c r="AN655" i="2" s="1"/>
  <c r="AN656" i="2" s="1"/>
  <c r="AN657" i="2" s="1"/>
  <c r="AN658" i="2" s="1"/>
  <c r="AN659" i="2" s="1"/>
  <c r="AN660" i="2" s="1"/>
  <c r="AN661" i="2" s="1"/>
  <c r="AN662" i="2" s="1"/>
  <c r="AN663" i="2" s="1"/>
  <c r="AN664" i="2" s="1"/>
  <c r="AN665" i="2" s="1"/>
  <c r="AN666" i="2" s="1"/>
  <c r="AN667" i="2" s="1"/>
  <c r="AN668" i="2" s="1"/>
  <c r="AN669" i="2" s="1"/>
  <c r="AN670" i="2" s="1"/>
  <c r="AN671" i="2" s="1"/>
  <c r="AN672" i="2" s="1"/>
  <c r="AN673" i="2" s="1"/>
  <c r="AN674" i="2" s="1"/>
  <c r="AN675" i="2" s="1"/>
  <c r="AN676" i="2" s="1"/>
  <c r="AN677" i="2" s="1"/>
  <c r="AN678" i="2" s="1"/>
  <c r="AN679" i="2" s="1"/>
  <c r="AN680" i="2" s="1"/>
  <c r="AN681" i="2" s="1"/>
  <c r="AN682" i="2" s="1"/>
  <c r="AN683" i="2" s="1"/>
  <c r="AN684" i="2" s="1"/>
  <c r="AN685" i="2" s="1"/>
  <c r="AN686" i="2" s="1"/>
  <c r="AN687" i="2" s="1"/>
  <c r="AN688" i="2" s="1"/>
  <c r="AN689" i="2" s="1"/>
  <c r="AN690" i="2" s="1"/>
  <c r="AN691" i="2" s="1"/>
  <c r="AN692" i="2" s="1"/>
  <c r="AN693" i="2" s="1"/>
  <c r="AN694" i="2" s="1"/>
  <c r="AN695" i="2" s="1"/>
  <c r="AN696" i="2" s="1"/>
  <c r="AN697" i="2" s="1"/>
  <c r="AN698" i="2" s="1"/>
  <c r="AN699" i="2" s="1"/>
  <c r="AN700" i="2" s="1"/>
  <c r="AN701" i="2" s="1"/>
  <c r="AN702" i="2" s="1"/>
  <c r="AN703" i="2" s="1"/>
  <c r="AN704" i="2" s="1"/>
  <c r="AN705" i="2" s="1"/>
  <c r="AN706" i="2" s="1"/>
  <c r="AN707" i="2" s="1"/>
  <c r="AN708" i="2" s="1"/>
  <c r="AN709" i="2" s="1"/>
  <c r="AN710" i="2" s="1"/>
  <c r="AN711" i="2" s="1"/>
  <c r="AN712" i="2" s="1"/>
  <c r="AN713" i="2" s="1"/>
  <c r="AN714" i="2" s="1"/>
  <c r="AN715" i="2" s="1"/>
  <c r="AN716" i="2" s="1"/>
  <c r="AN717" i="2" s="1"/>
  <c r="AN718" i="2" s="1"/>
  <c r="AN719" i="2" s="1"/>
  <c r="AN720" i="2" s="1"/>
  <c r="AN721" i="2" s="1"/>
  <c r="AN722" i="2" s="1"/>
  <c r="AN723" i="2" s="1"/>
  <c r="AN724" i="2" s="1"/>
  <c r="AN725" i="2" s="1"/>
  <c r="AN726" i="2" s="1"/>
  <c r="AN727" i="2" s="1"/>
  <c r="AN728" i="2" s="1"/>
  <c r="AN729" i="2" s="1"/>
  <c r="AN730" i="2" s="1"/>
  <c r="AN731" i="2" s="1"/>
  <c r="AN732" i="2" s="1"/>
  <c r="AN733" i="2" s="1"/>
  <c r="AN734" i="2" s="1"/>
  <c r="AN735" i="2" s="1"/>
  <c r="AN736" i="2" s="1"/>
  <c r="AN737" i="2" s="1"/>
  <c r="AN738" i="2" s="1"/>
  <c r="AN739" i="2" s="1"/>
  <c r="AN740" i="2" s="1"/>
  <c r="AN741" i="2" s="1"/>
  <c r="AN742" i="2" s="1"/>
  <c r="AN743" i="2" s="1"/>
  <c r="AN744" i="2" s="1"/>
  <c r="AN745" i="2" s="1"/>
  <c r="AN746" i="2" s="1"/>
  <c r="AN747" i="2" s="1"/>
  <c r="AN748" i="2" s="1"/>
  <c r="AN749" i="2" s="1"/>
  <c r="AN750" i="2" s="1"/>
  <c r="AN751" i="2" s="1"/>
  <c r="AN752" i="2" s="1"/>
  <c r="AN753" i="2" s="1"/>
  <c r="AN754" i="2" s="1"/>
  <c r="AN755" i="2" s="1"/>
  <c r="AN756" i="2" s="1"/>
  <c r="AN757" i="2" s="1"/>
  <c r="AN758" i="2" s="1"/>
  <c r="AN759" i="2" s="1"/>
  <c r="AN760" i="2" s="1"/>
  <c r="AN761" i="2" s="1"/>
  <c r="AN762" i="2" s="1"/>
  <c r="AN763" i="2" s="1"/>
  <c r="AN764" i="2" s="1"/>
  <c r="AN765" i="2" s="1"/>
  <c r="AN766" i="2" s="1"/>
  <c r="AN767" i="2" s="1"/>
  <c r="AN768" i="2" s="1"/>
  <c r="AN769" i="2" s="1"/>
  <c r="AN770" i="2" s="1"/>
  <c r="AN771" i="2" s="1"/>
  <c r="AN772" i="2" s="1"/>
  <c r="AN773" i="2" s="1"/>
  <c r="AN774" i="2" s="1"/>
  <c r="AN775" i="2" s="1"/>
  <c r="AN776" i="2" s="1"/>
  <c r="AN777" i="2" s="1"/>
  <c r="AN778" i="2" s="1"/>
  <c r="AN779" i="2" s="1"/>
  <c r="AN780" i="2" s="1"/>
  <c r="AN781" i="2" s="1"/>
  <c r="AN782" i="2" s="1"/>
  <c r="AN783" i="2" s="1"/>
  <c r="AN784" i="2" s="1"/>
  <c r="AN785" i="2" s="1"/>
  <c r="AN786" i="2" s="1"/>
  <c r="AN787" i="2" s="1"/>
  <c r="AN788" i="2" s="1"/>
  <c r="AN789" i="2" s="1"/>
  <c r="AN790" i="2" s="1"/>
  <c r="AN791" i="2" s="1"/>
  <c r="AN792" i="2" s="1"/>
  <c r="AN793" i="2" s="1"/>
  <c r="AN794" i="2" s="1"/>
  <c r="AN795" i="2" s="1"/>
  <c r="AN796" i="2" s="1"/>
  <c r="AN797" i="2" s="1"/>
  <c r="AN798" i="2" s="1"/>
  <c r="AN799" i="2" s="1"/>
  <c r="AN800" i="2" s="1"/>
  <c r="AN801" i="2" s="1"/>
  <c r="AN802" i="2" s="1"/>
  <c r="AN803" i="2" s="1"/>
  <c r="AN804" i="2" s="1"/>
  <c r="AN805" i="2" s="1"/>
  <c r="AN806" i="2" s="1"/>
  <c r="AN807" i="2" s="1"/>
  <c r="AN808" i="2" s="1"/>
  <c r="AN809" i="2" s="1"/>
  <c r="AN810" i="2" s="1"/>
  <c r="AN811" i="2" s="1"/>
  <c r="AN812" i="2" s="1"/>
  <c r="AN813" i="2" s="1"/>
  <c r="AN814" i="2" s="1"/>
  <c r="AN815" i="2" s="1"/>
  <c r="AN816" i="2" s="1"/>
  <c r="AN817" i="2" s="1"/>
  <c r="AN818" i="2" s="1"/>
  <c r="AN819" i="2" s="1"/>
  <c r="AN820" i="2" s="1"/>
  <c r="AN821" i="2" s="1"/>
  <c r="AN822" i="2" s="1"/>
  <c r="AN823" i="2" s="1"/>
  <c r="AN824" i="2" s="1"/>
  <c r="AN825" i="2" s="1"/>
  <c r="AN826" i="2" s="1"/>
  <c r="AN827" i="2" s="1"/>
  <c r="AN828" i="2" s="1"/>
  <c r="AN829" i="2" s="1"/>
  <c r="AN830" i="2" s="1"/>
  <c r="AN831" i="2" s="1"/>
  <c r="AN832" i="2" s="1"/>
  <c r="AN833" i="2" s="1"/>
  <c r="AN834" i="2" s="1"/>
  <c r="AN835" i="2" s="1"/>
  <c r="AN836" i="2" s="1"/>
  <c r="AN837" i="2" s="1"/>
  <c r="AN838" i="2" s="1"/>
  <c r="AN839" i="2" s="1"/>
  <c r="AN840" i="2" s="1"/>
  <c r="AN841" i="2" s="1"/>
  <c r="AN842" i="2" s="1"/>
  <c r="AN843" i="2" s="1"/>
  <c r="AN844" i="2" s="1"/>
  <c r="AN845" i="2" s="1"/>
  <c r="AN846" i="2" s="1"/>
  <c r="AN847" i="2" s="1"/>
  <c r="AN848" i="2" s="1"/>
  <c r="AN849" i="2" s="1"/>
  <c r="AN850" i="2" s="1"/>
  <c r="AN851" i="2" s="1"/>
  <c r="AN852" i="2" s="1"/>
  <c r="AN853" i="2" s="1"/>
  <c r="AN854" i="2" s="1"/>
  <c r="AN855" i="2" s="1"/>
  <c r="AN856" i="2" s="1"/>
  <c r="AN857" i="2" s="1"/>
  <c r="AN858" i="2" s="1"/>
  <c r="AN859" i="2" s="1"/>
  <c r="AN860" i="2" s="1"/>
  <c r="AN861" i="2" s="1"/>
  <c r="AN862" i="2" s="1"/>
  <c r="AN863" i="2" s="1"/>
  <c r="AN864" i="2" s="1"/>
  <c r="AN865" i="2" s="1"/>
  <c r="AN866" i="2" s="1"/>
  <c r="AN867" i="2" s="1"/>
  <c r="AN868" i="2" s="1"/>
  <c r="AN869" i="2" s="1"/>
  <c r="AN870" i="2" s="1"/>
  <c r="AN871" i="2" s="1"/>
  <c r="AN872" i="2" s="1"/>
  <c r="AN873" i="2" s="1"/>
  <c r="AN874" i="2" s="1"/>
  <c r="AN875" i="2" s="1"/>
  <c r="AN876" i="2" s="1"/>
  <c r="AN877" i="2" s="1"/>
  <c r="AN878" i="2" s="1"/>
  <c r="AN879" i="2" s="1"/>
  <c r="AN880" i="2" s="1"/>
  <c r="AN881" i="2" s="1"/>
  <c r="AN882" i="2" s="1"/>
  <c r="AN883" i="2" s="1"/>
  <c r="AN884" i="2" s="1"/>
  <c r="AN885" i="2" s="1"/>
  <c r="AN886" i="2" s="1"/>
  <c r="AN887" i="2" s="1"/>
  <c r="AN888" i="2" s="1"/>
  <c r="AN889" i="2" s="1"/>
  <c r="AN890" i="2" s="1"/>
  <c r="AN891" i="2" s="1"/>
  <c r="AN892" i="2" s="1"/>
  <c r="AN893" i="2" s="1"/>
  <c r="AN894" i="2" s="1"/>
  <c r="AN895" i="2" s="1"/>
  <c r="AN896" i="2" s="1"/>
  <c r="AN897" i="2" s="1"/>
  <c r="AN898" i="2" s="1"/>
  <c r="AN899" i="2" s="1"/>
  <c r="AN900" i="2" s="1"/>
  <c r="AN901" i="2" s="1"/>
  <c r="AN902" i="2" s="1"/>
  <c r="AN903" i="2" s="1"/>
  <c r="AN904" i="2" s="1"/>
  <c r="AN905" i="2" s="1"/>
  <c r="AN906" i="2" s="1"/>
  <c r="AN907" i="2" s="1"/>
  <c r="AN908" i="2" s="1"/>
  <c r="AN909" i="2" s="1"/>
  <c r="AN910" i="2" s="1"/>
  <c r="AN911" i="2" s="1"/>
  <c r="AN912" i="2" s="1"/>
  <c r="AN913" i="2" s="1"/>
  <c r="AN914" i="2" s="1"/>
  <c r="AN915" i="2" s="1"/>
  <c r="AN916" i="2" s="1"/>
  <c r="AN917" i="2" s="1"/>
  <c r="AN918" i="2" s="1"/>
  <c r="AN919" i="2" s="1"/>
  <c r="AN920" i="2" s="1"/>
  <c r="AN921" i="2" s="1"/>
  <c r="AN922" i="2" s="1"/>
  <c r="AN923" i="2" s="1"/>
  <c r="AN924" i="2" s="1"/>
  <c r="AN925" i="2" s="1"/>
  <c r="AN926" i="2" s="1"/>
  <c r="AN927" i="2" s="1"/>
  <c r="AN928" i="2" s="1"/>
  <c r="AN929" i="2" s="1"/>
  <c r="AN930" i="2" s="1"/>
  <c r="AN931" i="2" s="1"/>
  <c r="AN932" i="2" s="1"/>
  <c r="AN933" i="2" s="1"/>
  <c r="AN934" i="2" s="1"/>
  <c r="AN935" i="2" s="1"/>
  <c r="AN936" i="2" s="1"/>
  <c r="AN937" i="2" s="1"/>
  <c r="AN938" i="2" s="1"/>
  <c r="AN939" i="2" s="1"/>
  <c r="AN940" i="2" s="1"/>
  <c r="AN941" i="2" s="1"/>
  <c r="AN942" i="2" s="1"/>
  <c r="AN943" i="2" s="1"/>
  <c r="AN944" i="2" s="1"/>
  <c r="AN945" i="2" s="1"/>
  <c r="AN946" i="2" s="1"/>
  <c r="AN947" i="2" s="1"/>
  <c r="AN948" i="2" s="1"/>
  <c r="AN949" i="2" s="1"/>
  <c r="AN950" i="2" s="1"/>
  <c r="AN951" i="2" s="1"/>
  <c r="AN952" i="2" s="1"/>
  <c r="AN953" i="2" s="1"/>
  <c r="AN954" i="2" s="1"/>
  <c r="AN955" i="2" s="1"/>
  <c r="AN956" i="2" s="1"/>
  <c r="AN957" i="2" s="1"/>
  <c r="AN958" i="2" s="1"/>
  <c r="AN959" i="2" s="1"/>
  <c r="AN960" i="2" s="1"/>
  <c r="AN961" i="2" s="1"/>
  <c r="AN962" i="2" s="1"/>
  <c r="AN963" i="2" s="1"/>
  <c r="AN964" i="2" s="1"/>
  <c r="AN965" i="2" s="1"/>
  <c r="AN966" i="2" s="1"/>
  <c r="AN967" i="2" s="1"/>
  <c r="AN968" i="2" s="1"/>
  <c r="AN969" i="2" s="1"/>
  <c r="AN970" i="2" s="1"/>
  <c r="AN971" i="2" s="1"/>
  <c r="AN972" i="2" s="1"/>
  <c r="AN973" i="2" s="1"/>
  <c r="AN974" i="2" s="1"/>
  <c r="AN975" i="2" s="1"/>
  <c r="AN976" i="2" s="1"/>
  <c r="AN977" i="2" s="1"/>
  <c r="AN978" i="2" s="1"/>
  <c r="AN979" i="2" s="1"/>
  <c r="AN980" i="2" s="1"/>
  <c r="AN981" i="2" s="1"/>
  <c r="AN982" i="2" s="1"/>
  <c r="AN983" i="2" s="1"/>
  <c r="AN984" i="2" s="1"/>
  <c r="AN985" i="2" s="1"/>
  <c r="AN986" i="2" s="1"/>
  <c r="AN987" i="2" s="1"/>
  <c r="AN988" i="2" s="1"/>
  <c r="AN989" i="2" s="1"/>
  <c r="AN990" i="2" s="1"/>
  <c r="AN991" i="2" s="1"/>
  <c r="AN992" i="2" s="1"/>
  <c r="AN993" i="2" s="1"/>
  <c r="AN994" i="2" s="1"/>
  <c r="AN995" i="2" s="1"/>
  <c r="AN996" i="2" s="1"/>
  <c r="AN997" i="2" s="1"/>
  <c r="AN998" i="2" s="1"/>
  <c r="AN999" i="2" s="1"/>
  <c r="AN1000" i="2" s="1"/>
  <c r="AN1001" i="2" s="1"/>
  <c r="AN1002" i="2" s="1"/>
  <c r="AN1003" i="2" s="1"/>
  <c r="AN1004" i="2" s="1"/>
  <c r="AN1005" i="2" s="1"/>
  <c r="AN1006" i="2" s="1"/>
  <c r="AN1007" i="2" s="1"/>
  <c r="AN1008" i="2" s="1"/>
  <c r="AN1009" i="2" s="1"/>
  <c r="AN1010" i="2" s="1"/>
  <c r="AN1011" i="2" s="1"/>
  <c r="AN1012" i="2" s="1"/>
  <c r="AN1013" i="2" s="1"/>
  <c r="AN1014" i="2" s="1"/>
  <c r="AN1015" i="2" s="1"/>
  <c r="AN1016" i="2" s="1"/>
  <c r="AN1017" i="2" s="1"/>
  <c r="AN1018" i="2" s="1"/>
  <c r="AN1019" i="2" s="1"/>
  <c r="AN1020" i="2" s="1"/>
  <c r="AN1021" i="2" s="1"/>
  <c r="AN1022" i="2" s="1"/>
  <c r="AN1023" i="2" s="1"/>
  <c r="AN1024" i="2" s="1"/>
  <c r="AN1025" i="2" s="1"/>
  <c r="AN1026" i="2" s="1"/>
  <c r="AN1027" i="2" s="1"/>
  <c r="AN1028" i="2" s="1"/>
  <c r="AN1029" i="2" s="1"/>
  <c r="AN1030" i="2" s="1"/>
  <c r="AN1031" i="2" s="1"/>
  <c r="AN1032" i="2" s="1"/>
  <c r="AN1033" i="2" s="1"/>
  <c r="AN1034" i="2" s="1"/>
  <c r="AN1035" i="2" s="1"/>
  <c r="AN1036" i="2" s="1"/>
  <c r="AN1037" i="2" s="1"/>
  <c r="AN1038" i="2" s="1"/>
  <c r="AN1039" i="2" s="1"/>
  <c r="AN1040" i="2" s="1"/>
  <c r="AN1041" i="2" s="1"/>
  <c r="AN1042" i="2" s="1"/>
  <c r="AN1043" i="2" s="1"/>
  <c r="AN1044" i="2" s="1"/>
  <c r="AN1045" i="2" s="1"/>
  <c r="AN1046" i="2" s="1"/>
  <c r="AN1047" i="2" s="1"/>
  <c r="AN1048" i="2" s="1"/>
  <c r="AN1049" i="2" s="1"/>
  <c r="AN1050" i="2" s="1"/>
  <c r="AN1051" i="2" s="1"/>
  <c r="AN1052" i="2" s="1"/>
  <c r="AN1053" i="2" s="1"/>
  <c r="AN1054" i="2" s="1"/>
  <c r="AN1055" i="2" s="1"/>
  <c r="AN1056" i="2" s="1"/>
  <c r="AN1057" i="2" s="1"/>
  <c r="AN1058" i="2" s="1"/>
  <c r="AN1059" i="2" s="1"/>
  <c r="AN1060" i="2" s="1"/>
  <c r="AN1061" i="2" s="1"/>
  <c r="AN1062" i="2" s="1"/>
  <c r="AN1063" i="2" s="1"/>
  <c r="AN1064" i="2" s="1"/>
  <c r="AN1065" i="2" s="1"/>
  <c r="AN1066" i="2" s="1"/>
  <c r="AN1067" i="2" s="1"/>
  <c r="AN1068" i="2" s="1"/>
  <c r="AN1069" i="2" s="1"/>
  <c r="AN1070" i="2" s="1"/>
  <c r="AN1071" i="2" s="1"/>
  <c r="AN1072" i="2" s="1"/>
  <c r="AN1073" i="2" s="1"/>
  <c r="AN1074" i="2" s="1"/>
  <c r="AN1075" i="2" s="1"/>
  <c r="AN1076" i="2" s="1"/>
  <c r="AN1077" i="2" s="1"/>
  <c r="AN1078" i="2" s="1"/>
  <c r="AN1079" i="2" s="1"/>
  <c r="AN1080" i="2" s="1"/>
  <c r="AN1081" i="2" s="1"/>
  <c r="AN1082" i="2" s="1"/>
  <c r="AN1083" i="2" s="1"/>
  <c r="AN1084" i="2" s="1"/>
  <c r="AN1085" i="2" s="1"/>
  <c r="AN1086" i="2" s="1"/>
  <c r="AN1087" i="2" s="1"/>
  <c r="AN1088" i="2" s="1"/>
  <c r="AN1089" i="2" s="1"/>
  <c r="AN1090" i="2" s="1"/>
  <c r="AN1091" i="2" s="1"/>
  <c r="AN1092" i="2" s="1"/>
  <c r="AN1093" i="2" s="1"/>
  <c r="AN1094" i="2" s="1"/>
  <c r="AN1095" i="2" s="1"/>
  <c r="AN1096" i="2" s="1"/>
  <c r="AN1097" i="2" s="1"/>
  <c r="AN1098" i="2" s="1"/>
  <c r="AN1099" i="2" s="1"/>
  <c r="AN1100" i="2" s="1"/>
  <c r="AN1101" i="2" s="1"/>
  <c r="AN1102" i="2" s="1"/>
  <c r="AN1103" i="2" s="1"/>
  <c r="AN1104" i="2" s="1"/>
  <c r="AN1105" i="2" s="1"/>
  <c r="AN1106" i="2" s="1"/>
  <c r="AN1107" i="2" s="1"/>
  <c r="AN1108" i="2" s="1"/>
  <c r="AN1109" i="2" s="1"/>
  <c r="AN1110" i="2" s="1"/>
  <c r="AN1111" i="2" s="1"/>
  <c r="AN1112" i="2" s="1"/>
  <c r="AN1113" i="2" s="1"/>
  <c r="AN1114" i="2" s="1"/>
  <c r="AN1115" i="2" s="1"/>
  <c r="AN1116" i="2" s="1"/>
  <c r="AN1117" i="2" s="1"/>
  <c r="AN1118" i="2" s="1"/>
  <c r="AN1119" i="2" s="1"/>
  <c r="AN1120" i="2" s="1"/>
  <c r="AN1121" i="2" s="1"/>
  <c r="AN1122" i="2" s="1"/>
  <c r="AN1123" i="2" s="1"/>
  <c r="AN1124" i="2" s="1"/>
  <c r="AN1125" i="2" s="1"/>
  <c r="AN1126" i="2" s="1"/>
  <c r="AN1127" i="2" s="1"/>
  <c r="AN1128" i="2" s="1"/>
  <c r="AN1129" i="2" s="1"/>
  <c r="AN1130" i="2" s="1"/>
  <c r="AN1131" i="2" s="1"/>
  <c r="AN1132" i="2" s="1"/>
  <c r="AN1133" i="2" s="1"/>
  <c r="AN1134" i="2" s="1"/>
  <c r="AN1135" i="2" s="1"/>
  <c r="AN1136" i="2" s="1"/>
  <c r="AN1137" i="2" s="1"/>
  <c r="AN1138" i="2" s="1"/>
  <c r="AN1139" i="2" s="1"/>
  <c r="AN1140" i="2" s="1"/>
  <c r="AN1141" i="2" s="1"/>
  <c r="AN1142" i="2" s="1"/>
  <c r="AN1143" i="2" s="1"/>
  <c r="AN1144" i="2" s="1"/>
  <c r="AN1145" i="2" s="1"/>
  <c r="AN1146" i="2" s="1"/>
  <c r="AN1147" i="2" s="1"/>
  <c r="AN1148" i="2" s="1"/>
  <c r="AN1149" i="2" s="1"/>
  <c r="AN1150" i="2" s="1"/>
  <c r="AN1151" i="2" s="1"/>
  <c r="AN1152" i="2" s="1"/>
  <c r="AN1153" i="2" s="1"/>
  <c r="AN1154" i="2" s="1"/>
  <c r="AN1155" i="2" s="1"/>
  <c r="AN1156" i="2" s="1"/>
  <c r="AN1157" i="2" s="1"/>
  <c r="AN1158" i="2" s="1"/>
  <c r="AN1159" i="2" s="1"/>
  <c r="AN1160" i="2" s="1"/>
  <c r="AN1161" i="2" s="1"/>
  <c r="AN1162" i="2" s="1"/>
  <c r="AN1163" i="2" s="1"/>
  <c r="AN1164" i="2" s="1"/>
  <c r="AN1165" i="2" s="1"/>
  <c r="AN1166" i="2" s="1"/>
  <c r="AN1167" i="2" s="1"/>
  <c r="AN1168" i="2" s="1"/>
  <c r="AN1169" i="2" s="1"/>
  <c r="AN1170" i="2" s="1"/>
  <c r="AN1171" i="2" s="1"/>
  <c r="AN1172" i="2" s="1"/>
  <c r="AN1173" i="2" s="1"/>
  <c r="AN1174" i="2" s="1"/>
  <c r="AN1175" i="2" s="1"/>
  <c r="AN1176" i="2" s="1"/>
  <c r="AN1177" i="2" s="1"/>
  <c r="AN1178" i="2" s="1"/>
  <c r="AN1179" i="2" s="1"/>
  <c r="AN1180" i="2" s="1"/>
  <c r="AN1181" i="2" s="1"/>
  <c r="AN1182" i="2" s="1"/>
  <c r="AN1183" i="2" s="1"/>
  <c r="AN1184" i="2" s="1"/>
  <c r="AN1185" i="2" s="1"/>
  <c r="AN1186" i="2" s="1"/>
  <c r="AN1187" i="2" s="1"/>
  <c r="AN1188" i="2" s="1"/>
  <c r="AN1189" i="2" s="1"/>
  <c r="AN1190" i="2" s="1"/>
  <c r="AN1191" i="2" s="1"/>
  <c r="AN1192" i="2" s="1"/>
  <c r="AN1193" i="2" s="1"/>
  <c r="AN1194" i="2" s="1"/>
  <c r="AN1195" i="2" s="1"/>
  <c r="AN1196" i="2" s="1"/>
  <c r="AN1197" i="2" s="1"/>
  <c r="AN1198" i="2" s="1"/>
  <c r="AN1199" i="2" s="1"/>
  <c r="AN1200" i="2" s="1"/>
  <c r="AN1201" i="2" s="1"/>
  <c r="AN1202" i="2" s="1"/>
  <c r="AN1203" i="2" s="1"/>
  <c r="AN1204" i="2" s="1"/>
  <c r="AN1205" i="2" s="1"/>
  <c r="AN1206" i="2" s="1"/>
  <c r="AN1207" i="2" s="1"/>
  <c r="AN1208" i="2" s="1"/>
  <c r="AN1209" i="2" s="1"/>
  <c r="AN1210" i="2" s="1"/>
  <c r="AN1211" i="2" s="1"/>
  <c r="AN1212" i="2" s="1"/>
  <c r="AN1213" i="2" s="1"/>
  <c r="AN1214" i="2" s="1"/>
  <c r="AN1215" i="2" s="1"/>
  <c r="AN1216" i="2" s="1"/>
  <c r="AN1217" i="2" s="1"/>
  <c r="AN1218" i="2" s="1"/>
  <c r="AN1219" i="2" s="1"/>
  <c r="AN1220" i="2" s="1"/>
  <c r="AN1221" i="2" s="1"/>
  <c r="AN1222" i="2" s="1"/>
  <c r="AN1223" i="2" s="1"/>
  <c r="AN1224" i="2" s="1"/>
  <c r="AN1225" i="2" s="1"/>
  <c r="AN1226" i="2" s="1"/>
  <c r="AN1227" i="2" s="1"/>
  <c r="AN1228" i="2" s="1"/>
  <c r="AN1229" i="2" s="1"/>
  <c r="AN1230" i="2" s="1"/>
  <c r="AN1231" i="2" s="1"/>
  <c r="AN1232" i="2" s="1"/>
  <c r="AN1233" i="2" s="1"/>
  <c r="AN1234" i="2" s="1"/>
  <c r="AN1235" i="2" s="1"/>
  <c r="AN1236" i="2" s="1"/>
  <c r="AN1237" i="2" s="1"/>
  <c r="AN1238" i="2" s="1"/>
  <c r="AN1239" i="2" s="1"/>
  <c r="AN1240" i="2" s="1"/>
  <c r="AN1241" i="2" s="1"/>
  <c r="AN1242" i="2" s="1"/>
  <c r="AN1243" i="2" s="1"/>
  <c r="AN1244" i="2" s="1"/>
  <c r="AN1245" i="2" s="1"/>
  <c r="AN1246" i="2" s="1"/>
  <c r="AN1247" i="2" s="1"/>
  <c r="AN1248" i="2" s="1"/>
  <c r="AN1249" i="2" s="1"/>
  <c r="AN1250" i="2" s="1"/>
  <c r="AN1251" i="2" s="1"/>
  <c r="AN1252" i="2" s="1"/>
  <c r="AN1253" i="2" s="1"/>
  <c r="AN1254" i="2" s="1"/>
  <c r="AN1255" i="2" s="1"/>
  <c r="AN1256" i="2" s="1"/>
  <c r="AN1257" i="2" s="1"/>
  <c r="AN1258" i="2" s="1"/>
  <c r="AN1259" i="2" s="1"/>
  <c r="AN1260" i="2" s="1"/>
  <c r="AN1261" i="2" s="1"/>
  <c r="AN1262" i="2" s="1"/>
  <c r="AN1263" i="2" s="1"/>
  <c r="AN1264" i="2" s="1"/>
  <c r="AN1265" i="2" s="1"/>
  <c r="AN1266" i="2" s="1"/>
  <c r="AN1267" i="2" s="1"/>
  <c r="AN1268" i="2" s="1"/>
  <c r="AN1269" i="2" s="1"/>
  <c r="AN1270" i="2" s="1"/>
  <c r="AN1271" i="2" s="1"/>
  <c r="AN1272" i="2" s="1"/>
  <c r="AN1273" i="2" s="1"/>
  <c r="AN1274" i="2" s="1"/>
  <c r="AN1275" i="2" s="1"/>
  <c r="AN1276" i="2" s="1"/>
  <c r="AN1277" i="2" s="1"/>
  <c r="AN1278" i="2" s="1"/>
  <c r="AN1279" i="2" s="1"/>
  <c r="AN1280" i="2" s="1"/>
  <c r="AN1281" i="2" s="1"/>
  <c r="AN1282" i="2" s="1"/>
  <c r="AN1283" i="2" s="1"/>
  <c r="AN1284" i="2" s="1"/>
  <c r="AN1285" i="2" s="1"/>
  <c r="AN1286" i="2" s="1"/>
  <c r="AN1287" i="2" s="1"/>
  <c r="AN1288" i="2" s="1"/>
  <c r="AN1289" i="2" s="1"/>
  <c r="AN1290" i="2" s="1"/>
  <c r="AN1291" i="2" s="1"/>
  <c r="AN1292" i="2" s="1"/>
  <c r="AN1293" i="2" s="1"/>
  <c r="AN1294" i="2" s="1"/>
  <c r="AN1295" i="2" s="1"/>
  <c r="AN1296" i="2" s="1"/>
  <c r="AN1297" i="2" s="1"/>
  <c r="AN1298" i="2" s="1"/>
  <c r="AN1299" i="2" s="1"/>
  <c r="AN1300" i="2" s="1"/>
  <c r="AN1301" i="2" s="1"/>
  <c r="AN1302" i="2" s="1"/>
  <c r="AN1303" i="2" s="1"/>
  <c r="AN1304" i="2" s="1"/>
  <c r="AN1305" i="2" s="1"/>
  <c r="AN1306" i="2" s="1"/>
  <c r="AN1307" i="2" s="1"/>
  <c r="AN1308" i="2" s="1"/>
  <c r="AN1309" i="2" s="1"/>
  <c r="AN1310" i="2" s="1"/>
  <c r="AN1311" i="2" s="1"/>
  <c r="AN1312" i="2" s="1"/>
  <c r="AN1313" i="2" s="1"/>
  <c r="AN1314" i="2" s="1"/>
  <c r="AN1315" i="2" s="1"/>
  <c r="AN1316" i="2" s="1"/>
  <c r="AN1317" i="2" s="1"/>
  <c r="AN1318" i="2" s="1"/>
  <c r="AN1319" i="2" s="1"/>
  <c r="AN1320" i="2" s="1"/>
  <c r="AN1321" i="2" s="1"/>
  <c r="AN1322" i="2" s="1"/>
  <c r="AN1323" i="2" s="1"/>
  <c r="AN1324" i="2" s="1"/>
  <c r="AN1325" i="2" s="1"/>
  <c r="AN1326" i="2" s="1"/>
  <c r="AN1327" i="2" s="1"/>
  <c r="AN1328" i="2" s="1"/>
  <c r="AN1329" i="2" s="1"/>
  <c r="AN1330" i="2" s="1"/>
  <c r="AN1331" i="2" s="1"/>
  <c r="AN1332" i="2" s="1"/>
  <c r="AN1333" i="2" s="1"/>
  <c r="AN1334" i="2" s="1"/>
  <c r="AN1335" i="2" s="1"/>
  <c r="AN1336" i="2" s="1"/>
  <c r="AN1337" i="2" s="1"/>
  <c r="AN1338" i="2" s="1"/>
  <c r="AN1339" i="2" s="1"/>
  <c r="AN1340" i="2" s="1"/>
  <c r="AN1341" i="2" s="1"/>
  <c r="AN1342" i="2" s="1"/>
  <c r="AN1343" i="2" s="1"/>
  <c r="AN1344" i="2" s="1"/>
  <c r="AN1345" i="2" s="1"/>
  <c r="AN1346" i="2" s="1"/>
  <c r="AN1347" i="2" s="1"/>
  <c r="AN1348" i="2" s="1"/>
  <c r="AN1349" i="2" s="1"/>
  <c r="AN1350" i="2" s="1"/>
  <c r="AN1351" i="2" s="1"/>
  <c r="AN1352" i="2" s="1"/>
  <c r="AN1353" i="2" s="1"/>
  <c r="AN1354" i="2" s="1"/>
  <c r="AN1355" i="2" s="1"/>
  <c r="AN1356" i="2" s="1"/>
  <c r="AN1357" i="2" s="1"/>
  <c r="AN1358" i="2" s="1"/>
  <c r="AN1359" i="2" s="1"/>
  <c r="AN1360" i="2" s="1"/>
  <c r="AN1361" i="2" s="1"/>
  <c r="AN1362" i="2" s="1"/>
  <c r="AN1363" i="2" s="1"/>
  <c r="AN1364" i="2" s="1"/>
  <c r="AN1365" i="2" s="1"/>
  <c r="AN1366" i="2" s="1"/>
  <c r="AN1367" i="2" s="1"/>
  <c r="AN1368" i="2" s="1"/>
  <c r="AN1369" i="2" s="1"/>
  <c r="AN1370" i="2" s="1"/>
  <c r="AN1371" i="2" s="1"/>
  <c r="AN1372" i="2" s="1"/>
  <c r="AN1373" i="2" s="1"/>
  <c r="AN1374" i="2" s="1"/>
  <c r="AN1375" i="2" s="1"/>
  <c r="AN1376" i="2" s="1"/>
  <c r="AN1377" i="2" s="1"/>
  <c r="AN1378" i="2" s="1"/>
  <c r="AN1379" i="2" s="1"/>
  <c r="AN1380" i="2" s="1"/>
  <c r="AN1381" i="2" s="1"/>
  <c r="AN1382" i="2" s="1"/>
  <c r="AN1383" i="2" s="1"/>
  <c r="AN1384" i="2" s="1"/>
  <c r="AN1385" i="2" s="1"/>
  <c r="AN1386" i="2" s="1"/>
  <c r="AN1387" i="2" s="1"/>
  <c r="AN1388" i="2" s="1"/>
  <c r="AN1389" i="2" s="1"/>
  <c r="AN1390" i="2" s="1"/>
  <c r="AN1391" i="2" s="1"/>
  <c r="AN1392" i="2" s="1"/>
  <c r="AN1393" i="2" s="1"/>
  <c r="AN1394" i="2" s="1"/>
  <c r="AN1395" i="2" s="1"/>
  <c r="AN1396" i="2" s="1"/>
  <c r="AN1397" i="2" s="1"/>
  <c r="AN1398" i="2" s="1"/>
  <c r="AN1399" i="2" s="1"/>
  <c r="AN1400" i="2" s="1"/>
  <c r="AN1401" i="2" s="1"/>
  <c r="AN1402" i="2" s="1"/>
  <c r="AN1403" i="2" s="1"/>
  <c r="AN1404" i="2" s="1"/>
  <c r="AN1405" i="2" s="1"/>
  <c r="AN1406" i="2" s="1"/>
  <c r="AN1407" i="2" s="1"/>
  <c r="AN1408" i="2" s="1"/>
  <c r="AN1409" i="2" s="1"/>
  <c r="AN1410" i="2" s="1"/>
  <c r="AN1411" i="2" s="1"/>
  <c r="AN1412" i="2" s="1"/>
  <c r="AN1413" i="2" s="1"/>
  <c r="AN1414" i="2" s="1"/>
  <c r="AN1415" i="2" s="1"/>
  <c r="AN1416" i="2" s="1"/>
  <c r="AN1417" i="2" s="1"/>
  <c r="AN1418" i="2" s="1"/>
  <c r="AN1419" i="2" s="1"/>
  <c r="AN1420" i="2" s="1"/>
  <c r="AN1421" i="2" s="1"/>
  <c r="AN1422" i="2" s="1"/>
  <c r="AN1423" i="2" s="1"/>
  <c r="AN1424" i="2" s="1"/>
  <c r="AN1425" i="2" s="1"/>
  <c r="AN1426" i="2" s="1"/>
  <c r="AN1427" i="2" s="1"/>
  <c r="AN1428" i="2" s="1"/>
  <c r="AN1429" i="2" s="1"/>
  <c r="AN1430" i="2" s="1"/>
  <c r="AN1431" i="2" s="1"/>
  <c r="AN1432" i="2" s="1"/>
  <c r="AN1433" i="2" s="1"/>
  <c r="AN1434" i="2" s="1"/>
  <c r="AN1435" i="2" s="1"/>
  <c r="AN1436" i="2" s="1"/>
  <c r="AN1437" i="2" s="1"/>
  <c r="AN1438" i="2" s="1"/>
  <c r="AN1439" i="2" s="1"/>
  <c r="AN1440" i="2" s="1"/>
  <c r="AN1441" i="2" s="1"/>
  <c r="AN1442" i="2" s="1"/>
  <c r="AN1443" i="2" s="1"/>
  <c r="AN1444" i="2" s="1"/>
  <c r="AN1445" i="2" s="1"/>
  <c r="AN1446" i="2" s="1"/>
  <c r="AN1447" i="2" s="1"/>
  <c r="AN1448" i="2" s="1"/>
  <c r="AN1449" i="2" s="1"/>
  <c r="AN1450" i="2" s="1"/>
  <c r="AN1451" i="2" s="1"/>
  <c r="AN1452" i="2" s="1"/>
  <c r="AN1453" i="2" s="1"/>
  <c r="AN1454" i="2" s="1"/>
  <c r="AN1455" i="2" s="1"/>
  <c r="AN1456" i="2" s="1"/>
  <c r="AN1457" i="2" s="1"/>
  <c r="AN1458" i="2" s="1"/>
  <c r="AN1459" i="2" s="1"/>
  <c r="AN1460" i="2" s="1"/>
  <c r="AN1461" i="2" s="1"/>
  <c r="AN1462" i="2" s="1"/>
  <c r="AN1463" i="2" s="1"/>
  <c r="AN1464" i="2" s="1"/>
  <c r="AN1465" i="2" s="1"/>
  <c r="AN1466" i="2" s="1"/>
  <c r="AN1467" i="2" s="1"/>
  <c r="AN1468" i="2" s="1"/>
  <c r="AN1469" i="2" s="1"/>
  <c r="AN1470" i="2" s="1"/>
  <c r="AN1471" i="2" s="1"/>
  <c r="AN1472" i="2" s="1"/>
  <c r="AN1473" i="2" s="1"/>
  <c r="AN1474" i="2" s="1"/>
  <c r="AN1475" i="2" s="1"/>
  <c r="AN1476" i="2" s="1"/>
  <c r="AN1477" i="2" s="1"/>
  <c r="AN1478" i="2" s="1"/>
  <c r="AN1479" i="2" s="1"/>
  <c r="AN1480" i="2" s="1"/>
  <c r="AN1481" i="2" s="1"/>
  <c r="AN1482" i="2" s="1"/>
  <c r="AN1483" i="2" s="1"/>
  <c r="AN1484" i="2" s="1"/>
  <c r="AN1485" i="2" s="1"/>
  <c r="AN1486" i="2" s="1"/>
  <c r="AN1487" i="2" s="1"/>
  <c r="AN1488" i="2" s="1"/>
  <c r="AN1489" i="2" s="1"/>
  <c r="AN1490" i="2" s="1"/>
  <c r="AN1491" i="2" s="1"/>
  <c r="AN1492" i="2" s="1"/>
  <c r="AN1493" i="2" s="1"/>
  <c r="AN1494" i="2" s="1"/>
  <c r="AN1495" i="2" s="1"/>
  <c r="AN1496" i="2" s="1"/>
  <c r="AN1497" i="2" s="1"/>
  <c r="AN1498" i="2" s="1"/>
  <c r="AN1499" i="2" s="1"/>
  <c r="AN1500" i="2" s="1"/>
  <c r="AN1501" i="2" s="1"/>
  <c r="AN1502" i="2" s="1"/>
  <c r="AN1503" i="2" s="1"/>
  <c r="AN1504" i="2" s="1"/>
  <c r="AN1505" i="2" s="1"/>
  <c r="AN1506" i="2" s="1"/>
  <c r="AN1507" i="2" s="1"/>
  <c r="AN1508" i="2" s="1"/>
  <c r="AN1509" i="2" s="1"/>
  <c r="AN1510" i="2" s="1"/>
  <c r="AN1511" i="2" s="1"/>
  <c r="AN1512" i="2" s="1"/>
  <c r="AN1513" i="2" s="1"/>
  <c r="AN1514" i="2" s="1"/>
  <c r="AN1515" i="2" s="1"/>
  <c r="AN1516" i="2" s="1"/>
  <c r="AN1517" i="2" s="1"/>
  <c r="AN1518" i="2" s="1"/>
  <c r="AN1519" i="2" s="1"/>
  <c r="AN1520" i="2" s="1"/>
  <c r="AN1521" i="2" s="1"/>
  <c r="AN1522" i="2" s="1"/>
  <c r="AN1523" i="2" s="1"/>
  <c r="AN1524" i="2" s="1"/>
  <c r="AN1525" i="2" s="1"/>
  <c r="AN1526" i="2" s="1"/>
  <c r="AN1527" i="2" s="1"/>
  <c r="AN1528" i="2" s="1"/>
  <c r="AN1529" i="2" s="1"/>
  <c r="AN1530" i="2" s="1"/>
  <c r="AN1531" i="2" s="1"/>
  <c r="AN1532" i="2" s="1"/>
  <c r="AN1533" i="2" s="1"/>
  <c r="AN1534" i="2" s="1"/>
  <c r="AN1535" i="2" s="1"/>
  <c r="AN1536" i="2" s="1"/>
  <c r="AN1537" i="2" s="1"/>
  <c r="AN1538" i="2" s="1"/>
  <c r="AN1539" i="2" s="1"/>
  <c r="AN1540" i="2" s="1"/>
  <c r="AN1541" i="2" s="1"/>
  <c r="AN1542" i="2" s="1"/>
  <c r="AN1543" i="2" s="1"/>
  <c r="AN1544" i="2" s="1"/>
  <c r="AN1545" i="2" s="1"/>
  <c r="AN1546" i="2" s="1"/>
  <c r="AN1547" i="2" s="1"/>
  <c r="AN1548" i="2" s="1"/>
  <c r="AN1549" i="2" s="1"/>
  <c r="AN1550" i="2" s="1"/>
  <c r="AN1551" i="2" s="1"/>
  <c r="AN1552" i="2" s="1"/>
  <c r="AN1553" i="2" s="1"/>
  <c r="AN1554" i="2" s="1"/>
  <c r="AN1555" i="2" s="1"/>
  <c r="AN1556" i="2" s="1"/>
  <c r="AN1557" i="2" s="1"/>
  <c r="AN1558" i="2" s="1"/>
  <c r="AN1559" i="2" s="1"/>
  <c r="AN1560" i="2" s="1"/>
  <c r="AN1561" i="2" s="1"/>
  <c r="AN1562" i="2" s="1"/>
  <c r="AN1563" i="2" s="1"/>
  <c r="AN1564" i="2" s="1"/>
  <c r="AN1565" i="2" s="1"/>
  <c r="AN1566" i="2" s="1"/>
  <c r="AN1567" i="2" s="1"/>
  <c r="AN1568" i="2" s="1"/>
  <c r="AN1569" i="2" s="1"/>
  <c r="AN1570" i="2" s="1"/>
  <c r="AN1571" i="2" s="1"/>
  <c r="AN1572" i="2" s="1"/>
  <c r="AN1573" i="2" s="1"/>
  <c r="AN1574" i="2" s="1"/>
  <c r="AN1575" i="2" s="1"/>
  <c r="AN1576" i="2" s="1"/>
  <c r="AN1577" i="2" s="1"/>
  <c r="AN1578" i="2" s="1"/>
  <c r="AN1579" i="2" s="1"/>
  <c r="AN1580" i="2" s="1"/>
  <c r="AN1581" i="2" s="1"/>
  <c r="AN1582" i="2" s="1"/>
  <c r="AN1583" i="2" s="1"/>
  <c r="AN1584" i="2" s="1"/>
  <c r="AN1585" i="2" s="1"/>
  <c r="AN1586" i="2" s="1"/>
  <c r="AN1587" i="2" s="1"/>
  <c r="AN1588" i="2" s="1"/>
  <c r="AN1589" i="2" s="1"/>
  <c r="AN1590" i="2" s="1"/>
  <c r="AN1591" i="2" s="1"/>
  <c r="AN1592" i="2" s="1"/>
  <c r="AN1593" i="2" s="1"/>
  <c r="AN1594" i="2" s="1"/>
  <c r="AN1595" i="2" s="1"/>
  <c r="AN1596" i="2" s="1"/>
  <c r="AN1597" i="2" s="1"/>
  <c r="AN1598" i="2" s="1"/>
  <c r="AN1599" i="2" s="1"/>
  <c r="AN1600" i="2" s="1"/>
  <c r="AN1601" i="2" s="1"/>
  <c r="AN1602" i="2" s="1"/>
  <c r="AN1603" i="2" s="1"/>
  <c r="AN1604" i="2" s="1"/>
  <c r="AN1605" i="2" s="1"/>
  <c r="AN1606" i="2" s="1"/>
  <c r="AN1607" i="2" s="1"/>
  <c r="AN1608" i="2" s="1"/>
  <c r="AN1609" i="2" s="1"/>
  <c r="AN1610" i="2" s="1"/>
  <c r="AN1611" i="2" s="1"/>
  <c r="AN1612" i="2" s="1"/>
  <c r="AN1613" i="2" s="1"/>
  <c r="AN1614" i="2" s="1"/>
  <c r="AN1615" i="2" s="1"/>
  <c r="AN1616" i="2" s="1"/>
  <c r="AN1617" i="2" s="1"/>
  <c r="AN1618" i="2" s="1"/>
  <c r="AN1619" i="2" s="1"/>
  <c r="AN1620" i="2" s="1"/>
  <c r="AN1621" i="2" s="1"/>
  <c r="AN1622" i="2" s="1"/>
  <c r="AN1623" i="2" s="1"/>
  <c r="AN1624" i="2" s="1"/>
  <c r="AN1625" i="2" s="1"/>
  <c r="AN1626" i="2" s="1"/>
  <c r="AN1627" i="2" s="1"/>
  <c r="AN1628" i="2" s="1"/>
  <c r="AN1629" i="2" s="1"/>
  <c r="AN1630" i="2" s="1"/>
  <c r="AN1631" i="2" s="1"/>
  <c r="AN1632" i="2" s="1"/>
  <c r="AN1633" i="2" s="1"/>
  <c r="AN1634" i="2" s="1"/>
  <c r="AN1635" i="2" s="1"/>
  <c r="AN1636" i="2" s="1"/>
  <c r="AN1637" i="2" s="1"/>
  <c r="AN1638" i="2" s="1"/>
  <c r="AN1639" i="2" s="1"/>
  <c r="AN1640" i="2" s="1"/>
  <c r="AN1641" i="2" s="1"/>
  <c r="AN1642" i="2" s="1"/>
  <c r="AN1643" i="2" s="1"/>
  <c r="AN1644" i="2" s="1"/>
  <c r="AN1645" i="2" s="1"/>
  <c r="AN1646" i="2" s="1"/>
  <c r="AN1647" i="2" s="1"/>
  <c r="AN1648" i="2" s="1"/>
  <c r="AN1649" i="2" s="1"/>
  <c r="AN1650" i="2" s="1"/>
  <c r="AN1651" i="2" s="1"/>
  <c r="AN1652" i="2" s="1"/>
  <c r="AN1653" i="2" s="1"/>
  <c r="AN1654" i="2" s="1"/>
  <c r="AN1655" i="2" s="1"/>
  <c r="AN1656" i="2" s="1"/>
  <c r="AN1657" i="2" s="1"/>
  <c r="AN1658" i="2" s="1"/>
  <c r="AN1659" i="2" s="1"/>
  <c r="AN1660" i="2" s="1"/>
  <c r="AN1661" i="2" s="1"/>
  <c r="AN1662" i="2" s="1"/>
  <c r="AN1663" i="2" s="1"/>
  <c r="AN1664" i="2" s="1"/>
  <c r="AN1665" i="2" s="1"/>
  <c r="AN1666" i="2" s="1"/>
  <c r="AN1667" i="2" s="1"/>
  <c r="AN1668" i="2" s="1"/>
  <c r="AN1669" i="2" s="1"/>
  <c r="AN1670" i="2" s="1"/>
  <c r="AN1671" i="2" s="1"/>
  <c r="AN1672" i="2" s="1"/>
  <c r="AN1673" i="2" s="1"/>
  <c r="AN1674" i="2" s="1"/>
  <c r="AN1675" i="2" s="1"/>
  <c r="AN1676" i="2" s="1"/>
  <c r="AN1677" i="2" s="1"/>
  <c r="AN1678" i="2" s="1"/>
  <c r="AN1679" i="2" s="1"/>
  <c r="AN1680" i="2" s="1"/>
  <c r="AN1681" i="2" s="1"/>
  <c r="AN1682" i="2" s="1"/>
  <c r="AN1683" i="2" s="1"/>
  <c r="AN1684" i="2" s="1"/>
  <c r="AN1685" i="2" s="1"/>
  <c r="AN1686" i="2" s="1"/>
  <c r="AN1687" i="2" s="1"/>
  <c r="AN1688" i="2" s="1"/>
  <c r="AN9" i="2" l="1"/>
  <c r="AN1689" i="2"/>
  <c r="AQ169" i="2"/>
  <c r="AO169" i="2"/>
  <c r="AO170" i="2" l="1"/>
  <c r="AQ170" i="2"/>
  <c r="AP10" i="2"/>
  <c r="AN10" i="2"/>
  <c r="AN11" i="2" l="1"/>
  <c r="AN12" i="2" s="1"/>
  <c r="AN13" i="2" s="1"/>
  <c r="AN14" i="2" s="1"/>
  <c r="AN15" i="2" s="1"/>
  <c r="AN16" i="2" s="1"/>
  <c r="AN17" i="2" s="1"/>
  <c r="AN18" i="2" s="1"/>
  <c r="AN19" i="2" s="1"/>
  <c r="AN20" i="2" s="1"/>
  <c r="AN21" i="2" s="1"/>
  <c r="AN22" i="2" s="1"/>
  <c r="AN23" i="2" s="1"/>
  <c r="AN24" i="2" s="1"/>
  <c r="AN25" i="2" s="1"/>
  <c r="AN26" i="2" s="1"/>
  <c r="AN27" i="2" s="1"/>
  <c r="AN28" i="2" s="1"/>
  <c r="AN29" i="2" s="1"/>
  <c r="AN30" i="2" s="1"/>
  <c r="AN31" i="2" s="1"/>
  <c r="AN32" i="2" s="1"/>
  <c r="AN33" i="2" s="1"/>
  <c r="AN34" i="2" s="1"/>
  <c r="AN35" i="2" s="1"/>
  <c r="AN36" i="2" s="1"/>
  <c r="AN37" i="2" s="1"/>
  <c r="AN38" i="2" s="1"/>
  <c r="AN39" i="2" s="1"/>
  <c r="AN40" i="2" s="1"/>
  <c r="AN41" i="2" s="1"/>
  <c r="AN42" i="2" s="1"/>
  <c r="AN43" i="2" s="1"/>
  <c r="AN44" i="2" s="1"/>
  <c r="AN45" i="2" s="1"/>
  <c r="AN46" i="2" s="1"/>
  <c r="AN47" i="2" s="1"/>
  <c r="AN48" i="2" s="1"/>
  <c r="AN49" i="2" s="1"/>
  <c r="AN50" i="2" s="1"/>
  <c r="AN51" i="2" s="1"/>
  <c r="AN52" i="2" s="1"/>
  <c r="AN53" i="2" s="1"/>
  <c r="AN54" i="2" s="1"/>
  <c r="AN55" i="2" s="1"/>
  <c r="AN56" i="2" s="1"/>
  <c r="AN57" i="2" s="1"/>
  <c r="AN58" i="2" s="1"/>
  <c r="AN59" i="2" s="1"/>
  <c r="AN60" i="2" s="1"/>
  <c r="AN61" i="2" s="1"/>
  <c r="AN62" i="2" s="1"/>
  <c r="AN63" i="2" s="1"/>
  <c r="AN64" i="2" s="1"/>
  <c r="AN65" i="2" s="1"/>
  <c r="AN66" i="2" s="1"/>
  <c r="AN67" i="2" s="1"/>
  <c r="AN68" i="2" s="1"/>
  <c r="AN69" i="2" s="1"/>
  <c r="AN70" i="2" s="1"/>
  <c r="AN71" i="2" s="1"/>
  <c r="AN72" i="2" s="1"/>
  <c r="AN73" i="2" s="1"/>
  <c r="AN74" i="2" s="1"/>
  <c r="AN75" i="2" s="1"/>
  <c r="AN76" i="2" s="1"/>
  <c r="AN77" i="2" s="1"/>
  <c r="AN78" i="2" s="1"/>
  <c r="AN79" i="2" s="1"/>
  <c r="AN80" i="2" s="1"/>
  <c r="AN81" i="2" s="1"/>
  <c r="AN82" i="2" s="1"/>
  <c r="AN83" i="2" s="1"/>
  <c r="AN84" i="2" s="1"/>
  <c r="AN85" i="2" s="1"/>
  <c r="AN86" i="2" s="1"/>
  <c r="AN87" i="2" s="1"/>
  <c r="AN88" i="2" s="1"/>
  <c r="AN89" i="2" s="1"/>
  <c r="AN90" i="2" s="1"/>
  <c r="AN91" i="2" s="1"/>
  <c r="AN92" i="2" s="1"/>
  <c r="AN93" i="2" s="1"/>
  <c r="AN94" i="2" s="1"/>
  <c r="AN95" i="2" s="1"/>
  <c r="AN96" i="2" s="1"/>
  <c r="AN97" i="2" s="1"/>
  <c r="AN98" i="2" s="1"/>
  <c r="AN99" i="2" s="1"/>
  <c r="AN100" i="2" s="1"/>
  <c r="AN101" i="2" s="1"/>
  <c r="AN102" i="2" s="1"/>
  <c r="AN103" i="2" s="1"/>
  <c r="AN104" i="2" s="1"/>
  <c r="AN105" i="2" s="1"/>
  <c r="AN106" i="2" s="1"/>
  <c r="AN107" i="2" s="1"/>
  <c r="AN108" i="2" s="1"/>
  <c r="AN109" i="2" s="1"/>
  <c r="AN110" i="2" s="1"/>
  <c r="AN111" i="2" s="1"/>
  <c r="AN112" i="2" s="1"/>
  <c r="AN113" i="2" s="1"/>
  <c r="AN114" i="2" s="1"/>
  <c r="AN115" i="2" s="1"/>
  <c r="AN116" i="2" s="1"/>
  <c r="AN117" i="2" s="1"/>
  <c r="AN118" i="2" s="1"/>
  <c r="AN119" i="2" s="1"/>
  <c r="AN120" i="2" s="1"/>
  <c r="AN121" i="2" s="1"/>
  <c r="AN122" i="2" s="1"/>
  <c r="AN123" i="2" s="1"/>
  <c r="AN124" i="2" s="1"/>
  <c r="AN125" i="2" s="1"/>
  <c r="AN126" i="2" s="1"/>
  <c r="AN127" i="2" s="1"/>
  <c r="AN128" i="2" s="1"/>
  <c r="AN129" i="2" s="1"/>
  <c r="AN130" i="2" s="1"/>
  <c r="AN131" i="2" s="1"/>
  <c r="AN132" i="2" s="1"/>
  <c r="AN133" i="2" s="1"/>
  <c r="AN134" i="2" s="1"/>
  <c r="AN135" i="2" s="1"/>
  <c r="AN136" i="2" s="1"/>
  <c r="AN137" i="2" s="1"/>
  <c r="AN138" i="2" s="1"/>
  <c r="AN139" i="2" s="1"/>
  <c r="AN140" i="2" s="1"/>
  <c r="AN141" i="2" s="1"/>
  <c r="AN142" i="2" s="1"/>
  <c r="AN143" i="2" s="1"/>
  <c r="AN144" i="2" s="1"/>
  <c r="AN145" i="2" s="1"/>
  <c r="AN146" i="2" s="1"/>
  <c r="AN147" i="2" s="1"/>
  <c r="AN148" i="2" s="1"/>
  <c r="AN149" i="2" s="1"/>
  <c r="AN150" i="2" s="1"/>
  <c r="AN151" i="2" s="1"/>
  <c r="AN152" i="2" s="1"/>
  <c r="AN153" i="2" s="1"/>
  <c r="AN154" i="2" s="1"/>
  <c r="AN155" i="2" s="1"/>
  <c r="AN156" i="2" s="1"/>
  <c r="AN157" i="2" s="1"/>
  <c r="AN158" i="2" s="1"/>
  <c r="AN159" i="2" s="1"/>
  <c r="AN160" i="2" s="1"/>
  <c r="AN161" i="2" s="1"/>
  <c r="AO171" i="2"/>
  <c r="AQ171" i="2"/>
  <c r="AO172" i="2" l="1"/>
  <c r="AQ172" i="2"/>
  <c r="AQ173" i="2" l="1"/>
  <c r="AO173" i="2"/>
  <c r="AO174" i="2" l="1"/>
  <c r="AQ174" i="2"/>
  <c r="AQ175" i="2" l="1"/>
  <c r="AO175" i="2"/>
  <c r="AQ176" i="2" l="1"/>
  <c r="AO176" i="2"/>
  <c r="AQ177" i="2" l="1"/>
  <c r="AO177" i="2"/>
  <c r="AQ178" i="2" l="1"/>
  <c r="AO178" i="2"/>
  <c r="AO179" i="2" l="1"/>
  <c r="AQ179" i="2"/>
  <c r="AQ180" i="2" l="1"/>
  <c r="AO180" i="2"/>
  <c r="AQ181" i="2" l="1"/>
  <c r="AO181" i="2"/>
  <c r="AO182" i="2" l="1"/>
  <c r="AQ182" i="2"/>
  <c r="AO183" i="2" l="1"/>
  <c r="AQ183" i="2"/>
  <c r="AQ184" i="2" l="1"/>
  <c r="AO184" i="2"/>
  <c r="AO185" i="2" l="1"/>
  <c r="AQ185" i="2"/>
  <c r="AQ186" i="2" l="1"/>
  <c r="AO186" i="2"/>
  <c r="AQ187" i="2" l="1"/>
  <c r="AO187" i="2"/>
  <c r="AO188" i="2" l="1"/>
  <c r="AQ188" i="2"/>
  <c r="AO189" i="2" l="1"/>
  <c r="AQ189" i="2"/>
  <c r="AO190" i="2" l="1"/>
  <c r="AQ190" i="2"/>
  <c r="AO191" i="2" l="1"/>
  <c r="AQ191" i="2"/>
  <c r="AO192" i="2" l="1"/>
  <c r="AQ192" i="2"/>
  <c r="AQ193" i="2" l="1"/>
  <c r="AO193" i="2"/>
  <c r="AO194" i="2" l="1"/>
  <c r="AQ194" i="2"/>
  <c r="AO195" i="2" l="1"/>
  <c r="AQ195" i="2"/>
  <c r="AQ196" i="2" l="1"/>
  <c r="AO196" i="2"/>
  <c r="AQ197" i="2" l="1"/>
  <c r="AO197" i="2"/>
  <c r="AQ198" i="2" l="1"/>
  <c r="AO198" i="2"/>
  <c r="AQ199" i="2" l="1"/>
  <c r="AO199" i="2"/>
  <c r="AQ200" i="2" l="1"/>
  <c r="AO200" i="2"/>
  <c r="AO201" i="2" l="1"/>
  <c r="AQ201" i="2"/>
  <c r="AQ202" i="2" l="1"/>
  <c r="AO202" i="2"/>
  <c r="AQ203" i="2" l="1"/>
  <c r="AO203" i="2"/>
  <c r="AQ204" i="2" l="1"/>
  <c r="AO204" i="2"/>
  <c r="AQ205" i="2" l="1"/>
  <c r="AO205" i="2"/>
  <c r="AQ206" i="2" l="1"/>
  <c r="AO206" i="2"/>
  <c r="AQ207" i="2" l="1"/>
  <c r="AO207" i="2"/>
  <c r="AQ208" i="2" l="1"/>
  <c r="AO208" i="2"/>
  <c r="AO209" i="2" l="1"/>
  <c r="AQ209" i="2"/>
  <c r="AQ210" i="2" l="1"/>
  <c r="AO210" i="2"/>
  <c r="AQ211" i="2" l="1"/>
  <c r="AO211" i="2"/>
  <c r="AQ212" i="2" l="1"/>
  <c r="AO212" i="2"/>
  <c r="AO213" i="2" l="1"/>
  <c r="AQ213" i="2"/>
  <c r="AQ214" i="2" l="1"/>
  <c r="AO214" i="2"/>
  <c r="AQ215" i="2" l="1"/>
  <c r="AO215" i="2"/>
  <c r="AQ216" i="2" l="1"/>
  <c r="AO216" i="2"/>
  <c r="AO217" i="2" l="1"/>
  <c r="AQ217" i="2"/>
  <c r="AO218" i="2" l="1"/>
  <c r="AQ218" i="2"/>
  <c r="AO219" i="2" l="1"/>
  <c r="AQ219" i="2"/>
  <c r="AQ220" i="2" l="1"/>
  <c r="AO220" i="2"/>
  <c r="AO221" i="2" l="1"/>
  <c r="AQ221" i="2"/>
  <c r="AO222" i="2" l="1"/>
  <c r="AQ222" i="2"/>
  <c r="AO223" i="2" l="1"/>
  <c r="AQ223" i="2"/>
  <c r="AQ224" i="2" l="1"/>
  <c r="AO224" i="2"/>
  <c r="AQ225" i="2" l="1"/>
  <c r="AO225" i="2"/>
  <c r="AQ226" i="2" l="1"/>
  <c r="AO226" i="2"/>
  <c r="AO227" i="2" l="1"/>
  <c r="AQ227" i="2"/>
  <c r="AO228" i="2" l="1"/>
  <c r="AQ228" i="2"/>
  <c r="AO229" i="2" l="1"/>
  <c r="AQ229" i="2"/>
  <c r="AQ230" i="2" l="1"/>
  <c r="AO230" i="2"/>
  <c r="AO231" i="2" l="1"/>
  <c r="AQ231" i="2"/>
  <c r="AO232" i="2" l="1"/>
  <c r="AQ232" i="2"/>
  <c r="AQ233" i="2" l="1"/>
  <c r="AO233" i="2"/>
  <c r="AO234" i="2" l="1"/>
  <c r="AQ234" i="2"/>
  <c r="AO235" i="2" l="1"/>
  <c r="AQ235" i="2"/>
  <c r="AO236" i="2" l="1"/>
  <c r="AQ236" i="2"/>
  <c r="AO237" i="2" l="1"/>
  <c r="AQ237" i="2"/>
  <c r="AO238" i="2" l="1"/>
  <c r="AQ238" i="2"/>
  <c r="AO239" i="2" l="1"/>
  <c r="AQ239" i="2"/>
  <c r="AQ240" i="2" l="1"/>
  <c r="AO240" i="2"/>
  <c r="AO241" i="2" l="1"/>
  <c r="AQ241" i="2"/>
  <c r="AQ242" i="2" l="1"/>
  <c r="AO242" i="2"/>
  <c r="AO243" i="2" l="1"/>
  <c r="AQ243" i="2"/>
  <c r="AO244" i="2" l="1"/>
  <c r="AQ244" i="2"/>
  <c r="AO245" i="2" l="1"/>
  <c r="AQ245" i="2"/>
  <c r="AQ246" i="2" l="1"/>
  <c r="AO246" i="2"/>
  <c r="AQ247" i="2" l="1"/>
  <c r="AO247" i="2"/>
  <c r="AQ248" i="2" l="1"/>
  <c r="AO248" i="2"/>
  <c r="AQ249" i="2" l="1"/>
  <c r="AO249" i="2"/>
  <c r="AQ250" i="2" l="1"/>
  <c r="AO250" i="2"/>
  <c r="AQ251" i="2" l="1"/>
  <c r="AO251" i="2"/>
  <c r="AQ252" i="2" l="1"/>
  <c r="AO252" i="2"/>
  <c r="AQ253" i="2" l="1"/>
  <c r="AO253" i="2"/>
  <c r="AQ254" i="2" l="1"/>
  <c r="AO254" i="2"/>
  <c r="AQ255" i="2" l="1"/>
  <c r="AO255" i="2"/>
  <c r="AQ256" i="2" l="1"/>
  <c r="AO256" i="2"/>
  <c r="AO257" i="2" l="1"/>
  <c r="AQ257" i="2"/>
  <c r="AO258" i="2" l="1"/>
  <c r="AQ258" i="2"/>
  <c r="AQ259" i="2" l="1"/>
  <c r="AO259" i="2"/>
  <c r="AQ260" i="2" l="1"/>
  <c r="AO260" i="2"/>
  <c r="AO261" i="2" l="1"/>
  <c r="AQ261" i="2"/>
  <c r="AQ262" i="2" l="1"/>
  <c r="AO262" i="2"/>
  <c r="AO263" i="2" l="1"/>
  <c r="AQ263" i="2"/>
  <c r="AO264" i="2" l="1"/>
  <c r="AQ264" i="2"/>
  <c r="AQ265" i="2" l="1"/>
  <c r="AO265" i="2"/>
  <c r="AO266" i="2" l="1"/>
  <c r="AQ266" i="2"/>
  <c r="AQ267" i="2" l="1"/>
  <c r="AO267" i="2"/>
  <c r="AO268" i="2" l="1"/>
  <c r="AQ268" i="2"/>
  <c r="AO269" i="2" l="1"/>
  <c r="AQ269" i="2"/>
  <c r="AQ270" i="2" l="1"/>
  <c r="AO270" i="2"/>
  <c r="AQ271" i="2" l="1"/>
  <c r="AO271" i="2"/>
  <c r="AO272" i="2" l="1"/>
  <c r="AQ272" i="2"/>
  <c r="AQ273" i="2" l="1"/>
  <c r="AO273" i="2"/>
  <c r="AQ274" i="2" l="1"/>
  <c r="AO274" i="2"/>
  <c r="AO275" i="2" l="1"/>
  <c r="AQ275" i="2"/>
  <c r="AO276" i="2" l="1"/>
  <c r="AQ276" i="2"/>
  <c r="AO277" i="2" l="1"/>
  <c r="AQ277" i="2"/>
  <c r="AQ278" i="2" l="1"/>
  <c r="AO278" i="2"/>
  <c r="AQ279" i="2" l="1"/>
  <c r="AO279" i="2"/>
  <c r="AO280" i="2" l="1"/>
  <c r="AQ280" i="2"/>
  <c r="AQ281" i="2" l="1"/>
  <c r="AO281" i="2"/>
  <c r="AO282" i="2" l="1"/>
  <c r="AQ282" i="2"/>
  <c r="AQ283" i="2" l="1"/>
  <c r="AO283" i="2"/>
  <c r="AO284" i="2" l="1"/>
  <c r="AQ284" i="2"/>
  <c r="AO285" i="2" l="1"/>
  <c r="AQ285" i="2"/>
  <c r="AO286" i="2" l="1"/>
  <c r="AQ286" i="2"/>
  <c r="AO287" i="2" l="1"/>
  <c r="AQ287" i="2"/>
  <c r="AO288" i="2" l="1"/>
  <c r="AQ288" i="2"/>
  <c r="AQ289" i="2" l="1"/>
  <c r="AO289" i="2"/>
  <c r="AQ290" i="2" l="1"/>
  <c r="AO290" i="2"/>
  <c r="AO291" i="2" l="1"/>
  <c r="AQ291" i="2"/>
  <c r="AO292" i="2" l="1"/>
  <c r="AQ292" i="2"/>
  <c r="AQ293" i="2" l="1"/>
  <c r="AO293" i="2"/>
  <c r="AO294" i="2" l="1"/>
  <c r="AQ294" i="2"/>
  <c r="AQ295" i="2" l="1"/>
  <c r="AO295" i="2"/>
  <c r="AQ296" i="2" l="1"/>
  <c r="AO296" i="2"/>
  <c r="AQ297" i="2" l="1"/>
  <c r="AO297" i="2"/>
  <c r="AO298" i="2" l="1"/>
  <c r="AQ298" i="2"/>
  <c r="AO299" i="2" l="1"/>
  <c r="AQ299" i="2"/>
  <c r="AQ300" i="2" l="1"/>
  <c r="AO300" i="2"/>
  <c r="AO301" i="2" l="1"/>
  <c r="AQ301" i="2"/>
  <c r="AO302" i="2" l="1"/>
  <c r="AQ302" i="2"/>
  <c r="AO303" i="2" l="1"/>
  <c r="AQ303" i="2"/>
  <c r="AO304" i="2" l="1"/>
  <c r="AQ304" i="2"/>
  <c r="AO305" i="2" l="1"/>
  <c r="AQ305" i="2"/>
  <c r="AQ306" i="2" l="1"/>
  <c r="AO306" i="2"/>
  <c r="AQ307" i="2" l="1"/>
  <c r="AO307" i="2"/>
  <c r="AQ308" i="2" l="1"/>
  <c r="AO308" i="2"/>
  <c r="AO309" i="2" l="1"/>
  <c r="AQ309" i="2"/>
  <c r="AQ310" i="2" l="1"/>
  <c r="AO310" i="2"/>
  <c r="AQ311" i="2" l="1"/>
  <c r="AO311" i="2"/>
  <c r="AQ312" i="2" l="1"/>
  <c r="AO312" i="2"/>
  <c r="AQ313" i="2" l="1"/>
  <c r="AO313" i="2"/>
  <c r="AQ314" i="2" l="1"/>
  <c r="AO314" i="2"/>
  <c r="AQ315" i="2" l="1"/>
  <c r="AO315" i="2"/>
  <c r="AQ316" i="2" l="1"/>
  <c r="AO316" i="2"/>
  <c r="AQ317" i="2" l="1"/>
  <c r="AO317" i="2"/>
  <c r="AO318" i="2" l="1"/>
  <c r="AQ318" i="2"/>
  <c r="AQ319" i="2" l="1"/>
  <c r="AO319" i="2"/>
  <c r="AQ320" i="2" l="1"/>
  <c r="AO320" i="2"/>
  <c r="AO321" i="2" l="1"/>
  <c r="AQ321" i="2"/>
  <c r="AQ322" i="2" l="1"/>
  <c r="AO322" i="2"/>
  <c r="AQ323" i="2" l="1"/>
  <c r="AO323" i="2"/>
  <c r="AO324" i="2" l="1"/>
  <c r="AQ324" i="2"/>
  <c r="AQ325" i="2" l="1"/>
  <c r="AO325" i="2"/>
  <c r="AQ326" i="2" l="1"/>
  <c r="AO326" i="2"/>
  <c r="AQ327" i="2" l="1"/>
  <c r="AO327" i="2"/>
  <c r="AQ328" i="2" l="1"/>
  <c r="AO328" i="2"/>
  <c r="AQ329" i="2" l="1"/>
  <c r="AO329" i="2"/>
  <c r="AO330" i="2" l="1"/>
  <c r="AQ330" i="2"/>
  <c r="AQ331" i="2" l="1"/>
  <c r="AO331" i="2"/>
  <c r="AQ332" i="2" l="1"/>
  <c r="AO332" i="2"/>
  <c r="AQ333" i="2" l="1"/>
  <c r="AO333" i="2"/>
  <c r="AQ334" i="2" l="1"/>
  <c r="AO334" i="2"/>
  <c r="AQ335" i="2" l="1"/>
  <c r="AO335" i="2"/>
  <c r="AQ336" i="2" l="1"/>
  <c r="AO336" i="2"/>
  <c r="AO337" i="2" l="1"/>
  <c r="AQ337" i="2"/>
  <c r="AQ338" i="2" l="1"/>
  <c r="AO338" i="2"/>
  <c r="AO339" i="2" l="1"/>
  <c r="AQ339" i="2"/>
  <c r="AO340" i="2" l="1"/>
  <c r="AQ340" i="2"/>
  <c r="AQ341" i="2" l="1"/>
  <c r="AO341" i="2"/>
  <c r="AQ342" i="2" l="1"/>
  <c r="AO342" i="2"/>
  <c r="AQ343" i="2" l="1"/>
  <c r="AO343" i="2"/>
  <c r="AQ344" i="2" l="1"/>
  <c r="AO344" i="2"/>
  <c r="AO345" i="2" l="1"/>
  <c r="AQ345" i="2"/>
  <c r="AQ346" i="2" l="1"/>
  <c r="AO346" i="2"/>
  <c r="AQ347" i="2" l="1"/>
  <c r="AO347" i="2"/>
  <c r="AO348" i="2" l="1"/>
  <c r="AQ348" i="2"/>
  <c r="AO349" i="2" l="1"/>
  <c r="AQ349" i="2"/>
  <c r="AQ350" i="2" l="1"/>
  <c r="AO350" i="2"/>
  <c r="AQ351" i="2" l="1"/>
  <c r="AO351" i="2"/>
  <c r="AQ352" i="2" l="1"/>
  <c r="AO352" i="2"/>
  <c r="AQ353" i="2" l="1"/>
  <c r="AO353" i="2"/>
  <c r="AQ354" i="2" l="1"/>
  <c r="AO354" i="2"/>
  <c r="AQ355" i="2" l="1"/>
  <c r="AO355" i="2"/>
  <c r="AO356" i="2" l="1"/>
  <c r="AQ356" i="2"/>
  <c r="AQ357" i="2" l="1"/>
  <c r="AO357" i="2"/>
  <c r="AO358" i="2" l="1"/>
  <c r="AQ358" i="2"/>
  <c r="AO359" i="2" l="1"/>
  <c r="AQ359" i="2"/>
  <c r="AO360" i="2" l="1"/>
  <c r="AQ360" i="2"/>
  <c r="AQ361" i="2" l="1"/>
  <c r="AO361" i="2"/>
  <c r="AQ362" i="2" l="1"/>
  <c r="AO362" i="2"/>
  <c r="AQ363" i="2" l="1"/>
  <c r="AO363" i="2"/>
  <c r="AO364" i="2" l="1"/>
  <c r="AQ364" i="2"/>
  <c r="AQ365" i="2" l="1"/>
  <c r="AO365" i="2"/>
  <c r="AO366" i="2" l="1"/>
  <c r="AQ366" i="2"/>
  <c r="AQ367" i="2" l="1"/>
  <c r="AO367" i="2"/>
  <c r="AO368" i="2" l="1"/>
  <c r="AQ368" i="2"/>
  <c r="AQ369" i="2" l="1"/>
  <c r="AO369" i="2"/>
  <c r="AQ370" i="2" l="1"/>
  <c r="AO370" i="2"/>
  <c r="AQ371" i="2" l="1"/>
  <c r="AO371" i="2"/>
  <c r="AQ372" i="2" l="1"/>
  <c r="AO372" i="2"/>
  <c r="AQ373" i="2" l="1"/>
  <c r="AO373" i="2"/>
  <c r="AO374" i="2" l="1"/>
  <c r="AQ374" i="2"/>
  <c r="AQ375" i="2" l="1"/>
  <c r="AO375" i="2"/>
  <c r="AO376" i="2" l="1"/>
  <c r="AQ376" i="2"/>
  <c r="AQ377" i="2" l="1"/>
  <c r="AO377" i="2"/>
  <c r="AQ378" i="2" l="1"/>
  <c r="AO378" i="2"/>
  <c r="AO379" i="2" l="1"/>
  <c r="AQ379" i="2"/>
  <c r="AO380" i="2" l="1"/>
  <c r="AQ380" i="2"/>
  <c r="AQ381" i="2" l="1"/>
  <c r="AO381" i="2"/>
  <c r="AO382" i="2" l="1"/>
  <c r="AQ382" i="2"/>
  <c r="AO383" i="2" l="1"/>
  <c r="AQ383" i="2"/>
  <c r="AQ384" i="2" l="1"/>
  <c r="AO384" i="2"/>
  <c r="AO385" i="2" l="1"/>
  <c r="AQ385" i="2"/>
  <c r="AO386" i="2" l="1"/>
  <c r="AQ386" i="2"/>
  <c r="AO387" i="2" l="1"/>
  <c r="AQ387" i="2"/>
  <c r="AQ388" i="2" l="1"/>
  <c r="AO388" i="2"/>
  <c r="AQ389" i="2" l="1"/>
  <c r="AO389" i="2"/>
  <c r="AO390" i="2" l="1"/>
  <c r="AQ390" i="2"/>
  <c r="AO391" i="2" l="1"/>
  <c r="AQ391" i="2"/>
  <c r="AQ392" i="2" l="1"/>
  <c r="AO392" i="2"/>
  <c r="AQ393" i="2" l="1"/>
  <c r="AO393" i="2"/>
  <c r="AO394" i="2" l="1"/>
  <c r="AQ394" i="2"/>
  <c r="AO395" i="2" l="1"/>
  <c r="AQ395" i="2"/>
  <c r="AO396" i="2" l="1"/>
  <c r="AQ396" i="2"/>
  <c r="AO397" i="2" l="1"/>
  <c r="AQ397" i="2"/>
  <c r="AQ398" i="2" l="1"/>
  <c r="AO398" i="2"/>
  <c r="AO399" i="2" l="1"/>
  <c r="AQ399" i="2"/>
  <c r="AQ400" i="2" l="1"/>
  <c r="AO400" i="2"/>
  <c r="AQ401" i="2" l="1"/>
  <c r="AO401" i="2"/>
  <c r="AQ402" i="2" l="1"/>
  <c r="AO402" i="2"/>
  <c r="AQ403" i="2" l="1"/>
  <c r="AO403" i="2"/>
  <c r="AQ404" i="2" l="1"/>
  <c r="AO404" i="2"/>
  <c r="AO405" i="2" l="1"/>
  <c r="AQ405" i="2"/>
  <c r="AO406" i="2" l="1"/>
  <c r="AQ406" i="2"/>
  <c r="AO407" i="2" l="1"/>
  <c r="AQ407" i="2"/>
  <c r="AO408" i="2" l="1"/>
  <c r="AQ408" i="2"/>
  <c r="AQ409" i="2" l="1"/>
  <c r="AO409" i="2"/>
  <c r="AO410" i="2" l="1"/>
  <c r="AQ410" i="2"/>
  <c r="AQ411" i="2" l="1"/>
  <c r="AO411" i="2"/>
  <c r="AQ412" i="2" l="1"/>
  <c r="AO412" i="2"/>
  <c r="AQ413" i="2" l="1"/>
  <c r="AO413" i="2"/>
  <c r="AO414" i="2" l="1"/>
  <c r="AQ414" i="2"/>
  <c r="AO415" i="2" l="1"/>
  <c r="AQ415" i="2"/>
  <c r="AO416" i="2" l="1"/>
  <c r="AQ416" i="2"/>
  <c r="AQ417" i="2" l="1"/>
  <c r="AO417" i="2"/>
  <c r="AO418" i="2" l="1"/>
  <c r="AQ418" i="2"/>
  <c r="AO419" i="2" l="1"/>
  <c r="AQ419" i="2"/>
  <c r="AO420" i="2" l="1"/>
  <c r="AQ420" i="2"/>
  <c r="AO421" i="2" l="1"/>
  <c r="AQ421" i="2"/>
  <c r="AQ422" i="2" l="1"/>
  <c r="AO422" i="2"/>
  <c r="AQ423" i="2" l="1"/>
  <c r="AO423" i="2"/>
  <c r="AQ424" i="2" l="1"/>
  <c r="AO424" i="2"/>
  <c r="AO425" i="2" l="1"/>
  <c r="AQ425" i="2"/>
  <c r="AO426" i="2" l="1"/>
  <c r="AQ426" i="2"/>
  <c r="AO427" i="2" l="1"/>
  <c r="AQ427" i="2"/>
  <c r="AQ428" i="2" l="1"/>
  <c r="AO428" i="2"/>
  <c r="AO429" i="2" l="1"/>
  <c r="AQ429" i="2"/>
  <c r="AO430" i="2" l="1"/>
  <c r="AQ430" i="2"/>
  <c r="AQ431" i="2" l="1"/>
  <c r="AO431" i="2"/>
  <c r="AO432" i="2" l="1"/>
  <c r="AQ432" i="2"/>
  <c r="AQ433" i="2" l="1"/>
  <c r="AO433" i="2"/>
  <c r="AQ434" i="2" l="1"/>
  <c r="AO434" i="2"/>
  <c r="AQ435" i="2" l="1"/>
  <c r="AO435" i="2"/>
  <c r="AQ436" i="2" l="1"/>
  <c r="AO436" i="2"/>
  <c r="AQ437" i="2" l="1"/>
  <c r="AO437" i="2"/>
  <c r="AO438" i="2" l="1"/>
  <c r="AQ438" i="2"/>
  <c r="AO439" i="2" l="1"/>
  <c r="AQ439" i="2"/>
  <c r="AQ440" i="2" l="1"/>
  <c r="AO440" i="2"/>
  <c r="AO441" i="2" l="1"/>
  <c r="AQ441" i="2"/>
  <c r="AO442" i="2" l="1"/>
  <c r="AQ442" i="2"/>
  <c r="AO443" i="2" l="1"/>
  <c r="AQ443" i="2"/>
  <c r="AQ444" i="2" l="1"/>
  <c r="AO444" i="2"/>
  <c r="AQ445" i="2" l="1"/>
  <c r="AO445" i="2"/>
  <c r="AO446" i="2" l="1"/>
  <c r="AQ446" i="2"/>
  <c r="AQ447" i="2" l="1"/>
  <c r="AO447" i="2"/>
  <c r="AO448" i="2" l="1"/>
  <c r="AQ448" i="2"/>
  <c r="AQ449" i="2" l="1"/>
  <c r="AO449" i="2"/>
  <c r="AO450" i="2" l="1"/>
  <c r="AQ450" i="2"/>
  <c r="AQ451" i="2" l="1"/>
  <c r="AO451" i="2"/>
  <c r="AQ452" i="2" l="1"/>
  <c r="AO452" i="2"/>
  <c r="AO453" i="2" l="1"/>
  <c r="AQ453" i="2"/>
  <c r="AQ454" i="2" l="1"/>
  <c r="AO454" i="2"/>
  <c r="AQ455" i="2" l="1"/>
  <c r="AO455" i="2"/>
  <c r="AQ456" i="2" l="1"/>
  <c r="AO456" i="2"/>
  <c r="AO457" i="2" l="1"/>
  <c r="AQ457" i="2"/>
  <c r="AO458" i="2" l="1"/>
  <c r="AQ458" i="2"/>
  <c r="AQ459" i="2" l="1"/>
  <c r="AO459" i="2"/>
  <c r="AO460" i="2" l="1"/>
  <c r="AQ460" i="2"/>
  <c r="AO461" i="2" l="1"/>
  <c r="AQ461" i="2"/>
  <c r="AO462" i="2" l="1"/>
  <c r="AQ462" i="2"/>
  <c r="AO463" i="2" l="1"/>
  <c r="AQ463" i="2"/>
  <c r="AO464" i="2" l="1"/>
  <c r="AQ464" i="2"/>
  <c r="AQ465" i="2" l="1"/>
  <c r="AO465" i="2"/>
  <c r="AQ466" i="2" l="1"/>
  <c r="AO466" i="2"/>
  <c r="AQ467" i="2" l="1"/>
  <c r="AO467" i="2"/>
  <c r="AO468" i="2" l="1"/>
  <c r="AQ468" i="2"/>
  <c r="AO469" i="2" l="1"/>
  <c r="AQ469" i="2"/>
  <c r="AQ470" i="2" l="1"/>
  <c r="AO470" i="2"/>
  <c r="AO471" i="2" l="1"/>
  <c r="AQ471" i="2"/>
  <c r="AO472" i="2" l="1"/>
  <c r="AQ472" i="2"/>
  <c r="AO473" i="2" l="1"/>
  <c r="AQ473" i="2"/>
  <c r="AO474" i="2" l="1"/>
  <c r="AQ474" i="2"/>
  <c r="AQ475" i="2" l="1"/>
  <c r="AO475" i="2"/>
  <c r="AQ476" i="2" l="1"/>
  <c r="AO476" i="2"/>
  <c r="AQ477" i="2" l="1"/>
  <c r="AO477" i="2"/>
  <c r="AO478" i="2" l="1"/>
  <c r="AQ478" i="2"/>
  <c r="AO479" i="2" l="1"/>
  <c r="AQ479" i="2"/>
  <c r="AO480" i="2" l="1"/>
  <c r="AQ480" i="2"/>
  <c r="AQ481" i="2" l="1"/>
  <c r="AO481" i="2"/>
  <c r="AQ482" i="2" l="1"/>
  <c r="AO482" i="2"/>
  <c r="AQ483" i="2" l="1"/>
  <c r="AO483" i="2"/>
  <c r="AO484" i="2" l="1"/>
  <c r="AQ484" i="2"/>
  <c r="AQ485" i="2" l="1"/>
  <c r="AO485" i="2"/>
  <c r="AQ486" i="2" l="1"/>
  <c r="AO486" i="2"/>
  <c r="AQ487" i="2" l="1"/>
  <c r="AO487" i="2"/>
  <c r="AO488" i="2" l="1"/>
  <c r="AQ488" i="2"/>
  <c r="AQ489" i="2" l="1"/>
  <c r="AO489" i="2"/>
  <c r="AQ490" i="2" l="1"/>
  <c r="AO490" i="2"/>
  <c r="AO491" i="2" l="1"/>
  <c r="AQ491" i="2"/>
  <c r="AQ492" i="2" l="1"/>
  <c r="AO492" i="2"/>
  <c r="AQ493" i="2" l="1"/>
  <c r="AO493" i="2"/>
  <c r="AO494" i="2" l="1"/>
  <c r="AQ494" i="2"/>
  <c r="AQ495" i="2" l="1"/>
  <c r="AO495" i="2"/>
  <c r="AQ496" i="2" l="1"/>
  <c r="AO496" i="2"/>
  <c r="AO497" i="2" l="1"/>
  <c r="AQ497" i="2"/>
  <c r="AQ498" i="2" l="1"/>
  <c r="AO498" i="2"/>
  <c r="AQ499" i="2" l="1"/>
  <c r="AO499" i="2"/>
  <c r="AO500" i="2" l="1"/>
  <c r="AQ500" i="2"/>
  <c r="AO501" i="2" l="1"/>
  <c r="AQ501" i="2"/>
  <c r="AQ502" i="2" l="1"/>
  <c r="AO502" i="2"/>
  <c r="AQ503" i="2" l="1"/>
  <c r="AO503" i="2"/>
  <c r="AQ504" i="2" l="1"/>
  <c r="AO504" i="2"/>
  <c r="AQ505" i="2" l="1"/>
  <c r="AO505" i="2"/>
  <c r="AQ506" i="2" l="1"/>
  <c r="AO506" i="2"/>
  <c r="AO507" i="2" l="1"/>
  <c r="AQ507" i="2"/>
  <c r="AQ508" i="2" l="1"/>
  <c r="AO508" i="2"/>
  <c r="AQ509" i="2" l="1"/>
  <c r="AO509" i="2"/>
  <c r="AO510" i="2" l="1"/>
  <c r="AQ510" i="2"/>
  <c r="AO511" i="2" l="1"/>
  <c r="AQ511" i="2"/>
  <c r="AQ512" i="2" l="1"/>
  <c r="AO512" i="2"/>
  <c r="AQ513" i="2" l="1"/>
  <c r="AO513" i="2"/>
  <c r="AO514" i="2" l="1"/>
  <c r="AQ514" i="2"/>
  <c r="AO515" i="2" l="1"/>
  <c r="AQ515" i="2"/>
  <c r="AO516" i="2" l="1"/>
  <c r="AQ516" i="2"/>
  <c r="AO517" i="2" l="1"/>
  <c r="AQ517" i="2"/>
  <c r="AO518" i="2" l="1"/>
  <c r="AQ518" i="2"/>
  <c r="AO519" i="2" l="1"/>
  <c r="AQ519" i="2"/>
  <c r="AQ520" i="2" l="1"/>
  <c r="AO520" i="2"/>
  <c r="AQ521" i="2" l="1"/>
  <c r="AO521" i="2"/>
  <c r="AO522" i="2" l="1"/>
  <c r="AQ522" i="2"/>
  <c r="AQ523" i="2" l="1"/>
  <c r="AO523" i="2"/>
  <c r="AQ524" i="2" l="1"/>
  <c r="AO524" i="2"/>
  <c r="AO525" i="2" l="1"/>
  <c r="AQ525" i="2"/>
  <c r="AO526" i="2" l="1"/>
  <c r="AQ526" i="2"/>
  <c r="AO527" i="2" l="1"/>
  <c r="AQ527" i="2"/>
  <c r="AO528" i="2" l="1"/>
  <c r="AQ528" i="2"/>
  <c r="AO529" i="2" l="1"/>
  <c r="AQ529" i="2"/>
  <c r="AQ530" i="2" l="1"/>
  <c r="AO530" i="2"/>
  <c r="AO531" i="2" l="1"/>
  <c r="AQ531" i="2"/>
  <c r="AQ532" i="2" l="1"/>
  <c r="AO532" i="2"/>
  <c r="AQ533" i="2" l="1"/>
  <c r="AO533" i="2"/>
  <c r="AQ534" i="2" l="1"/>
  <c r="AO534" i="2"/>
  <c r="AO535" i="2" l="1"/>
  <c r="AQ535" i="2"/>
  <c r="AO536" i="2" l="1"/>
  <c r="AQ536" i="2"/>
  <c r="AQ537" i="2" l="1"/>
  <c r="AO537" i="2"/>
  <c r="AO538" i="2" l="1"/>
  <c r="AQ538" i="2"/>
  <c r="AQ539" i="2" l="1"/>
  <c r="AO539" i="2"/>
  <c r="AQ540" i="2" l="1"/>
  <c r="AO540" i="2"/>
  <c r="AO541" i="2" l="1"/>
  <c r="AQ541" i="2"/>
  <c r="AQ542" i="2" l="1"/>
  <c r="AO542" i="2"/>
  <c r="AO543" i="2" l="1"/>
  <c r="AQ543" i="2"/>
  <c r="AO544" i="2" l="1"/>
  <c r="AQ544" i="2"/>
  <c r="AO545" i="2" l="1"/>
  <c r="AQ545" i="2"/>
  <c r="AO546" i="2" l="1"/>
  <c r="AQ546" i="2"/>
  <c r="AO547" i="2" l="1"/>
  <c r="AQ547" i="2"/>
  <c r="AO548" i="2" l="1"/>
  <c r="AQ548" i="2"/>
  <c r="AQ549" i="2" l="1"/>
  <c r="AO549" i="2"/>
  <c r="AQ550" i="2" l="1"/>
  <c r="AO550" i="2"/>
  <c r="AQ551" i="2" l="1"/>
  <c r="AO551" i="2"/>
  <c r="AO552" i="2" l="1"/>
  <c r="AQ552" i="2"/>
  <c r="AO553" i="2" l="1"/>
  <c r="AQ553" i="2"/>
  <c r="AQ554" i="2" l="1"/>
  <c r="AO554" i="2"/>
  <c r="AO555" i="2" l="1"/>
  <c r="AQ555" i="2"/>
  <c r="AQ556" i="2" l="1"/>
  <c r="AO556" i="2"/>
  <c r="AO557" i="2" l="1"/>
  <c r="AQ557" i="2"/>
  <c r="AO558" i="2" l="1"/>
  <c r="AQ558" i="2"/>
  <c r="AQ559" i="2" l="1"/>
  <c r="AO559" i="2"/>
  <c r="AO560" i="2" l="1"/>
  <c r="AQ560" i="2"/>
  <c r="AO561" i="2" l="1"/>
  <c r="AQ561" i="2"/>
  <c r="AQ562" i="2" l="1"/>
  <c r="AO562" i="2"/>
  <c r="AQ563" i="2" l="1"/>
  <c r="AO563" i="2"/>
  <c r="AQ564" i="2" l="1"/>
  <c r="AO564" i="2"/>
  <c r="AQ565" i="2" l="1"/>
  <c r="AO565" i="2"/>
  <c r="AO566" i="2" l="1"/>
  <c r="AQ566" i="2"/>
  <c r="AO567" i="2" l="1"/>
  <c r="AQ567" i="2"/>
  <c r="AO568" i="2" l="1"/>
  <c r="AQ568" i="2"/>
  <c r="AO569" i="2" l="1"/>
  <c r="AQ569" i="2"/>
  <c r="AO570" i="2" l="1"/>
  <c r="AQ570" i="2"/>
  <c r="AQ571" i="2" l="1"/>
  <c r="AO571" i="2"/>
  <c r="AQ572" i="2" l="1"/>
  <c r="AO572" i="2"/>
  <c r="AQ573" i="2" l="1"/>
  <c r="AO573" i="2"/>
  <c r="AQ574" i="2" l="1"/>
  <c r="AO574" i="2"/>
  <c r="AO575" i="2" l="1"/>
  <c r="AQ575" i="2"/>
  <c r="AQ576" i="2" l="1"/>
  <c r="AO576" i="2"/>
  <c r="AO577" i="2" l="1"/>
  <c r="AQ577" i="2"/>
  <c r="AO578" i="2" l="1"/>
  <c r="AQ578" i="2"/>
  <c r="AQ579" i="2" l="1"/>
  <c r="AO579" i="2"/>
  <c r="AQ580" i="2" l="1"/>
  <c r="AO580" i="2"/>
  <c r="AQ581" i="2" l="1"/>
  <c r="AO581" i="2"/>
  <c r="AQ582" i="2" l="1"/>
  <c r="AO582" i="2"/>
  <c r="AO583" i="2" l="1"/>
  <c r="AQ583" i="2"/>
  <c r="AQ584" i="2" l="1"/>
  <c r="AO584" i="2"/>
  <c r="AQ585" i="2" l="1"/>
  <c r="AO585" i="2"/>
  <c r="AQ586" i="2" l="1"/>
  <c r="AO586" i="2"/>
  <c r="AQ587" i="2" l="1"/>
  <c r="AO587" i="2"/>
  <c r="AQ588" i="2" l="1"/>
  <c r="AO588" i="2"/>
  <c r="AO589" i="2" l="1"/>
  <c r="AQ589" i="2"/>
  <c r="AO590" i="2" l="1"/>
  <c r="AQ590" i="2"/>
  <c r="AO591" i="2" l="1"/>
  <c r="AQ591" i="2"/>
  <c r="AO592" i="2" l="1"/>
  <c r="AQ592" i="2"/>
  <c r="AO593" i="2" l="1"/>
  <c r="AQ593" i="2"/>
  <c r="AO594" i="2" l="1"/>
  <c r="AQ594" i="2"/>
  <c r="AQ595" i="2" l="1"/>
  <c r="AO595" i="2"/>
  <c r="AQ596" i="2" l="1"/>
  <c r="AO596" i="2"/>
  <c r="AQ597" i="2" l="1"/>
  <c r="AO597" i="2"/>
  <c r="AO598" i="2" l="1"/>
  <c r="AQ598" i="2"/>
  <c r="AO599" i="2" l="1"/>
  <c r="AQ599" i="2"/>
  <c r="AO600" i="2" l="1"/>
  <c r="AQ600" i="2"/>
  <c r="AO601" i="2" l="1"/>
  <c r="AQ601" i="2"/>
  <c r="AQ602" i="2" l="1"/>
  <c r="AO602" i="2"/>
  <c r="AO603" i="2" l="1"/>
  <c r="AQ603" i="2"/>
  <c r="AQ604" i="2" l="1"/>
  <c r="AO604" i="2"/>
  <c r="AQ605" i="2" l="1"/>
  <c r="AO605" i="2"/>
  <c r="AO606" i="2" l="1"/>
  <c r="AQ606" i="2"/>
  <c r="AO607" i="2" l="1"/>
  <c r="AQ607" i="2"/>
  <c r="AQ608" i="2" l="1"/>
  <c r="AO608" i="2"/>
  <c r="AQ609" i="2" l="1"/>
  <c r="AO609" i="2"/>
  <c r="AO610" i="2" l="1"/>
  <c r="AQ610" i="2"/>
  <c r="AO611" i="2" l="1"/>
  <c r="AQ611" i="2"/>
  <c r="AO612" i="2" l="1"/>
  <c r="AQ612" i="2"/>
  <c r="AQ613" i="2" l="1"/>
  <c r="AO613" i="2"/>
  <c r="AO614" i="2" l="1"/>
  <c r="AQ614" i="2"/>
  <c r="AQ615" i="2" l="1"/>
  <c r="AO615" i="2"/>
  <c r="AO616" i="2" l="1"/>
  <c r="AQ616" i="2"/>
  <c r="AQ617" i="2" l="1"/>
  <c r="AO617" i="2"/>
  <c r="AO618" i="2" l="1"/>
  <c r="AQ618" i="2"/>
  <c r="AQ619" i="2" l="1"/>
  <c r="AO619" i="2"/>
  <c r="AO620" i="2" l="1"/>
  <c r="AQ620" i="2"/>
  <c r="AQ621" i="2" l="1"/>
  <c r="AO621" i="2"/>
  <c r="AQ622" i="2" l="1"/>
  <c r="AO622" i="2"/>
  <c r="AQ623" i="2" l="1"/>
  <c r="AO623" i="2"/>
  <c r="AO624" i="2" l="1"/>
  <c r="AQ624" i="2"/>
  <c r="AQ625" i="2" l="1"/>
  <c r="AO625" i="2"/>
  <c r="AQ626" i="2" l="1"/>
  <c r="AO626" i="2"/>
  <c r="AO627" i="2" l="1"/>
  <c r="AQ627" i="2"/>
  <c r="AQ628" i="2" l="1"/>
  <c r="AO628" i="2"/>
  <c r="AO629" i="2" l="1"/>
  <c r="AQ629" i="2"/>
  <c r="AQ630" i="2" l="1"/>
  <c r="AO630" i="2"/>
  <c r="AO631" i="2" l="1"/>
  <c r="AQ631" i="2"/>
  <c r="AO632" i="2" l="1"/>
  <c r="AQ632" i="2"/>
  <c r="AO633" i="2" l="1"/>
  <c r="AQ633" i="2"/>
  <c r="AO634" i="2" l="1"/>
  <c r="AQ634" i="2"/>
  <c r="AQ635" i="2" l="1"/>
  <c r="AO635" i="2"/>
  <c r="AQ636" i="2" l="1"/>
  <c r="AO636" i="2"/>
  <c r="AO637" i="2" l="1"/>
  <c r="AQ637" i="2"/>
  <c r="AO638" i="2" l="1"/>
  <c r="AQ638" i="2"/>
  <c r="AQ639" i="2" l="1"/>
  <c r="AO639" i="2"/>
  <c r="AO640" i="2" l="1"/>
  <c r="AQ640" i="2"/>
  <c r="AO641" i="2" l="1"/>
  <c r="AQ641" i="2"/>
  <c r="AQ642" i="2" l="1"/>
  <c r="AO642" i="2"/>
  <c r="AO643" i="2" l="1"/>
  <c r="AQ643" i="2"/>
  <c r="AQ644" i="2" l="1"/>
  <c r="AO644" i="2"/>
  <c r="AQ645" i="2" l="1"/>
  <c r="AO645" i="2"/>
  <c r="AO646" i="2" l="1"/>
  <c r="AQ646" i="2"/>
  <c r="AQ647" i="2" l="1"/>
  <c r="AO647" i="2"/>
  <c r="AO648" i="2" l="1"/>
  <c r="AQ648" i="2"/>
  <c r="AQ649" i="2" l="1"/>
  <c r="AO649" i="2"/>
  <c r="AO650" i="2" l="1"/>
  <c r="AQ650" i="2"/>
  <c r="AO651" i="2" l="1"/>
  <c r="AQ651" i="2"/>
  <c r="AQ652" i="2" l="1"/>
  <c r="AO652" i="2"/>
  <c r="AQ653" i="2" l="1"/>
  <c r="AO653" i="2"/>
  <c r="AQ654" i="2" l="1"/>
  <c r="AO654" i="2"/>
  <c r="AQ655" i="2" l="1"/>
  <c r="AO655" i="2"/>
  <c r="AO656" i="2" l="1"/>
  <c r="AQ656" i="2"/>
  <c r="AQ657" i="2" l="1"/>
  <c r="AO657" i="2"/>
  <c r="AQ658" i="2" l="1"/>
  <c r="AO658" i="2"/>
  <c r="AO659" i="2" l="1"/>
  <c r="AQ659" i="2"/>
  <c r="AO660" i="2" l="1"/>
  <c r="AQ660" i="2"/>
  <c r="AQ661" i="2" l="1"/>
  <c r="AO661" i="2"/>
  <c r="AQ662" i="2" l="1"/>
  <c r="AO662" i="2"/>
  <c r="AO663" i="2" l="1"/>
  <c r="AQ663" i="2"/>
  <c r="AQ664" i="2" l="1"/>
  <c r="AO664" i="2"/>
  <c r="AO665" i="2" l="1"/>
  <c r="AQ665" i="2"/>
  <c r="AO666" i="2" l="1"/>
  <c r="AQ666" i="2"/>
  <c r="AO667" i="2" l="1"/>
  <c r="AQ667" i="2"/>
  <c r="AQ668" i="2" l="1"/>
  <c r="AO668" i="2"/>
  <c r="AO669" i="2" l="1"/>
  <c r="AQ669" i="2"/>
  <c r="AQ670" i="2" l="1"/>
  <c r="AO670" i="2"/>
  <c r="AO671" i="2" l="1"/>
  <c r="AQ671" i="2"/>
  <c r="AQ672" i="2" l="1"/>
  <c r="AO672" i="2"/>
  <c r="AQ673" i="2" l="1"/>
  <c r="AO673" i="2"/>
  <c r="AO674" i="2" l="1"/>
  <c r="AQ674" i="2"/>
  <c r="AO675" i="2" l="1"/>
  <c r="AQ675" i="2"/>
  <c r="AO676" i="2" l="1"/>
  <c r="AQ676" i="2"/>
  <c r="AO677" i="2" l="1"/>
  <c r="AQ677" i="2"/>
  <c r="AQ678" i="2" l="1"/>
  <c r="AO678" i="2"/>
  <c r="AO679" i="2" l="1"/>
  <c r="AQ679" i="2"/>
  <c r="AQ680" i="2" l="1"/>
  <c r="AO680" i="2"/>
  <c r="AQ681" i="2" l="1"/>
  <c r="AO681" i="2"/>
  <c r="AO682" i="2" l="1"/>
  <c r="AQ682" i="2"/>
  <c r="AQ683" i="2" l="1"/>
  <c r="AO683" i="2"/>
  <c r="AQ684" i="2" l="1"/>
  <c r="AO684" i="2"/>
  <c r="AQ685" i="2" l="1"/>
  <c r="AO685" i="2"/>
  <c r="AQ686" i="2" l="1"/>
  <c r="AO686" i="2"/>
  <c r="AO687" i="2" l="1"/>
  <c r="AQ687" i="2"/>
  <c r="AQ688" i="2" l="1"/>
  <c r="AO688" i="2"/>
  <c r="AO689" i="2" l="1"/>
  <c r="AQ689" i="2"/>
  <c r="AO690" i="2" l="1"/>
  <c r="AQ690" i="2"/>
  <c r="AO691" i="2" l="1"/>
  <c r="AQ691" i="2"/>
  <c r="AO692" i="2" l="1"/>
  <c r="AQ692" i="2"/>
  <c r="AO693" i="2" l="1"/>
  <c r="AQ693" i="2"/>
  <c r="AQ694" i="2" l="1"/>
  <c r="AO694" i="2"/>
  <c r="AQ695" i="2" l="1"/>
  <c r="AO695" i="2"/>
  <c r="AO696" i="2" l="1"/>
  <c r="AQ696" i="2"/>
  <c r="AQ697" i="2" l="1"/>
  <c r="AO697" i="2"/>
  <c r="AQ698" i="2" l="1"/>
  <c r="AO698" i="2"/>
  <c r="AO699" i="2" l="1"/>
  <c r="AQ699" i="2"/>
  <c r="AO700" i="2" l="1"/>
  <c r="AQ700" i="2"/>
  <c r="AO701" i="2" l="1"/>
  <c r="AQ701" i="2"/>
  <c r="AO702" i="2" l="1"/>
  <c r="AQ702" i="2"/>
  <c r="AQ703" i="2" l="1"/>
  <c r="AO703" i="2"/>
  <c r="AQ704" i="2" l="1"/>
  <c r="AO704" i="2"/>
  <c r="AQ705" i="2" l="1"/>
  <c r="AO705" i="2"/>
  <c r="AQ706" i="2" l="1"/>
  <c r="AO706" i="2"/>
  <c r="AQ707" i="2" l="1"/>
  <c r="AO707" i="2"/>
  <c r="AO708" i="2" l="1"/>
  <c r="AQ708" i="2"/>
  <c r="AO709" i="2" l="1"/>
  <c r="AQ709" i="2"/>
  <c r="AQ710" i="2" l="1"/>
  <c r="AO710" i="2"/>
  <c r="AO711" i="2" l="1"/>
  <c r="AQ711" i="2"/>
  <c r="AO712" i="2" l="1"/>
  <c r="AQ712" i="2"/>
  <c r="AQ713" i="2" l="1"/>
  <c r="AO713" i="2"/>
  <c r="AQ714" i="2" l="1"/>
  <c r="AO714" i="2"/>
  <c r="AQ715" i="2" l="1"/>
  <c r="AO715" i="2"/>
  <c r="AQ716" i="2" l="1"/>
  <c r="AO716" i="2"/>
  <c r="AQ717" i="2" l="1"/>
  <c r="AO717" i="2"/>
  <c r="AQ718" i="2" l="1"/>
  <c r="AO718" i="2"/>
  <c r="AQ719" i="2" l="1"/>
  <c r="AO719" i="2"/>
  <c r="AO720" i="2" l="1"/>
  <c r="AQ720" i="2"/>
  <c r="AQ721" i="2" l="1"/>
  <c r="AO721" i="2"/>
  <c r="AQ722" i="2" l="1"/>
  <c r="AO722" i="2"/>
  <c r="AO723" i="2" l="1"/>
  <c r="AQ723" i="2"/>
  <c r="AO724" i="2" l="1"/>
  <c r="AQ724" i="2"/>
  <c r="AO725" i="2" l="1"/>
  <c r="AQ725" i="2"/>
  <c r="AO726" i="2" l="1"/>
  <c r="AQ726" i="2"/>
  <c r="AQ727" i="2" l="1"/>
  <c r="AO727" i="2"/>
  <c r="AO728" i="2" l="1"/>
  <c r="AQ728" i="2"/>
  <c r="AQ729" i="2" l="1"/>
  <c r="AO729" i="2"/>
  <c r="AQ730" i="2" l="1"/>
  <c r="AO730" i="2"/>
  <c r="AO731" i="2" l="1"/>
  <c r="AQ731" i="2"/>
  <c r="AO732" i="2" l="1"/>
  <c r="AQ732" i="2"/>
  <c r="AO733" i="2" l="1"/>
  <c r="AQ733" i="2"/>
  <c r="AQ734" i="2" l="1"/>
  <c r="AO734" i="2"/>
  <c r="AO735" i="2" l="1"/>
  <c r="AQ735" i="2"/>
  <c r="AO736" i="2" l="1"/>
  <c r="AQ736" i="2"/>
  <c r="AQ737" i="2" l="1"/>
  <c r="AO737" i="2"/>
  <c r="AO738" i="2" l="1"/>
  <c r="AQ738" i="2"/>
  <c r="AO739" i="2" l="1"/>
  <c r="AQ739" i="2"/>
  <c r="AQ740" i="2" l="1"/>
  <c r="AO740" i="2"/>
  <c r="AQ741" i="2" l="1"/>
  <c r="AO741" i="2"/>
  <c r="AQ742" i="2" l="1"/>
  <c r="AO742" i="2"/>
  <c r="AQ743" i="2" l="1"/>
  <c r="AO743" i="2"/>
  <c r="AO744" i="2" l="1"/>
  <c r="AQ744" i="2"/>
  <c r="AQ745" i="2" l="1"/>
  <c r="AO745" i="2"/>
  <c r="AQ746" i="2" l="1"/>
  <c r="AO746" i="2"/>
  <c r="AQ747" i="2" l="1"/>
  <c r="AO747" i="2"/>
  <c r="AO748" i="2" l="1"/>
  <c r="AQ748" i="2"/>
  <c r="AO749" i="2" l="1"/>
  <c r="AQ749" i="2"/>
  <c r="AQ750" i="2" l="1"/>
  <c r="AO750" i="2"/>
  <c r="AO751" i="2" l="1"/>
  <c r="AQ751" i="2"/>
  <c r="AQ752" i="2" l="1"/>
  <c r="AO752" i="2"/>
  <c r="AO753" i="2" l="1"/>
  <c r="AQ753" i="2"/>
  <c r="AQ754" i="2" l="1"/>
  <c r="AO754" i="2"/>
  <c r="AQ755" i="2" l="1"/>
  <c r="AO755" i="2"/>
  <c r="AO756" i="2" l="1"/>
  <c r="AQ756" i="2"/>
  <c r="AQ757" i="2" l="1"/>
  <c r="AO757" i="2"/>
  <c r="AO758" i="2" l="1"/>
  <c r="AQ758" i="2"/>
  <c r="AO759" i="2" l="1"/>
  <c r="AQ759" i="2"/>
  <c r="AO760" i="2" l="1"/>
  <c r="AQ760" i="2"/>
  <c r="AO761" i="2" l="1"/>
  <c r="AQ761" i="2"/>
  <c r="AQ762" i="2" l="1"/>
  <c r="AO762" i="2"/>
  <c r="AQ763" i="2" l="1"/>
  <c r="AO763" i="2"/>
  <c r="AQ764" i="2" l="1"/>
  <c r="AO764" i="2"/>
  <c r="AQ765" i="2" l="1"/>
  <c r="AO765" i="2"/>
  <c r="AO766" i="2" l="1"/>
  <c r="AQ766" i="2"/>
  <c r="AO767" i="2" l="1"/>
  <c r="AQ767" i="2"/>
  <c r="AO768" i="2" l="1"/>
  <c r="AQ768" i="2"/>
  <c r="AQ769" i="2" l="1"/>
  <c r="AO769" i="2"/>
  <c r="AO770" i="2" l="1"/>
  <c r="AQ770" i="2"/>
  <c r="AQ771" i="2" l="1"/>
  <c r="AO771" i="2"/>
  <c r="AO772" i="2" l="1"/>
  <c r="AQ772" i="2"/>
  <c r="AO773" i="2" l="1"/>
  <c r="AQ773" i="2"/>
  <c r="AO774" i="2" l="1"/>
  <c r="AQ774" i="2"/>
  <c r="AQ775" i="2" l="1"/>
  <c r="AO775" i="2"/>
  <c r="AO776" i="2" l="1"/>
  <c r="AQ776" i="2"/>
  <c r="AO777" i="2" l="1"/>
  <c r="AQ777" i="2"/>
  <c r="AO778" i="2" l="1"/>
  <c r="AQ778" i="2"/>
  <c r="AQ779" i="2" l="1"/>
  <c r="AO779" i="2"/>
  <c r="AQ780" i="2" l="1"/>
  <c r="AO780" i="2"/>
  <c r="AO781" i="2" l="1"/>
  <c r="AQ781" i="2"/>
  <c r="AO782" i="2" l="1"/>
  <c r="AQ782" i="2"/>
  <c r="AO783" i="2" l="1"/>
  <c r="AQ783" i="2"/>
  <c r="AO784" i="2" l="1"/>
  <c r="AQ784" i="2"/>
  <c r="AQ785" i="2" l="1"/>
  <c r="AO785" i="2"/>
  <c r="AQ786" i="2" l="1"/>
  <c r="AO786" i="2"/>
  <c r="AO787" i="2" l="1"/>
  <c r="AQ787" i="2"/>
  <c r="AQ788" i="2" l="1"/>
  <c r="AO788" i="2"/>
  <c r="AO789" i="2" l="1"/>
  <c r="AQ789" i="2"/>
  <c r="AO790" i="2" l="1"/>
  <c r="AQ790" i="2"/>
  <c r="AO791" i="2" l="1"/>
  <c r="AQ791" i="2"/>
  <c r="AQ792" i="2" l="1"/>
  <c r="AO792" i="2"/>
  <c r="AQ793" i="2" l="1"/>
  <c r="AO793" i="2"/>
  <c r="AQ794" i="2" l="1"/>
  <c r="AO794" i="2"/>
  <c r="AQ795" i="2" l="1"/>
  <c r="AO795" i="2"/>
  <c r="AO796" i="2" l="1"/>
  <c r="AQ796" i="2"/>
  <c r="AO797" i="2" l="1"/>
  <c r="AQ797" i="2"/>
  <c r="AO798" i="2" l="1"/>
  <c r="AQ798" i="2"/>
  <c r="AQ799" i="2" l="1"/>
  <c r="AO799" i="2"/>
  <c r="AO800" i="2" l="1"/>
  <c r="AQ800" i="2"/>
  <c r="AO801" i="2" l="1"/>
  <c r="AQ801" i="2"/>
  <c r="AQ802" i="2" l="1"/>
  <c r="AO802" i="2"/>
  <c r="AO803" i="2" l="1"/>
  <c r="AQ803" i="2"/>
  <c r="AQ804" i="2" l="1"/>
  <c r="AO804" i="2"/>
  <c r="AO805" i="2" l="1"/>
  <c r="AQ805" i="2"/>
  <c r="AQ806" i="2" l="1"/>
  <c r="AO806" i="2"/>
  <c r="AO807" i="2" l="1"/>
  <c r="AQ807" i="2"/>
  <c r="AO808" i="2" l="1"/>
  <c r="AQ808" i="2"/>
  <c r="AQ809" i="2" l="1"/>
  <c r="AO809" i="2"/>
  <c r="AQ810" i="2" l="1"/>
  <c r="AO810" i="2"/>
  <c r="AQ811" i="2" l="1"/>
  <c r="AO811" i="2"/>
  <c r="AQ812" i="2" l="1"/>
  <c r="AO812" i="2"/>
  <c r="AO813" i="2" l="1"/>
  <c r="AQ813" i="2"/>
  <c r="AQ814" i="2" l="1"/>
  <c r="AO814" i="2"/>
  <c r="AQ815" i="2" l="1"/>
  <c r="AO815" i="2"/>
  <c r="AQ816" i="2" l="1"/>
  <c r="AO816" i="2"/>
  <c r="AO817" i="2" l="1"/>
  <c r="AQ817" i="2"/>
  <c r="AQ818" i="2" l="1"/>
  <c r="AO818" i="2"/>
  <c r="AQ819" i="2" l="1"/>
  <c r="AO819" i="2"/>
  <c r="AO820" i="2" l="1"/>
  <c r="AQ820" i="2"/>
  <c r="AQ821" i="2" l="1"/>
  <c r="AO821" i="2"/>
  <c r="AO822" i="2" l="1"/>
  <c r="AQ822" i="2"/>
  <c r="AQ823" i="2" l="1"/>
  <c r="AO823" i="2"/>
  <c r="AO824" i="2" l="1"/>
  <c r="AQ824" i="2"/>
  <c r="AQ825" i="2" l="1"/>
  <c r="AO825" i="2"/>
  <c r="AO826" i="2" l="1"/>
  <c r="AQ826" i="2"/>
  <c r="AQ827" i="2" l="1"/>
  <c r="AO827" i="2"/>
  <c r="AQ828" i="2" l="1"/>
  <c r="AO828" i="2"/>
  <c r="AO829" i="2" l="1"/>
  <c r="AQ829" i="2"/>
  <c r="AQ830" i="2" l="1"/>
  <c r="AO830" i="2"/>
  <c r="AQ831" i="2" l="1"/>
  <c r="AO831" i="2"/>
  <c r="AQ832" i="2" l="1"/>
  <c r="AO832" i="2"/>
  <c r="AO833" i="2" l="1"/>
  <c r="AQ833" i="2"/>
  <c r="AQ834" i="2" l="1"/>
  <c r="AO834" i="2"/>
  <c r="AQ835" i="2" l="1"/>
  <c r="AO835" i="2"/>
  <c r="AO836" i="2" l="1"/>
  <c r="AQ836" i="2"/>
  <c r="AO837" i="2" l="1"/>
  <c r="AQ837" i="2"/>
  <c r="AO838" i="2" l="1"/>
  <c r="AQ838" i="2"/>
  <c r="AQ839" i="2" l="1"/>
  <c r="AO839" i="2"/>
  <c r="AO840" i="2" l="1"/>
  <c r="AQ840" i="2"/>
  <c r="AO841" i="2" l="1"/>
  <c r="AQ841" i="2"/>
  <c r="AO842" i="2" l="1"/>
  <c r="AQ842" i="2"/>
  <c r="AQ843" i="2" l="1"/>
  <c r="AO843" i="2"/>
  <c r="AQ844" i="2" l="1"/>
  <c r="AO844" i="2"/>
  <c r="AO845" i="2" l="1"/>
  <c r="AQ845" i="2"/>
  <c r="AQ846" i="2" l="1"/>
  <c r="AO846" i="2"/>
  <c r="AO847" i="2" l="1"/>
  <c r="AQ847" i="2"/>
  <c r="AQ848" i="2" l="1"/>
  <c r="AO848" i="2"/>
  <c r="AO849" i="2" l="1"/>
  <c r="AQ849" i="2"/>
  <c r="AO850" i="2" l="1"/>
  <c r="AQ850" i="2"/>
  <c r="AO851" i="2" l="1"/>
  <c r="AQ851" i="2"/>
  <c r="AQ852" i="2" l="1"/>
  <c r="AO852" i="2"/>
  <c r="AQ853" i="2" l="1"/>
  <c r="AO853" i="2"/>
  <c r="AQ854" i="2" l="1"/>
  <c r="AO854" i="2"/>
  <c r="AQ855" i="2" l="1"/>
  <c r="AO855" i="2"/>
  <c r="AO856" i="2" l="1"/>
  <c r="AQ856" i="2"/>
  <c r="AQ857" i="2" l="1"/>
  <c r="AO857" i="2"/>
  <c r="AO858" i="2" l="1"/>
  <c r="AQ858" i="2"/>
  <c r="AO859" i="2" l="1"/>
  <c r="AQ859" i="2"/>
  <c r="AO860" i="2" l="1"/>
  <c r="AQ860" i="2"/>
  <c r="AO861" i="2" l="1"/>
  <c r="AQ861" i="2"/>
  <c r="AO862" i="2" l="1"/>
  <c r="AQ862" i="2"/>
  <c r="AO863" i="2" l="1"/>
  <c r="AQ863" i="2"/>
  <c r="AO864" i="2" l="1"/>
  <c r="AQ864" i="2"/>
  <c r="AQ865" i="2" l="1"/>
  <c r="AO865" i="2"/>
  <c r="AO866" i="2" l="1"/>
  <c r="AQ866" i="2"/>
  <c r="AQ867" i="2" l="1"/>
  <c r="AO867" i="2"/>
  <c r="AQ868" i="2" l="1"/>
  <c r="AO868" i="2"/>
  <c r="AO869" i="2" l="1"/>
  <c r="AQ869" i="2"/>
  <c r="AQ870" i="2" l="1"/>
  <c r="AO870" i="2"/>
  <c r="AO871" i="2" l="1"/>
  <c r="AQ871" i="2"/>
  <c r="AQ872" i="2" l="1"/>
  <c r="AO872" i="2"/>
  <c r="AO873" i="2" l="1"/>
  <c r="AQ873" i="2"/>
  <c r="AQ874" i="2" l="1"/>
  <c r="AO874" i="2"/>
  <c r="AO875" i="2" l="1"/>
  <c r="AQ875" i="2"/>
  <c r="AO876" i="2" l="1"/>
  <c r="AQ876" i="2"/>
  <c r="AO877" i="2" l="1"/>
  <c r="AQ877" i="2"/>
  <c r="AO878" i="2" l="1"/>
  <c r="AQ878" i="2"/>
  <c r="AO879" i="2" l="1"/>
  <c r="AQ879" i="2"/>
  <c r="AO880" i="2" l="1"/>
  <c r="AQ880" i="2"/>
  <c r="AQ881" i="2" l="1"/>
  <c r="AO881" i="2"/>
  <c r="AQ882" i="2" l="1"/>
  <c r="AO882" i="2"/>
  <c r="AO883" i="2" l="1"/>
  <c r="AQ883" i="2"/>
  <c r="AQ884" i="2" l="1"/>
  <c r="AO884" i="2"/>
  <c r="AO885" i="2" l="1"/>
  <c r="AQ885" i="2"/>
  <c r="AO886" i="2" l="1"/>
  <c r="AQ886" i="2"/>
  <c r="AO887" i="2" l="1"/>
  <c r="AQ887" i="2"/>
  <c r="AQ888" i="2" l="1"/>
  <c r="AO888" i="2"/>
  <c r="AQ889" i="2" l="1"/>
  <c r="AO889" i="2"/>
  <c r="AQ890" i="2" l="1"/>
  <c r="AO890" i="2"/>
  <c r="AQ891" i="2" l="1"/>
  <c r="AO891" i="2"/>
  <c r="AQ892" i="2" l="1"/>
  <c r="AO892" i="2"/>
  <c r="AO893" i="2" l="1"/>
  <c r="AQ893" i="2"/>
  <c r="AO894" i="2" l="1"/>
  <c r="AQ894" i="2"/>
  <c r="AQ895" i="2" l="1"/>
  <c r="AO895" i="2"/>
  <c r="AO896" i="2" l="1"/>
  <c r="AQ896" i="2"/>
  <c r="AO897" i="2" l="1"/>
  <c r="AQ897" i="2"/>
  <c r="AQ898" i="2" l="1"/>
  <c r="AO898" i="2"/>
  <c r="AQ899" i="2" l="1"/>
  <c r="AO899" i="2"/>
  <c r="AQ900" i="2" l="1"/>
  <c r="AO900" i="2"/>
  <c r="AO901" i="2" l="1"/>
  <c r="AQ901" i="2"/>
  <c r="AQ902" i="2" l="1"/>
  <c r="AO902" i="2"/>
  <c r="AQ903" i="2" l="1"/>
  <c r="AO903" i="2"/>
  <c r="AQ904" i="2" l="1"/>
  <c r="AO904" i="2"/>
  <c r="AQ905" i="2" l="1"/>
  <c r="AO905" i="2"/>
  <c r="AQ906" i="2" l="1"/>
  <c r="AO906" i="2"/>
  <c r="AO907" i="2" l="1"/>
  <c r="AQ907" i="2"/>
  <c r="AO908" i="2" l="1"/>
  <c r="AQ908" i="2"/>
  <c r="AO909" i="2" l="1"/>
  <c r="AQ909" i="2"/>
  <c r="AO910" i="2" l="1"/>
  <c r="AQ910" i="2"/>
  <c r="AO911" i="2" l="1"/>
  <c r="AQ911" i="2"/>
  <c r="AQ912" i="2" l="1"/>
  <c r="AO912" i="2"/>
  <c r="AQ913" i="2" l="1"/>
  <c r="AO913" i="2"/>
  <c r="AO914" i="2" l="1"/>
  <c r="AQ914" i="2"/>
  <c r="AO915" i="2" l="1"/>
  <c r="AQ915" i="2"/>
  <c r="AQ916" i="2" l="1"/>
  <c r="AO916" i="2"/>
  <c r="AO917" i="2" l="1"/>
  <c r="AQ917" i="2"/>
  <c r="AO918" i="2" l="1"/>
  <c r="AQ918" i="2"/>
  <c r="AQ919" i="2" l="1"/>
  <c r="AO919" i="2"/>
  <c r="AQ920" i="2" l="1"/>
  <c r="AO920" i="2"/>
  <c r="AQ921" i="2" l="1"/>
  <c r="AO921" i="2"/>
  <c r="AQ922" i="2" l="1"/>
  <c r="AO922" i="2"/>
  <c r="AQ923" i="2" l="1"/>
  <c r="AO923" i="2"/>
  <c r="AQ924" i="2" l="1"/>
  <c r="AO924" i="2"/>
  <c r="AO925" i="2" l="1"/>
  <c r="AQ925" i="2"/>
  <c r="AQ926" i="2" l="1"/>
  <c r="AO926" i="2"/>
  <c r="AO927" i="2" l="1"/>
  <c r="AQ927" i="2"/>
  <c r="AQ928" i="2" l="1"/>
  <c r="AO928" i="2"/>
  <c r="AQ929" i="2" l="1"/>
  <c r="AO929" i="2"/>
  <c r="AO930" i="2" l="1"/>
  <c r="AQ930" i="2"/>
  <c r="AO931" i="2" l="1"/>
  <c r="AQ931" i="2"/>
  <c r="AQ932" i="2" l="1"/>
  <c r="AO932" i="2"/>
  <c r="AO933" i="2" l="1"/>
  <c r="AQ933" i="2"/>
  <c r="AQ934" i="2" l="1"/>
  <c r="AO934" i="2"/>
  <c r="AQ935" i="2" l="1"/>
  <c r="AO935" i="2"/>
  <c r="AO936" i="2" l="1"/>
  <c r="AQ936" i="2"/>
  <c r="AO937" i="2" l="1"/>
  <c r="AQ937" i="2"/>
  <c r="AQ938" i="2" l="1"/>
  <c r="AO938" i="2"/>
  <c r="AQ939" i="2" l="1"/>
  <c r="AO939" i="2"/>
  <c r="AO940" i="2" l="1"/>
  <c r="AQ940" i="2"/>
  <c r="AQ941" i="2" l="1"/>
  <c r="AO941" i="2"/>
  <c r="AO942" i="2" l="1"/>
  <c r="AQ942" i="2"/>
  <c r="AQ943" i="2" l="1"/>
  <c r="AO943" i="2"/>
  <c r="AQ944" i="2" l="1"/>
  <c r="AO944" i="2"/>
  <c r="AO945" i="2" l="1"/>
  <c r="AQ945" i="2"/>
  <c r="AQ946" i="2" l="1"/>
  <c r="AO946" i="2"/>
  <c r="AQ947" i="2" l="1"/>
  <c r="AO947" i="2"/>
  <c r="AO948" i="2" l="1"/>
  <c r="AQ948" i="2"/>
  <c r="AQ949" i="2" l="1"/>
  <c r="AO949" i="2"/>
  <c r="AQ950" i="2" l="1"/>
  <c r="AO950" i="2"/>
  <c r="AO951" i="2" l="1"/>
  <c r="AQ951" i="2"/>
  <c r="AQ952" i="2" l="1"/>
  <c r="AO952" i="2"/>
  <c r="AQ953" i="2" l="1"/>
  <c r="AO953" i="2"/>
  <c r="AO954" i="2" l="1"/>
  <c r="AQ954" i="2"/>
  <c r="AQ955" i="2" l="1"/>
  <c r="AO955" i="2"/>
  <c r="AQ956" i="2" l="1"/>
  <c r="AO956" i="2"/>
  <c r="AQ957" i="2" l="1"/>
  <c r="AO957" i="2"/>
  <c r="AQ958" i="2" l="1"/>
  <c r="AO958" i="2"/>
  <c r="AO959" i="2" l="1"/>
  <c r="AQ959" i="2"/>
  <c r="AQ960" i="2" l="1"/>
  <c r="AO960" i="2"/>
  <c r="AQ961" i="2" l="1"/>
  <c r="AO961" i="2"/>
  <c r="AQ962" i="2" l="1"/>
  <c r="AO962" i="2"/>
  <c r="AO963" i="2" l="1"/>
  <c r="AQ963" i="2"/>
  <c r="AQ964" i="2" l="1"/>
  <c r="AO964" i="2"/>
  <c r="AO965" i="2" l="1"/>
  <c r="AQ965" i="2"/>
  <c r="AO966" i="2" l="1"/>
  <c r="AQ966" i="2"/>
  <c r="AO967" i="2" l="1"/>
  <c r="AQ967" i="2"/>
  <c r="AQ968" i="2" l="1"/>
  <c r="AO968" i="2"/>
  <c r="AO969" i="2" l="1"/>
  <c r="AQ969" i="2"/>
  <c r="AO970" i="2" l="1"/>
  <c r="AQ970" i="2"/>
  <c r="AQ971" i="2" l="1"/>
  <c r="AO971" i="2"/>
  <c r="AQ972" i="2" l="1"/>
  <c r="AO972" i="2"/>
  <c r="AQ973" i="2" l="1"/>
  <c r="AO973" i="2"/>
  <c r="AQ974" i="2" l="1"/>
  <c r="AO974" i="2"/>
  <c r="AQ975" i="2" l="1"/>
  <c r="AO975" i="2"/>
  <c r="AQ976" i="2" l="1"/>
  <c r="AO976" i="2"/>
  <c r="AO977" i="2" l="1"/>
  <c r="AQ977" i="2"/>
  <c r="AO978" i="2" l="1"/>
  <c r="AQ978" i="2"/>
  <c r="AQ979" i="2" l="1"/>
  <c r="AO979" i="2"/>
  <c r="AQ980" i="2" l="1"/>
  <c r="AO980" i="2"/>
  <c r="AQ981" i="2" l="1"/>
  <c r="AO981" i="2"/>
  <c r="AO982" i="2" l="1"/>
  <c r="AQ982" i="2"/>
  <c r="AO983" i="2" l="1"/>
  <c r="AQ983" i="2"/>
  <c r="AO984" i="2" l="1"/>
  <c r="AQ984" i="2"/>
  <c r="AO985" i="2" l="1"/>
  <c r="AQ985" i="2"/>
  <c r="AQ986" i="2" l="1"/>
  <c r="AO986" i="2"/>
  <c r="AQ987" i="2" l="1"/>
  <c r="AO987" i="2"/>
  <c r="AQ988" i="2" l="1"/>
  <c r="AO988" i="2"/>
  <c r="AO989" i="2" l="1"/>
  <c r="AQ989" i="2"/>
  <c r="AO990" i="2" l="1"/>
  <c r="AQ990" i="2"/>
  <c r="AQ991" i="2" l="1"/>
  <c r="AO991" i="2"/>
  <c r="AQ992" i="2" l="1"/>
  <c r="AO992" i="2"/>
  <c r="AO993" i="2" l="1"/>
  <c r="AQ993" i="2"/>
  <c r="AO994" i="2" l="1"/>
  <c r="AQ994" i="2"/>
  <c r="AO995" i="2" l="1"/>
  <c r="AQ995" i="2"/>
  <c r="AQ996" i="2" l="1"/>
  <c r="AO996" i="2"/>
  <c r="AQ997" i="2" l="1"/>
  <c r="AO997" i="2"/>
  <c r="AO998" i="2" l="1"/>
  <c r="AQ998" i="2"/>
  <c r="AO999" i="2" l="1"/>
  <c r="AQ999" i="2"/>
  <c r="AO1000" i="2" l="1"/>
  <c r="AQ1000" i="2"/>
  <c r="AO1001" i="2" l="1"/>
  <c r="AQ1001" i="2"/>
  <c r="AQ1002" i="2" l="1"/>
  <c r="AO1002" i="2"/>
  <c r="AQ1003" i="2" l="1"/>
  <c r="AO1003" i="2"/>
  <c r="AO1004" i="2" l="1"/>
  <c r="AQ1004" i="2"/>
  <c r="AO1005" i="2" l="1"/>
  <c r="AQ1005" i="2"/>
  <c r="AQ1006" i="2" l="1"/>
  <c r="AO1006" i="2"/>
  <c r="AO1007" i="2" l="1"/>
  <c r="AQ1007" i="2"/>
  <c r="AQ1008" i="2" l="1"/>
  <c r="AO1008" i="2"/>
  <c r="AO1009" i="2" l="1"/>
  <c r="AQ1009" i="2"/>
  <c r="AO1010" i="2" l="1"/>
  <c r="AQ1010" i="2"/>
  <c r="AO1011" i="2" l="1"/>
  <c r="AQ1011" i="2"/>
  <c r="AQ1012" i="2" l="1"/>
  <c r="AO1012" i="2"/>
  <c r="AO1013" i="2" l="1"/>
  <c r="AQ1013" i="2"/>
  <c r="AO1014" i="2" l="1"/>
  <c r="AQ1014" i="2"/>
  <c r="AQ1015" i="2" l="1"/>
  <c r="AO1015" i="2"/>
  <c r="AQ1016" i="2" l="1"/>
  <c r="AO1016" i="2"/>
  <c r="AO1017" i="2" l="1"/>
  <c r="AQ1017" i="2"/>
  <c r="AQ1018" i="2" l="1"/>
  <c r="AO1018" i="2"/>
  <c r="AQ1019" i="2" l="1"/>
  <c r="AO1019" i="2"/>
  <c r="AO1020" i="2" l="1"/>
  <c r="AQ1020" i="2"/>
  <c r="AQ1021" i="2" l="1"/>
  <c r="AO1021" i="2"/>
  <c r="AQ1022" i="2" l="1"/>
  <c r="AO1022" i="2"/>
  <c r="AQ1023" i="2" l="1"/>
  <c r="AO1023" i="2"/>
  <c r="AQ1024" i="2" l="1"/>
  <c r="AO1024" i="2"/>
  <c r="AO1025" i="2" l="1"/>
  <c r="AQ1025" i="2"/>
  <c r="AO1026" i="2" l="1"/>
  <c r="AQ1026" i="2"/>
  <c r="AO1027" i="2" l="1"/>
  <c r="AQ1027" i="2"/>
  <c r="AQ1028" i="2" l="1"/>
  <c r="AO1028" i="2"/>
  <c r="AQ1029" i="2" l="1"/>
  <c r="AO1029" i="2"/>
  <c r="AQ1030" i="2" l="1"/>
  <c r="AO1030" i="2"/>
  <c r="AO1031" i="2" l="1"/>
  <c r="AQ1031" i="2"/>
  <c r="AQ1032" i="2" l="1"/>
  <c r="AO1032" i="2"/>
  <c r="AQ1033" i="2" l="1"/>
  <c r="AO1033" i="2"/>
  <c r="AQ1034" i="2" l="1"/>
  <c r="AO1034" i="2"/>
  <c r="AO1035" i="2" l="1"/>
  <c r="AQ1035" i="2"/>
  <c r="AQ1036" i="2" l="1"/>
  <c r="AO1036" i="2"/>
  <c r="AO1037" i="2" l="1"/>
  <c r="AQ1037" i="2"/>
  <c r="AQ1038" i="2" l="1"/>
  <c r="AO1038" i="2"/>
  <c r="AQ1039" i="2" l="1"/>
  <c r="AO1039" i="2"/>
  <c r="AQ1040" i="2" l="1"/>
  <c r="AO1040" i="2"/>
  <c r="AQ1041" i="2" l="1"/>
  <c r="AO1041" i="2"/>
  <c r="AQ1042" i="2" l="1"/>
  <c r="AO1042" i="2"/>
  <c r="AQ1043" i="2" l="1"/>
  <c r="AO1043" i="2"/>
  <c r="AQ1044" i="2" l="1"/>
  <c r="AO1044" i="2"/>
  <c r="AQ1045" i="2" l="1"/>
  <c r="AO1045" i="2"/>
  <c r="AQ1046" i="2" l="1"/>
  <c r="AO1046" i="2"/>
  <c r="AQ1047" i="2" l="1"/>
  <c r="AO1047" i="2"/>
  <c r="AO1048" i="2" l="1"/>
  <c r="AQ1048" i="2"/>
  <c r="AO1049" i="2" l="1"/>
  <c r="AQ1049" i="2"/>
  <c r="AQ1050" i="2" l="1"/>
  <c r="AO1050" i="2"/>
  <c r="AQ1051" i="2" l="1"/>
  <c r="AO1051" i="2"/>
  <c r="AO1052" i="2" l="1"/>
  <c r="AQ1052" i="2"/>
  <c r="AO1053" i="2" l="1"/>
  <c r="AQ1053" i="2"/>
  <c r="AQ1054" i="2" l="1"/>
  <c r="AO1054" i="2"/>
  <c r="AQ1055" i="2" l="1"/>
  <c r="AO1055" i="2"/>
  <c r="AO1056" i="2" l="1"/>
  <c r="AQ1056" i="2"/>
  <c r="AQ1057" i="2" l="1"/>
  <c r="AO1057" i="2"/>
  <c r="AQ1058" i="2" l="1"/>
  <c r="AO1058" i="2"/>
  <c r="AQ1059" i="2" l="1"/>
  <c r="AO1059" i="2"/>
  <c r="AO1060" i="2" l="1"/>
  <c r="AQ1060" i="2"/>
  <c r="AQ1061" i="2" l="1"/>
  <c r="AO1061" i="2"/>
  <c r="AO1062" i="2" l="1"/>
  <c r="AQ1062" i="2"/>
  <c r="AQ1063" i="2" l="1"/>
  <c r="AO1063" i="2"/>
  <c r="AO1064" i="2" l="1"/>
  <c r="AQ1064" i="2"/>
  <c r="AO1065" i="2" l="1"/>
  <c r="AQ1065" i="2"/>
  <c r="AQ1066" i="2" l="1"/>
  <c r="AO1066" i="2"/>
  <c r="AQ1067" i="2" l="1"/>
  <c r="AO1067" i="2"/>
  <c r="AQ1068" i="2" l="1"/>
  <c r="AO1068" i="2"/>
  <c r="AO1069" i="2" l="1"/>
  <c r="AQ1069" i="2"/>
  <c r="AQ1070" i="2" l="1"/>
  <c r="AO1070" i="2"/>
  <c r="AQ1071" i="2" l="1"/>
  <c r="AO1071" i="2"/>
  <c r="AQ1072" i="2" l="1"/>
  <c r="AO1072" i="2"/>
  <c r="AQ1073" i="2" l="1"/>
  <c r="AO1073" i="2"/>
  <c r="AQ1074" i="2" l="1"/>
  <c r="AO1074" i="2"/>
  <c r="AQ1075" i="2" l="1"/>
  <c r="AO1075" i="2"/>
  <c r="AQ1076" i="2" l="1"/>
  <c r="AO1076" i="2"/>
  <c r="AQ1077" i="2" l="1"/>
  <c r="AO1077" i="2"/>
  <c r="AQ1078" i="2" l="1"/>
  <c r="AO1078" i="2"/>
  <c r="AO1079" i="2" l="1"/>
  <c r="AQ1079" i="2"/>
  <c r="AQ1080" i="2" l="1"/>
  <c r="AO1080" i="2"/>
  <c r="AO1081" i="2" l="1"/>
  <c r="AQ1081" i="2"/>
  <c r="AQ1082" i="2" l="1"/>
  <c r="AO1082" i="2"/>
  <c r="AQ1083" i="2" l="1"/>
  <c r="AO1083" i="2"/>
  <c r="AO1084" i="2" l="1"/>
  <c r="AQ1084" i="2"/>
  <c r="AQ1085" i="2" l="1"/>
  <c r="AO1085" i="2"/>
  <c r="AO1086" i="2" l="1"/>
  <c r="AQ1086" i="2"/>
  <c r="AQ1087" i="2" l="1"/>
  <c r="AO1087" i="2"/>
  <c r="AO1088" i="2" l="1"/>
  <c r="AQ1088" i="2"/>
  <c r="AQ1089" i="2" l="1"/>
  <c r="AO1089" i="2"/>
  <c r="AO1090" i="2" l="1"/>
  <c r="AQ1090" i="2"/>
  <c r="AO1091" i="2" l="1"/>
  <c r="AQ1091" i="2"/>
  <c r="AQ1092" i="2" l="1"/>
  <c r="AO1092" i="2"/>
  <c r="AO1093" i="2" l="1"/>
  <c r="AQ1093" i="2"/>
  <c r="AO1094" i="2" l="1"/>
  <c r="AQ1094" i="2"/>
  <c r="AO1095" i="2" l="1"/>
  <c r="AQ1095" i="2"/>
  <c r="AQ1096" i="2" l="1"/>
  <c r="AO1096" i="2"/>
  <c r="AQ1097" i="2" l="1"/>
  <c r="AO1097" i="2"/>
  <c r="AO1098" i="2" l="1"/>
  <c r="AQ1098" i="2"/>
  <c r="AO1099" i="2" l="1"/>
  <c r="AQ1099" i="2"/>
  <c r="AQ1100" i="2" l="1"/>
  <c r="AO1100" i="2"/>
  <c r="AO1101" i="2" l="1"/>
  <c r="AQ1101" i="2"/>
  <c r="AQ1102" i="2" l="1"/>
  <c r="AO1102" i="2"/>
  <c r="AQ1103" i="2" l="1"/>
  <c r="AO1103" i="2"/>
  <c r="AQ1104" i="2" l="1"/>
  <c r="AO1104" i="2"/>
  <c r="AO1105" i="2" l="1"/>
  <c r="AQ1105" i="2"/>
  <c r="AQ1106" i="2" l="1"/>
  <c r="AO1106" i="2"/>
  <c r="AO1107" i="2" l="1"/>
  <c r="AQ1107" i="2"/>
  <c r="AO1108" i="2" l="1"/>
  <c r="AQ1108" i="2"/>
  <c r="AQ1109" i="2" l="1"/>
  <c r="AO1109" i="2"/>
  <c r="AO1110" i="2" l="1"/>
  <c r="AQ1110" i="2"/>
  <c r="AQ1111" i="2" l="1"/>
  <c r="AO1111" i="2"/>
  <c r="AO1112" i="2" l="1"/>
  <c r="AQ1112" i="2"/>
  <c r="AO1113" i="2" l="1"/>
  <c r="AQ1113" i="2"/>
  <c r="AO1114" i="2" l="1"/>
  <c r="AQ1114" i="2"/>
  <c r="AQ1115" i="2" l="1"/>
  <c r="AO1115" i="2"/>
  <c r="AQ1116" i="2" l="1"/>
  <c r="AO1116" i="2"/>
  <c r="AO1117" i="2" l="1"/>
  <c r="AQ1117" i="2"/>
  <c r="AQ1118" i="2" l="1"/>
  <c r="AO1118" i="2"/>
  <c r="AQ1119" i="2" l="1"/>
  <c r="AO1119" i="2"/>
  <c r="AQ1120" i="2" l="1"/>
  <c r="AO1120" i="2"/>
  <c r="AO1121" i="2" l="1"/>
  <c r="AQ1121" i="2"/>
  <c r="AQ1122" i="2" l="1"/>
  <c r="AO1122" i="2"/>
  <c r="AQ1123" i="2" l="1"/>
  <c r="AO1123" i="2"/>
  <c r="AQ1124" i="2" l="1"/>
  <c r="AO1124" i="2"/>
  <c r="AQ1125" i="2" l="1"/>
  <c r="AO1125" i="2"/>
  <c r="AO1126" i="2" l="1"/>
  <c r="AQ1126" i="2"/>
  <c r="AO1127" i="2" l="1"/>
  <c r="AQ1127" i="2"/>
  <c r="AQ1128" i="2" l="1"/>
  <c r="AO1128" i="2"/>
  <c r="AQ1129" i="2" l="1"/>
  <c r="AO1129" i="2"/>
  <c r="AO1130" i="2" l="1"/>
  <c r="AQ1130" i="2"/>
  <c r="AO1131" i="2" l="1"/>
  <c r="AQ1131" i="2"/>
  <c r="AQ1132" i="2" l="1"/>
  <c r="AO1132" i="2"/>
  <c r="AQ1133" i="2" l="1"/>
  <c r="AO1133" i="2"/>
  <c r="AQ1134" i="2" l="1"/>
  <c r="AO1134" i="2"/>
  <c r="AQ1135" i="2" l="1"/>
  <c r="AO1135" i="2"/>
  <c r="AQ1136" i="2" l="1"/>
  <c r="AO1136" i="2"/>
  <c r="AO1137" i="2" l="1"/>
  <c r="AQ1137" i="2"/>
  <c r="AQ1138" i="2" l="1"/>
  <c r="AO1138" i="2"/>
  <c r="AQ1139" i="2" l="1"/>
  <c r="AO1139" i="2"/>
  <c r="AO1140" i="2" l="1"/>
  <c r="AQ1140" i="2"/>
  <c r="AQ1141" i="2" l="1"/>
  <c r="AO1141" i="2"/>
  <c r="AQ1142" i="2" l="1"/>
  <c r="AO1142" i="2"/>
  <c r="AO1143" i="2" l="1"/>
  <c r="AQ1143" i="2"/>
  <c r="AO1144" i="2" l="1"/>
  <c r="AQ1144" i="2"/>
  <c r="AO1145" i="2" l="1"/>
  <c r="AQ1145" i="2"/>
  <c r="AO1146" i="2" l="1"/>
  <c r="AQ1146" i="2"/>
  <c r="AQ1147" i="2" l="1"/>
  <c r="AO1147" i="2"/>
  <c r="AQ1148" i="2" l="1"/>
  <c r="AO1148" i="2"/>
  <c r="AO1149" i="2" l="1"/>
  <c r="AQ1149" i="2"/>
  <c r="AQ1150" i="2" l="1"/>
  <c r="AO1150" i="2"/>
  <c r="AO1151" i="2" l="1"/>
  <c r="AQ1151" i="2"/>
  <c r="AQ1152" i="2" l="1"/>
  <c r="AO1152" i="2"/>
  <c r="AQ1153" i="2" l="1"/>
  <c r="AO1153" i="2"/>
  <c r="AO1154" i="2" l="1"/>
  <c r="AQ1154" i="2"/>
  <c r="AQ1155" i="2" l="1"/>
  <c r="AO1155" i="2"/>
  <c r="AQ1156" i="2" l="1"/>
  <c r="AO1156" i="2"/>
  <c r="AQ1157" i="2" l="1"/>
  <c r="AO1157" i="2"/>
  <c r="AQ1158" i="2" l="1"/>
  <c r="AO1158" i="2"/>
  <c r="AO1159" i="2" l="1"/>
  <c r="AQ1159" i="2"/>
  <c r="AO1160" i="2" l="1"/>
  <c r="AQ1160" i="2"/>
  <c r="AQ1161" i="2" l="1"/>
  <c r="AO1161" i="2"/>
  <c r="AO1162" i="2" l="1"/>
  <c r="AQ1162" i="2"/>
  <c r="AQ1163" i="2" l="1"/>
  <c r="AO1163" i="2"/>
  <c r="AQ1164" i="2" l="1"/>
  <c r="AO1164" i="2"/>
  <c r="AQ1165" i="2" l="1"/>
  <c r="AO1165" i="2"/>
  <c r="AO1166" i="2" l="1"/>
  <c r="AQ1166" i="2"/>
  <c r="AQ1167" i="2" l="1"/>
  <c r="AO1167" i="2"/>
  <c r="AQ1168" i="2" l="1"/>
  <c r="AO1168" i="2"/>
  <c r="AQ1169" i="2" l="1"/>
  <c r="AO1169" i="2"/>
  <c r="AO1170" i="2" l="1"/>
  <c r="AQ1170" i="2"/>
  <c r="AQ1171" i="2" l="1"/>
  <c r="AO1171" i="2"/>
  <c r="AQ1172" i="2" l="1"/>
  <c r="AO1172" i="2"/>
  <c r="AO1173" i="2" l="1"/>
  <c r="AQ1173" i="2"/>
  <c r="AO1174" i="2" l="1"/>
  <c r="AQ1174" i="2"/>
  <c r="AO1175" i="2" l="1"/>
  <c r="AQ1175" i="2"/>
  <c r="AO1176" i="2" l="1"/>
  <c r="AQ1176" i="2"/>
  <c r="AO1177" i="2" l="1"/>
  <c r="AQ1177" i="2"/>
  <c r="AQ1178" i="2" l="1"/>
  <c r="AO1178" i="2"/>
  <c r="AO1179" i="2" l="1"/>
  <c r="AQ1179" i="2"/>
  <c r="AO1180" i="2" l="1"/>
  <c r="AQ1180" i="2"/>
  <c r="AQ1181" i="2" l="1"/>
  <c r="AO1181" i="2"/>
  <c r="AO1182" i="2" l="1"/>
  <c r="AQ1182" i="2"/>
  <c r="AO1183" i="2" l="1"/>
  <c r="AQ1183" i="2"/>
  <c r="AO1184" i="2" l="1"/>
  <c r="AQ1184" i="2"/>
  <c r="AO1185" i="2" l="1"/>
  <c r="AQ1185" i="2"/>
  <c r="AQ1186" i="2" l="1"/>
  <c r="AO1186" i="2"/>
  <c r="AQ1187" i="2" l="1"/>
  <c r="AO1187" i="2"/>
  <c r="AQ1188" i="2" l="1"/>
  <c r="AO1188" i="2"/>
  <c r="AQ1189" i="2" l="1"/>
  <c r="AO1189" i="2"/>
  <c r="AQ1190" i="2" l="1"/>
  <c r="AO1190" i="2"/>
  <c r="AQ1191" i="2" l="1"/>
  <c r="AO1191" i="2"/>
  <c r="AO1192" i="2" l="1"/>
  <c r="AQ1192" i="2"/>
  <c r="AQ1193" i="2" l="1"/>
  <c r="AO1193" i="2"/>
  <c r="AO1194" i="2" l="1"/>
  <c r="AQ1194" i="2"/>
  <c r="AQ1195" i="2" l="1"/>
  <c r="AO1195" i="2"/>
  <c r="AO1196" i="2" l="1"/>
  <c r="AQ1196" i="2"/>
  <c r="AO1197" i="2" l="1"/>
  <c r="AQ1197" i="2"/>
  <c r="AO1198" i="2" l="1"/>
  <c r="AQ1198" i="2"/>
  <c r="AQ1199" i="2" l="1"/>
  <c r="AO1199" i="2"/>
  <c r="AQ1200" i="2" l="1"/>
  <c r="AO1200" i="2"/>
  <c r="AQ1201" i="2" l="1"/>
  <c r="AO1201" i="2"/>
  <c r="AO1202" i="2" l="1"/>
  <c r="AQ1202" i="2"/>
  <c r="AQ1203" i="2" l="1"/>
  <c r="AO1203" i="2"/>
  <c r="AQ1204" i="2" l="1"/>
  <c r="AO1204" i="2"/>
  <c r="AQ1205" i="2" l="1"/>
  <c r="AO1205" i="2"/>
  <c r="AQ1206" i="2" l="1"/>
  <c r="AO1206" i="2"/>
  <c r="AO1207" i="2" l="1"/>
  <c r="AQ1207" i="2"/>
  <c r="AQ1208" i="2" l="1"/>
  <c r="AO1208" i="2"/>
  <c r="AO1209" i="2" l="1"/>
  <c r="AQ1209" i="2"/>
  <c r="AO1210" i="2" l="1"/>
  <c r="AQ1210" i="2"/>
  <c r="AQ1211" i="2" l="1"/>
  <c r="AO1211" i="2"/>
  <c r="AQ1212" i="2" l="1"/>
  <c r="AO1212" i="2"/>
  <c r="AQ1213" i="2" l="1"/>
  <c r="AO1213" i="2"/>
  <c r="AQ1214" i="2" l="1"/>
  <c r="AO1214" i="2"/>
  <c r="AQ1215" i="2" l="1"/>
  <c r="AO1215" i="2"/>
  <c r="AO1216" i="2" l="1"/>
  <c r="AQ1216" i="2"/>
  <c r="AO1217" i="2" l="1"/>
  <c r="AQ1217" i="2"/>
  <c r="AQ1218" i="2" l="1"/>
  <c r="AO1218" i="2"/>
  <c r="AQ1219" i="2" l="1"/>
  <c r="AO1219" i="2"/>
  <c r="AO1220" i="2" l="1"/>
  <c r="AQ1220" i="2"/>
  <c r="AQ1221" i="2" l="1"/>
  <c r="AO1221" i="2"/>
  <c r="AQ1222" i="2" l="1"/>
  <c r="AO1222" i="2"/>
  <c r="AO1223" i="2" l="1"/>
  <c r="AQ1223" i="2"/>
  <c r="AO1224" i="2" l="1"/>
  <c r="AQ1224" i="2"/>
  <c r="AQ1225" i="2" l="1"/>
  <c r="AO1225" i="2"/>
  <c r="AO1226" i="2" l="1"/>
  <c r="AQ1226" i="2"/>
  <c r="AO1227" i="2" l="1"/>
  <c r="AQ1227" i="2"/>
  <c r="AO1228" i="2" l="1"/>
  <c r="AQ1228" i="2"/>
  <c r="AQ1229" i="2" l="1"/>
  <c r="AO1229" i="2"/>
  <c r="AQ1230" i="2" l="1"/>
  <c r="AO1230" i="2"/>
  <c r="AQ1231" i="2" l="1"/>
  <c r="AO1231" i="2"/>
  <c r="AQ1232" i="2" l="1"/>
  <c r="AO1232" i="2"/>
  <c r="AO1233" i="2" l="1"/>
  <c r="AQ1233" i="2"/>
  <c r="AO1234" i="2" l="1"/>
  <c r="AQ1234" i="2"/>
  <c r="AQ1235" i="2" l="1"/>
  <c r="AO1235" i="2"/>
  <c r="AO1236" i="2" l="1"/>
  <c r="AQ1236" i="2"/>
  <c r="AO1237" i="2" l="1"/>
  <c r="AQ1237" i="2"/>
  <c r="AO1238" i="2" l="1"/>
  <c r="AQ1238" i="2"/>
  <c r="AO1239" i="2" l="1"/>
  <c r="AQ1239" i="2"/>
  <c r="AQ1240" i="2" l="1"/>
  <c r="AO1240" i="2"/>
  <c r="AQ1241" i="2" l="1"/>
  <c r="AO1241" i="2"/>
  <c r="AQ1242" i="2" l="1"/>
  <c r="AO1242" i="2"/>
  <c r="AO1243" i="2" l="1"/>
  <c r="AQ1243" i="2"/>
  <c r="AQ1244" i="2" l="1"/>
  <c r="AO1244" i="2"/>
  <c r="AQ1245" i="2" l="1"/>
  <c r="AO1245" i="2"/>
  <c r="AQ1246" i="2" l="1"/>
  <c r="AO1246" i="2"/>
  <c r="AO1247" i="2" l="1"/>
  <c r="AQ1247" i="2"/>
  <c r="AQ1248" i="2" l="1"/>
  <c r="AO1248" i="2"/>
  <c r="AO1249" i="2" l="1"/>
  <c r="AQ1249" i="2"/>
  <c r="AQ1250" i="2" l="1"/>
  <c r="AO1250" i="2"/>
  <c r="AQ1251" i="2" l="1"/>
  <c r="AO1251" i="2"/>
  <c r="AO1252" i="2" l="1"/>
  <c r="AQ1252" i="2"/>
  <c r="AQ1253" i="2" l="1"/>
  <c r="AO1253" i="2"/>
  <c r="AQ1254" i="2" l="1"/>
  <c r="AO1254" i="2"/>
  <c r="AQ1255" i="2" l="1"/>
  <c r="AO1255" i="2"/>
  <c r="AQ1256" i="2" l="1"/>
  <c r="AO1256" i="2"/>
  <c r="AO1257" i="2" l="1"/>
  <c r="AQ1257" i="2"/>
  <c r="AO1258" i="2" l="1"/>
  <c r="AQ1258" i="2"/>
  <c r="AO1259" i="2" l="1"/>
  <c r="AQ1259" i="2"/>
  <c r="AQ1260" i="2" l="1"/>
  <c r="AO1260" i="2"/>
  <c r="AO1261" i="2" l="1"/>
  <c r="AQ1261" i="2"/>
  <c r="AO1262" i="2" l="1"/>
  <c r="AQ1262" i="2"/>
  <c r="AO1263" i="2" l="1"/>
  <c r="AQ1263" i="2"/>
  <c r="AO1264" i="2" l="1"/>
  <c r="AQ1264" i="2"/>
  <c r="AQ1265" i="2" l="1"/>
  <c r="AO1265" i="2"/>
  <c r="AO1266" i="2" l="1"/>
  <c r="AQ1266" i="2"/>
  <c r="AQ1267" i="2" l="1"/>
  <c r="AO1267" i="2"/>
  <c r="AO1268" i="2" l="1"/>
  <c r="AQ1268" i="2"/>
  <c r="AO1269" i="2" l="1"/>
  <c r="AQ1269" i="2"/>
  <c r="AQ1270" i="2" l="1"/>
  <c r="AO1270" i="2"/>
  <c r="AO1271" i="2" l="1"/>
  <c r="AQ1271" i="2"/>
  <c r="AQ1272" i="2" l="1"/>
  <c r="AO1272" i="2"/>
  <c r="AQ1273" i="2" l="1"/>
  <c r="AO1273" i="2"/>
  <c r="AQ1274" i="2" l="1"/>
  <c r="AO1274" i="2"/>
  <c r="AO1275" i="2" l="1"/>
  <c r="AQ1275" i="2"/>
  <c r="AQ1276" i="2" l="1"/>
  <c r="AO1276" i="2"/>
  <c r="AQ1277" i="2" l="1"/>
  <c r="AO1277" i="2"/>
  <c r="AQ1278" i="2" l="1"/>
  <c r="AO1278" i="2"/>
  <c r="AQ1279" i="2" l="1"/>
  <c r="AO1279" i="2"/>
  <c r="AO1280" i="2" l="1"/>
  <c r="AQ1280" i="2"/>
  <c r="AO1281" i="2" l="1"/>
  <c r="AQ1281" i="2"/>
  <c r="AQ1282" i="2" l="1"/>
  <c r="AO1282" i="2"/>
  <c r="AO1283" i="2" l="1"/>
  <c r="AQ1283" i="2"/>
  <c r="AQ1284" i="2" l="1"/>
  <c r="AO1284" i="2"/>
  <c r="AO1285" i="2" l="1"/>
  <c r="AQ1285" i="2"/>
  <c r="AO1286" i="2" l="1"/>
  <c r="AQ1286" i="2"/>
  <c r="AQ1287" i="2" l="1"/>
  <c r="AO1287" i="2"/>
  <c r="AQ1288" i="2" l="1"/>
  <c r="AO1288" i="2"/>
  <c r="AQ1289" i="2" l="1"/>
  <c r="AO1289" i="2"/>
  <c r="AO1290" i="2" l="1"/>
  <c r="AQ1290" i="2"/>
  <c r="AO1291" i="2" l="1"/>
  <c r="AQ1291" i="2"/>
  <c r="AQ1292" i="2" l="1"/>
  <c r="AO1292" i="2"/>
  <c r="AO1293" i="2" l="1"/>
  <c r="AQ1293" i="2"/>
  <c r="AQ1294" i="2" l="1"/>
  <c r="AO1294" i="2"/>
  <c r="AQ1295" i="2" l="1"/>
  <c r="AO1295" i="2"/>
  <c r="AO1296" i="2" l="1"/>
  <c r="AQ1296" i="2"/>
  <c r="AO1297" i="2" l="1"/>
  <c r="AQ1297" i="2"/>
  <c r="AO1298" i="2" l="1"/>
  <c r="AQ1298" i="2"/>
  <c r="AQ1299" i="2" l="1"/>
  <c r="AO1299" i="2"/>
  <c r="AO1300" i="2" l="1"/>
  <c r="AQ1300" i="2"/>
  <c r="AQ1301" i="2" l="1"/>
  <c r="AO1301" i="2"/>
  <c r="AO1302" i="2" l="1"/>
  <c r="AQ1302" i="2"/>
  <c r="AQ1303" i="2" l="1"/>
  <c r="AO1303" i="2"/>
  <c r="AQ1304" i="2" l="1"/>
  <c r="AO1304" i="2"/>
  <c r="AQ1305" i="2" l="1"/>
  <c r="AO1305" i="2"/>
  <c r="AQ1306" i="2" l="1"/>
  <c r="AO1306" i="2"/>
  <c r="AO1307" i="2" l="1"/>
  <c r="AQ1307" i="2"/>
  <c r="AO1308" i="2" l="1"/>
  <c r="AQ1308" i="2"/>
  <c r="AQ1309" i="2" l="1"/>
  <c r="AO1309" i="2"/>
  <c r="AQ1310" i="2" l="1"/>
  <c r="AO1310" i="2"/>
  <c r="AQ1311" i="2" l="1"/>
  <c r="AO1311" i="2"/>
  <c r="AO1312" i="2" l="1"/>
  <c r="AQ1312" i="2"/>
  <c r="AO1313" i="2" l="1"/>
  <c r="AQ1313" i="2"/>
  <c r="AQ1314" i="2" l="1"/>
  <c r="AO1314" i="2"/>
  <c r="AQ1315" i="2" l="1"/>
  <c r="AO1315" i="2"/>
  <c r="AQ1316" i="2" l="1"/>
  <c r="AO1316" i="2"/>
  <c r="AO1317" i="2" l="1"/>
  <c r="AQ1317" i="2"/>
  <c r="AQ1318" i="2" l="1"/>
  <c r="AO1318" i="2"/>
  <c r="AO1319" i="2" l="1"/>
  <c r="AQ1319" i="2"/>
  <c r="AQ1320" i="2" l="1"/>
  <c r="AO1320" i="2"/>
  <c r="AQ1321" i="2" l="1"/>
  <c r="AO1321" i="2"/>
  <c r="AO1322" i="2" l="1"/>
  <c r="AQ1322" i="2"/>
  <c r="AO1323" i="2" l="1"/>
  <c r="AQ1323" i="2"/>
  <c r="AO1324" i="2" l="1"/>
  <c r="AQ1324" i="2"/>
  <c r="AO1325" i="2" l="1"/>
  <c r="AQ1325" i="2"/>
  <c r="AO1326" i="2" l="1"/>
  <c r="AQ1326" i="2"/>
  <c r="AO1327" i="2" l="1"/>
  <c r="AQ1327" i="2"/>
  <c r="AQ1328" i="2" l="1"/>
  <c r="AO1328" i="2"/>
  <c r="AO1329" i="2" l="1"/>
  <c r="AQ1329" i="2"/>
  <c r="AQ1330" i="2" l="1"/>
  <c r="AO1330" i="2"/>
  <c r="AQ1331" i="2" l="1"/>
  <c r="AO1331" i="2"/>
  <c r="AQ1332" i="2" l="1"/>
  <c r="AO1332" i="2"/>
  <c r="AQ1333" i="2" l="1"/>
  <c r="AO1333" i="2"/>
  <c r="AQ1334" i="2" l="1"/>
  <c r="AO1334" i="2"/>
  <c r="AQ1335" i="2" l="1"/>
  <c r="AO1335" i="2"/>
  <c r="AQ1336" i="2" l="1"/>
  <c r="AO1336" i="2"/>
  <c r="AO1337" i="2" l="1"/>
  <c r="AQ1337" i="2"/>
  <c r="AQ1338" i="2" l="1"/>
  <c r="AO1338" i="2"/>
  <c r="AQ1339" i="2" l="1"/>
  <c r="AO1339" i="2"/>
  <c r="AQ1340" i="2" l="1"/>
  <c r="AO1340" i="2"/>
  <c r="AO1341" i="2" l="1"/>
  <c r="AQ1341" i="2"/>
  <c r="AQ1342" i="2" l="1"/>
  <c r="AO1342" i="2"/>
  <c r="AO1343" i="2" l="1"/>
  <c r="AQ1343" i="2"/>
  <c r="AQ1344" i="2" l="1"/>
  <c r="AO1344" i="2"/>
  <c r="AQ1345" i="2" l="1"/>
  <c r="AO1345" i="2"/>
  <c r="AQ1346" i="2" l="1"/>
  <c r="AO1346" i="2"/>
  <c r="AO1347" i="2" l="1"/>
  <c r="AQ1347" i="2"/>
  <c r="AQ1348" i="2" l="1"/>
  <c r="AO1348" i="2"/>
  <c r="AO1349" i="2" l="1"/>
  <c r="AQ1349" i="2"/>
  <c r="AQ1350" i="2" l="1"/>
  <c r="AO1350" i="2"/>
  <c r="AQ1351" i="2" l="1"/>
  <c r="AO1351" i="2"/>
  <c r="AQ1352" i="2" l="1"/>
  <c r="AO1352" i="2"/>
  <c r="AQ1353" i="2" l="1"/>
  <c r="AO1353" i="2"/>
  <c r="AQ1354" i="2" l="1"/>
  <c r="AO1354" i="2"/>
  <c r="AQ1355" i="2" l="1"/>
  <c r="AO1355" i="2"/>
  <c r="AO1356" i="2" l="1"/>
  <c r="AQ1356" i="2"/>
  <c r="AQ1357" i="2" l="1"/>
  <c r="AO1357" i="2"/>
  <c r="AO1358" i="2" l="1"/>
  <c r="AQ1358" i="2"/>
  <c r="AQ1359" i="2" l="1"/>
  <c r="AO1359" i="2"/>
  <c r="AQ1360" i="2" l="1"/>
  <c r="AO1360" i="2"/>
  <c r="AQ1361" i="2" l="1"/>
  <c r="AO1361" i="2"/>
  <c r="AQ1362" i="2" l="1"/>
  <c r="AO1362" i="2"/>
  <c r="AO1363" i="2" l="1"/>
  <c r="AQ1363" i="2"/>
  <c r="AO1364" i="2" l="1"/>
  <c r="AQ1364" i="2"/>
  <c r="AO1365" i="2" l="1"/>
  <c r="AQ1365" i="2"/>
  <c r="AQ1366" i="2" l="1"/>
  <c r="AO1366" i="2"/>
  <c r="AO1367" i="2" l="1"/>
  <c r="AQ1367" i="2"/>
  <c r="AQ1368" i="2" l="1"/>
  <c r="AO1368" i="2"/>
  <c r="AQ1369" i="2" l="1"/>
  <c r="AO1369" i="2"/>
  <c r="AO1370" i="2" l="1"/>
  <c r="AQ1370" i="2"/>
  <c r="AQ1371" i="2" l="1"/>
  <c r="AO1371" i="2"/>
  <c r="AQ1372" i="2" l="1"/>
  <c r="AO1372" i="2"/>
  <c r="AO1373" i="2" l="1"/>
  <c r="AQ1373" i="2"/>
  <c r="AO1374" i="2" l="1"/>
  <c r="AQ1374" i="2"/>
  <c r="AQ1375" i="2" l="1"/>
  <c r="AO1375" i="2"/>
  <c r="AQ1376" i="2" l="1"/>
  <c r="AO1376" i="2"/>
  <c r="AQ1377" i="2" l="1"/>
  <c r="AO1377" i="2"/>
  <c r="AO1378" i="2" l="1"/>
  <c r="AQ1378" i="2"/>
  <c r="AO1379" i="2" l="1"/>
  <c r="AQ1379" i="2"/>
  <c r="AQ1380" i="2" l="1"/>
  <c r="AO1380" i="2"/>
  <c r="AQ1381" i="2" l="1"/>
  <c r="AO1381" i="2"/>
  <c r="AQ1382" i="2" l="1"/>
  <c r="AO1382" i="2"/>
  <c r="AQ1383" i="2" l="1"/>
  <c r="AO1383" i="2"/>
  <c r="AQ1384" i="2" l="1"/>
  <c r="AO1384" i="2"/>
  <c r="AQ1385" i="2" l="1"/>
  <c r="AO1385" i="2"/>
  <c r="AO1386" i="2" l="1"/>
  <c r="AQ1386" i="2"/>
  <c r="AQ1387" i="2" l="1"/>
  <c r="AO1387" i="2"/>
  <c r="AO1388" i="2" l="1"/>
  <c r="AQ1388" i="2"/>
  <c r="AO1389" i="2" l="1"/>
  <c r="AQ1389" i="2"/>
  <c r="AQ1390" i="2" l="1"/>
  <c r="AO1390" i="2"/>
  <c r="AQ1391" i="2" l="1"/>
  <c r="AO1391" i="2"/>
  <c r="AQ1392" i="2" l="1"/>
  <c r="AO1392" i="2"/>
  <c r="AO1393" i="2" l="1"/>
  <c r="AQ1393" i="2"/>
  <c r="AO1394" i="2" l="1"/>
  <c r="AQ1394" i="2"/>
  <c r="AQ1395" i="2" l="1"/>
  <c r="AO1395" i="2"/>
  <c r="AQ1396" i="2" l="1"/>
  <c r="AO1396" i="2"/>
  <c r="AQ1397" i="2" l="1"/>
  <c r="AO1397" i="2"/>
  <c r="AO1398" i="2" l="1"/>
  <c r="AQ1398" i="2"/>
  <c r="AO1399" i="2" l="1"/>
  <c r="AQ1399" i="2"/>
  <c r="AQ1400" i="2" l="1"/>
  <c r="AO1400" i="2"/>
  <c r="AO1401" i="2" l="1"/>
  <c r="AQ1401" i="2"/>
  <c r="AQ1402" i="2" l="1"/>
  <c r="AO1402" i="2"/>
  <c r="AQ1403" i="2" l="1"/>
  <c r="AO1403" i="2"/>
  <c r="AQ1404" i="2" l="1"/>
  <c r="AO1404" i="2"/>
  <c r="AO1405" i="2" l="1"/>
  <c r="AQ1405" i="2"/>
  <c r="AO1406" i="2" l="1"/>
  <c r="AQ1406" i="2"/>
  <c r="AO1407" i="2" l="1"/>
  <c r="AQ1407" i="2"/>
  <c r="AQ1408" i="2" l="1"/>
  <c r="AO1408" i="2"/>
  <c r="AO1409" i="2" l="1"/>
  <c r="AQ1409" i="2"/>
  <c r="AO1410" i="2" l="1"/>
  <c r="AQ1410" i="2"/>
  <c r="AQ1411" i="2" l="1"/>
  <c r="AO1411" i="2"/>
  <c r="AO1412" i="2" l="1"/>
  <c r="AQ1412" i="2"/>
  <c r="AO1413" i="2" l="1"/>
  <c r="AQ1413" i="2"/>
  <c r="AQ1414" i="2" l="1"/>
  <c r="AO1414" i="2"/>
  <c r="AQ1415" i="2" l="1"/>
  <c r="AO1415" i="2"/>
  <c r="AQ1416" i="2" l="1"/>
  <c r="AO1416" i="2"/>
  <c r="AQ1417" i="2" l="1"/>
  <c r="AO1417" i="2"/>
  <c r="AO1418" i="2" l="1"/>
  <c r="AQ1418" i="2"/>
  <c r="AO1419" i="2" l="1"/>
  <c r="AQ1419" i="2"/>
  <c r="AO1420" i="2" l="1"/>
  <c r="AQ1420" i="2"/>
  <c r="AQ1421" i="2" l="1"/>
  <c r="AO1421" i="2"/>
  <c r="AQ1422" i="2" l="1"/>
  <c r="AO1422" i="2"/>
  <c r="AO1423" i="2" l="1"/>
  <c r="AQ1423" i="2"/>
  <c r="AQ1424" i="2" l="1"/>
  <c r="AO1424" i="2"/>
  <c r="AO1425" i="2" l="1"/>
  <c r="AQ1425" i="2"/>
  <c r="AQ1426" i="2" l="1"/>
  <c r="AO1426" i="2"/>
  <c r="AO1427" i="2" l="1"/>
  <c r="AQ1427" i="2"/>
  <c r="AO1428" i="2" l="1"/>
  <c r="AQ1428" i="2"/>
  <c r="AO1429" i="2" l="1"/>
  <c r="AQ1429" i="2"/>
  <c r="AQ1430" i="2" l="1"/>
  <c r="AO1430" i="2"/>
  <c r="AO1431" i="2" l="1"/>
  <c r="AQ1431" i="2"/>
  <c r="AQ1432" i="2" l="1"/>
  <c r="AO1432" i="2"/>
  <c r="AO1433" i="2" l="1"/>
  <c r="AQ1433" i="2"/>
  <c r="AO1434" i="2" l="1"/>
  <c r="AQ1434" i="2"/>
  <c r="AQ1435" i="2" l="1"/>
  <c r="AO1435" i="2"/>
  <c r="AO1436" i="2" l="1"/>
  <c r="AQ1436" i="2"/>
  <c r="AQ1437" i="2" l="1"/>
  <c r="AO1437" i="2"/>
  <c r="AO1438" i="2" l="1"/>
  <c r="AQ1438" i="2"/>
  <c r="AO1439" i="2" l="1"/>
  <c r="AQ1439" i="2"/>
  <c r="AQ1440" i="2" l="1"/>
  <c r="AO1440" i="2"/>
  <c r="AO1441" i="2" l="1"/>
  <c r="AQ1441" i="2"/>
  <c r="AO1442" i="2" l="1"/>
  <c r="AQ1442" i="2"/>
  <c r="AQ1443" i="2" l="1"/>
  <c r="AO1443" i="2"/>
  <c r="AO1444" i="2" l="1"/>
  <c r="AQ1444" i="2"/>
  <c r="AQ1445" i="2" l="1"/>
  <c r="AO1445" i="2"/>
  <c r="AO1446" i="2" l="1"/>
  <c r="AQ1446" i="2"/>
  <c r="AQ1447" i="2" l="1"/>
  <c r="AO1447" i="2"/>
  <c r="AQ1448" i="2" l="1"/>
  <c r="AO1448" i="2"/>
  <c r="AO1449" i="2" l="1"/>
  <c r="AQ1449" i="2"/>
  <c r="AQ1450" i="2" l="1"/>
  <c r="AO1450" i="2"/>
  <c r="AO1451" i="2" l="1"/>
  <c r="AQ1451" i="2"/>
  <c r="AQ1452" i="2" l="1"/>
  <c r="AO1452" i="2"/>
  <c r="AO1453" i="2" l="1"/>
  <c r="AQ1453" i="2"/>
  <c r="AQ1454" i="2" l="1"/>
  <c r="AO1454" i="2"/>
  <c r="AO1455" i="2" l="1"/>
  <c r="AQ1455" i="2"/>
  <c r="AO1456" i="2" l="1"/>
  <c r="AQ1456" i="2"/>
  <c r="AO1457" i="2" l="1"/>
  <c r="AQ1457" i="2"/>
  <c r="AQ1458" i="2" l="1"/>
  <c r="AO1458" i="2"/>
  <c r="AO1459" i="2" l="1"/>
  <c r="AQ1459" i="2"/>
  <c r="AO1460" i="2" l="1"/>
  <c r="AQ1460" i="2"/>
  <c r="AO1461" i="2" l="1"/>
  <c r="AQ1461" i="2"/>
  <c r="AO1462" i="2" l="1"/>
  <c r="AQ1462" i="2"/>
  <c r="AQ1463" i="2" l="1"/>
  <c r="AO1463" i="2"/>
  <c r="AO1464" i="2" l="1"/>
  <c r="AQ1464" i="2"/>
  <c r="AQ1465" i="2" l="1"/>
  <c r="AO1465" i="2"/>
  <c r="AO1466" i="2" l="1"/>
  <c r="AQ1466" i="2"/>
  <c r="AQ1467" i="2" l="1"/>
  <c r="AO1467" i="2"/>
  <c r="AQ1468" i="2" l="1"/>
  <c r="AO1468" i="2"/>
  <c r="AQ1469" i="2" l="1"/>
  <c r="AO1469" i="2"/>
  <c r="AQ1470" i="2" l="1"/>
  <c r="AO1470" i="2"/>
  <c r="AO1471" i="2" l="1"/>
  <c r="AQ1471" i="2"/>
  <c r="AO1472" i="2" l="1"/>
  <c r="AQ1472" i="2"/>
  <c r="AQ1473" i="2" l="1"/>
  <c r="AO1473" i="2"/>
  <c r="AO1474" i="2" l="1"/>
  <c r="AQ1474" i="2"/>
  <c r="AO1475" i="2" l="1"/>
  <c r="AQ1475" i="2"/>
  <c r="AQ1476" i="2" l="1"/>
  <c r="AO1476" i="2"/>
  <c r="AQ1477" i="2" l="1"/>
  <c r="AO1477" i="2"/>
  <c r="AO1478" i="2" l="1"/>
  <c r="AQ1478" i="2"/>
  <c r="AO1479" i="2" l="1"/>
  <c r="AQ1479" i="2"/>
  <c r="AO1480" i="2" l="1"/>
  <c r="AQ1480" i="2"/>
  <c r="AQ1481" i="2" l="1"/>
  <c r="AO1481" i="2"/>
  <c r="AQ1482" i="2" l="1"/>
  <c r="AO1482" i="2"/>
  <c r="AO1483" i="2" l="1"/>
  <c r="AQ1483" i="2"/>
  <c r="AQ1484" i="2" l="1"/>
  <c r="AO1484" i="2"/>
  <c r="AQ1485" i="2" l="1"/>
  <c r="AO1485" i="2"/>
  <c r="AQ1486" i="2" l="1"/>
  <c r="AO1486" i="2"/>
  <c r="AQ1487" i="2" l="1"/>
  <c r="AO1487" i="2"/>
  <c r="AO1488" i="2" l="1"/>
  <c r="AQ1488" i="2"/>
  <c r="AO1489" i="2" l="1"/>
  <c r="AQ1489" i="2"/>
  <c r="AO1490" i="2" l="1"/>
  <c r="AQ1490" i="2"/>
  <c r="AO1491" i="2" l="1"/>
  <c r="AQ1491" i="2"/>
  <c r="AO1492" i="2" l="1"/>
  <c r="AQ1492" i="2"/>
  <c r="AO1493" i="2" l="1"/>
  <c r="AQ1493" i="2"/>
  <c r="AQ1494" i="2" l="1"/>
  <c r="AO1494" i="2"/>
  <c r="AO1495" i="2" l="1"/>
  <c r="AQ1495" i="2"/>
  <c r="AO1496" i="2" l="1"/>
  <c r="AQ1496" i="2"/>
  <c r="AQ1497" i="2" l="1"/>
  <c r="AO1497" i="2"/>
  <c r="AO1498" i="2" l="1"/>
  <c r="AQ1498" i="2"/>
  <c r="AO1499" i="2" l="1"/>
  <c r="AQ1499" i="2"/>
  <c r="AO1500" i="2" l="1"/>
  <c r="AQ1500" i="2"/>
  <c r="AQ1501" i="2" l="1"/>
  <c r="AO1501" i="2"/>
  <c r="AO1502" i="2" l="1"/>
  <c r="AQ1502" i="2"/>
  <c r="AQ1503" i="2" l="1"/>
  <c r="AO1503" i="2"/>
  <c r="AO1504" i="2" l="1"/>
  <c r="AQ1504" i="2"/>
  <c r="AQ1505" i="2" l="1"/>
  <c r="AO1505" i="2"/>
  <c r="AQ1506" i="2" l="1"/>
  <c r="AO1506" i="2"/>
  <c r="AO1507" i="2" l="1"/>
  <c r="AQ1507" i="2"/>
  <c r="AQ1508" i="2" l="1"/>
  <c r="AO1508" i="2"/>
  <c r="AQ1509" i="2" l="1"/>
  <c r="AO1509" i="2"/>
  <c r="AO1510" i="2" l="1"/>
  <c r="AQ1510" i="2"/>
  <c r="AO1511" i="2" l="1"/>
  <c r="AQ1511" i="2"/>
  <c r="AO1512" i="2" l="1"/>
  <c r="AQ1512" i="2"/>
  <c r="AQ1513" i="2" l="1"/>
  <c r="AO1513" i="2"/>
  <c r="AO1514" i="2" l="1"/>
  <c r="AQ1514" i="2"/>
  <c r="AO1515" i="2" l="1"/>
  <c r="AQ1515" i="2"/>
  <c r="AQ1516" i="2" l="1"/>
  <c r="AO1516" i="2"/>
  <c r="AO1517" i="2" l="1"/>
  <c r="AQ1517" i="2"/>
  <c r="AO1518" i="2" l="1"/>
  <c r="AQ1518" i="2"/>
  <c r="AO1519" i="2" l="1"/>
  <c r="AQ1519" i="2"/>
  <c r="AO1520" i="2" l="1"/>
  <c r="AQ1520" i="2"/>
  <c r="AQ1521" i="2" l="1"/>
  <c r="AO1521" i="2"/>
  <c r="AQ1522" i="2" l="1"/>
  <c r="AO1522" i="2"/>
  <c r="AO1523" i="2" l="1"/>
  <c r="AQ1523" i="2"/>
  <c r="AQ1524" i="2" l="1"/>
  <c r="AO1524" i="2"/>
  <c r="AQ1525" i="2" l="1"/>
  <c r="AO1525" i="2"/>
  <c r="AQ1526" i="2" l="1"/>
  <c r="AO1526" i="2"/>
  <c r="AO1527" i="2" l="1"/>
  <c r="AQ1527" i="2"/>
  <c r="AO1528" i="2" l="1"/>
  <c r="AQ1528" i="2"/>
  <c r="AQ1529" i="2" l="1"/>
  <c r="AO1529" i="2"/>
  <c r="AO1530" i="2" l="1"/>
  <c r="AQ1530" i="2"/>
  <c r="AO1531" i="2" l="1"/>
  <c r="AQ1531" i="2"/>
  <c r="AO1532" i="2" l="1"/>
  <c r="AQ1532" i="2"/>
  <c r="AQ1533" i="2" l="1"/>
  <c r="AO1533" i="2"/>
  <c r="AO1534" i="2" l="1"/>
  <c r="AQ1534" i="2"/>
  <c r="AO1535" i="2" l="1"/>
  <c r="AQ1535" i="2"/>
  <c r="AQ1536" i="2" l="1"/>
  <c r="AO1536" i="2"/>
  <c r="AO1537" i="2" l="1"/>
  <c r="AQ1537" i="2"/>
  <c r="AO1538" i="2" l="1"/>
  <c r="AQ1538" i="2"/>
  <c r="AQ1539" i="2" l="1"/>
  <c r="AO1539" i="2"/>
  <c r="AO1540" i="2" l="1"/>
  <c r="AQ1540" i="2"/>
  <c r="AQ1541" i="2" l="1"/>
  <c r="AO1541" i="2"/>
  <c r="AO1542" i="2" l="1"/>
  <c r="AQ1542" i="2"/>
  <c r="AQ1543" i="2" l="1"/>
  <c r="AO1543" i="2"/>
  <c r="AO1544" i="2" l="1"/>
  <c r="AQ1544" i="2"/>
  <c r="AO1545" i="2" l="1"/>
  <c r="AQ1545" i="2"/>
  <c r="AO1546" i="2" l="1"/>
  <c r="AQ1546" i="2"/>
  <c r="AQ1547" i="2" l="1"/>
  <c r="AO1547" i="2"/>
  <c r="AQ1548" i="2" l="1"/>
  <c r="AO1548" i="2"/>
  <c r="AO1549" i="2" l="1"/>
  <c r="AQ1549" i="2"/>
  <c r="AO1550" i="2" l="1"/>
  <c r="AQ1550" i="2"/>
  <c r="AO1551" i="2" l="1"/>
  <c r="AQ1551" i="2"/>
  <c r="AO1552" i="2" l="1"/>
  <c r="AQ1552" i="2"/>
  <c r="AO1553" i="2" l="1"/>
  <c r="AQ1553" i="2"/>
  <c r="AO1554" i="2" l="1"/>
  <c r="AQ1554" i="2"/>
  <c r="AO1555" i="2" l="1"/>
  <c r="AQ1555" i="2"/>
  <c r="AO1556" i="2" l="1"/>
  <c r="AQ1556" i="2"/>
  <c r="AQ1557" i="2" l="1"/>
  <c r="AO1557" i="2"/>
  <c r="AQ1558" i="2" l="1"/>
  <c r="AO1558" i="2"/>
  <c r="AQ1559" i="2" l="1"/>
  <c r="AO1559" i="2"/>
  <c r="AO1560" i="2" l="1"/>
  <c r="AQ1560" i="2"/>
  <c r="AO1561" i="2" l="1"/>
  <c r="AQ1561" i="2"/>
  <c r="AO1562" i="2" l="1"/>
  <c r="AQ1562" i="2"/>
  <c r="AQ1563" i="2" l="1"/>
  <c r="AO1563" i="2"/>
  <c r="AQ1564" i="2" l="1"/>
  <c r="AO1564" i="2"/>
  <c r="AQ1565" i="2" l="1"/>
  <c r="AO1565" i="2"/>
  <c r="AQ1566" i="2" l="1"/>
  <c r="AO1566" i="2"/>
  <c r="AQ1567" i="2" l="1"/>
  <c r="AO1567" i="2"/>
  <c r="AO1568" i="2" l="1"/>
  <c r="AQ1568" i="2"/>
  <c r="AO1569" i="2" l="1"/>
  <c r="AQ1569" i="2"/>
  <c r="AQ1570" i="2" l="1"/>
  <c r="AO1570" i="2"/>
  <c r="AQ1571" i="2" l="1"/>
  <c r="AO1571" i="2"/>
  <c r="AO1572" i="2" l="1"/>
  <c r="AQ1572" i="2"/>
  <c r="AQ1573" i="2" l="1"/>
  <c r="AO1573" i="2"/>
  <c r="AQ1574" i="2" l="1"/>
  <c r="AO1574" i="2"/>
  <c r="AQ1575" i="2" l="1"/>
  <c r="AO1575" i="2"/>
  <c r="AQ1576" i="2" l="1"/>
  <c r="AO1576" i="2"/>
  <c r="AO1577" i="2" l="1"/>
  <c r="AQ1577" i="2"/>
  <c r="AQ1578" i="2" l="1"/>
  <c r="AO1578" i="2"/>
  <c r="AQ1579" i="2" l="1"/>
  <c r="AO1579" i="2"/>
  <c r="AO1580" i="2" l="1"/>
  <c r="AQ1580" i="2"/>
  <c r="AQ1581" i="2" l="1"/>
  <c r="AO1581" i="2"/>
  <c r="AQ1582" i="2" l="1"/>
  <c r="AO1582" i="2"/>
  <c r="AQ1583" i="2" l="1"/>
  <c r="AO1583" i="2"/>
  <c r="AO1584" i="2" l="1"/>
  <c r="AQ1584" i="2"/>
  <c r="AQ1585" i="2" l="1"/>
  <c r="AO1585" i="2"/>
  <c r="AO1586" i="2" l="1"/>
  <c r="AQ1586" i="2"/>
  <c r="AO1587" i="2" l="1"/>
  <c r="AQ1587" i="2"/>
  <c r="AQ1588" i="2" l="1"/>
  <c r="AO1588" i="2"/>
  <c r="AQ1589" i="2" l="1"/>
  <c r="AO1589" i="2"/>
  <c r="AO1590" i="2" l="1"/>
  <c r="AQ1590" i="2"/>
  <c r="AQ1591" i="2" l="1"/>
  <c r="AO1591" i="2"/>
  <c r="AQ1592" i="2" l="1"/>
  <c r="AO1592" i="2"/>
  <c r="AQ1593" i="2" l="1"/>
  <c r="AO1593" i="2"/>
  <c r="AO1594" i="2" l="1"/>
  <c r="AQ1594" i="2"/>
  <c r="AQ1595" i="2" l="1"/>
  <c r="AO1595" i="2"/>
  <c r="AQ1596" i="2" l="1"/>
  <c r="AO1596" i="2"/>
  <c r="AO1597" i="2" l="1"/>
  <c r="AQ1597" i="2"/>
  <c r="AQ1598" i="2" l="1"/>
  <c r="AO1598" i="2"/>
  <c r="AO1599" i="2" l="1"/>
  <c r="AQ1599" i="2"/>
  <c r="AO1600" i="2" l="1"/>
  <c r="AQ1600" i="2"/>
  <c r="AQ1601" i="2" l="1"/>
  <c r="AO1601" i="2"/>
  <c r="AQ1602" i="2" l="1"/>
  <c r="AO1602" i="2"/>
  <c r="AO1603" i="2" l="1"/>
  <c r="AQ1603" i="2"/>
  <c r="AO1604" i="2" l="1"/>
  <c r="AQ1604" i="2"/>
  <c r="AO1605" i="2" l="1"/>
  <c r="AQ1605" i="2"/>
  <c r="AO1606" i="2" l="1"/>
  <c r="AQ1606" i="2"/>
  <c r="AO1607" i="2" l="1"/>
  <c r="AQ1607" i="2"/>
  <c r="AO1608" i="2" l="1"/>
  <c r="AQ1608" i="2"/>
  <c r="AO1609" i="2" l="1"/>
  <c r="AQ1609" i="2"/>
  <c r="AO1610" i="2" l="1"/>
  <c r="AQ1610" i="2"/>
  <c r="AQ1611" i="2" l="1"/>
  <c r="AO1611" i="2"/>
  <c r="AQ1612" i="2" l="1"/>
  <c r="AO1612" i="2"/>
  <c r="AO1613" i="2" l="1"/>
  <c r="AQ1613" i="2"/>
  <c r="AO1614" i="2" l="1"/>
  <c r="AQ1614" i="2"/>
  <c r="AQ1615" i="2" l="1"/>
  <c r="AO1615" i="2"/>
  <c r="AO1616" i="2" l="1"/>
  <c r="AQ1616" i="2"/>
  <c r="AQ1617" i="2" l="1"/>
  <c r="AO1617" i="2"/>
  <c r="AQ1618" i="2" l="1"/>
  <c r="AO1618" i="2"/>
  <c r="AQ1619" i="2" l="1"/>
  <c r="AO1619" i="2"/>
  <c r="AO1620" i="2" l="1"/>
  <c r="AQ1620" i="2"/>
  <c r="AQ1621" i="2" l="1"/>
  <c r="AO1621" i="2"/>
  <c r="AO1622" i="2" l="1"/>
  <c r="AQ1622" i="2"/>
  <c r="AQ1623" i="2" l="1"/>
  <c r="AO1623" i="2"/>
  <c r="AQ1624" i="2" l="1"/>
  <c r="AO1624" i="2"/>
  <c r="AO1625" i="2" l="1"/>
  <c r="AQ1625" i="2"/>
  <c r="AQ1626" i="2" l="1"/>
  <c r="AO1626" i="2"/>
  <c r="AQ1627" i="2" l="1"/>
  <c r="AO1627" i="2"/>
  <c r="AQ1628" i="2" l="1"/>
  <c r="AO1628" i="2"/>
  <c r="AO1629" i="2" l="1"/>
  <c r="AQ1629" i="2"/>
  <c r="AQ1630" i="2" l="1"/>
  <c r="AO1630" i="2"/>
  <c r="AO1631" i="2" l="1"/>
  <c r="AQ1631" i="2"/>
  <c r="AQ1632" i="2" l="1"/>
  <c r="AO1632" i="2"/>
  <c r="AO1633" i="2" l="1"/>
  <c r="AQ1633" i="2"/>
  <c r="AQ1634" i="2" l="1"/>
  <c r="AO1634" i="2"/>
  <c r="AO1635" i="2" l="1"/>
  <c r="AQ1635" i="2"/>
  <c r="AQ1636" i="2" l="1"/>
  <c r="AO1636" i="2"/>
  <c r="AQ1637" i="2" l="1"/>
  <c r="AO1637" i="2"/>
  <c r="AO1638" i="2" l="1"/>
  <c r="AQ1638" i="2"/>
  <c r="AO1639" i="2" l="1"/>
  <c r="AQ1639" i="2"/>
  <c r="AO1640" i="2" l="1"/>
  <c r="AQ1640" i="2"/>
  <c r="AO1641" i="2" l="1"/>
  <c r="AQ1641" i="2"/>
  <c r="AQ1642" i="2" l="1"/>
  <c r="AO1642" i="2"/>
  <c r="AQ1643" i="2" l="1"/>
  <c r="AO1643" i="2"/>
  <c r="AQ1644" i="2" l="1"/>
  <c r="AO1644" i="2"/>
  <c r="AO1645" i="2" l="1"/>
  <c r="AQ1645" i="2"/>
  <c r="AO1646" i="2" l="1"/>
  <c r="AQ1646" i="2"/>
  <c r="AQ1647" i="2" l="1"/>
  <c r="AO1647" i="2"/>
  <c r="AO1648" i="2" l="1"/>
  <c r="AQ1648" i="2"/>
  <c r="AO1649" i="2" l="1"/>
  <c r="AQ1649" i="2"/>
  <c r="AQ1650" i="2" l="1"/>
  <c r="AO1650" i="2"/>
  <c r="AO1651" i="2" l="1"/>
  <c r="AQ1651" i="2"/>
  <c r="AO1652" i="2" l="1"/>
  <c r="AQ1652" i="2"/>
  <c r="AQ1653" i="2" l="1"/>
  <c r="AO1653" i="2"/>
  <c r="AQ1654" i="2" l="1"/>
  <c r="AO1654" i="2"/>
  <c r="AO1655" i="2" l="1"/>
  <c r="AQ1655" i="2"/>
  <c r="AO1656" i="2" l="1"/>
  <c r="AQ1656" i="2"/>
  <c r="AO1657" i="2" l="1"/>
  <c r="AQ1657" i="2"/>
  <c r="AO1658" i="2" l="1"/>
  <c r="AQ1658" i="2"/>
  <c r="AO1659" i="2" l="1"/>
  <c r="AQ1659" i="2"/>
  <c r="AO1660" i="2" l="1"/>
  <c r="AQ1660" i="2"/>
  <c r="AQ1661" i="2" l="1"/>
  <c r="AO1661" i="2"/>
  <c r="AQ1662" i="2" l="1"/>
  <c r="AO1662" i="2"/>
  <c r="AO1663" i="2" l="1"/>
  <c r="AQ1663" i="2"/>
  <c r="AQ1664" i="2" l="1"/>
  <c r="AO1664" i="2"/>
  <c r="AO1665" i="2" l="1"/>
  <c r="AQ1665" i="2"/>
  <c r="AQ1666" i="2" l="1"/>
  <c r="AO1666" i="2"/>
  <c r="AO1667" i="2" l="1"/>
  <c r="AQ1667" i="2"/>
  <c r="AO1668" i="2" l="1"/>
  <c r="AQ1668" i="2"/>
  <c r="AO1669" i="2" l="1"/>
  <c r="AQ1669" i="2"/>
  <c r="AO1670" i="2" l="1"/>
  <c r="AQ1670" i="2"/>
  <c r="AQ1671" i="2" l="1"/>
  <c r="AO1671" i="2"/>
  <c r="AQ1672" i="2" l="1"/>
  <c r="AO1672" i="2"/>
  <c r="AQ1673" i="2" l="1"/>
  <c r="AO1673" i="2"/>
  <c r="AQ1674" i="2" l="1"/>
  <c r="AO1674" i="2"/>
  <c r="AO1675" i="2" l="1"/>
  <c r="AQ1675" i="2"/>
  <c r="AQ1676" i="2" l="1"/>
  <c r="AO1676" i="2"/>
  <c r="AQ1677" i="2" l="1"/>
  <c r="AO1677" i="2"/>
  <c r="AQ1678" i="2" l="1"/>
  <c r="AO1678" i="2"/>
  <c r="AQ1679" i="2" l="1"/>
  <c r="AO1679" i="2"/>
  <c r="AO1680" i="2" l="1"/>
  <c r="AQ1680" i="2"/>
  <c r="AO1681" i="2" l="1"/>
  <c r="AQ1681" i="2"/>
  <c r="AO1682" i="2" l="1"/>
  <c r="AQ1682" i="2"/>
  <c r="AO1683" i="2" l="1"/>
  <c r="AQ1683" i="2"/>
  <c r="AO1684" i="2" l="1"/>
  <c r="AQ1684" i="2"/>
  <c r="AQ1685" i="2" l="1"/>
  <c r="AO1685" i="2"/>
  <c r="AQ1686" i="2" l="1"/>
  <c r="AO1686" i="2"/>
  <c r="AQ1687" i="2" l="1"/>
  <c r="AO1687" i="2"/>
  <c r="AQ1688" i="2" l="1"/>
  <c r="AO1688" i="2"/>
  <c r="AO1689" i="2" l="1"/>
  <c r="AQ1689" i="2"/>
  <c r="AM6" i="2" s="1"/>
  <c r="AO9" i="2"/>
  <c r="AQ10" i="2" l="1"/>
  <c r="AP11" i="2" s="1"/>
  <c r="AO10" i="2"/>
  <c r="AQ11" i="2" l="1"/>
  <c r="AO11" i="2"/>
  <c r="AP12" i="2"/>
  <c r="AO12" i="2" l="1"/>
  <c r="AQ12" i="2"/>
  <c r="AP13" i="2" s="1"/>
  <c r="AQ13" i="2" l="1"/>
  <c r="AP14" i="2" s="1"/>
  <c r="AO13" i="2"/>
  <c r="AQ14" i="2" l="1"/>
  <c r="AP15" i="2" s="1"/>
  <c r="AO14" i="2"/>
  <c r="AQ15" i="2" l="1"/>
  <c r="AP16" i="2" s="1"/>
  <c r="AO15" i="2"/>
  <c r="AO16" i="2" l="1"/>
  <c r="AQ16" i="2"/>
  <c r="AP17" i="2" s="1"/>
  <c r="AO17" i="2" l="1"/>
  <c r="AQ17" i="2"/>
  <c r="AP18" i="2" s="1"/>
  <c r="AO18" i="2" l="1"/>
  <c r="AQ18" i="2"/>
  <c r="AP19" i="2" s="1"/>
  <c r="AQ19" i="2" l="1"/>
  <c r="AP20" i="2" s="1"/>
  <c r="AO19" i="2"/>
  <c r="AQ20" i="2" l="1"/>
  <c r="AP21" i="2" s="1"/>
  <c r="AO20" i="2"/>
  <c r="AQ21" i="2" l="1"/>
  <c r="AP22" i="2" s="1"/>
  <c r="AO21" i="2"/>
  <c r="AQ22" i="2" l="1"/>
  <c r="AP23" i="2" s="1"/>
  <c r="AO22" i="2"/>
  <c r="AQ23" i="2" l="1"/>
  <c r="AP24" i="2" s="1"/>
  <c r="AO23" i="2"/>
  <c r="AO24" i="2" l="1"/>
  <c r="AQ24" i="2"/>
  <c r="AP25" i="2" s="1"/>
  <c r="AQ25" i="2" l="1"/>
  <c r="AP26" i="2" s="1"/>
  <c r="AO25" i="2"/>
  <c r="AO26" i="2" l="1"/>
  <c r="AQ26" i="2"/>
  <c r="AP27" i="2" s="1"/>
  <c r="AQ27" i="2" l="1"/>
  <c r="AP28" i="2" s="1"/>
  <c r="AO27" i="2"/>
  <c r="AQ28" i="2" l="1"/>
  <c r="AP29" i="2" s="1"/>
  <c r="AO28" i="2"/>
  <c r="AQ29" i="2" l="1"/>
  <c r="AP30" i="2" s="1"/>
  <c r="AO29" i="2"/>
  <c r="AO30" i="2" l="1"/>
  <c r="AQ30" i="2"/>
  <c r="AP31" i="2" s="1"/>
  <c r="AQ31" i="2" l="1"/>
  <c r="AP32" i="2" s="1"/>
  <c r="AO31" i="2"/>
  <c r="AQ32" i="2" l="1"/>
  <c r="AP33" i="2" s="1"/>
  <c r="AO32" i="2"/>
  <c r="AQ33" i="2" l="1"/>
  <c r="AP34" i="2" s="1"/>
  <c r="AO33" i="2"/>
  <c r="AQ34" i="2" l="1"/>
  <c r="AP35" i="2" s="1"/>
  <c r="AO34" i="2"/>
  <c r="AO35" i="2" l="1"/>
  <c r="AQ35" i="2"/>
  <c r="AP36" i="2" s="1"/>
  <c r="AO36" i="2" l="1"/>
  <c r="AQ36" i="2"/>
  <c r="AP37" i="2" s="1"/>
  <c r="AQ37" i="2" l="1"/>
  <c r="AP38" i="2" s="1"/>
  <c r="AO37" i="2"/>
  <c r="AQ38" i="2" l="1"/>
  <c r="AP39" i="2" s="1"/>
  <c r="AO38" i="2"/>
  <c r="AQ39" i="2" l="1"/>
  <c r="AP40" i="2" s="1"/>
  <c r="AO39" i="2"/>
  <c r="AO40" i="2" l="1"/>
  <c r="AQ40" i="2"/>
  <c r="AP41" i="2" s="1"/>
  <c r="AQ41" i="2" l="1"/>
  <c r="AP42" i="2" s="1"/>
  <c r="AO41" i="2"/>
  <c r="AO42" i="2" l="1"/>
  <c r="AQ42" i="2"/>
  <c r="AP43" i="2" s="1"/>
  <c r="AQ43" i="2" l="1"/>
  <c r="AP44" i="2" s="1"/>
  <c r="AO43" i="2"/>
  <c r="AO44" i="2" l="1"/>
  <c r="AQ44" i="2"/>
  <c r="AP45" i="2" s="1"/>
  <c r="AQ45" i="2" l="1"/>
  <c r="AP46" i="2" s="1"/>
  <c r="AO45" i="2"/>
  <c r="AO46" i="2" l="1"/>
  <c r="AQ46" i="2"/>
  <c r="AP47" i="2" s="1"/>
  <c r="AQ47" i="2" l="1"/>
  <c r="AP48" i="2" s="1"/>
  <c r="AO47" i="2"/>
  <c r="AO48" i="2" l="1"/>
  <c r="AQ48" i="2"/>
  <c r="AP49" i="2" s="1"/>
  <c r="AQ49" i="2" l="1"/>
  <c r="AP50" i="2" s="1"/>
  <c r="AO49" i="2"/>
  <c r="AQ50" i="2" l="1"/>
  <c r="AP51" i="2" s="1"/>
  <c r="AO50" i="2"/>
  <c r="AQ51" i="2" l="1"/>
  <c r="AP52" i="2" s="1"/>
  <c r="AO51" i="2"/>
  <c r="AQ52" i="2" l="1"/>
  <c r="AP53" i="2" s="1"/>
  <c r="AO52" i="2"/>
  <c r="AO53" i="2" l="1"/>
  <c r="AQ53" i="2"/>
  <c r="AP54" i="2" s="1"/>
  <c r="AQ54" i="2" l="1"/>
  <c r="AP55" i="2" s="1"/>
  <c r="AO54" i="2"/>
  <c r="AQ55" i="2" l="1"/>
  <c r="AP56" i="2" s="1"/>
  <c r="AO55" i="2"/>
  <c r="AQ56" i="2" l="1"/>
  <c r="AP57" i="2" s="1"/>
  <c r="AO56" i="2"/>
  <c r="AO57" i="2" l="1"/>
  <c r="AQ57" i="2"/>
  <c r="AP58" i="2" s="1"/>
  <c r="AO58" i="2" l="1"/>
  <c r="AQ58" i="2"/>
  <c r="AP59" i="2" s="1"/>
  <c r="AO59" i="2" l="1"/>
  <c r="AQ59" i="2"/>
  <c r="AP60" i="2" s="1"/>
  <c r="AQ60" i="2" l="1"/>
  <c r="AP61" i="2" s="1"/>
  <c r="AO60" i="2"/>
  <c r="AQ61" i="2" l="1"/>
  <c r="AP62" i="2" s="1"/>
  <c r="AO61" i="2"/>
  <c r="AQ62" i="2" l="1"/>
  <c r="AP63" i="2" s="1"/>
  <c r="AO62" i="2"/>
  <c r="AQ63" i="2" l="1"/>
  <c r="AP64" i="2" s="1"/>
  <c r="AO63" i="2"/>
  <c r="AO64" i="2" l="1"/>
  <c r="AQ64" i="2"/>
  <c r="AP65" i="2" s="1"/>
  <c r="AO65" i="2" l="1"/>
  <c r="AQ65" i="2"/>
  <c r="AP66" i="2" s="1"/>
  <c r="AO66" i="2" l="1"/>
  <c r="AQ66" i="2"/>
  <c r="AP67" i="2" s="1"/>
  <c r="AQ67" i="2" l="1"/>
  <c r="AP68" i="2" s="1"/>
  <c r="AO67" i="2"/>
  <c r="AQ68" i="2" l="1"/>
  <c r="AP69" i="2" s="1"/>
  <c r="AO68" i="2"/>
  <c r="AQ69" i="2" l="1"/>
  <c r="AP70" i="2" s="1"/>
  <c r="AO69" i="2"/>
  <c r="AQ70" i="2" l="1"/>
  <c r="AP71" i="2" s="1"/>
  <c r="AO70" i="2"/>
  <c r="AQ71" i="2" l="1"/>
  <c r="AP72" i="2" s="1"/>
  <c r="AO71" i="2"/>
  <c r="AO72" i="2" l="1"/>
  <c r="AQ72" i="2"/>
  <c r="AP73" i="2" s="1"/>
  <c r="AQ73" i="2" l="1"/>
  <c r="AP74" i="2" s="1"/>
  <c r="AO73" i="2"/>
  <c r="AO74" i="2" l="1"/>
  <c r="AQ74" i="2"/>
  <c r="AP75" i="2" s="1"/>
  <c r="AO75" i="2" l="1"/>
  <c r="AQ75" i="2"/>
  <c r="AP76" i="2" s="1"/>
  <c r="AO76" i="2" l="1"/>
  <c r="AQ76" i="2"/>
  <c r="AP77" i="2" s="1"/>
  <c r="AO77" i="2" l="1"/>
  <c r="AQ77" i="2"/>
  <c r="AP78" i="2" s="1"/>
  <c r="AO78" i="2" l="1"/>
  <c r="AQ78" i="2"/>
  <c r="AP79" i="2" s="1"/>
  <c r="AQ79" i="2" l="1"/>
  <c r="AP80" i="2" s="1"/>
  <c r="AO79" i="2"/>
  <c r="AO80" i="2" l="1"/>
  <c r="AQ80" i="2"/>
  <c r="AP81" i="2" s="1"/>
  <c r="AO81" i="2" l="1"/>
  <c r="AQ81" i="2"/>
  <c r="AP82" i="2" s="1"/>
  <c r="AO82" i="2" l="1"/>
  <c r="AQ82" i="2"/>
  <c r="AP83" i="2" s="1"/>
  <c r="AQ83" i="2" l="1"/>
  <c r="AP84" i="2" s="1"/>
  <c r="AO83" i="2"/>
  <c r="AO84" i="2" l="1"/>
  <c r="AQ84" i="2"/>
  <c r="AP85" i="2" s="1"/>
  <c r="AO85" i="2" l="1"/>
  <c r="AQ85" i="2"/>
  <c r="AP86" i="2" s="1"/>
  <c r="AO86" i="2" l="1"/>
  <c r="AQ86" i="2"/>
  <c r="AP87" i="2" s="1"/>
  <c r="AQ87" i="2" l="1"/>
  <c r="AP88" i="2" s="1"/>
  <c r="AO87" i="2"/>
  <c r="AO88" i="2" l="1"/>
  <c r="AQ88" i="2"/>
  <c r="AP89" i="2" s="1"/>
  <c r="AQ89" i="2" l="1"/>
  <c r="AP90" i="2" s="1"/>
  <c r="AO89" i="2"/>
  <c r="AQ90" i="2" l="1"/>
  <c r="AP91" i="2" s="1"/>
  <c r="AO90" i="2"/>
  <c r="AQ91" i="2" l="1"/>
  <c r="AP92" i="2" s="1"/>
  <c r="AO91" i="2"/>
  <c r="AQ92" i="2" l="1"/>
  <c r="AP93" i="2" s="1"/>
  <c r="AO92" i="2"/>
  <c r="AO93" i="2" l="1"/>
  <c r="AQ93" i="2"/>
  <c r="AP94" i="2" s="1"/>
  <c r="AO94" i="2" l="1"/>
  <c r="AQ94" i="2"/>
  <c r="AP95" i="2" s="1"/>
  <c r="AQ95" i="2" l="1"/>
  <c r="AP96" i="2" s="1"/>
  <c r="AO95" i="2"/>
  <c r="AO96" i="2" l="1"/>
  <c r="AQ96" i="2"/>
  <c r="AP97" i="2" s="1"/>
  <c r="AQ97" i="2" l="1"/>
  <c r="AP98" i="2" s="1"/>
  <c r="AO97" i="2"/>
  <c r="AO98" i="2" l="1"/>
  <c r="AQ98" i="2"/>
  <c r="AP99" i="2" s="1"/>
  <c r="AQ99" i="2" l="1"/>
  <c r="AP100" i="2" s="1"/>
  <c r="AO99" i="2"/>
  <c r="AQ100" i="2" l="1"/>
  <c r="AP101" i="2" s="1"/>
  <c r="AO100" i="2"/>
  <c r="AQ101" i="2" l="1"/>
  <c r="AP102" i="2" s="1"/>
  <c r="AO101" i="2"/>
  <c r="AO102" i="2" l="1"/>
  <c r="AQ102" i="2"/>
  <c r="AP103" i="2" s="1"/>
  <c r="AQ103" i="2" l="1"/>
  <c r="AP104" i="2" s="1"/>
  <c r="AO103" i="2"/>
  <c r="AO104" i="2" l="1"/>
  <c r="AQ104" i="2"/>
  <c r="AP105" i="2" s="1"/>
  <c r="AQ105" i="2" l="1"/>
  <c r="AP106" i="2" s="1"/>
  <c r="AO105" i="2"/>
  <c r="AO106" i="2" l="1"/>
  <c r="AQ106" i="2"/>
  <c r="AP107" i="2" s="1"/>
  <c r="AQ107" i="2" l="1"/>
  <c r="AP108" i="2" s="1"/>
  <c r="AO107" i="2"/>
  <c r="AQ108" i="2" l="1"/>
  <c r="AP109" i="2" s="1"/>
  <c r="AO108" i="2"/>
  <c r="AQ109" i="2" l="1"/>
  <c r="AP110" i="2" s="1"/>
  <c r="AO109" i="2"/>
  <c r="AO110" i="2" l="1"/>
  <c r="AQ110" i="2"/>
  <c r="AP111" i="2" s="1"/>
  <c r="AQ111" i="2" l="1"/>
  <c r="AP112" i="2" s="1"/>
  <c r="AO111" i="2"/>
  <c r="AO112" i="2" l="1"/>
  <c r="AQ112" i="2"/>
  <c r="AP113" i="2" s="1"/>
  <c r="AQ113" i="2" l="1"/>
  <c r="AP114" i="2" s="1"/>
  <c r="AO113" i="2"/>
  <c r="AQ114" i="2" l="1"/>
  <c r="AP115" i="2" s="1"/>
  <c r="AO114" i="2"/>
  <c r="AO115" i="2" l="1"/>
  <c r="AQ115" i="2"/>
  <c r="AP116" i="2" s="1"/>
  <c r="AQ116" i="2" l="1"/>
  <c r="AP117" i="2" s="1"/>
  <c r="AO116" i="2"/>
  <c r="AQ117" i="2" l="1"/>
  <c r="AP118" i="2" s="1"/>
  <c r="AO117" i="2"/>
  <c r="AQ118" i="2" l="1"/>
  <c r="AP119" i="2" s="1"/>
  <c r="AO118" i="2"/>
  <c r="AO119" i="2" l="1"/>
  <c r="AQ119" i="2"/>
  <c r="AP120" i="2" s="1"/>
  <c r="AO120" i="2" l="1"/>
  <c r="AQ120" i="2"/>
  <c r="AP121" i="2" s="1"/>
  <c r="AQ121" i="2" l="1"/>
  <c r="AP122" i="2" s="1"/>
  <c r="AO121" i="2"/>
  <c r="AQ122" i="2" l="1"/>
  <c r="AP123" i="2" s="1"/>
  <c r="AO122" i="2"/>
  <c r="AQ123" i="2" l="1"/>
  <c r="AP124" i="2" s="1"/>
  <c r="AO123" i="2"/>
  <c r="AQ124" i="2" l="1"/>
  <c r="AP125" i="2" s="1"/>
  <c r="AO124" i="2"/>
  <c r="AQ125" i="2" l="1"/>
  <c r="AP126" i="2" s="1"/>
  <c r="AO125" i="2"/>
  <c r="AO126" i="2" l="1"/>
  <c r="AQ126" i="2"/>
  <c r="AP127" i="2" s="1"/>
  <c r="AQ127" i="2" l="1"/>
  <c r="AP128" i="2" s="1"/>
  <c r="AO127" i="2"/>
  <c r="AQ128" i="2" l="1"/>
  <c r="AP129" i="2" s="1"/>
  <c r="AO128" i="2"/>
  <c r="AQ129" i="2" l="1"/>
  <c r="AP130" i="2" s="1"/>
  <c r="AO129" i="2"/>
  <c r="AO130" i="2" l="1"/>
  <c r="AQ130" i="2"/>
  <c r="AP131" i="2" s="1"/>
  <c r="AO131" i="2" l="1"/>
  <c r="AQ131" i="2"/>
  <c r="AP132" i="2" s="1"/>
  <c r="AQ132" i="2" l="1"/>
  <c r="AP133" i="2" s="1"/>
  <c r="AO132" i="2"/>
  <c r="AQ133" i="2" l="1"/>
  <c r="AP134" i="2" s="1"/>
  <c r="AO133" i="2"/>
  <c r="AQ134" i="2" l="1"/>
  <c r="AP135" i="2" s="1"/>
  <c r="AO134" i="2"/>
  <c r="AQ135" i="2" l="1"/>
  <c r="AP136" i="2" s="1"/>
  <c r="AO135" i="2"/>
  <c r="AO136" i="2" l="1"/>
  <c r="AQ136" i="2"/>
  <c r="AP137" i="2" s="1"/>
  <c r="AO137" i="2" l="1"/>
  <c r="AQ137" i="2"/>
  <c r="AP138" i="2" s="1"/>
  <c r="AQ138" i="2" l="1"/>
  <c r="AP139" i="2" s="1"/>
  <c r="AO138" i="2"/>
  <c r="AO139" i="2" l="1"/>
  <c r="AQ139" i="2"/>
  <c r="AP140" i="2" s="1"/>
  <c r="AQ140" i="2" l="1"/>
  <c r="AP141" i="2" s="1"/>
  <c r="AO140" i="2"/>
  <c r="AQ141" i="2" l="1"/>
  <c r="AP142" i="2" s="1"/>
  <c r="AO141" i="2"/>
  <c r="AO142" i="2" l="1"/>
  <c r="AQ142" i="2"/>
  <c r="AP143" i="2" s="1"/>
  <c r="AQ143" i="2" l="1"/>
  <c r="AP144" i="2" s="1"/>
  <c r="AO143" i="2"/>
  <c r="AO144" i="2" l="1"/>
  <c r="AQ144" i="2"/>
  <c r="AP145" i="2" s="1"/>
  <c r="AO145" i="2" l="1"/>
  <c r="AQ145" i="2"/>
  <c r="AP146" i="2" s="1"/>
  <c r="AQ146" i="2" l="1"/>
  <c r="AP147" i="2" s="1"/>
  <c r="AO146" i="2"/>
  <c r="AO147" i="2" l="1"/>
  <c r="AQ147" i="2"/>
  <c r="AP148" i="2" s="1"/>
  <c r="AQ148" i="2" l="1"/>
  <c r="AP149" i="2" s="1"/>
  <c r="AO148" i="2"/>
  <c r="AO149" i="2" l="1"/>
  <c r="AQ149" i="2"/>
  <c r="AP150" i="2" s="1"/>
  <c r="AQ150" i="2" l="1"/>
  <c r="AP151" i="2" s="1"/>
  <c r="AO150" i="2"/>
  <c r="AQ151" i="2" l="1"/>
  <c r="AP152" i="2" s="1"/>
  <c r="AO151" i="2"/>
  <c r="AO152" i="2" l="1"/>
  <c r="AQ152" i="2"/>
  <c r="AP153" i="2" s="1"/>
  <c r="AO153" i="2" l="1"/>
  <c r="AQ153" i="2"/>
  <c r="AP154" i="2" s="1"/>
  <c r="AQ154" i="2" l="1"/>
  <c r="AP155" i="2" s="1"/>
  <c r="AO154" i="2"/>
  <c r="AQ155" i="2" l="1"/>
  <c r="AP156" i="2" s="1"/>
  <c r="AO155" i="2"/>
  <c r="AO156" i="2" l="1"/>
  <c r="AQ156" i="2"/>
  <c r="AP157" i="2" s="1"/>
  <c r="AQ157" i="2" l="1"/>
  <c r="AP158" i="2" s="1"/>
  <c r="AO157" i="2"/>
  <c r="AQ158" i="2" l="1"/>
  <c r="AP159" i="2" s="1"/>
  <c r="AO158" i="2"/>
  <c r="AQ159" i="2" l="1"/>
  <c r="AP160" i="2" s="1"/>
  <c r="AO159" i="2"/>
  <c r="AQ160" i="2" l="1"/>
  <c r="AP161" i="2" s="1"/>
  <c r="AO160" i="2"/>
  <c r="AO161" i="2" l="1"/>
  <c r="AQ162" i="2" s="1"/>
  <c r="AQ161" i="2"/>
  <c r="AP162" i="2" s="1"/>
  <c r="AP163" i="2" s="1"/>
  <c r="AP164" i="2" s="1"/>
  <c r="AP165" i="2" s="1"/>
  <c r="AP166" i="2" s="1"/>
  <c r="AP167" i="2" s="1"/>
  <c r="AP168" i="2" s="1"/>
  <c r="AP169" i="2" s="1"/>
  <c r="AP170" i="2" s="1"/>
  <c r="AP171" i="2" s="1"/>
  <c r="AP172" i="2" s="1"/>
  <c r="AP173" i="2" s="1"/>
  <c r="AP174" i="2" s="1"/>
  <c r="AP175" i="2" s="1"/>
  <c r="AP176" i="2" s="1"/>
  <c r="AP177" i="2" s="1"/>
  <c r="AP178" i="2" s="1"/>
  <c r="AP179" i="2" s="1"/>
  <c r="AP180" i="2" s="1"/>
  <c r="AP181" i="2" s="1"/>
  <c r="AP182" i="2" s="1"/>
  <c r="AP183" i="2" s="1"/>
  <c r="AP184" i="2" s="1"/>
  <c r="AP185" i="2" s="1"/>
  <c r="AP186" i="2" s="1"/>
  <c r="AP187" i="2" s="1"/>
  <c r="AP188" i="2" s="1"/>
  <c r="AP189" i="2" s="1"/>
  <c r="AP190" i="2" s="1"/>
  <c r="AP191" i="2" s="1"/>
  <c r="AP192" i="2" s="1"/>
  <c r="AP193" i="2" s="1"/>
  <c r="AP194" i="2" s="1"/>
  <c r="AP195" i="2" s="1"/>
  <c r="AP196" i="2" s="1"/>
  <c r="AP197" i="2" s="1"/>
  <c r="AP198" i="2" s="1"/>
  <c r="AP199" i="2" s="1"/>
  <c r="AP200" i="2" s="1"/>
  <c r="AP201" i="2" s="1"/>
  <c r="AP202" i="2" s="1"/>
  <c r="AP203" i="2" s="1"/>
  <c r="AP204" i="2" s="1"/>
  <c r="AP205" i="2" s="1"/>
  <c r="AP206" i="2" s="1"/>
  <c r="AP207" i="2" s="1"/>
  <c r="AP208" i="2" s="1"/>
  <c r="AP209" i="2" s="1"/>
  <c r="AP210" i="2" s="1"/>
  <c r="AP211" i="2" s="1"/>
  <c r="AP212" i="2" s="1"/>
  <c r="AP213" i="2" s="1"/>
  <c r="AP214" i="2" s="1"/>
  <c r="AP215" i="2" s="1"/>
  <c r="AP216" i="2" s="1"/>
  <c r="AP217" i="2" s="1"/>
  <c r="AP218" i="2" s="1"/>
  <c r="AP219" i="2" s="1"/>
  <c r="AP220" i="2" s="1"/>
  <c r="AP221" i="2" s="1"/>
  <c r="AP222" i="2" s="1"/>
  <c r="AP223" i="2" s="1"/>
  <c r="AP224" i="2" s="1"/>
  <c r="AP225" i="2" s="1"/>
  <c r="AP226" i="2" s="1"/>
  <c r="AP227" i="2" s="1"/>
  <c r="AP228" i="2" s="1"/>
  <c r="AP229" i="2" s="1"/>
  <c r="AP230" i="2" s="1"/>
  <c r="AP231" i="2" s="1"/>
  <c r="AP232" i="2" s="1"/>
  <c r="AP233" i="2" s="1"/>
  <c r="AP234" i="2" s="1"/>
  <c r="AP235" i="2" s="1"/>
  <c r="AP236" i="2" s="1"/>
  <c r="AP237" i="2" s="1"/>
  <c r="AP238" i="2" s="1"/>
  <c r="AP239" i="2" s="1"/>
  <c r="AP240" i="2" s="1"/>
  <c r="AP241" i="2" s="1"/>
  <c r="AP242" i="2" s="1"/>
  <c r="AP243" i="2" s="1"/>
  <c r="AP244" i="2" s="1"/>
  <c r="AP245" i="2" s="1"/>
  <c r="AP246" i="2" s="1"/>
  <c r="AP247" i="2" s="1"/>
  <c r="AP248" i="2" s="1"/>
  <c r="AP249" i="2" s="1"/>
  <c r="AP250" i="2" s="1"/>
  <c r="AP251" i="2" s="1"/>
  <c r="AP252" i="2" s="1"/>
  <c r="AP253" i="2" s="1"/>
  <c r="AP254" i="2" s="1"/>
  <c r="AP255" i="2" s="1"/>
  <c r="AP256" i="2" s="1"/>
  <c r="AP257" i="2" s="1"/>
  <c r="AP258" i="2" s="1"/>
  <c r="AP259" i="2" s="1"/>
  <c r="AP260" i="2" s="1"/>
  <c r="AP261" i="2" s="1"/>
  <c r="AP262" i="2" s="1"/>
  <c r="AP263" i="2" s="1"/>
  <c r="AP264" i="2" s="1"/>
  <c r="AP265" i="2" s="1"/>
  <c r="AP266" i="2" s="1"/>
  <c r="AP267" i="2" s="1"/>
  <c r="AP268" i="2" s="1"/>
  <c r="AP269" i="2" s="1"/>
  <c r="AP270" i="2" s="1"/>
  <c r="AP271" i="2" s="1"/>
  <c r="AP272" i="2" s="1"/>
  <c r="AP273" i="2" s="1"/>
  <c r="AP274" i="2" s="1"/>
  <c r="AP275" i="2" s="1"/>
  <c r="AP276" i="2" s="1"/>
  <c r="AP277" i="2" s="1"/>
  <c r="AP278" i="2" s="1"/>
  <c r="AP279" i="2" s="1"/>
  <c r="AP280" i="2" s="1"/>
  <c r="AP281" i="2" s="1"/>
  <c r="AP282" i="2" s="1"/>
  <c r="AP283" i="2" s="1"/>
  <c r="AP284" i="2" s="1"/>
  <c r="AP285" i="2" s="1"/>
  <c r="AP286" i="2" s="1"/>
  <c r="AP287" i="2" s="1"/>
  <c r="AP288" i="2" s="1"/>
  <c r="AP289" i="2" s="1"/>
  <c r="AP290" i="2" s="1"/>
  <c r="AP291" i="2" s="1"/>
  <c r="AP292" i="2" s="1"/>
  <c r="AP293" i="2" s="1"/>
  <c r="AP294" i="2" s="1"/>
  <c r="AP295" i="2" s="1"/>
  <c r="AP296" i="2" s="1"/>
  <c r="AP297" i="2" s="1"/>
  <c r="AP298" i="2" s="1"/>
  <c r="AP299" i="2" s="1"/>
  <c r="AP300" i="2" s="1"/>
  <c r="AP301" i="2" s="1"/>
  <c r="AP302" i="2" s="1"/>
  <c r="AP303" i="2" s="1"/>
  <c r="AP304" i="2" s="1"/>
  <c r="AP305" i="2" s="1"/>
  <c r="AP306" i="2" s="1"/>
  <c r="AP307" i="2" s="1"/>
  <c r="AP308" i="2" s="1"/>
  <c r="AP309" i="2" s="1"/>
  <c r="AP310" i="2" s="1"/>
  <c r="AP311" i="2" s="1"/>
  <c r="AP312" i="2" s="1"/>
  <c r="AP313" i="2" s="1"/>
  <c r="AP314" i="2" s="1"/>
  <c r="AP315" i="2" s="1"/>
  <c r="AP316" i="2" s="1"/>
  <c r="AP317" i="2" s="1"/>
  <c r="AP318" i="2" s="1"/>
  <c r="AP319" i="2" s="1"/>
  <c r="AP320" i="2" s="1"/>
  <c r="AP321" i="2" s="1"/>
  <c r="AP322" i="2" s="1"/>
  <c r="AP323" i="2" s="1"/>
  <c r="AP324" i="2" s="1"/>
  <c r="AP325" i="2" s="1"/>
  <c r="AP326" i="2" s="1"/>
  <c r="AP327" i="2" s="1"/>
  <c r="AP328" i="2" s="1"/>
  <c r="AP329" i="2" s="1"/>
  <c r="AP330" i="2" s="1"/>
  <c r="AP331" i="2" s="1"/>
  <c r="AP332" i="2" s="1"/>
  <c r="AP333" i="2" s="1"/>
  <c r="AP334" i="2" s="1"/>
  <c r="AP335" i="2" s="1"/>
  <c r="AP336" i="2" s="1"/>
  <c r="AP337" i="2" s="1"/>
  <c r="AP338" i="2" s="1"/>
  <c r="AP339" i="2" s="1"/>
  <c r="AP340" i="2" s="1"/>
  <c r="AP341" i="2" s="1"/>
  <c r="AP342" i="2" s="1"/>
  <c r="AP343" i="2" s="1"/>
  <c r="AP344" i="2" s="1"/>
  <c r="AP345" i="2" s="1"/>
  <c r="AP346" i="2" s="1"/>
  <c r="AP347" i="2" s="1"/>
  <c r="AP348" i="2" s="1"/>
  <c r="AP349" i="2" s="1"/>
  <c r="AP350" i="2" s="1"/>
  <c r="AP351" i="2" s="1"/>
  <c r="AP352" i="2" s="1"/>
  <c r="AP353" i="2" s="1"/>
  <c r="AP354" i="2" s="1"/>
  <c r="AP355" i="2" s="1"/>
  <c r="AP356" i="2" s="1"/>
  <c r="AP357" i="2" s="1"/>
  <c r="AP358" i="2" s="1"/>
  <c r="AP359" i="2" s="1"/>
  <c r="AP360" i="2" s="1"/>
  <c r="AP361" i="2" s="1"/>
  <c r="AP362" i="2" s="1"/>
  <c r="AP363" i="2" s="1"/>
  <c r="AP364" i="2" s="1"/>
  <c r="AP365" i="2" s="1"/>
  <c r="AP366" i="2" s="1"/>
  <c r="AP367" i="2" s="1"/>
  <c r="AP368" i="2" s="1"/>
  <c r="AP369" i="2" s="1"/>
  <c r="AP370" i="2" s="1"/>
  <c r="AP371" i="2" s="1"/>
  <c r="AP372" i="2" s="1"/>
  <c r="AP373" i="2" s="1"/>
  <c r="AP374" i="2" s="1"/>
  <c r="AP375" i="2" s="1"/>
  <c r="AP376" i="2" s="1"/>
  <c r="AP377" i="2" s="1"/>
  <c r="AP378" i="2" s="1"/>
  <c r="AP379" i="2" s="1"/>
  <c r="AP380" i="2" s="1"/>
  <c r="AP381" i="2" s="1"/>
  <c r="AP382" i="2" s="1"/>
  <c r="AP383" i="2" s="1"/>
  <c r="AP384" i="2" s="1"/>
  <c r="AP385" i="2" s="1"/>
  <c r="AP386" i="2" s="1"/>
  <c r="AP387" i="2" s="1"/>
  <c r="AP388" i="2" s="1"/>
  <c r="AP389" i="2" s="1"/>
  <c r="AP390" i="2" s="1"/>
  <c r="AP391" i="2" s="1"/>
  <c r="AP392" i="2" s="1"/>
  <c r="AP393" i="2" s="1"/>
  <c r="AP394" i="2" s="1"/>
  <c r="AP395" i="2" s="1"/>
  <c r="AP396" i="2" s="1"/>
  <c r="AP397" i="2" s="1"/>
  <c r="AP398" i="2" s="1"/>
  <c r="AP399" i="2" s="1"/>
  <c r="AP400" i="2" s="1"/>
  <c r="AP401" i="2" s="1"/>
  <c r="AP402" i="2" s="1"/>
  <c r="AP403" i="2" s="1"/>
  <c r="AP404" i="2" s="1"/>
  <c r="AP405" i="2" s="1"/>
  <c r="AP406" i="2" s="1"/>
  <c r="AP407" i="2" s="1"/>
  <c r="AP408" i="2" s="1"/>
  <c r="AP409" i="2" s="1"/>
  <c r="AP410" i="2" s="1"/>
  <c r="AP411" i="2" s="1"/>
  <c r="AP412" i="2" s="1"/>
  <c r="AP413" i="2" s="1"/>
  <c r="AP414" i="2" s="1"/>
  <c r="AP415" i="2" s="1"/>
  <c r="AP416" i="2" s="1"/>
  <c r="AP417" i="2" s="1"/>
  <c r="AP418" i="2" s="1"/>
  <c r="AP419" i="2" s="1"/>
  <c r="AP420" i="2" s="1"/>
  <c r="AP421" i="2" s="1"/>
  <c r="AP422" i="2" s="1"/>
  <c r="AP423" i="2" s="1"/>
  <c r="AP424" i="2" s="1"/>
  <c r="AP425" i="2" s="1"/>
  <c r="AP426" i="2" s="1"/>
  <c r="AP427" i="2" s="1"/>
  <c r="AP428" i="2" s="1"/>
  <c r="AP429" i="2" s="1"/>
  <c r="AP430" i="2" s="1"/>
  <c r="AP431" i="2" s="1"/>
  <c r="AP432" i="2" s="1"/>
  <c r="AP433" i="2" s="1"/>
  <c r="AP434" i="2" s="1"/>
  <c r="AP435" i="2" s="1"/>
  <c r="AP436" i="2" s="1"/>
  <c r="AP437" i="2" s="1"/>
  <c r="AP438" i="2" s="1"/>
  <c r="AP439" i="2" s="1"/>
  <c r="AP440" i="2" s="1"/>
  <c r="AP441" i="2" s="1"/>
  <c r="AP442" i="2" s="1"/>
  <c r="AP443" i="2" s="1"/>
  <c r="AP444" i="2" s="1"/>
  <c r="AP445" i="2" s="1"/>
  <c r="AP446" i="2" s="1"/>
  <c r="AP447" i="2" s="1"/>
  <c r="AP448" i="2" s="1"/>
  <c r="AP449" i="2" s="1"/>
  <c r="AP450" i="2" s="1"/>
  <c r="AP451" i="2" s="1"/>
  <c r="AP452" i="2" s="1"/>
  <c r="AP453" i="2" s="1"/>
  <c r="AP454" i="2" s="1"/>
  <c r="AP455" i="2" s="1"/>
  <c r="AP456" i="2" s="1"/>
  <c r="AP457" i="2" s="1"/>
  <c r="AP458" i="2" s="1"/>
  <c r="AP459" i="2" s="1"/>
  <c r="AP460" i="2" s="1"/>
  <c r="AP461" i="2" s="1"/>
  <c r="AP462" i="2" s="1"/>
  <c r="AP463" i="2" s="1"/>
  <c r="AP464" i="2" s="1"/>
  <c r="AP465" i="2" s="1"/>
  <c r="AP466" i="2" s="1"/>
  <c r="AP467" i="2" s="1"/>
  <c r="AP468" i="2" s="1"/>
  <c r="AP469" i="2" s="1"/>
  <c r="AP470" i="2" s="1"/>
  <c r="AP471" i="2" s="1"/>
  <c r="AP472" i="2" s="1"/>
  <c r="AP473" i="2" s="1"/>
  <c r="AP474" i="2" s="1"/>
  <c r="AP475" i="2" s="1"/>
  <c r="AP476" i="2" s="1"/>
  <c r="AP477" i="2" s="1"/>
  <c r="AP478" i="2" s="1"/>
  <c r="AP479" i="2" s="1"/>
  <c r="AP480" i="2" s="1"/>
  <c r="AP481" i="2" s="1"/>
  <c r="AP482" i="2" s="1"/>
  <c r="AP483" i="2" s="1"/>
  <c r="AP484" i="2" s="1"/>
  <c r="AP485" i="2" s="1"/>
  <c r="AP486" i="2" s="1"/>
  <c r="AP487" i="2" s="1"/>
  <c r="AP488" i="2" s="1"/>
  <c r="AP489" i="2" s="1"/>
  <c r="AP490" i="2" s="1"/>
  <c r="AP491" i="2" s="1"/>
  <c r="AP492" i="2" s="1"/>
  <c r="AP493" i="2" s="1"/>
  <c r="AP494" i="2" s="1"/>
  <c r="AP495" i="2" s="1"/>
  <c r="AP496" i="2" s="1"/>
  <c r="AP497" i="2" s="1"/>
  <c r="AP498" i="2" s="1"/>
  <c r="AP499" i="2" s="1"/>
  <c r="AP500" i="2" s="1"/>
  <c r="AP501" i="2" s="1"/>
  <c r="AP502" i="2" s="1"/>
  <c r="AP503" i="2" s="1"/>
  <c r="AP504" i="2" s="1"/>
  <c r="AP505" i="2" s="1"/>
  <c r="AP506" i="2" s="1"/>
  <c r="AP507" i="2" s="1"/>
  <c r="AP508" i="2" s="1"/>
  <c r="AP509" i="2" s="1"/>
  <c r="AP510" i="2" s="1"/>
  <c r="AP511" i="2" s="1"/>
  <c r="AP512" i="2" s="1"/>
  <c r="AP513" i="2" s="1"/>
  <c r="AP514" i="2" s="1"/>
  <c r="AP515" i="2" s="1"/>
  <c r="AP516" i="2" s="1"/>
  <c r="AP517" i="2" s="1"/>
  <c r="AP518" i="2" s="1"/>
  <c r="AP519" i="2" s="1"/>
  <c r="AP520" i="2" s="1"/>
  <c r="AP521" i="2" s="1"/>
  <c r="AP522" i="2" s="1"/>
  <c r="AP523" i="2" s="1"/>
  <c r="AP524" i="2" s="1"/>
  <c r="AP525" i="2" s="1"/>
  <c r="AP526" i="2" s="1"/>
  <c r="AP527" i="2" s="1"/>
  <c r="AP528" i="2" s="1"/>
  <c r="AP529" i="2" s="1"/>
  <c r="AP530" i="2" s="1"/>
  <c r="AP531" i="2" s="1"/>
  <c r="AP532" i="2" s="1"/>
  <c r="AP533" i="2" s="1"/>
  <c r="AP534" i="2" s="1"/>
  <c r="AP535" i="2" s="1"/>
  <c r="AP536" i="2" s="1"/>
  <c r="AP537" i="2" s="1"/>
  <c r="AP538" i="2" s="1"/>
  <c r="AP539" i="2" s="1"/>
  <c r="AP540" i="2" s="1"/>
  <c r="AP541" i="2" s="1"/>
  <c r="AP542" i="2" s="1"/>
  <c r="AP543" i="2" s="1"/>
  <c r="AP544" i="2" s="1"/>
  <c r="AP545" i="2" s="1"/>
  <c r="AP546" i="2" s="1"/>
  <c r="AP547" i="2" s="1"/>
  <c r="AP548" i="2" s="1"/>
  <c r="AP549" i="2" s="1"/>
  <c r="AP550" i="2" s="1"/>
  <c r="AP551" i="2" s="1"/>
  <c r="AP552" i="2" s="1"/>
  <c r="AP553" i="2" s="1"/>
  <c r="AP554" i="2" s="1"/>
  <c r="AP555" i="2" s="1"/>
  <c r="AP556" i="2" s="1"/>
  <c r="AP557" i="2" s="1"/>
  <c r="AP558" i="2" s="1"/>
  <c r="AP559" i="2" s="1"/>
  <c r="AP560" i="2" s="1"/>
  <c r="AP561" i="2" s="1"/>
  <c r="AP562" i="2" s="1"/>
  <c r="AP563" i="2" s="1"/>
  <c r="AP564" i="2" s="1"/>
  <c r="AP565" i="2" s="1"/>
  <c r="AP566" i="2" s="1"/>
  <c r="AP567" i="2" s="1"/>
  <c r="AP568" i="2" s="1"/>
  <c r="AP569" i="2" s="1"/>
  <c r="AP570" i="2" s="1"/>
  <c r="AP571" i="2" s="1"/>
  <c r="AP572" i="2" s="1"/>
  <c r="AP573" i="2" s="1"/>
  <c r="AP574" i="2" s="1"/>
  <c r="AP575" i="2" s="1"/>
  <c r="AP576" i="2" s="1"/>
  <c r="AP577" i="2" s="1"/>
  <c r="AP578" i="2" s="1"/>
  <c r="AP579" i="2" s="1"/>
  <c r="AP580" i="2" s="1"/>
  <c r="AP581" i="2" s="1"/>
  <c r="AP582" i="2" s="1"/>
  <c r="AP583" i="2" s="1"/>
  <c r="AP584" i="2" s="1"/>
  <c r="AP585" i="2" s="1"/>
  <c r="AP586" i="2" s="1"/>
  <c r="AP587" i="2" s="1"/>
  <c r="AP588" i="2" s="1"/>
  <c r="AP589" i="2" s="1"/>
  <c r="AP590" i="2" s="1"/>
  <c r="AP591" i="2" s="1"/>
  <c r="AP592" i="2" s="1"/>
  <c r="AP593" i="2" s="1"/>
  <c r="AP594" i="2" s="1"/>
  <c r="AP595" i="2" s="1"/>
  <c r="AP596" i="2" s="1"/>
  <c r="AP597" i="2" s="1"/>
  <c r="AP598" i="2" s="1"/>
  <c r="AP599" i="2" s="1"/>
  <c r="AP600" i="2" s="1"/>
  <c r="AP601" i="2" s="1"/>
  <c r="AP602" i="2" s="1"/>
  <c r="AP603" i="2" s="1"/>
  <c r="AP604" i="2" s="1"/>
  <c r="AP605" i="2" s="1"/>
  <c r="AP606" i="2" s="1"/>
  <c r="AP607" i="2" s="1"/>
  <c r="AP608" i="2" s="1"/>
  <c r="AP609" i="2" s="1"/>
  <c r="AP610" i="2" s="1"/>
  <c r="AP611" i="2" s="1"/>
  <c r="AP612" i="2" s="1"/>
  <c r="AP613" i="2" s="1"/>
  <c r="AP614" i="2" s="1"/>
  <c r="AP615" i="2" s="1"/>
  <c r="AP616" i="2" s="1"/>
  <c r="AP617" i="2" s="1"/>
  <c r="AP618" i="2" s="1"/>
  <c r="AP619" i="2" s="1"/>
  <c r="AP620" i="2" s="1"/>
  <c r="AP621" i="2" s="1"/>
  <c r="AP622" i="2" s="1"/>
  <c r="AP623" i="2" s="1"/>
  <c r="AP624" i="2" s="1"/>
  <c r="AP625" i="2" s="1"/>
  <c r="AP626" i="2" s="1"/>
  <c r="AP627" i="2" s="1"/>
  <c r="AP628" i="2" s="1"/>
  <c r="AP629" i="2" s="1"/>
  <c r="AP630" i="2" s="1"/>
  <c r="AP631" i="2" s="1"/>
  <c r="AP632" i="2" s="1"/>
  <c r="AP633" i="2" s="1"/>
  <c r="AP634" i="2" s="1"/>
  <c r="AP635" i="2" s="1"/>
  <c r="AP636" i="2" s="1"/>
  <c r="AP637" i="2" s="1"/>
  <c r="AP638" i="2" s="1"/>
  <c r="AP639" i="2" s="1"/>
  <c r="AP640" i="2" s="1"/>
  <c r="AP641" i="2" s="1"/>
  <c r="AP642" i="2" s="1"/>
  <c r="AP643" i="2" s="1"/>
  <c r="AP644" i="2" s="1"/>
  <c r="AP645" i="2" s="1"/>
  <c r="AP646" i="2" s="1"/>
  <c r="AP647" i="2" s="1"/>
  <c r="AP648" i="2" s="1"/>
  <c r="AP649" i="2" s="1"/>
  <c r="AP650" i="2" s="1"/>
  <c r="AP651" i="2" s="1"/>
  <c r="AP652" i="2" s="1"/>
  <c r="AP653" i="2" s="1"/>
  <c r="AP654" i="2" s="1"/>
  <c r="AP655" i="2" s="1"/>
  <c r="AP656" i="2" s="1"/>
  <c r="AP657" i="2" s="1"/>
  <c r="AP658" i="2" s="1"/>
  <c r="AP659" i="2" s="1"/>
  <c r="AP660" i="2" s="1"/>
  <c r="AP661" i="2" s="1"/>
  <c r="AP662" i="2" s="1"/>
  <c r="AP663" i="2" s="1"/>
  <c r="AP664" i="2" s="1"/>
  <c r="AP665" i="2" s="1"/>
  <c r="AP666" i="2" s="1"/>
  <c r="AP667" i="2" s="1"/>
  <c r="AP668" i="2" s="1"/>
  <c r="AP669" i="2" s="1"/>
  <c r="AP670" i="2" s="1"/>
  <c r="AP671" i="2" s="1"/>
  <c r="AP672" i="2" s="1"/>
  <c r="AP673" i="2" s="1"/>
  <c r="AP674" i="2" s="1"/>
  <c r="AP675" i="2" s="1"/>
  <c r="AP676" i="2" s="1"/>
  <c r="AP677" i="2" s="1"/>
  <c r="AP678" i="2" s="1"/>
  <c r="AP679" i="2" s="1"/>
  <c r="AP680" i="2" s="1"/>
  <c r="AP681" i="2" s="1"/>
  <c r="AP682" i="2" s="1"/>
  <c r="AP683" i="2" s="1"/>
  <c r="AP684" i="2" s="1"/>
  <c r="AP685" i="2" s="1"/>
  <c r="AP686" i="2" s="1"/>
  <c r="AP687" i="2" s="1"/>
  <c r="AP688" i="2" s="1"/>
  <c r="AP689" i="2" s="1"/>
  <c r="AP690" i="2" s="1"/>
  <c r="AP691" i="2" s="1"/>
  <c r="AP692" i="2" s="1"/>
  <c r="AP693" i="2" s="1"/>
  <c r="AP694" i="2" s="1"/>
  <c r="AP695" i="2" s="1"/>
  <c r="AP696" i="2" s="1"/>
  <c r="AP697" i="2" s="1"/>
  <c r="AP698" i="2" s="1"/>
  <c r="AP699" i="2" s="1"/>
  <c r="AP700" i="2" s="1"/>
  <c r="AP701" i="2" s="1"/>
  <c r="AP702" i="2" s="1"/>
  <c r="AP703" i="2" s="1"/>
  <c r="AP704" i="2" s="1"/>
  <c r="AP705" i="2" s="1"/>
  <c r="AP706" i="2" s="1"/>
  <c r="AP707" i="2" s="1"/>
  <c r="AP708" i="2" s="1"/>
  <c r="AP709" i="2" s="1"/>
  <c r="AP710" i="2" s="1"/>
  <c r="AP711" i="2" s="1"/>
  <c r="AP712" i="2" s="1"/>
  <c r="AP713" i="2" s="1"/>
  <c r="AP714" i="2" s="1"/>
  <c r="AP715" i="2" s="1"/>
  <c r="AP716" i="2" s="1"/>
  <c r="AP717" i="2" s="1"/>
  <c r="AP718" i="2" s="1"/>
  <c r="AP719" i="2" s="1"/>
  <c r="AP720" i="2" s="1"/>
  <c r="AP721" i="2" s="1"/>
  <c r="AP722" i="2" s="1"/>
  <c r="AP723" i="2" s="1"/>
  <c r="AP724" i="2" s="1"/>
  <c r="AP725" i="2" s="1"/>
  <c r="AP726" i="2" s="1"/>
  <c r="AP727" i="2" s="1"/>
  <c r="AP728" i="2" s="1"/>
  <c r="AP729" i="2" s="1"/>
  <c r="AP730" i="2" s="1"/>
  <c r="AP731" i="2" s="1"/>
  <c r="AP732" i="2" s="1"/>
  <c r="AP733" i="2" s="1"/>
  <c r="AP734" i="2" s="1"/>
  <c r="AP735" i="2" s="1"/>
  <c r="AP736" i="2" s="1"/>
  <c r="AP737" i="2" s="1"/>
  <c r="AP738" i="2" s="1"/>
  <c r="AP739" i="2" s="1"/>
  <c r="AP740" i="2" s="1"/>
  <c r="AP741" i="2" s="1"/>
  <c r="AP742" i="2" s="1"/>
  <c r="AP743" i="2" s="1"/>
  <c r="AP744" i="2" s="1"/>
  <c r="AP745" i="2" s="1"/>
  <c r="AP746" i="2" s="1"/>
  <c r="AP747" i="2" s="1"/>
  <c r="AP748" i="2" s="1"/>
  <c r="AP749" i="2" s="1"/>
  <c r="AP750" i="2" s="1"/>
  <c r="AP751" i="2" s="1"/>
  <c r="AP752" i="2" s="1"/>
  <c r="AP753" i="2" s="1"/>
  <c r="AP754" i="2" s="1"/>
  <c r="AP755" i="2" s="1"/>
  <c r="AP756" i="2" s="1"/>
  <c r="AP757" i="2" s="1"/>
  <c r="AP758" i="2" s="1"/>
  <c r="AP759" i="2" s="1"/>
  <c r="AP760" i="2" s="1"/>
  <c r="AP761" i="2" s="1"/>
  <c r="AP762" i="2" s="1"/>
  <c r="AP763" i="2" s="1"/>
  <c r="AP764" i="2" s="1"/>
  <c r="AP765" i="2" s="1"/>
  <c r="AP766" i="2" s="1"/>
  <c r="AP767" i="2" s="1"/>
  <c r="AP768" i="2" s="1"/>
  <c r="AP769" i="2" s="1"/>
  <c r="AP770" i="2" s="1"/>
  <c r="AP771" i="2" s="1"/>
  <c r="AP772" i="2" s="1"/>
  <c r="AP773" i="2" s="1"/>
  <c r="AP774" i="2" s="1"/>
  <c r="AP775" i="2" s="1"/>
  <c r="AP776" i="2" s="1"/>
  <c r="AP777" i="2" s="1"/>
  <c r="AP778" i="2" s="1"/>
  <c r="AP779" i="2" s="1"/>
  <c r="AP780" i="2" s="1"/>
  <c r="AP781" i="2" s="1"/>
  <c r="AP782" i="2" s="1"/>
  <c r="AP783" i="2" s="1"/>
  <c r="AP784" i="2" s="1"/>
  <c r="AP785" i="2" s="1"/>
  <c r="AP786" i="2" s="1"/>
  <c r="AP787" i="2" s="1"/>
  <c r="AP788" i="2" s="1"/>
  <c r="AP789" i="2" s="1"/>
  <c r="AP790" i="2" s="1"/>
  <c r="AP791" i="2" s="1"/>
  <c r="AP792" i="2" s="1"/>
  <c r="AP793" i="2" s="1"/>
  <c r="AP794" i="2" s="1"/>
  <c r="AP795" i="2" s="1"/>
  <c r="AP796" i="2" s="1"/>
  <c r="AP797" i="2" s="1"/>
  <c r="AP798" i="2" s="1"/>
  <c r="AP799" i="2" s="1"/>
  <c r="AP800" i="2" s="1"/>
  <c r="AP801" i="2" s="1"/>
  <c r="AP802" i="2" s="1"/>
  <c r="AP803" i="2" s="1"/>
  <c r="AP804" i="2" s="1"/>
  <c r="AP805" i="2" s="1"/>
  <c r="AP806" i="2" s="1"/>
  <c r="AP807" i="2" s="1"/>
  <c r="AP808" i="2" s="1"/>
  <c r="AP809" i="2" s="1"/>
  <c r="AP810" i="2" s="1"/>
  <c r="AP811" i="2" s="1"/>
  <c r="AP812" i="2" s="1"/>
  <c r="AP813" i="2" s="1"/>
  <c r="AP814" i="2" s="1"/>
  <c r="AP815" i="2" s="1"/>
  <c r="AP816" i="2" s="1"/>
  <c r="AP817" i="2" s="1"/>
  <c r="AP818" i="2" s="1"/>
  <c r="AP819" i="2" s="1"/>
  <c r="AP820" i="2" s="1"/>
  <c r="AP821" i="2" s="1"/>
  <c r="AP822" i="2" s="1"/>
  <c r="AP823" i="2" s="1"/>
  <c r="AP824" i="2" s="1"/>
  <c r="AP825" i="2" s="1"/>
  <c r="AP826" i="2" s="1"/>
  <c r="AP827" i="2" s="1"/>
  <c r="AP828" i="2" s="1"/>
  <c r="AP829" i="2" s="1"/>
  <c r="AP830" i="2" s="1"/>
  <c r="AP831" i="2" s="1"/>
  <c r="AP832" i="2" s="1"/>
  <c r="AP833" i="2" s="1"/>
  <c r="AP834" i="2" s="1"/>
  <c r="AP835" i="2" s="1"/>
  <c r="AP836" i="2" s="1"/>
  <c r="AP837" i="2" s="1"/>
  <c r="AP838" i="2" s="1"/>
  <c r="AP839" i="2" s="1"/>
  <c r="AP840" i="2" s="1"/>
  <c r="AP841" i="2" s="1"/>
  <c r="AP842" i="2" s="1"/>
  <c r="AP843" i="2" s="1"/>
  <c r="AP844" i="2" s="1"/>
  <c r="AP845" i="2" s="1"/>
  <c r="AP846" i="2" s="1"/>
  <c r="AP847" i="2" s="1"/>
  <c r="AP848" i="2" s="1"/>
  <c r="AP849" i="2" s="1"/>
  <c r="AP850" i="2" s="1"/>
  <c r="AP851" i="2" s="1"/>
  <c r="AP852" i="2" s="1"/>
  <c r="AP853" i="2" s="1"/>
  <c r="AP854" i="2" s="1"/>
  <c r="AP855" i="2" s="1"/>
  <c r="AP856" i="2" s="1"/>
  <c r="AP857" i="2" s="1"/>
  <c r="AP858" i="2" s="1"/>
  <c r="AP859" i="2" s="1"/>
  <c r="AP860" i="2" s="1"/>
  <c r="AP861" i="2" s="1"/>
  <c r="AP862" i="2" s="1"/>
  <c r="AP863" i="2" s="1"/>
  <c r="AP864" i="2" s="1"/>
  <c r="AP865" i="2" s="1"/>
  <c r="AP866" i="2" s="1"/>
  <c r="AP867" i="2" s="1"/>
  <c r="AP868" i="2" s="1"/>
  <c r="AP869" i="2" s="1"/>
  <c r="AP870" i="2" s="1"/>
  <c r="AP871" i="2" s="1"/>
  <c r="AP872" i="2" s="1"/>
  <c r="AP873" i="2" s="1"/>
  <c r="AP874" i="2" s="1"/>
  <c r="AP875" i="2" s="1"/>
  <c r="AP876" i="2" s="1"/>
  <c r="AP877" i="2" s="1"/>
  <c r="AP878" i="2" s="1"/>
  <c r="AP879" i="2" s="1"/>
  <c r="AP880" i="2" s="1"/>
  <c r="AP881" i="2" s="1"/>
  <c r="AP882" i="2" s="1"/>
  <c r="AP883" i="2" s="1"/>
  <c r="AP884" i="2" s="1"/>
  <c r="AP885" i="2" s="1"/>
  <c r="AP886" i="2" s="1"/>
  <c r="AP887" i="2" s="1"/>
  <c r="AP888" i="2" s="1"/>
  <c r="AP889" i="2" s="1"/>
  <c r="AP890" i="2" s="1"/>
  <c r="AP891" i="2" s="1"/>
  <c r="AP892" i="2" s="1"/>
  <c r="AP893" i="2" s="1"/>
  <c r="AP894" i="2" s="1"/>
  <c r="AP895" i="2" s="1"/>
  <c r="AP896" i="2" s="1"/>
  <c r="AP897" i="2" s="1"/>
  <c r="AP898" i="2" s="1"/>
  <c r="AP899" i="2" s="1"/>
  <c r="AP900" i="2" s="1"/>
  <c r="AP901" i="2" s="1"/>
  <c r="AP902" i="2" s="1"/>
  <c r="AP903" i="2" s="1"/>
  <c r="AP904" i="2" s="1"/>
  <c r="AP905" i="2" s="1"/>
  <c r="AP906" i="2" s="1"/>
  <c r="AP907" i="2" s="1"/>
  <c r="AP908" i="2" s="1"/>
  <c r="AP909" i="2" s="1"/>
  <c r="AP910" i="2" s="1"/>
  <c r="AP911" i="2" s="1"/>
  <c r="AP912" i="2" s="1"/>
  <c r="AP913" i="2" s="1"/>
  <c r="AP914" i="2" s="1"/>
  <c r="AP915" i="2" s="1"/>
  <c r="AP916" i="2" s="1"/>
  <c r="AP917" i="2" s="1"/>
  <c r="AP918" i="2" s="1"/>
  <c r="AP919" i="2" s="1"/>
  <c r="AP920" i="2" s="1"/>
  <c r="AP921" i="2" s="1"/>
  <c r="AP922" i="2" s="1"/>
  <c r="AP923" i="2" s="1"/>
  <c r="AP924" i="2" s="1"/>
  <c r="AP925" i="2" s="1"/>
  <c r="AP926" i="2" s="1"/>
  <c r="AP927" i="2" s="1"/>
  <c r="AP928" i="2" s="1"/>
  <c r="AP929" i="2" s="1"/>
  <c r="AP930" i="2" s="1"/>
  <c r="AP931" i="2" s="1"/>
  <c r="AP932" i="2" s="1"/>
  <c r="AP933" i="2" s="1"/>
  <c r="AP934" i="2" s="1"/>
  <c r="AP935" i="2" s="1"/>
  <c r="AP936" i="2" s="1"/>
  <c r="AP937" i="2" s="1"/>
  <c r="AP938" i="2" s="1"/>
  <c r="AP939" i="2" s="1"/>
  <c r="AP940" i="2" s="1"/>
  <c r="AP941" i="2" s="1"/>
  <c r="AP942" i="2" s="1"/>
  <c r="AP943" i="2" s="1"/>
  <c r="AP944" i="2" s="1"/>
  <c r="AP945" i="2" s="1"/>
  <c r="AP946" i="2" s="1"/>
  <c r="AP947" i="2" s="1"/>
  <c r="AP948" i="2" s="1"/>
  <c r="AP949" i="2" s="1"/>
  <c r="AP950" i="2" s="1"/>
  <c r="AP951" i="2" s="1"/>
  <c r="AP952" i="2" s="1"/>
  <c r="AP953" i="2" s="1"/>
  <c r="AP954" i="2" s="1"/>
  <c r="AP955" i="2" s="1"/>
  <c r="AP956" i="2" s="1"/>
  <c r="AP957" i="2" s="1"/>
  <c r="AP958" i="2" s="1"/>
  <c r="AP959" i="2" s="1"/>
  <c r="AP960" i="2" s="1"/>
  <c r="AP961" i="2" s="1"/>
  <c r="AP962" i="2" s="1"/>
  <c r="AP963" i="2" s="1"/>
  <c r="AP964" i="2" s="1"/>
  <c r="AP965" i="2" s="1"/>
  <c r="AP966" i="2" s="1"/>
  <c r="AP967" i="2" s="1"/>
  <c r="AP968" i="2" s="1"/>
  <c r="AP969" i="2" s="1"/>
  <c r="AP970" i="2" s="1"/>
  <c r="AP971" i="2" s="1"/>
  <c r="AP972" i="2" s="1"/>
  <c r="AP973" i="2" s="1"/>
  <c r="AP974" i="2" s="1"/>
  <c r="AP975" i="2" s="1"/>
  <c r="AP976" i="2" s="1"/>
  <c r="AP977" i="2" s="1"/>
  <c r="AP978" i="2" s="1"/>
  <c r="AP979" i="2" s="1"/>
  <c r="AP980" i="2" s="1"/>
  <c r="AP981" i="2" s="1"/>
  <c r="AP982" i="2" s="1"/>
  <c r="AP983" i="2" s="1"/>
  <c r="AP984" i="2" s="1"/>
  <c r="AP985" i="2" s="1"/>
  <c r="AP986" i="2" s="1"/>
  <c r="AP987" i="2" s="1"/>
  <c r="AP988" i="2" s="1"/>
  <c r="AP989" i="2" s="1"/>
  <c r="AP990" i="2" s="1"/>
  <c r="AP991" i="2" s="1"/>
  <c r="AP992" i="2" s="1"/>
  <c r="AP993" i="2" s="1"/>
  <c r="AP994" i="2" s="1"/>
  <c r="AP995" i="2" s="1"/>
  <c r="AP996" i="2" s="1"/>
  <c r="AP997" i="2" s="1"/>
  <c r="AP998" i="2" s="1"/>
  <c r="AP999" i="2" s="1"/>
  <c r="AP1000" i="2" s="1"/>
  <c r="AP1001" i="2" s="1"/>
  <c r="AP1002" i="2" s="1"/>
  <c r="AP1003" i="2" s="1"/>
  <c r="AP1004" i="2" s="1"/>
  <c r="AP1005" i="2" s="1"/>
  <c r="AP1006" i="2" s="1"/>
  <c r="AP1007" i="2" s="1"/>
  <c r="AP1008" i="2" s="1"/>
  <c r="AP1009" i="2" s="1"/>
  <c r="AP1010" i="2" s="1"/>
  <c r="AP1011" i="2" s="1"/>
  <c r="AP1012" i="2" s="1"/>
  <c r="AP1013" i="2" s="1"/>
  <c r="AP1014" i="2" s="1"/>
  <c r="AP1015" i="2" s="1"/>
  <c r="AP1016" i="2" s="1"/>
  <c r="AP1017" i="2" s="1"/>
  <c r="AP1018" i="2" s="1"/>
  <c r="AP1019" i="2" s="1"/>
  <c r="AP1020" i="2" s="1"/>
  <c r="AP1021" i="2" s="1"/>
  <c r="AP1022" i="2" s="1"/>
  <c r="AP1023" i="2" s="1"/>
  <c r="AP1024" i="2" s="1"/>
  <c r="AP1025" i="2" s="1"/>
  <c r="AP1026" i="2" s="1"/>
  <c r="AP1027" i="2" s="1"/>
  <c r="AP1028" i="2" s="1"/>
  <c r="AP1029" i="2" s="1"/>
  <c r="AP1030" i="2" s="1"/>
  <c r="AP1031" i="2" s="1"/>
  <c r="AP1032" i="2" s="1"/>
  <c r="AP1033" i="2" s="1"/>
  <c r="AP1034" i="2" s="1"/>
  <c r="AP1035" i="2" s="1"/>
  <c r="AP1036" i="2" s="1"/>
  <c r="AP1037" i="2" s="1"/>
  <c r="AP1038" i="2" s="1"/>
  <c r="AP1039" i="2" s="1"/>
  <c r="AP1040" i="2" s="1"/>
  <c r="AP1041" i="2" s="1"/>
  <c r="AP1042" i="2" s="1"/>
  <c r="AP1043" i="2" s="1"/>
  <c r="AP1044" i="2" s="1"/>
  <c r="AP1045" i="2" s="1"/>
  <c r="AP1046" i="2" s="1"/>
  <c r="AP1047" i="2" s="1"/>
  <c r="AP1048" i="2" s="1"/>
  <c r="AP1049" i="2" s="1"/>
  <c r="AP1050" i="2" s="1"/>
  <c r="AP1051" i="2" s="1"/>
  <c r="AP1052" i="2" s="1"/>
  <c r="AP1053" i="2" s="1"/>
  <c r="AP1054" i="2" s="1"/>
  <c r="AP1055" i="2" s="1"/>
  <c r="AP1056" i="2" s="1"/>
  <c r="AP1057" i="2" s="1"/>
  <c r="AP1058" i="2" s="1"/>
  <c r="AP1059" i="2" s="1"/>
  <c r="AP1060" i="2" s="1"/>
  <c r="AP1061" i="2" s="1"/>
  <c r="AP1062" i="2" s="1"/>
  <c r="AP1063" i="2" s="1"/>
  <c r="AP1064" i="2" s="1"/>
  <c r="AP1065" i="2" s="1"/>
  <c r="AP1066" i="2" s="1"/>
  <c r="AP1067" i="2" s="1"/>
  <c r="AP1068" i="2" s="1"/>
  <c r="AP1069" i="2" s="1"/>
  <c r="AP1070" i="2" s="1"/>
  <c r="AP1071" i="2" s="1"/>
  <c r="AP1072" i="2" s="1"/>
  <c r="AP1073" i="2" s="1"/>
  <c r="AP1074" i="2" s="1"/>
  <c r="AP1075" i="2" s="1"/>
  <c r="AP1076" i="2" s="1"/>
  <c r="AP1077" i="2" s="1"/>
  <c r="AP1078" i="2" s="1"/>
  <c r="AP1079" i="2" s="1"/>
  <c r="AP1080" i="2" s="1"/>
  <c r="AP1081" i="2" s="1"/>
  <c r="AP1082" i="2" s="1"/>
  <c r="AP1083" i="2" s="1"/>
  <c r="AP1084" i="2" s="1"/>
  <c r="AP1085" i="2" s="1"/>
  <c r="AP1086" i="2" s="1"/>
  <c r="AP1087" i="2" s="1"/>
  <c r="AP1088" i="2" s="1"/>
  <c r="AP1089" i="2" s="1"/>
  <c r="AP1090" i="2" s="1"/>
  <c r="AP1091" i="2" s="1"/>
  <c r="AP1092" i="2" s="1"/>
  <c r="AP1093" i="2" s="1"/>
  <c r="AP1094" i="2" s="1"/>
  <c r="AP1095" i="2" s="1"/>
  <c r="AP1096" i="2" s="1"/>
  <c r="AP1097" i="2" s="1"/>
  <c r="AP1098" i="2" s="1"/>
  <c r="AP1099" i="2" s="1"/>
  <c r="AP1100" i="2" s="1"/>
  <c r="AP1101" i="2" s="1"/>
  <c r="AP1102" i="2" s="1"/>
  <c r="AP1103" i="2" s="1"/>
  <c r="AP1104" i="2" s="1"/>
  <c r="AP1105" i="2" s="1"/>
  <c r="AP1106" i="2" s="1"/>
  <c r="AP1107" i="2" s="1"/>
  <c r="AP1108" i="2" s="1"/>
  <c r="AP1109" i="2" s="1"/>
  <c r="AP1110" i="2" s="1"/>
  <c r="AP1111" i="2" s="1"/>
  <c r="AP1112" i="2" s="1"/>
  <c r="AP1113" i="2" s="1"/>
  <c r="AP1114" i="2" s="1"/>
  <c r="AP1115" i="2" s="1"/>
  <c r="AP1116" i="2" s="1"/>
  <c r="AP1117" i="2" s="1"/>
  <c r="AP1118" i="2" s="1"/>
  <c r="AP1119" i="2" s="1"/>
  <c r="AP1120" i="2" s="1"/>
  <c r="AP1121" i="2" s="1"/>
  <c r="AP1122" i="2" s="1"/>
  <c r="AP1123" i="2" s="1"/>
  <c r="AP1124" i="2" s="1"/>
  <c r="AP1125" i="2" s="1"/>
  <c r="AP1126" i="2" s="1"/>
  <c r="AP1127" i="2" s="1"/>
  <c r="AP1128" i="2" s="1"/>
  <c r="AP1129" i="2" s="1"/>
  <c r="AP1130" i="2" s="1"/>
  <c r="AP1131" i="2" s="1"/>
  <c r="AP1132" i="2" s="1"/>
  <c r="AP1133" i="2" s="1"/>
  <c r="AP1134" i="2" s="1"/>
  <c r="AP1135" i="2" s="1"/>
  <c r="AP1136" i="2" s="1"/>
  <c r="AP1137" i="2" s="1"/>
  <c r="AP1138" i="2" s="1"/>
  <c r="AP1139" i="2" s="1"/>
  <c r="AP1140" i="2" s="1"/>
  <c r="AP1141" i="2" s="1"/>
  <c r="AP1142" i="2" s="1"/>
  <c r="AP1143" i="2" s="1"/>
  <c r="AP1144" i="2" s="1"/>
  <c r="AP1145" i="2" s="1"/>
  <c r="AP1146" i="2" s="1"/>
  <c r="AP1147" i="2" s="1"/>
  <c r="AP1148" i="2" s="1"/>
  <c r="AP1149" i="2" s="1"/>
  <c r="AP1150" i="2" s="1"/>
  <c r="AP1151" i="2" s="1"/>
  <c r="AP1152" i="2" s="1"/>
  <c r="AP1153" i="2" s="1"/>
  <c r="AP1154" i="2" s="1"/>
  <c r="AP1155" i="2" s="1"/>
  <c r="AP1156" i="2" s="1"/>
  <c r="AP1157" i="2" s="1"/>
  <c r="AP1158" i="2" s="1"/>
  <c r="AP1159" i="2" s="1"/>
  <c r="AP1160" i="2" s="1"/>
  <c r="AP1161" i="2" s="1"/>
  <c r="AP1162" i="2" s="1"/>
  <c r="AP1163" i="2" s="1"/>
  <c r="AP1164" i="2" s="1"/>
  <c r="AP1165" i="2" s="1"/>
  <c r="AP1166" i="2" s="1"/>
  <c r="AP1167" i="2" s="1"/>
  <c r="AP1168" i="2" s="1"/>
  <c r="AP1169" i="2" s="1"/>
  <c r="AP1170" i="2" s="1"/>
  <c r="AP1171" i="2" s="1"/>
  <c r="AP1172" i="2" s="1"/>
  <c r="AP1173" i="2" s="1"/>
  <c r="AP1174" i="2" s="1"/>
  <c r="AP1175" i="2" s="1"/>
  <c r="AP1176" i="2" s="1"/>
  <c r="AP1177" i="2" s="1"/>
  <c r="AP1178" i="2" s="1"/>
  <c r="AP1179" i="2" s="1"/>
  <c r="AP1180" i="2" s="1"/>
  <c r="AP1181" i="2" s="1"/>
  <c r="AP1182" i="2" s="1"/>
  <c r="AP1183" i="2" s="1"/>
  <c r="AP1184" i="2" s="1"/>
  <c r="AP1185" i="2" s="1"/>
  <c r="AP1186" i="2" s="1"/>
  <c r="AP1187" i="2" s="1"/>
  <c r="AP1188" i="2" s="1"/>
  <c r="AP1189" i="2" s="1"/>
  <c r="AP1190" i="2" s="1"/>
  <c r="AP1191" i="2" s="1"/>
  <c r="AP1192" i="2" s="1"/>
  <c r="AP1193" i="2" s="1"/>
  <c r="AP1194" i="2" s="1"/>
  <c r="AP1195" i="2" s="1"/>
  <c r="AP1196" i="2" s="1"/>
  <c r="AP1197" i="2" s="1"/>
  <c r="AP1198" i="2" s="1"/>
  <c r="AP1199" i="2" s="1"/>
  <c r="AP1200" i="2" s="1"/>
  <c r="AP1201" i="2" s="1"/>
  <c r="AP1202" i="2" s="1"/>
  <c r="AP1203" i="2" s="1"/>
  <c r="AP1204" i="2" s="1"/>
  <c r="AP1205" i="2" s="1"/>
  <c r="AP1206" i="2" s="1"/>
  <c r="AP1207" i="2" s="1"/>
  <c r="AP1208" i="2" s="1"/>
  <c r="AP1209" i="2" s="1"/>
  <c r="AP1210" i="2" s="1"/>
  <c r="AP1211" i="2" s="1"/>
  <c r="AP1212" i="2" s="1"/>
  <c r="AP1213" i="2" s="1"/>
  <c r="AP1214" i="2" s="1"/>
  <c r="AP1215" i="2" s="1"/>
  <c r="AP1216" i="2" s="1"/>
  <c r="AP1217" i="2" s="1"/>
  <c r="AP1218" i="2" s="1"/>
  <c r="AP1219" i="2" s="1"/>
  <c r="AP1220" i="2" s="1"/>
  <c r="AP1221" i="2" s="1"/>
  <c r="AP1222" i="2" s="1"/>
  <c r="AP1223" i="2" s="1"/>
  <c r="AP1224" i="2" s="1"/>
  <c r="AP1225" i="2" s="1"/>
  <c r="AP1226" i="2" s="1"/>
  <c r="AP1227" i="2" s="1"/>
  <c r="AP1228" i="2" s="1"/>
  <c r="AP1229" i="2" s="1"/>
  <c r="AP1230" i="2" s="1"/>
  <c r="AP1231" i="2" s="1"/>
  <c r="AP1232" i="2" s="1"/>
  <c r="AP1233" i="2" s="1"/>
  <c r="AP1234" i="2" s="1"/>
  <c r="AP1235" i="2" s="1"/>
  <c r="AP1236" i="2" s="1"/>
  <c r="AP1237" i="2" s="1"/>
  <c r="AP1238" i="2" s="1"/>
  <c r="AP1239" i="2" s="1"/>
  <c r="AP1240" i="2" s="1"/>
  <c r="AP1241" i="2" s="1"/>
  <c r="AP1242" i="2" s="1"/>
  <c r="AP1243" i="2" s="1"/>
  <c r="AP1244" i="2" s="1"/>
  <c r="AP1245" i="2" s="1"/>
  <c r="AP1246" i="2" s="1"/>
  <c r="AP1247" i="2" s="1"/>
  <c r="AP1248" i="2" s="1"/>
  <c r="AP1249" i="2" s="1"/>
  <c r="AP1250" i="2" s="1"/>
  <c r="AP1251" i="2" s="1"/>
  <c r="AP1252" i="2" s="1"/>
  <c r="AP1253" i="2" s="1"/>
  <c r="AP1254" i="2" s="1"/>
  <c r="AP1255" i="2" s="1"/>
  <c r="AP1256" i="2" s="1"/>
  <c r="AP1257" i="2" s="1"/>
  <c r="AP1258" i="2" s="1"/>
  <c r="AP1259" i="2" s="1"/>
  <c r="AP1260" i="2" s="1"/>
  <c r="AP1261" i="2" s="1"/>
  <c r="AP1262" i="2" s="1"/>
  <c r="AP1263" i="2" s="1"/>
  <c r="AP1264" i="2" s="1"/>
  <c r="AP1265" i="2" s="1"/>
  <c r="AP1266" i="2" s="1"/>
  <c r="AP1267" i="2" s="1"/>
  <c r="AP1268" i="2" s="1"/>
  <c r="AP1269" i="2" s="1"/>
  <c r="AP1270" i="2" s="1"/>
  <c r="AP1271" i="2" s="1"/>
  <c r="AP1272" i="2" s="1"/>
  <c r="AP1273" i="2" s="1"/>
  <c r="AP1274" i="2" s="1"/>
  <c r="AP1275" i="2" s="1"/>
  <c r="AP1276" i="2" s="1"/>
  <c r="AP1277" i="2" s="1"/>
  <c r="AP1278" i="2" s="1"/>
  <c r="AP1279" i="2" s="1"/>
  <c r="AP1280" i="2" s="1"/>
  <c r="AP1281" i="2" s="1"/>
  <c r="AP1282" i="2" s="1"/>
  <c r="AP1283" i="2" s="1"/>
  <c r="AP1284" i="2" s="1"/>
  <c r="AP1285" i="2" s="1"/>
  <c r="AP1286" i="2" s="1"/>
  <c r="AP1287" i="2" s="1"/>
  <c r="AP1288" i="2" s="1"/>
  <c r="AP1289" i="2" s="1"/>
  <c r="AP1290" i="2" s="1"/>
  <c r="AP1291" i="2" s="1"/>
  <c r="AP1292" i="2" s="1"/>
  <c r="AP1293" i="2" s="1"/>
  <c r="AP1294" i="2" s="1"/>
  <c r="AP1295" i="2" s="1"/>
  <c r="AP1296" i="2" s="1"/>
  <c r="AP1297" i="2" s="1"/>
  <c r="AP1298" i="2" s="1"/>
  <c r="AP1299" i="2" s="1"/>
  <c r="AP1300" i="2" s="1"/>
  <c r="AP1301" i="2" s="1"/>
  <c r="AP1302" i="2" s="1"/>
  <c r="AP1303" i="2" s="1"/>
  <c r="AP1304" i="2" s="1"/>
  <c r="AP1305" i="2" s="1"/>
  <c r="AP1306" i="2" s="1"/>
  <c r="AP1307" i="2" s="1"/>
  <c r="AP1308" i="2" s="1"/>
  <c r="AP1309" i="2" s="1"/>
  <c r="AP1310" i="2" s="1"/>
  <c r="AP1311" i="2" s="1"/>
  <c r="AP1312" i="2" s="1"/>
  <c r="AP1313" i="2" s="1"/>
  <c r="AP1314" i="2" s="1"/>
  <c r="AP1315" i="2" s="1"/>
  <c r="AP1316" i="2" s="1"/>
  <c r="AP1317" i="2" s="1"/>
  <c r="AP1318" i="2" s="1"/>
  <c r="AP1319" i="2" s="1"/>
  <c r="AP1320" i="2" s="1"/>
  <c r="AP1321" i="2" s="1"/>
  <c r="AP1322" i="2" s="1"/>
  <c r="AP1323" i="2" s="1"/>
  <c r="AP1324" i="2" s="1"/>
  <c r="AP1325" i="2" s="1"/>
  <c r="AP1326" i="2" s="1"/>
  <c r="AP1327" i="2" s="1"/>
  <c r="AP1328" i="2" s="1"/>
  <c r="AP1329" i="2" s="1"/>
  <c r="AP1330" i="2" s="1"/>
  <c r="AP1331" i="2" s="1"/>
  <c r="AP1332" i="2" s="1"/>
  <c r="AP1333" i="2" s="1"/>
  <c r="AP1334" i="2" s="1"/>
  <c r="AP1335" i="2" s="1"/>
  <c r="AP1336" i="2" s="1"/>
  <c r="AP1337" i="2" s="1"/>
  <c r="AP1338" i="2" s="1"/>
  <c r="AP1339" i="2" s="1"/>
  <c r="AP1340" i="2" s="1"/>
  <c r="AP1341" i="2" s="1"/>
  <c r="AP1342" i="2" s="1"/>
  <c r="AP1343" i="2" s="1"/>
  <c r="AP1344" i="2" s="1"/>
  <c r="AP1345" i="2" s="1"/>
  <c r="AP1346" i="2" s="1"/>
  <c r="AP1347" i="2" s="1"/>
  <c r="AP1348" i="2" s="1"/>
  <c r="AP1349" i="2" s="1"/>
  <c r="AP1350" i="2" s="1"/>
  <c r="AP1351" i="2" s="1"/>
  <c r="AP1352" i="2" s="1"/>
  <c r="AP1353" i="2" s="1"/>
  <c r="AP1354" i="2" s="1"/>
  <c r="AP1355" i="2" s="1"/>
  <c r="AP1356" i="2" s="1"/>
  <c r="AP1357" i="2" s="1"/>
  <c r="AP1358" i="2" s="1"/>
  <c r="AP1359" i="2" s="1"/>
  <c r="AP1360" i="2" s="1"/>
  <c r="AP1361" i="2" s="1"/>
  <c r="AP1362" i="2" s="1"/>
  <c r="AP1363" i="2" s="1"/>
  <c r="AP1364" i="2" s="1"/>
  <c r="AP1365" i="2" s="1"/>
  <c r="AP1366" i="2" s="1"/>
  <c r="AP1367" i="2" s="1"/>
  <c r="AP1368" i="2" s="1"/>
  <c r="AP1369" i="2" s="1"/>
  <c r="AP1370" i="2" s="1"/>
  <c r="AP1371" i="2" s="1"/>
  <c r="AP1372" i="2" s="1"/>
  <c r="AP1373" i="2" s="1"/>
  <c r="AP1374" i="2" s="1"/>
  <c r="AP1375" i="2" s="1"/>
  <c r="AP1376" i="2" s="1"/>
  <c r="AP1377" i="2" s="1"/>
  <c r="AP1378" i="2" s="1"/>
  <c r="AP1379" i="2" s="1"/>
  <c r="AP1380" i="2" s="1"/>
  <c r="AP1381" i="2" s="1"/>
  <c r="AP1382" i="2" s="1"/>
  <c r="AP1383" i="2" s="1"/>
  <c r="AP1384" i="2" s="1"/>
  <c r="AP1385" i="2" s="1"/>
  <c r="AP1386" i="2" s="1"/>
  <c r="AP1387" i="2" s="1"/>
  <c r="AP1388" i="2" s="1"/>
  <c r="AP1389" i="2" s="1"/>
  <c r="AP1390" i="2" s="1"/>
  <c r="AP1391" i="2" s="1"/>
  <c r="AP1392" i="2" s="1"/>
  <c r="AP1393" i="2" s="1"/>
  <c r="AP1394" i="2" s="1"/>
  <c r="AP1395" i="2" s="1"/>
  <c r="AP1396" i="2" s="1"/>
  <c r="AP1397" i="2" s="1"/>
  <c r="AP1398" i="2" s="1"/>
  <c r="AP1399" i="2" s="1"/>
  <c r="AP1400" i="2" s="1"/>
  <c r="AP1401" i="2" s="1"/>
  <c r="AP1402" i="2" s="1"/>
  <c r="AP1403" i="2" s="1"/>
  <c r="AP1404" i="2" s="1"/>
  <c r="AP1405" i="2" s="1"/>
  <c r="AP1406" i="2" s="1"/>
  <c r="AP1407" i="2" s="1"/>
  <c r="AP1408" i="2" s="1"/>
  <c r="AP1409" i="2" s="1"/>
  <c r="AP1410" i="2" s="1"/>
  <c r="AP1411" i="2" s="1"/>
  <c r="AP1412" i="2" s="1"/>
  <c r="AP1413" i="2" s="1"/>
  <c r="AP1414" i="2" s="1"/>
  <c r="AP1415" i="2" s="1"/>
  <c r="AP1416" i="2" s="1"/>
  <c r="AP1417" i="2" s="1"/>
  <c r="AP1418" i="2" s="1"/>
  <c r="AP1419" i="2" s="1"/>
  <c r="AP1420" i="2" s="1"/>
  <c r="AP1421" i="2" s="1"/>
  <c r="AP1422" i="2" s="1"/>
  <c r="AP1423" i="2" s="1"/>
  <c r="AP1424" i="2" s="1"/>
  <c r="AP1425" i="2" s="1"/>
  <c r="AP1426" i="2" s="1"/>
  <c r="AP1427" i="2" s="1"/>
  <c r="AP1428" i="2" s="1"/>
  <c r="AP1429" i="2" s="1"/>
  <c r="AP1430" i="2" s="1"/>
  <c r="AP1431" i="2" s="1"/>
  <c r="AP1432" i="2" s="1"/>
  <c r="AP1433" i="2" s="1"/>
  <c r="AP1434" i="2" s="1"/>
  <c r="AP1435" i="2" s="1"/>
  <c r="AP1436" i="2" s="1"/>
  <c r="AP1437" i="2" s="1"/>
  <c r="AP1438" i="2" s="1"/>
  <c r="AP1439" i="2" s="1"/>
  <c r="AP1440" i="2" s="1"/>
  <c r="AP1441" i="2" s="1"/>
  <c r="AP1442" i="2" s="1"/>
  <c r="AP1443" i="2" s="1"/>
  <c r="AP1444" i="2" s="1"/>
  <c r="AP1445" i="2" s="1"/>
  <c r="AP1446" i="2" s="1"/>
  <c r="AP1447" i="2" s="1"/>
  <c r="AP1448" i="2" s="1"/>
  <c r="AP1449" i="2" s="1"/>
  <c r="AP1450" i="2" s="1"/>
  <c r="AP1451" i="2" s="1"/>
  <c r="AP1452" i="2" s="1"/>
  <c r="AP1453" i="2" s="1"/>
  <c r="AP1454" i="2" s="1"/>
  <c r="AP1455" i="2" s="1"/>
  <c r="AP1456" i="2" s="1"/>
  <c r="AP1457" i="2" s="1"/>
  <c r="AP1458" i="2" s="1"/>
  <c r="AP1459" i="2" s="1"/>
  <c r="AP1460" i="2" s="1"/>
  <c r="AP1461" i="2" s="1"/>
  <c r="AP1462" i="2" s="1"/>
  <c r="AP1463" i="2" s="1"/>
  <c r="AP1464" i="2" s="1"/>
  <c r="AP1465" i="2" s="1"/>
  <c r="AP1466" i="2" s="1"/>
  <c r="AP1467" i="2" s="1"/>
  <c r="AP1468" i="2" s="1"/>
  <c r="AP1469" i="2" s="1"/>
  <c r="AP1470" i="2" s="1"/>
  <c r="AP1471" i="2" s="1"/>
  <c r="AP1472" i="2" s="1"/>
  <c r="AP1473" i="2" s="1"/>
  <c r="AP1474" i="2" s="1"/>
  <c r="AP1475" i="2" s="1"/>
  <c r="AP1476" i="2" s="1"/>
  <c r="AP1477" i="2" s="1"/>
  <c r="AP1478" i="2" s="1"/>
  <c r="AP1479" i="2" s="1"/>
  <c r="AP1480" i="2" s="1"/>
  <c r="AP1481" i="2" s="1"/>
  <c r="AP1482" i="2" s="1"/>
  <c r="AP1483" i="2" s="1"/>
  <c r="AP1484" i="2" s="1"/>
  <c r="AP1485" i="2" s="1"/>
  <c r="AP1486" i="2" s="1"/>
  <c r="AP1487" i="2" s="1"/>
  <c r="AP1488" i="2" s="1"/>
  <c r="AP1489" i="2" s="1"/>
  <c r="AP1490" i="2" s="1"/>
  <c r="AP1491" i="2" s="1"/>
  <c r="AP1492" i="2" s="1"/>
  <c r="AP1493" i="2" s="1"/>
  <c r="AP1494" i="2" s="1"/>
  <c r="AP1495" i="2" s="1"/>
  <c r="AP1496" i="2" s="1"/>
  <c r="AP1497" i="2" s="1"/>
  <c r="AP1498" i="2" s="1"/>
  <c r="AP1499" i="2" s="1"/>
  <c r="AP1500" i="2" s="1"/>
  <c r="AP1501" i="2" s="1"/>
  <c r="AP1502" i="2" s="1"/>
  <c r="AP1503" i="2" s="1"/>
  <c r="AP1504" i="2" s="1"/>
  <c r="AP1505" i="2" s="1"/>
  <c r="AP1506" i="2" s="1"/>
  <c r="AP1507" i="2" s="1"/>
  <c r="AP1508" i="2" s="1"/>
  <c r="AP1509" i="2" s="1"/>
  <c r="AP1510" i="2" s="1"/>
  <c r="AP1511" i="2" s="1"/>
  <c r="AP1512" i="2" s="1"/>
  <c r="AP1513" i="2" s="1"/>
  <c r="AP1514" i="2" s="1"/>
  <c r="AP1515" i="2" s="1"/>
  <c r="AP1516" i="2" s="1"/>
  <c r="AP1517" i="2" s="1"/>
  <c r="AP1518" i="2" s="1"/>
  <c r="AP1519" i="2" s="1"/>
  <c r="AP1520" i="2" s="1"/>
  <c r="AP1521" i="2" s="1"/>
  <c r="AP1522" i="2" s="1"/>
  <c r="AP1523" i="2" s="1"/>
  <c r="AP1524" i="2" s="1"/>
  <c r="AP1525" i="2" s="1"/>
  <c r="AP1526" i="2" s="1"/>
  <c r="AP1527" i="2" s="1"/>
  <c r="AP1528" i="2" s="1"/>
  <c r="AP1529" i="2" s="1"/>
  <c r="AP1530" i="2" s="1"/>
  <c r="AP1531" i="2" s="1"/>
  <c r="AP1532" i="2" s="1"/>
  <c r="AP1533" i="2" s="1"/>
  <c r="AP1534" i="2" s="1"/>
  <c r="AP1535" i="2" s="1"/>
  <c r="AP1536" i="2" s="1"/>
  <c r="AP1537" i="2" s="1"/>
  <c r="AP1538" i="2" s="1"/>
  <c r="AP1539" i="2" s="1"/>
  <c r="AP1540" i="2" s="1"/>
  <c r="AP1541" i="2" s="1"/>
  <c r="AP1542" i="2" s="1"/>
  <c r="AP1543" i="2" s="1"/>
  <c r="AP1544" i="2" s="1"/>
  <c r="AP1545" i="2" s="1"/>
  <c r="AP1546" i="2" s="1"/>
  <c r="AP1547" i="2" s="1"/>
  <c r="AP1548" i="2" s="1"/>
  <c r="AP1549" i="2" s="1"/>
  <c r="AP1550" i="2" s="1"/>
  <c r="AP1551" i="2" s="1"/>
  <c r="AP1552" i="2" s="1"/>
  <c r="AP1553" i="2" s="1"/>
  <c r="AP1554" i="2" s="1"/>
  <c r="AP1555" i="2" s="1"/>
  <c r="AP1556" i="2" s="1"/>
  <c r="AP1557" i="2" s="1"/>
  <c r="AP1558" i="2" s="1"/>
  <c r="AP1559" i="2" s="1"/>
  <c r="AP1560" i="2" s="1"/>
  <c r="AP1561" i="2" s="1"/>
  <c r="AP1562" i="2" s="1"/>
  <c r="AP1563" i="2" s="1"/>
  <c r="AP1564" i="2" s="1"/>
  <c r="AP1565" i="2" s="1"/>
  <c r="AP1566" i="2" s="1"/>
  <c r="AP1567" i="2" s="1"/>
  <c r="AP1568" i="2" s="1"/>
  <c r="AP1569" i="2" s="1"/>
  <c r="AP1570" i="2" s="1"/>
  <c r="AP1571" i="2" s="1"/>
  <c r="AP1572" i="2" s="1"/>
  <c r="AP1573" i="2" s="1"/>
  <c r="AP1574" i="2" s="1"/>
  <c r="AP1575" i="2" s="1"/>
  <c r="AP1576" i="2" s="1"/>
  <c r="AP1577" i="2" s="1"/>
  <c r="AP1578" i="2" s="1"/>
  <c r="AP1579" i="2" s="1"/>
  <c r="AP1580" i="2" s="1"/>
  <c r="AP1581" i="2" s="1"/>
  <c r="AP1582" i="2" s="1"/>
  <c r="AP1583" i="2" s="1"/>
  <c r="AP1584" i="2" s="1"/>
  <c r="AP1585" i="2" s="1"/>
  <c r="AP1586" i="2" s="1"/>
  <c r="AP1587" i="2" s="1"/>
  <c r="AP1588" i="2" s="1"/>
  <c r="AP1589" i="2" s="1"/>
  <c r="AP1590" i="2" s="1"/>
  <c r="AP1591" i="2" s="1"/>
  <c r="AP1592" i="2" s="1"/>
  <c r="AP1593" i="2" s="1"/>
  <c r="AP1594" i="2" s="1"/>
  <c r="AP1595" i="2" s="1"/>
  <c r="AP1596" i="2" s="1"/>
  <c r="AP1597" i="2" s="1"/>
  <c r="AP1598" i="2" s="1"/>
  <c r="AP1599" i="2" s="1"/>
  <c r="AP1600" i="2" s="1"/>
  <c r="AP1601" i="2" s="1"/>
  <c r="AP1602" i="2" s="1"/>
  <c r="AP1603" i="2" s="1"/>
  <c r="AP1604" i="2" s="1"/>
  <c r="AP1605" i="2" s="1"/>
  <c r="AP1606" i="2" s="1"/>
  <c r="AP1607" i="2" s="1"/>
  <c r="AP1608" i="2" s="1"/>
  <c r="AP1609" i="2" s="1"/>
  <c r="AP1610" i="2" s="1"/>
  <c r="AP1611" i="2" s="1"/>
  <c r="AP1612" i="2" s="1"/>
  <c r="AP1613" i="2" s="1"/>
  <c r="AP1614" i="2" s="1"/>
  <c r="AP1615" i="2" s="1"/>
  <c r="AP1616" i="2" s="1"/>
  <c r="AP1617" i="2" s="1"/>
  <c r="AP1618" i="2" s="1"/>
  <c r="AP1619" i="2" s="1"/>
  <c r="AP1620" i="2" s="1"/>
  <c r="AP1621" i="2" s="1"/>
  <c r="AP1622" i="2" s="1"/>
  <c r="AP1623" i="2" s="1"/>
  <c r="AP1624" i="2" s="1"/>
  <c r="AP1625" i="2" s="1"/>
  <c r="AP1626" i="2" s="1"/>
  <c r="AP1627" i="2" s="1"/>
  <c r="AP1628" i="2" s="1"/>
  <c r="AP1629" i="2" s="1"/>
  <c r="AP1630" i="2" s="1"/>
  <c r="AP1631" i="2" s="1"/>
  <c r="AP1632" i="2" s="1"/>
  <c r="AP1633" i="2" s="1"/>
  <c r="AP1634" i="2" s="1"/>
  <c r="AP1635" i="2" s="1"/>
  <c r="AP1636" i="2" s="1"/>
  <c r="AP1637" i="2" s="1"/>
  <c r="AP1638" i="2" s="1"/>
  <c r="AP1639" i="2" s="1"/>
  <c r="AP1640" i="2" s="1"/>
  <c r="AP1641" i="2" s="1"/>
  <c r="AP1642" i="2" s="1"/>
  <c r="AP1643" i="2" s="1"/>
  <c r="AP1644" i="2" s="1"/>
  <c r="AP1645" i="2" s="1"/>
  <c r="AP1646" i="2" s="1"/>
  <c r="AP1647" i="2" s="1"/>
  <c r="AP1648" i="2" s="1"/>
  <c r="AP1649" i="2" s="1"/>
  <c r="AP1650" i="2" s="1"/>
  <c r="AP1651" i="2" s="1"/>
  <c r="AP1652" i="2" s="1"/>
  <c r="AP1653" i="2" s="1"/>
  <c r="AP1654" i="2" s="1"/>
  <c r="AP1655" i="2" s="1"/>
  <c r="AP1656" i="2" s="1"/>
  <c r="AP1657" i="2" s="1"/>
  <c r="AP1658" i="2" s="1"/>
  <c r="AP1659" i="2" s="1"/>
  <c r="AP1660" i="2" s="1"/>
  <c r="AP1661" i="2" s="1"/>
  <c r="AP1662" i="2" s="1"/>
  <c r="AP1663" i="2" s="1"/>
  <c r="AP1664" i="2" s="1"/>
  <c r="AP1665" i="2" s="1"/>
  <c r="AP1666" i="2" s="1"/>
  <c r="AP1667" i="2" s="1"/>
  <c r="AP1668" i="2" s="1"/>
  <c r="AP1669" i="2" s="1"/>
  <c r="AP1670" i="2" s="1"/>
  <c r="AP1671" i="2" s="1"/>
  <c r="AP1672" i="2" s="1"/>
  <c r="AP1673" i="2" s="1"/>
  <c r="AP1674" i="2" s="1"/>
  <c r="AP1675" i="2" s="1"/>
  <c r="AP1676" i="2" s="1"/>
  <c r="AP1677" i="2" s="1"/>
  <c r="AP1678" i="2" s="1"/>
  <c r="AP1679" i="2" s="1"/>
  <c r="AP1680" i="2" s="1"/>
  <c r="AP1681" i="2" s="1"/>
  <c r="AP1682" i="2" s="1"/>
  <c r="AP1683" i="2" s="1"/>
  <c r="AP1684" i="2" s="1"/>
  <c r="AP1685" i="2" s="1"/>
  <c r="AP1686" i="2" s="1"/>
  <c r="AP1687" i="2" s="1"/>
  <c r="AP1688" i="2" s="1"/>
  <c r="AP1689" i="2" l="1"/>
  <c r="AT13" i="2"/>
  <c r="AT15" i="2" s="1"/>
  <c r="AM5" i="2" l="1"/>
  <c r="AT16" i="2"/>
</calcChain>
</file>

<file path=xl/sharedStrings.xml><?xml version="1.0" encoding="utf-8"?>
<sst xmlns="http://schemas.openxmlformats.org/spreadsheetml/2006/main" count="257" uniqueCount="228">
  <si>
    <t>Dialysis Parameters</t>
  </si>
  <si>
    <t>Concentration (mg/dL) vs. Time (hours)</t>
  </si>
  <si>
    <t>Duration (hours)</t>
  </si>
  <si>
    <t>Blood Flow (mL/min)</t>
  </si>
  <si>
    <t>Predilution</t>
  </si>
  <si>
    <t>Plasma</t>
  </si>
  <si>
    <t>One Comp</t>
  </si>
  <si>
    <t>Concentration vs. Time</t>
  </si>
  <si>
    <t>Dialysate Flow (mL/min)</t>
  </si>
  <si>
    <t>Postdilution</t>
  </si>
  <si>
    <t>Urea</t>
  </si>
  <si>
    <t>Two Comp Urea</t>
  </si>
  <si>
    <t>Volume vs. Time</t>
  </si>
  <si>
    <t>KoA (mL/min)</t>
  </si>
  <si>
    <t>Two Comp Ad Lib</t>
  </si>
  <si>
    <t xml:space="preserve">Sigma (0 ≤ s ≤ 1) </t>
  </si>
  <si>
    <t>UF to offset Fluid Gain (L/treatment)</t>
  </si>
  <si>
    <t>Additional UF (L/treatment)</t>
  </si>
  <si>
    <t xml:space="preserve"> (L/treatment)</t>
  </si>
  <si>
    <t>Patient Parameters</t>
  </si>
  <si>
    <t>Hematocrit (%)</t>
  </si>
  <si>
    <t>Fluid Gain (L/day)</t>
  </si>
  <si>
    <t>Endogenous Clearance (mL/min)</t>
  </si>
  <si>
    <t>Recirculation (%)</t>
  </si>
  <si>
    <t>Solute Type</t>
  </si>
  <si>
    <t>Generation Rate (mg/day)</t>
  </si>
  <si>
    <t>Protein Binding (%)</t>
  </si>
  <si>
    <t>Model Parameters</t>
  </si>
  <si>
    <t>Results</t>
  </si>
  <si>
    <t>Model Type</t>
  </si>
  <si>
    <t>Average Clearance (mL/min)</t>
  </si>
  <si>
    <t>Solute Reduction Ratios</t>
  </si>
  <si>
    <t>Volume of Distribution (L)</t>
  </si>
  <si>
    <t>Time-Averaged Conc. (mg/dL)</t>
  </si>
  <si>
    <t>Fluid Gain to Compartment 1 (%)</t>
  </si>
  <si>
    <t>Average Peak Conc. (mg/dL)</t>
  </si>
  <si>
    <t>Interface Data</t>
  </si>
  <si>
    <t>Clearance Calculations</t>
  </si>
  <si>
    <t>Weekly Calculations</t>
  </si>
  <si>
    <t>Macro Variables for Steady-State Location</t>
  </si>
  <si>
    <t>Warnings</t>
  </si>
  <si>
    <t>High precision calculations fail</t>
  </si>
  <si>
    <t>High-precision calculations failed. No solution found.</t>
  </si>
  <si>
    <t>Replace 1</t>
  </si>
  <si>
    <r>
      <t>Q</t>
    </r>
    <r>
      <rPr>
        <b/>
        <vertAlign val="subscript"/>
        <sz val="8"/>
        <rFont val="Tahoma"/>
        <family val="2"/>
      </rPr>
      <t>b</t>
    </r>
  </si>
  <si>
    <t>increment</t>
  </si>
  <si>
    <r>
      <t>Q</t>
    </r>
    <r>
      <rPr>
        <b/>
        <vertAlign val="subscript"/>
        <sz val="8"/>
        <rFont val="Tahoma"/>
        <family val="2"/>
      </rPr>
      <t>p</t>
    </r>
  </si>
  <si>
    <t>clear</t>
  </si>
  <si>
    <t>Dialysis</t>
  </si>
  <si>
    <t>Day</t>
  </si>
  <si>
    <t>Start</t>
  </si>
  <si>
    <t>End</t>
  </si>
  <si>
    <t>Days Since</t>
  </si>
  <si>
    <t>DV (mL)</t>
  </si>
  <si>
    <t>Eff UF</t>
  </si>
  <si>
    <t>Clear UF</t>
  </si>
  <si>
    <t>K (mL/min)</t>
  </si>
  <si>
    <t>mg/mL</t>
  </si>
  <si>
    <t>offset</t>
  </si>
  <si>
    <t>min</t>
  </si>
  <si>
    <t>mid</t>
  </si>
  <si>
    <t>max</t>
  </si>
  <si>
    <t>limit</t>
  </si>
  <si>
    <t>treatment</t>
  </si>
  <si>
    <t>pre</t>
  </si>
  <si>
    <t>post</t>
  </si>
  <si>
    <t>srr</t>
  </si>
  <si>
    <t>time</t>
  </si>
  <si>
    <t>tac</t>
  </si>
  <si>
    <r>
      <t>Q</t>
    </r>
    <r>
      <rPr>
        <b/>
        <vertAlign val="subscript"/>
        <sz val="8"/>
        <rFont val="Tahoma"/>
        <family val="2"/>
      </rPr>
      <t>p</t>
    </r>
    <r>
      <rPr>
        <b/>
        <sz val="8"/>
        <rFont val="Tahoma"/>
        <family val="2"/>
      </rPr>
      <t xml:space="preserve"> or Q</t>
    </r>
    <r>
      <rPr>
        <b/>
        <vertAlign val="subscript"/>
        <sz val="8"/>
        <rFont val="Tahoma"/>
        <family val="2"/>
      </rPr>
      <t>d</t>
    </r>
    <r>
      <rPr>
        <b/>
        <sz val="8"/>
        <rFont val="Tahoma"/>
        <family val="2"/>
      </rPr>
      <t xml:space="preserve"> goes to zero</t>
    </r>
  </si>
  <si>
    <t>Plasma or dialysate flows go to zero at some point along the dialyzer. Please check your input values.</t>
  </si>
  <si>
    <t>Replace 2</t>
  </si>
  <si>
    <r>
      <t>Q</t>
    </r>
    <r>
      <rPr>
        <b/>
        <vertAlign val="subscript"/>
        <sz val="8"/>
        <rFont val="Tahoma"/>
        <family val="2"/>
      </rPr>
      <t>d</t>
    </r>
  </si>
  <si>
    <r>
      <t>K</t>
    </r>
    <r>
      <rPr>
        <b/>
        <vertAlign val="subscript"/>
        <sz val="8"/>
        <rFont val="Tahoma"/>
        <family val="2"/>
      </rPr>
      <t>A</t>
    </r>
  </si>
  <si>
    <r>
      <t>Q</t>
    </r>
    <r>
      <rPr>
        <b/>
        <vertAlign val="subscript"/>
        <sz val="8"/>
        <rFont val="Tahoma"/>
        <family val="2"/>
      </rPr>
      <t>p,RBC</t>
    </r>
  </si>
  <si>
    <t>Monday</t>
  </si>
  <si>
    <t>extracell</t>
  </si>
  <si>
    <t>Clearance is zero</t>
  </si>
  <si>
    <t>No solution can be found because solute clearance is zero.  Make sure that dialysis is scheduled at least once per week or that the endogenous clearance is positive.</t>
  </si>
  <si>
    <t>Current</t>
  </si>
  <si>
    <r>
      <t>Q</t>
    </r>
    <r>
      <rPr>
        <b/>
        <vertAlign val="subscript"/>
        <sz val="8"/>
        <rFont val="Tahoma"/>
        <family val="2"/>
      </rPr>
      <t>f</t>
    </r>
  </si>
  <si>
    <r>
      <t>P</t>
    </r>
    <r>
      <rPr>
        <b/>
        <vertAlign val="subscript"/>
        <sz val="8"/>
        <rFont val="Tahoma"/>
        <family val="2"/>
      </rPr>
      <t>a</t>
    </r>
  </si>
  <si>
    <r>
      <t>Q</t>
    </r>
    <r>
      <rPr>
        <b/>
        <vertAlign val="subscript"/>
        <sz val="8"/>
        <rFont val="Tahoma"/>
        <family val="2"/>
      </rPr>
      <t xml:space="preserve">p,0 </t>
    </r>
    <r>
      <rPr>
        <b/>
        <sz val="8"/>
        <rFont val="Tahoma"/>
        <family val="2"/>
      </rPr>
      <t>at inlet</t>
    </r>
  </si>
  <si>
    <t>Tuesday</t>
  </si>
  <si>
    <t>intracell</t>
  </si>
  <si>
    <t>Oscillations from high KC</t>
  </si>
  <si>
    <t>No solution can be found due to dramatically oscillatory concentration profiles.  Try lowering the intercompartmental KC.</t>
  </si>
  <si>
    <r>
      <t>Q</t>
    </r>
    <r>
      <rPr>
        <b/>
        <vertAlign val="subscript"/>
        <sz val="8"/>
        <rFont val="Tahoma"/>
        <family val="2"/>
      </rPr>
      <t>r</t>
    </r>
  </si>
  <si>
    <r>
      <t>P</t>
    </r>
    <r>
      <rPr>
        <b/>
        <vertAlign val="subscript"/>
        <sz val="8"/>
        <rFont val="Tahoma"/>
        <family val="2"/>
      </rPr>
      <t>b</t>
    </r>
  </si>
  <si>
    <r>
      <t>C</t>
    </r>
    <r>
      <rPr>
        <b/>
        <vertAlign val="subscript"/>
        <sz val="8"/>
        <rFont val="Tahoma"/>
        <family val="2"/>
      </rPr>
      <t>p,0</t>
    </r>
  </si>
  <si>
    <t>Wednesday</t>
  </si>
  <si>
    <t>Max interations for weekly calcs</t>
  </si>
  <si>
    <t>The maximum number of iterations was reached while calculating weekly concentration profiles and no solution was found.</t>
  </si>
  <si>
    <t>Solute 1</t>
  </si>
  <si>
    <r>
      <t>K</t>
    </r>
    <r>
      <rPr>
        <b/>
        <vertAlign val="subscript"/>
        <sz val="8"/>
        <rFont val="Tahoma"/>
        <family val="2"/>
      </rPr>
      <t>o</t>
    </r>
    <r>
      <rPr>
        <b/>
        <sz val="8"/>
        <rFont val="Tahoma"/>
        <family val="2"/>
      </rPr>
      <t>A</t>
    </r>
  </si>
  <si>
    <r>
      <t>C</t>
    </r>
    <r>
      <rPr>
        <b/>
        <vertAlign val="subscript"/>
        <sz val="8"/>
        <rFont val="Tahoma"/>
        <family val="2"/>
      </rPr>
      <t>alb,0</t>
    </r>
  </si>
  <si>
    <t>Thursday</t>
  </si>
  <si>
    <t>day</t>
  </si>
  <si>
    <t>dialysis</t>
  </si>
  <si>
    <t>vol ext</t>
  </si>
  <si>
    <t>vol int</t>
  </si>
  <si>
    <t>conc ext</t>
  </si>
  <si>
    <t>conc int</t>
  </si>
  <si>
    <t>point</t>
  </si>
  <si>
    <t>1: Cext</t>
  </si>
  <si>
    <t>1: Cint</t>
  </si>
  <si>
    <t>1: Vext</t>
  </si>
  <si>
    <t>1: Vint</t>
  </si>
  <si>
    <t>2: Cext</t>
  </si>
  <si>
    <t>2: Cint</t>
  </si>
  <si>
    <t>2: Vext</t>
  </si>
  <si>
    <t>2: Vint</t>
  </si>
  <si>
    <t>3: Cext</t>
  </si>
  <si>
    <t>3: Cint</t>
  </si>
  <si>
    <t>3: Vext</t>
  </si>
  <si>
    <t>3: Vint</t>
  </si>
  <si>
    <t>4: Cext</t>
  </si>
  <si>
    <t>4: Cint</t>
  </si>
  <si>
    <t>4: Vext</t>
  </si>
  <si>
    <t>4: Vint</t>
  </si>
  <si>
    <t>5: Cext</t>
  </si>
  <si>
    <t>5: Cint</t>
  </si>
  <si>
    <t>5: Vext</t>
  </si>
  <si>
    <t>5: Vint</t>
  </si>
  <si>
    <t>6: Cext</t>
  </si>
  <si>
    <t>6: Cint</t>
  </si>
  <si>
    <t>6: Vext</t>
  </si>
  <si>
    <t>6: Vint</t>
  </si>
  <si>
    <t>7: Cext</t>
  </si>
  <si>
    <t>7: Cint</t>
  </si>
  <si>
    <t>7: Vext</t>
  </si>
  <si>
    <t>7: Vint</t>
  </si>
  <si>
    <t>8: Cext</t>
  </si>
  <si>
    <t>8: Cint</t>
  </si>
  <si>
    <t>8: Vext</t>
  </si>
  <si>
    <t>8: Vint</t>
  </si>
  <si>
    <t>9: Cext</t>
  </si>
  <si>
    <t>9: Cint</t>
  </si>
  <si>
    <t>9: Vext</t>
  </si>
  <si>
    <t>9: Vint</t>
  </si>
  <si>
    <t>10: Cext</t>
  </si>
  <si>
    <t>10: Cint</t>
  </si>
  <si>
    <t>10: Vext</t>
  </si>
  <si>
    <t>10: Vint</t>
  </si>
  <si>
    <t>Negative concentrations</t>
  </si>
  <si>
    <t>No real solution was found where the compartmental concentrations remain nonnegative.  Try altering the intercompartmental KC.</t>
  </si>
  <si>
    <t>Solute 2</t>
  </si>
  <si>
    <t>Hct</t>
  </si>
  <si>
    <t>theta in blood</t>
  </si>
  <si>
    <t>Friday</t>
  </si>
  <si>
    <t>Recirculation Error</t>
  </si>
  <si>
    <t>No solution can be found with this combination of parameters and a nonzero recirculation.  Please check your input values or set recirculation to zero.</t>
  </si>
  <si>
    <t>f</t>
  </si>
  <si>
    <t>theta at inlet</t>
  </si>
  <si>
    <t>Saturday</t>
  </si>
  <si>
    <t>s</t>
  </si>
  <si>
    <t>x</t>
  </si>
  <si>
    <r>
      <t>J</t>
    </r>
    <r>
      <rPr>
        <b/>
        <vertAlign val="subscript"/>
        <sz val="8"/>
        <rFont val="Tahoma"/>
        <family val="2"/>
      </rPr>
      <t>v</t>
    </r>
  </si>
  <si>
    <r>
      <t>C</t>
    </r>
    <r>
      <rPr>
        <b/>
        <vertAlign val="subscript"/>
        <sz val="8"/>
        <rFont val="Tahoma"/>
        <family val="2"/>
      </rPr>
      <t>alb</t>
    </r>
  </si>
  <si>
    <t>theta</t>
  </si>
  <si>
    <r>
      <t>C</t>
    </r>
    <r>
      <rPr>
        <b/>
        <vertAlign val="subscript"/>
        <sz val="8"/>
        <rFont val="Tahoma"/>
        <family val="2"/>
      </rPr>
      <t>p</t>
    </r>
  </si>
  <si>
    <r>
      <t>C</t>
    </r>
    <r>
      <rPr>
        <b/>
        <vertAlign val="subscript"/>
        <sz val="8"/>
        <rFont val="Tahoma"/>
        <family val="2"/>
      </rPr>
      <t>pf</t>
    </r>
  </si>
  <si>
    <r>
      <t>C</t>
    </r>
    <r>
      <rPr>
        <b/>
        <vertAlign val="subscript"/>
        <sz val="8"/>
        <rFont val="Tahoma"/>
        <family val="2"/>
      </rPr>
      <t>pfw</t>
    </r>
  </si>
  <si>
    <r>
      <t>C</t>
    </r>
    <r>
      <rPr>
        <b/>
        <vertAlign val="subscript"/>
        <sz val="8"/>
        <rFont val="Tahoma"/>
        <family val="2"/>
      </rPr>
      <t>d</t>
    </r>
  </si>
  <si>
    <r>
      <t>C</t>
    </r>
    <r>
      <rPr>
        <b/>
        <vertAlign val="subscript"/>
        <sz val="8"/>
        <rFont val="Tahoma"/>
        <family val="2"/>
      </rPr>
      <t>pm</t>
    </r>
  </si>
  <si>
    <r>
      <t>J</t>
    </r>
    <r>
      <rPr>
        <b/>
        <vertAlign val="subscript"/>
        <sz val="8"/>
        <rFont val="Tahoma"/>
        <family val="2"/>
      </rPr>
      <t>s</t>
    </r>
  </si>
  <si>
    <t>Phi</t>
  </si>
  <si>
    <t>Pe</t>
  </si>
  <si>
    <r>
      <t>M</t>
    </r>
    <r>
      <rPr>
        <b/>
        <vertAlign val="subscript"/>
        <sz val="8"/>
        <rFont val="Tahoma"/>
        <family val="2"/>
      </rPr>
      <t>p</t>
    </r>
  </si>
  <si>
    <r>
      <t>M</t>
    </r>
    <r>
      <rPr>
        <b/>
        <vertAlign val="subscript"/>
        <sz val="8"/>
        <rFont val="Tahoma"/>
        <family val="2"/>
      </rPr>
      <t>d</t>
    </r>
  </si>
  <si>
    <t>Sunday</t>
  </si>
  <si>
    <t>Model 1</t>
  </si>
  <si>
    <t>1 Comp</t>
  </si>
  <si>
    <t>number of treatments</t>
  </si>
  <si>
    <t>no clear?</t>
  </si>
  <si>
    <t>Model 2</t>
  </si>
  <si>
    <t>2 Comp Urea</t>
  </si>
  <si>
    <t>avg clear</t>
  </si>
  <si>
    <t>Model 3</t>
  </si>
  <si>
    <t>2 Comp Ad Lib</t>
  </si>
  <si>
    <r>
      <t>D</t>
    </r>
    <r>
      <rPr>
        <b/>
        <sz val="8"/>
        <rFont val="Tahoma"/>
        <family val="2"/>
      </rPr>
      <t>P</t>
    </r>
    <r>
      <rPr>
        <b/>
        <vertAlign val="subscript"/>
        <sz val="8"/>
        <rFont val="Tahoma"/>
        <family val="2"/>
      </rPr>
      <t>0</t>
    </r>
  </si>
  <si>
    <t>hours</t>
  </si>
  <si>
    <t>minutes</t>
  </si>
  <si>
    <t>points</t>
  </si>
  <si>
    <t>apc</t>
  </si>
  <si>
    <r>
      <t>D</t>
    </r>
    <r>
      <rPr>
        <b/>
        <sz val="8"/>
        <rFont val="Tahoma"/>
        <family val="2"/>
      </rPr>
      <t>P</t>
    </r>
    <r>
      <rPr>
        <b/>
        <vertAlign val="subscript"/>
        <sz val="8"/>
        <rFont val="Tahoma"/>
        <family val="2"/>
      </rPr>
      <t>1</t>
    </r>
  </si>
  <si>
    <t>time increment</t>
  </si>
  <si>
    <t>iserror</t>
  </si>
  <si>
    <t>Solute</t>
  </si>
  <si>
    <t>time before dialysis</t>
  </si>
  <si>
    <t>neg conc</t>
  </si>
  <si>
    <t>Chart 1</t>
  </si>
  <si>
    <t>Conc vs. Time</t>
  </si>
  <si>
    <t>dialysis duration</t>
  </si>
  <si>
    <t>nPlots</t>
  </si>
  <si>
    <t>Chart 2</t>
  </si>
  <si>
    <t>time after dialysis</t>
  </si>
  <si>
    <t>hold</t>
  </si>
  <si>
    <t>Pure UF</t>
  </si>
  <si>
    <t>total treatment time</t>
  </si>
  <si>
    <t>plot tac</t>
  </si>
  <si>
    <t>Pure Dialysis</t>
  </si>
  <si>
    <t>first treatment end time</t>
  </si>
  <si>
    <t>plot int</t>
  </si>
  <si>
    <t>fluid gain = 0</t>
  </si>
  <si>
    <t>constant dial</t>
  </si>
  <si>
    <t>add UF = 0</t>
  </si>
  <si>
    <r>
      <t>Q</t>
    </r>
    <r>
      <rPr>
        <b/>
        <vertAlign val="subscript"/>
        <sz val="8"/>
        <rFont val="Arial"/>
        <family val="2"/>
      </rPr>
      <t>p</t>
    </r>
    <r>
      <rPr>
        <b/>
        <sz val="8"/>
        <rFont val="Arial"/>
        <family val="2"/>
      </rPr>
      <t xml:space="preserve"> min</t>
    </r>
  </si>
  <si>
    <t>frac uf to intracellular</t>
  </si>
  <si>
    <r>
      <t>Q</t>
    </r>
    <r>
      <rPr>
        <b/>
        <vertAlign val="subscript"/>
        <sz val="8"/>
        <rFont val="Arial"/>
        <family val="2"/>
      </rPr>
      <t>d</t>
    </r>
    <r>
      <rPr>
        <b/>
        <sz val="8"/>
        <rFont val="Arial"/>
        <family val="2"/>
      </rPr>
      <t xml:space="preserve"> min</t>
    </r>
  </si>
  <si>
    <t>frac uf to extracellular</t>
  </si>
  <si>
    <r>
      <t>Q</t>
    </r>
    <r>
      <rPr>
        <b/>
        <vertAlign val="subscript"/>
        <sz val="8"/>
        <rFont val="Arial"/>
        <family val="2"/>
      </rPr>
      <t>p</t>
    </r>
    <r>
      <rPr>
        <b/>
        <sz val="8"/>
        <rFont val="Arial"/>
        <family val="2"/>
      </rPr>
      <t>, Q</t>
    </r>
    <r>
      <rPr>
        <b/>
        <vertAlign val="subscript"/>
        <sz val="8"/>
        <rFont val="Arial"/>
        <family val="2"/>
      </rPr>
      <t>d</t>
    </r>
    <r>
      <rPr>
        <b/>
        <sz val="8"/>
        <rFont val="Arial"/>
        <family val="2"/>
      </rPr>
      <t xml:space="preserve"> &lt;= 0</t>
    </r>
  </si>
  <si>
    <t>sum of fractions</t>
  </si>
  <si>
    <t>liters</t>
  </si>
  <si>
    <t>milliliters</t>
  </si>
  <si>
    <r>
      <t>Previous Q</t>
    </r>
    <r>
      <rPr>
        <b/>
        <vertAlign val="subscript"/>
        <sz val="8"/>
        <rFont val="Tahoma"/>
        <family val="2"/>
      </rPr>
      <t>d</t>
    </r>
  </si>
  <si>
    <t>extracellular volume</t>
  </si>
  <si>
    <t>intracellular volume</t>
  </si>
  <si>
    <t>extracellular dv (per min)</t>
  </si>
  <si>
    <t>intracellular dv</t>
  </si>
  <si>
    <t>Vext : Vtotal for Urea</t>
  </si>
  <si>
    <t>kc for Urea (mL/min)</t>
  </si>
  <si>
    <t>generation (mg/min)</t>
  </si>
  <si>
    <t>kc (mL/min)</t>
  </si>
  <si>
    <t>dialyzer clear (mL/min)</t>
  </si>
  <si>
    <t>recirculation</t>
  </si>
  <si>
    <t>endog clear (mL/min)</t>
  </si>
  <si>
    <t>total clear (mL/min)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</si>
</sst>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&quot;No Dialysis&quot;;#"/>
    <numFmt numFmtId="165" formatCode="0.0"/>
  </numFmts>
  <fonts count="17" x14ac:knownFonts="1">
    <font>
      <sz val="10"/>
      <name val="Arial"/>
    </font>
    <font>
      <sz val="10"/>
      <name val="Arial"/>
      <family val="2"/>
    </font>
    <font>
      <sz val="8"/>
      <name val="Tahoma"/>
      <family val="2"/>
    </font>
    <font>
      <b/>
      <sz val="10"/>
      <name val="Tahoma"/>
      <family val="2"/>
    </font>
    <font>
      <sz val="8"/>
      <name val="Arial"/>
      <family val="2"/>
    </font>
    <font>
      <b/>
      <sz val="10"/>
      <color indexed="16"/>
      <name val="Tahoma"/>
      <family val="2"/>
    </font>
    <font>
      <sz val="8"/>
      <color indexed="22"/>
      <name val="Tahoma"/>
      <family val="2"/>
    </font>
    <font>
      <b/>
      <sz val="8"/>
      <name val="Tahoma"/>
      <family val="2"/>
    </font>
    <font>
      <b/>
      <vertAlign val="subscript"/>
      <sz val="8"/>
      <name val="Tahoma"/>
      <family val="2"/>
    </font>
    <font>
      <b/>
      <sz val="8"/>
      <name val="Symbol"/>
      <family val="1"/>
    </font>
    <font>
      <b/>
      <sz val="8"/>
      <name val="Arial"/>
      <family val="2"/>
    </font>
    <font>
      <b/>
      <vertAlign val="subscript"/>
      <sz val="8"/>
      <name val="Arial"/>
      <family val="2"/>
    </font>
    <font>
      <sz val="8"/>
      <color indexed="47"/>
      <name val="Tahoma"/>
      <family val="2"/>
    </font>
    <font>
      <b/>
      <sz val="10"/>
      <color indexed="47"/>
      <name val="Tahoma"/>
      <family val="2"/>
    </font>
    <font>
      <sz val="8"/>
      <color indexed="8"/>
      <name val="Tahoma"/>
      <family val="2"/>
    </font>
    <font>
      <sz val="8"/>
      <color rgb="FF000000"/>
      <name val="Tahoma"/>
      <family val="2"/>
    </font>
    <font>
      <b/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 applyAlignment="1" applyProtection="1">
      <alignment vertical="center"/>
      <protection hidden="1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center"/>
      <protection hidden="1"/>
    </xf>
    <xf numFmtId="2" fontId="2" fillId="2" borderId="2" xfId="0" applyNumberFormat="1" applyFont="1" applyFill="1" applyBorder="1" applyAlignment="1" applyProtection="1">
      <alignment horizontal="center" vertical="center"/>
      <protection hidden="1"/>
    </xf>
    <xf numFmtId="165" fontId="2" fillId="2" borderId="2" xfId="0" applyNumberFormat="1" applyFont="1" applyFill="1" applyBorder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vertical="center"/>
      <protection hidden="1"/>
    </xf>
    <xf numFmtId="0" fontId="6" fillId="3" borderId="3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right" vertical="center"/>
      <protection hidden="1"/>
    </xf>
    <xf numFmtId="0" fontId="7" fillId="2" borderId="0" xfId="0" applyFont="1" applyFill="1" applyAlignment="1" applyProtection="1">
      <alignment horizontal="left"/>
      <protection hidden="1"/>
    </xf>
    <xf numFmtId="0" fontId="2" fillId="2" borderId="0" xfId="0" applyFont="1" applyFill="1" applyAlignment="1" applyProtection="1">
      <alignment horizontal="left"/>
      <protection hidden="1"/>
    </xf>
    <xf numFmtId="0" fontId="2" fillId="2" borderId="0" xfId="0" applyFont="1" applyFill="1" applyProtection="1"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2" borderId="0" xfId="0" applyFont="1" applyFill="1"/>
    <xf numFmtId="0" fontId="7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 applyProtection="1">
      <alignment horizontal="right" vertical="center"/>
      <protection locked="0" hidden="1"/>
    </xf>
    <xf numFmtId="0" fontId="4" fillId="2" borderId="0" xfId="0" applyFont="1" applyFill="1" applyAlignment="1" applyProtection="1">
      <alignment horizontal="right"/>
      <protection hidden="1"/>
    </xf>
    <xf numFmtId="0" fontId="7" fillId="2" borderId="0" xfId="0" applyFont="1" applyFill="1" applyAlignment="1" applyProtection="1">
      <alignment horizontal="right" vertical="center"/>
      <protection hidden="1"/>
    </xf>
    <xf numFmtId="0" fontId="7" fillId="2" borderId="0" xfId="0" applyFont="1" applyFill="1" applyAlignment="1" applyProtection="1">
      <alignment horizontal="right"/>
      <protection hidden="1"/>
    </xf>
    <xf numFmtId="0" fontId="7" fillId="2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10" fillId="2" borderId="0" xfId="0" applyFont="1" applyFill="1" applyProtection="1"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3" fillId="3" borderId="0" xfId="0" applyFont="1" applyFill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2" fillId="3" borderId="4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  <protection locked="0"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horizontal="center" vertical="center"/>
      <protection hidden="1"/>
    </xf>
    <xf numFmtId="0" fontId="14" fillId="2" borderId="5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right" vertical="center"/>
      <protection locked="0"/>
    </xf>
    <xf numFmtId="164" fontId="2" fillId="2" borderId="0" xfId="0" applyNumberFormat="1" applyFont="1" applyFill="1" applyAlignment="1" applyProtection="1">
      <alignment vertical="center"/>
      <protection hidden="1"/>
    </xf>
    <xf numFmtId="0" fontId="7" fillId="2" borderId="0" xfId="0" applyFont="1" applyFill="1" applyAlignment="1" applyProtection="1">
      <alignment horizontal="left" vertical="center"/>
      <protection hidden="1"/>
    </xf>
    <xf numFmtId="2" fontId="2" fillId="2" borderId="0" xfId="0" applyNumberFormat="1" applyFont="1" applyFill="1" applyAlignment="1" applyProtection="1">
      <alignment horizontal="right" vertical="center"/>
      <protection hidden="1"/>
    </xf>
    <xf numFmtId="0" fontId="7" fillId="2" borderId="0" xfId="0" applyFont="1" applyFill="1"/>
    <xf numFmtId="0" fontId="2" fillId="2" borderId="0" xfId="0" quotePrefix="1" applyFont="1" applyFill="1" applyAlignment="1" applyProtection="1">
      <alignment vertical="center"/>
      <protection hidden="1"/>
    </xf>
    <xf numFmtId="9" fontId="2" fillId="2" borderId="0" xfId="1" applyFont="1" applyFill="1" applyAlignment="1" applyProtection="1">
      <alignment horizontal="righ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165" fontId="6" fillId="3" borderId="8" xfId="0" applyNumberFormat="1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horizontal="center" vertical="center"/>
      <protection hidden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000030761741282E-2"/>
          <c:y val="4.2968770489106412E-2"/>
          <c:w val="0.93600068554737714"/>
          <c:h val="0.87109416537006634"/>
        </c:manualLayout>
      </c:layout>
      <c:scatterChart>
        <c:scatterStyle val="lineMarker"/>
        <c:varyColors val="0"/>
        <c:ser>
          <c:idx val="2"/>
          <c:order val="0"/>
          <c:tx>
            <c:v>TAC - 1</c:v>
          </c:tx>
          <c:spPr>
            <a:ln w="254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Calculations!$AY$5:$AY$6</c:f>
              <c:numCache>
                <c:formatCode>General</c:formatCode>
                <c:ptCount val="2"/>
                <c:pt idx="0">
                  <c:v>0</c:v>
                </c:pt>
                <c:pt idx="1">
                  <c:v>168</c:v>
                </c:pt>
              </c:numCache>
            </c:numRef>
          </c:xVal>
          <c:yVal>
            <c:numRef>
              <c:f>Calculations!$AZ$5:$AZ$6</c:f>
              <c:numCache>
                <c:formatCode>General</c:formatCode>
                <c:ptCount val="2"/>
                <c:pt idx="0">
                  <c:v>53.198395085822355</c:v>
                </c:pt>
                <c:pt idx="1">
                  <c:v>53.198395085822355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8A-4402-8955-F1EF493F0078}"/>
            </c:ext>
          </c:extLst>
        </c:ser>
        <c:ser>
          <c:idx val="0"/>
          <c:order val="1"/>
          <c:tx>
            <c:v>ExtConc - 1</c:v>
          </c:tx>
          <c:spPr>
            <a:ln w="381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Calculations!$AZ$9:$AZ$1689</c:f>
              <c:numCache>
                <c:formatCode>General</c:formatCode>
                <c:ptCount val="1681"/>
                <c:pt idx="0">
                  <c:v>83.45114265537751</c:v>
                </c:pt>
                <c:pt idx="1">
                  <c:v>83.561374136858987</c:v>
                </c:pt>
                <c:pt idx="2">
                  <c:v>83.671605618340479</c:v>
                </c:pt>
                <c:pt idx="3">
                  <c:v>83.781837099821971</c:v>
                </c:pt>
                <c:pt idx="4">
                  <c:v>83.892068581303448</c:v>
                </c:pt>
                <c:pt idx="5">
                  <c:v>84.002300062784926</c:v>
                </c:pt>
                <c:pt idx="6">
                  <c:v>84.112531544266417</c:v>
                </c:pt>
                <c:pt idx="7">
                  <c:v>84.222763025747895</c:v>
                </c:pt>
                <c:pt idx="8">
                  <c:v>84.332994507229387</c:v>
                </c:pt>
                <c:pt idx="9">
                  <c:v>84.443225988710864</c:v>
                </c:pt>
                <c:pt idx="10">
                  <c:v>84.553457470192356</c:v>
                </c:pt>
                <c:pt idx="11">
                  <c:v>84.663688951673834</c:v>
                </c:pt>
                <c:pt idx="12">
                  <c:v>84.773920433155311</c:v>
                </c:pt>
                <c:pt idx="13">
                  <c:v>84.884151914636803</c:v>
                </c:pt>
                <c:pt idx="14">
                  <c:v>84.994383396118295</c:v>
                </c:pt>
                <c:pt idx="15">
                  <c:v>85.104614877599772</c:v>
                </c:pt>
                <c:pt idx="16">
                  <c:v>85.21484635908125</c:v>
                </c:pt>
                <c:pt idx="17">
                  <c:v>85.325077840562741</c:v>
                </c:pt>
                <c:pt idx="18">
                  <c:v>85.435309322044233</c:v>
                </c:pt>
                <c:pt idx="19">
                  <c:v>85.545540803525711</c:v>
                </c:pt>
                <c:pt idx="20">
                  <c:v>85.655772285007188</c:v>
                </c:pt>
                <c:pt idx="21">
                  <c:v>85.76600376648868</c:v>
                </c:pt>
                <c:pt idx="22">
                  <c:v>85.876235247970158</c:v>
                </c:pt>
                <c:pt idx="23">
                  <c:v>85.986466729451649</c:v>
                </c:pt>
                <c:pt idx="24">
                  <c:v>86.096698210933127</c:v>
                </c:pt>
                <c:pt idx="25">
                  <c:v>86.206929692414619</c:v>
                </c:pt>
                <c:pt idx="26">
                  <c:v>86.317161173896096</c:v>
                </c:pt>
                <c:pt idx="27">
                  <c:v>86.427392655377574</c:v>
                </c:pt>
                <c:pt idx="28">
                  <c:v>86.537624136859066</c:v>
                </c:pt>
                <c:pt idx="29">
                  <c:v>86.647855618340557</c:v>
                </c:pt>
                <c:pt idx="30">
                  <c:v>86.758087099822049</c:v>
                </c:pt>
                <c:pt idx="31">
                  <c:v>86.868318581303527</c:v>
                </c:pt>
                <c:pt idx="32">
                  <c:v>86.978550062785004</c:v>
                </c:pt>
                <c:pt idx="33">
                  <c:v>87.088781544266496</c:v>
                </c:pt>
                <c:pt idx="34">
                  <c:v>87.199013025747988</c:v>
                </c:pt>
                <c:pt idx="35">
                  <c:v>87.309244507229465</c:v>
                </c:pt>
                <c:pt idx="36">
                  <c:v>87.419475988710943</c:v>
                </c:pt>
                <c:pt idx="37">
                  <c:v>87.529707470192434</c:v>
                </c:pt>
                <c:pt idx="38">
                  <c:v>87.639938951673912</c:v>
                </c:pt>
                <c:pt idx="39">
                  <c:v>87.750170433155404</c:v>
                </c:pt>
                <c:pt idx="40">
                  <c:v>87.860401914636881</c:v>
                </c:pt>
                <c:pt idx="41">
                  <c:v>87.970633396118373</c:v>
                </c:pt>
                <c:pt idx="42">
                  <c:v>88.080864877599851</c:v>
                </c:pt>
                <c:pt idx="43">
                  <c:v>88.191096359081328</c:v>
                </c:pt>
                <c:pt idx="44">
                  <c:v>88.30132784056282</c:v>
                </c:pt>
                <c:pt idx="45">
                  <c:v>88.411559322044312</c:v>
                </c:pt>
                <c:pt idx="46">
                  <c:v>88.521790803525789</c:v>
                </c:pt>
                <c:pt idx="47">
                  <c:v>88.632022285007267</c:v>
                </c:pt>
                <c:pt idx="48">
                  <c:v>88.742253766488759</c:v>
                </c:pt>
                <c:pt idx="49">
                  <c:v>88.85248524797025</c:v>
                </c:pt>
                <c:pt idx="50">
                  <c:v>88.962716729451728</c:v>
                </c:pt>
                <c:pt idx="51">
                  <c:v>89.072948210933205</c:v>
                </c:pt>
                <c:pt idx="52">
                  <c:v>89.183179692414697</c:v>
                </c:pt>
                <c:pt idx="53">
                  <c:v>89.293411173896175</c:v>
                </c:pt>
                <c:pt idx="54">
                  <c:v>89.403642655377666</c:v>
                </c:pt>
                <c:pt idx="55">
                  <c:v>89.513874136859144</c:v>
                </c:pt>
                <c:pt idx="56">
                  <c:v>89.624105618340636</c:v>
                </c:pt>
                <c:pt idx="57">
                  <c:v>89.734337099822113</c:v>
                </c:pt>
                <c:pt idx="58">
                  <c:v>89.844568581303591</c:v>
                </c:pt>
                <c:pt idx="59">
                  <c:v>89.954800062785097</c:v>
                </c:pt>
                <c:pt idx="60">
                  <c:v>90.065031544266574</c:v>
                </c:pt>
                <c:pt idx="61">
                  <c:v>90.175263025748052</c:v>
                </c:pt>
                <c:pt idx="62">
                  <c:v>90.285494507229529</c:v>
                </c:pt>
                <c:pt idx="63">
                  <c:v>90.395725988711021</c:v>
                </c:pt>
                <c:pt idx="64">
                  <c:v>90.505957470192513</c:v>
                </c:pt>
                <c:pt idx="65">
                  <c:v>90.61618895167399</c:v>
                </c:pt>
                <c:pt idx="66">
                  <c:v>90.726420433155468</c:v>
                </c:pt>
                <c:pt idx="67">
                  <c:v>90.83665191463696</c:v>
                </c:pt>
                <c:pt idx="68">
                  <c:v>90.946883396118437</c:v>
                </c:pt>
                <c:pt idx="69">
                  <c:v>91.057114877599915</c:v>
                </c:pt>
                <c:pt idx="70">
                  <c:v>91.167346359081407</c:v>
                </c:pt>
                <c:pt idx="71">
                  <c:v>91.277577840562884</c:v>
                </c:pt>
                <c:pt idx="72">
                  <c:v>91.387809322044362</c:v>
                </c:pt>
                <c:pt idx="73">
                  <c:v>91.498040803525853</c:v>
                </c:pt>
                <c:pt idx="74">
                  <c:v>91.608272285007345</c:v>
                </c:pt>
                <c:pt idx="75">
                  <c:v>91.718503766488823</c:v>
                </c:pt>
                <c:pt idx="76">
                  <c:v>91.8287352479703</c:v>
                </c:pt>
                <c:pt idx="77">
                  <c:v>91.938966729451792</c:v>
                </c:pt>
                <c:pt idx="78">
                  <c:v>92.04919821093327</c:v>
                </c:pt>
                <c:pt idx="79">
                  <c:v>92.159429692414761</c:v>
                </c:pt>
                <c:pt idx="80">
                  <c:v>92.269661173896239</c:v>
                </c:pt>
                <c:pt idx="81">
                  <c:v>92.379892655377731</c:v>
                </c:pt>
                <c:pt idx="82">
                  <c:v>92.490124136859208</c:v>
                </c:pt>
                <c:pt idx="83">
                  <c:v>92.600355618340686</c:v>
                </c:pt>
                <c:pt idx="84">
                  <c:v>92.710587099822177</c:v>
                </c:pt>
                <c:pt idx="85">
                  <c:v>92.820818581303669</c:v>
                </c:pt>
                <c:pt idx="86">
                  <c:v>92.931050062785147</c:v>
                </c:pt>
                <c:pt idx="87">
                  <c:v>93.041281544266624</c:v>
                </c:pt>
                <c:pt idx="88">
                  <c:v>93.151513025748116</c:v>
                </c:pt>
                <c:pt idx="89">
                  <c:v>93.261744507229608</c:v>
                </c:pt>
                <c:pt idx="90">
                  <c:v>93.371975988711085</c:v>
                </c:pt>
                <c:pt idx="91">
                  <c:v>93.482207470192563</c:v>
                </c:pt>
                <c:pt idx="92">
                  <c:v>93.592438951674055</c:v>
                </c:pt>
                <c:pt idx="93">
                  <c:v>93.702670433155532</c:v>
                </c:pt>
                <c:pt idx="94">
                  <c:v>93.812901914637024</c:v>
                </c:pt>
                <c:pt idx="95">
                  <c:v>93.923133396118502</c:v>
                </c:pt>
                <c:pt idx="96">
                  <c:v>94.033364877599993</c:v>
                </c:pt>
                <c:pt idx="97">
                  <c:v>94.143596359081471</c:v>
                </c:pt>
                <c:pt idx="98">
                  <c:v>94.253827840562948</c:v>
                </c:pt>
                <c:pt idx="99">
                  <c:v>94.36405932204444</c:v>
                </c:pt>
                <c:pt idx="100">
                  <c:v>94.474290803525932</c:v>
                </c:pt>
                <c:pt idx="101">
                  <c:v>94.584522285007409</c:v>
                </c:pt>
                <c:pt idx="102">
                  <c:v>94.694753766488887</c:v>
                </c:pt>
                <c:pt idx="103">
                  <c:v>94.804985247970379</c:v>
                </c:pt>
                <c:pt idx="104">
                  <c:v>94.91521672945187</c:v>
                </c:pt>
                <c:pt idx="105">
                  <c:v>95.025448210933348</c:v>
                </c:pt>
                <c:pt idx="106">
                  <c:v>95.135679692414826</c:v>
                </c:pt>
                <c:pt idx="107">
                  <c:v>95.245911173896317</c:v>
                </c:pt>
                <c:pt idx="108">
                  <c:v>95.356142655377795</c:v>
                </c:pt>
                <c:pt idx="109">
                  <c:v>95.466374136859287</c:v>
                </c:pt>
                <c:pt idx="110">
                  <c:v>95.576605618340764</c:v>
                </c:pt>
                <c:pt idx="111">
                  <c:v>95.686837099822256</c:v>
                </c:pt>
                <c:pt idx="112">
                  <c:v>95.797068581303733</c:v>
                </c:pt>
                <c:pt idx="113">
                  <c:v>95.907300062785211</c:v>
                </c:pt>
                <c:pt idx="114">
                  <c:v>96.017531544266717</c:v>
                </c:pt>
                <c:pt idx="115">
                  <c:v>96.127763025748195</c:v>
                </c:pt>
                <c:pt idx="116">
                  <c:v>96.237994507229672</c:v>
                </c:pt>
                <c:pt idx="117">
                  <c:v>96.34822598871115</c:v>
                </c:pt>
                <c:pt idx="118">
                  <c:v>96.458457470192641</c:v>
                </c:pt>
                <c:pt idx="119">
                  <c:v>96.568688951674119</c:v>
                </c:pt>
                <c:pt idx="120">
                  <c:v>96.678920433155611</c:v>
                </c:pt>
                <c:pt idx="121">
                  <c:v>92.967269196689159</c:v>
                </c:pt>
                <c:pt idx="122">
                  <c:v>89.402345867941847</c:v>
                </c:pt>
                <c:pt idx="123">
                  <c:v>85.97835004231419</c:v>
                </c:pt>
                <c:pt idx="124">
                  <c:v>82.689710615099557</c:v>
                </c:pt>
                <c:pt idx="125">
                  <c:v>79.5310767168681</c:v>
                </c:pt>
                <c:pt idx="126">
                  <c:v>76.497309007190339</c:v>
                </c:pt>
                <c:pt idx="127">
                  <c:v>73.583471312534854</c:v>
                </c:pt>
                <c:pt idx="128">
                  <c:v>70.784822594734052</c:v>
                </c:pt>
                <c:pt idx="129">
                  <c:v>68.096809236950179</c:v>
                </c:pt>
                <c:pt idx="130">
                  <c:v>65.51505763459032</c:v>
                </c:pt>
                <c:pt idx="131">
                  <c:v>63.035367079115211</c:v>
                </c:pt>
                <c:pt idx="132">
                  <c:v>60.653702923163046</c:v>
                </c:pt>
                <c:pt idx="133">
                  <c:v>58.366190015867872</c:v>
                </c:pt>
                <c:pt idx="134">
                  <c:v>56.169106397690769</c:v>
                </c:pt>
                <c:pt idx="135">
                  <c:v>54.058877244505375</c:v>
                </c:pt>
                <c:pt idx="136">
                  <c:v>52.032069051083873</c:v>
                </c:pt>
                <c:pt idx="137">
                  <c:v>50.085384044519706</c:v>
                </c:pt>
                <c:pt idx="138">
                  <c:v>48.215654818497391</c:v>
                </c:pt>
                <c:pt idx="139">
                  <c:v>46.419839179678569</c:v>
                </c:pt>
                <c:pt idx="140">
                  <c:v>44.695015197819423</c:v>
                </c:pt>
                <c:pt idx="141">
                  <c:v>43.038376451565256</c:v>
                </c:pt>
                <c:pt idx="142">
                  <c:v>41.44722746218698</c:v>
                </c:pt>
                <c:pt idx="143">
                  <c:v>39.918979307829829</c:v>
                </c:pt>
                <c:pt idx="144">
                  <c:v>38.451145411138192</c:v>
                </c:pt>
                <c:pt idx="145">
                  <c:v>37.041337493402985</c:v>
                </c:pt>
                <c:pt idx="146">
                  <c:v>35.687261688648327</c:v>
                </c:pt>
                <c:pt idx="147">
                  <c:v>34.386714811335104</c:v>
                </c:pt>
                <c:pt idx="148">
                  <c:v>33.137580771608562</c:v>
                </c:pt>
                <c:pt idx="149">
                  <c:v>31.937827132257212</c:v>
                </c:pt>
                <c:pt idx="150">
                  <c:v>30.785501801781145</c:v>
                </c:pt>
                <c:pt idx="151">
                  <c:v>29.678729858188881</c:v>
                </c:pt>
                <c:pt idx="152">
                  <c:v>28.615710498355028</c:v>
                </c:pt>
                <c:pt idx="153">
                  <c:v>27.594714107975026</c:v>
                </c:pt>
                <c:pt idx="154">
                  <c:v>27.704945589456504</c:v>
                </c:pt>
                <c:pt idx="155">
                  <c:v>27.815177070937985</c:v>
                </c:pt>
                <c:pt idx="156">
                  <c:v>27.925408552419462</c:v>
                </c:pt>
                <c:pt idx="157">
                  <c:v>28.035640033900943</c:v>
                </c:pt>
                <c:pt idx="158">
                  <c:v>28.145871515382421</c:v>
                </c:pt>
                <c:pt idx="159">
                  <c:v>28.256102996863902</c:v>
                </c:pt>
                <c:pt idx="160">
                  <c:v>28.366334478345379</c:v>
                </c:pt>
                <c:pt idx="161">
                  <c:v>28.476565959826861</c:v>
                </c:pt>
                <c:pt idx="162">
                  <c:v>28.586797441308338</c:v>
                </c:pt>
                <c:pt idx="163">
                  <c:v>28.697028922789819</c:v>
                </c:pt>
                <c:pt idx="164">
                  <c:v>28.807260404271297</c:v>
                </c:pt>
                <c:pt idx="165">
                  <c:v>28.917491885752778</c:v>
                </c:pt>
                <c:pt idx="166">
                  <c:v>29.027723367234255</c:v>
                </c:pt>
                <c:pt idx="167">
                  <c:v>29.137954848715736</c:v>
                </c:pt>
                <c:pt idx="168">
                  <c:v>29.248186330197214</c:v>
                </c:pt>
                <c:pt idx="169">
                  <c:v>29.358417811678695</c:v>
                </c:pt>
                <c:pt idx="170">
                  <c:v>29.468649293160176</c:v>
                </c:pt>
                <c:pt idx="171">
                  <c:v>29.578880774641654</c:v>
                </c:pt>
                <c:pt idx="172">
                  <c:v>29.689112256123135</c:v>
                </c:pt>
                <c:pt idx="173">
                  <c:v>29.799343737604612</c:v>
                </c:pt>
                <c:pt idx="174">
                  <c:v>29.909575219086094</c:v>
                </c:pt>
                <c:pt idx="175">
                  <c:v>30.019806700567571</c:v>
                </c:pt>
                <c:pt idx="176">
                  <c:v>30.130038182049052</c:v>
                </c:pt>
                <c:pt idx="177">
                  <c:v>30.240269663530526</c:v>
                </c:pt>
                <c:pt idx="178">
                  <c:v>30.350501145012011</c:v>
                </c:pt>
                <c:pt idx="179">
                  <c:v>30.460732626493485</c:v>
                </c:pt>
                <c:pt idx="180">
                  <c:v>30.570964107974969</c:v>
                </c:pt>
                <c:pt idx="181">
                  <c:v>30.681195589456443</c:v>
                </c:pt>
                <c:pt idx="182">
                  <c:v>30.791427070937928</c:v>
                </c:pt>
                <c:pt idx="183">
                  <c:v>30.901658552419402</c:v>
                </c:pt>
                <c:pt idx="184">
                  <c:v>31.011890033900887</c:v>
                </c:pt>
                <c:pt idx="185">
                  <c:v>31.122121515382361</c:v>
                </c:pt>
                <c:pt idx="186">
                  <c:v>31.232352996863845</c:v>
                </c:pt>
                <c:pt idx="187">
                  <c:v>31.342584478345319</c:v>
                </c:pt>
                <c:pt idx="188">
                  <c:v>31.4528159598268</c:v>
                </c:pt>
                <c:pt idx="189">
                  <c:v>31.563047441308278</c:v>
                </c:pt>
                <c:pt idx="190">
                  <c:v>31.673278922789759</c:v>
                </c:pt>
                <c:pt idx="191">
                  <c:v>31.783510404271237</c:v>
                </c:pt>
                <c:pt idx="192">
                  <c:v>31.893741885752718</c:v>
                </c:pt>
                <c:pt idx="193">
                  <c:v>32.003973367234195</c:v>
                </c:pt>
                <c:pt idx="194">
                  <c:v>32.11420484871568</c:v>
                </c:pt>
                <c:pt idx="195">
                  <c:v>32.224436330197157</c:v>
                </c:pt>
                <c:pt idx="196">
                  <c:v>32.334667811678635</c:v>
                </c:pt>
                <c:pt idx="197">
                  <c:v>32.44489929316012</c:v>
                </c:pt>
                <c:pt idx="198">
                  <c:v>32.555130774641597</c:v>
                </c:pt>
                <c:pt idx="199">
                  <c:v>32.665362256123075</c:v>
                </c:pt>
                <c:pt idx="200">
                  <c:v>32.775593737604552</c:v>
                </c:pt>
                <c:pt idx="201">
                  <c:v>32.885825219086037</c:v>
                </c:pt>
                <c:pt idx="202">
                  <c:v>32.996056700567507</c:v>
                </c:pt>
                <c:pt idx="203">
                  <c:v>33.106288182048992</c:v>
                </c:pt>
                <c:pt idx="204">
                  <c:v>33.21651966353047</c:v>
                </c:pt>
                <c:pt idx="205">
                  <c:v>33.326751145011954</c:v>
                </c:pt>
                <c:pt idx="206">
                  <c:v>33.436982626493425</c:v>
                </c:pt>
                <c:pt idx="207">
                  <c:v>33.547214107974909</c:v>
                </c:pt>
                <c:pt idx="208">
                  <c:v>33.657445589456387</c:v>
                </c:pt>
                <c:pt idx="209">
                  <c:v>33.767677070937872</c:v>
                </c:pt>
                <c:pt idx="210">
                  <c:v>33.877908552419342</c:v>
                </c:pt>
                <c:pt idx="211">
                  <c:v>33.988140033900827</c:v>
                </c:pt>
                <c:pt idx="212">
                  <c:v>34.098371515382304</c:v>
                </c:pt>
                <c:pt idx="213">
                  <c:v>34.208602996863782</c:v>
                </c:pt>
                <c:pt idx="214">
                  <c:v>34.318834478345259</c:v>
                </c:pt>
                <c:pt idx="215">
                  <c:v>34.429065959826744</c:v>
                </c:pt>
                <c:pt idx="216">
                  <c:v>34.539297441308221</c:v>
                </c:pt>
                <c:pt idx="217">
                  <c:v>34.649528922789699</c:v>
                </c:pt>
                <c:pt idx="218">
                  <c:v>34.759760404271177</c:v>
                </c:pt>
                <c:pt idx="219">
                  <c:v>34.869991885752661</c:v>
                </c:pt>
                <c:pt idx="220">
                  <c:v>34.980223367234139</c:v>
                </c:pt>
                <c:pt idx="221">
                  <c:v>35.090454848715616</c:v>
                </c:pt>
                <c:pt idx="222">
                  <c:v>35.200686330197101</c:v>
                </c:pt>
                <c:pt idx="223">
                  <c:v>35.310917811678578</c:v>
                </c:pt>
                <c:pt idx="224">
                  <c:v>35.421149293160056</c:v>
                </c:pt>
                <c:pt idx="225">
                  <c:v>35.531380774641534</c:v>
                </c:pt>
                <c:pt idx="226">
                  <c:v>35.641612256123018</c:v>
                </c:pt>
                <c:pt idx="227">
                  <c:v>35.751843737604496</c:v>
                </c:pt>
                <c:pt idx="228">
                  <c:v>35.862075219085973</c:v>
                </c:pt>
                <c:pt idx="229">
                  <c:v>35.972306700567451</c:v>
                </c:pt>
                <c:pt idx="230">
                  <c:v>36.082538182048935</c:v>
                </c:pt>
                <c:pt idx="231">
                  <c:v>36.192769663530413</c:v>
                </c:pt>
                <c:pt idx="232">
                  <c:v>36.303001145011891</c:v>
                </c:pt>
                <c:pt idx="233">
                  <c:v>36.413232626493368</c:v>
                </c:pt>
                <c:pt idx="234">
                  <c:v>36.523464107974853</c:v>
                </c:pt>
                <c:pt idx="235">
                  <c:v>36.63369558945633</c:v>
                </c:pt>
                <c:pt idx="236">
                  <c:v>36.743927070937808</c:v>
                </c:pt>
                <c:pt idx="237">
                  <c:v>36.854158552419285</c:v>
                </c:pt>
                <c:pt idx="238">
                  <c:v>36.96439003390077</c:v>
                </c:pt>
                <c:pt idx="239">
                  <c:v>37.074621515382248</c:v>
                </c:pt>
                <c:pt idx="240">
                  <c:v>37.184852996863725</c:v>
                </c:pt>
                <c:pt idx="241">
                  <c:v>37.295084478345203</c:v>
                </c:pt>
                <c:pt idx="242">
                  <c:v>37.405315959826687</c:v>
                </c:pt>
                <c:pt idx="243">
                  <c:v>37.515547441308158</c:v>
                </c:pt>
                <c:pt idx="244">
                  <c:v>37.625778922789642</c:v>
                </c:pt>
                <c:pt idx="245">
                  <c:v>37.73601040427112</c:v>
                </c:pt>
                <c:pt idx="246">
                  <c:v>37.846241885752605</c:v>
                </c:pt>
                <c:pt idx="247">
                  <c:v>37.956473367234075</c:v>
                </c:pt>
                <c:pt idx="248">
                  <c:v>38.06670484871556</c:v>
                </c:pt>
                <c:pt idx="249">
                  <c:v>38.176936330197044</c:v>
                </c:pt>
                <c:pt idx="250">
                  <c:v>38.287167811678522</c:v>
                </c:pt>
                <c:pt idx="251">
                  <c:v>38.397399293159999</c:v>
                </c:pt>
                <c:pt idx="252">
                  <c:v>38.507630774641477</c:v>
                </c:pt>
                <c:pt idx="253">
                  <c:v>38.617862256122962</c:v>
                </c:pt>
                <c:pt idx="254">
                  <c:v>38.728093737604432</c:v>
                </c:pt>
                <c:pt idx="255">
                  <c:v>38.838325219085917</c:v>
                </c:pt>
                <c:pt idx="256">
                  <c:v>38.948556700567394</c:v>
                </c:pt>
                <c:pt idx="257">
                  <c:v>39.058788182048879</c:v>
                </c:pt>
                <c:pt idx="258">
                  <c:v>39.169019663530349</c:v>
                </c:pt>
                <c:pt idx="259">
                  <c:v>39.279251145011834</c:v>
                </c:pt>
                <c:pt idx="260">
                  <c:v>39.389482626493312</c:v>
                </c:pt>
                <c:pt idx="261">
                  <c:v>39.499714107974796</c:v>
                </c:pt>
                <c:pt idx="262">
                  <c:v>39.609945589456267</c:v>
                </c:pt>
                <c:pt idx="263">
                  <c:v>39.720177070937751</c:v>
                </c:pt>
                <c:pt idx="264">
                  <c:v>39.830408552419229</c:v>
                </c:pt>
                <c:pt idx="265">
                  <c:v>39.940640033900706</c:v>
                </c:pt>
                <c:pt idx="266">
                  <c:v>40.050871515382184</c:v>
                </c:pt>
                <c:pt idx="267">
                  <c:v>40.161102996863669</c:v>
                </c:pt>
                <c:pt idx="268">
                  <c:v>40.271334478345146</c:v>
                </c:pt>
                <c:pt idx="269">
                  <c:v>40.381565959826624</c:v>
                </c:pt>
                <c:pt idx="270">
                  <c:v>40.491797441308101</c:v>
                </c:pt>
                <c:pt idx="271">
                  <c:v>40.602028922789586</c:v>
                </c:pt>
                <c:pt idx="272">
                  <c:v>40.712260404271063</c:v>
                </c:pt>
                <c:pt idx="273">
                  <c:v>40.822491885752541</c:v>
                </c:pt>
                <c:pt idx="274">
                  <c:v>40.932723367234026</c:v>
                </c:pt>
                <c:pt idx="275">
                  <c:v>41.042954848715503</c:v>
                </c:pt>
                <c:pt idx="276">
                  <c:v>41.153186330196981</c:v>
                </c:pt>
                <c:pt idx="277">
                  <c:v>41.263417811678458</c:v>
                </c:pt>
                <c:pt idx="278">
                  <c:v>41.373649293159943</c:v>
                </c:pt>
                <c:pt idx="279">
                  <c:v>41.48388077464142</c:v>
                </c:pt>
                <c:pt idx="280">
                  <c:v>41.594112256122898</c:v>
                </c:pt>
                <c:pt idx="281">
                  <c:v>41.704343737604376</c:v>
                </c:pt>
                <c:pt idx="282">
                  <c:v>41.81457521908586</c:v>
                </c:pt>
                <c:pt idx="283">
                  <c:v>41.924806700567338</c:v>
                </c:pt>
                <c:pt idx="284">
                  <c:v>42.035038182048815</c:v>
                </c:pt>
                <c:pt idx="285">
                  <c:v>42.145269663530293</c:v>
                </c:pt>
                <c:pt idx="286">
                  <c:v>42.255501145011777</c:v>
                </c:pt>
                <c:pt idx="287">
                  <c:v>42.365732626493255</c:v>
                </c:pt>
                <c:pt idx="288">
                  <c:v>42.475964107974733</c:v>
                </c:pt>
                <c:pt idx="289">
                  <c:v>42.58619558945621</c:v>
                </c:pt>
                <c:pt idx="290">
                  <c:v>42.696427070937695</c:v>
                </c:pt>
                <c:pt idx="291">
                  <c:v>42.806658552419172</c:v>
                </c:pt>
                <c:pt idx="292">
                  <c:v>42.91689003390065</c:v>
                </c:pt>
                <c:pt idx="293">
                  <c:v>43.027121515382127</c:v>
                </c:pt>
                <c:pt idx="294">
                  <c:v>43.137352996863612</c:v>
                </c:pt>
                <c:pt idx="295">
                  <c:v>43.247584478345082</c:v>
                </c:pt>
                <c:pt idx="296">
                  <c:v>43.357815959826567</c:v>
                </c:pt>
                <c:pt idx="297">
                  <c:v>43.468047441308045</c:v>
                </c:pt>
                <c:pt idx="298">
                  <c:v>43.578278922789529</c:v>
                </c:pt>
                <c:pt idx="299">
                  <c:v>43.688510404271</c:v>
                </c:pt>
                <c:pt idx="300">
                  <c:v>43.798741885752484</c:v>
                </c:pt>
                <c:pt idx="301">
                  <c:v>43.908973367233969</c:v>
                </c:pt>
                <c:pt idx="302">
                  <c:v>44.019204848715447</c:v>
                </c:pt>
                <c:pt idx="303">
                  <c:v>44.129436330196924</c:v>
                </c:pt>
                <c:pt idx="304">
                  <c:v>44.239667811678402</c:v>
                </c:pt>
                <c:pt idx="305">
                  <c:v>44.349899293159886</c:v>
                </c:pt>
                <c:pt idx="306">
                  <c:v>44.460130774641357</c:v>
                </c:pt>
                <c:pt idx="307">
                  <c:v>44.570362256122841</c:v>
                </c:pt>
                <c:pt idx="308">
                  <c:v>44.680593737604319</c:v>
                </c:pt>
                <c:pt idx="309">
                  <c:v>44.790825219085804</c:v>
                </c:pt>
                <c:pt idx="310">
                  <c:v>44.901056700567274</c:v>
                </c:pt>
                <c:pt idx="311">
                  <c:v>45.011288182048759</c:v>
                </c:pt>
                <c:pt idx="312">
                  <c:v>45.121519663530236</c:v>
                </c:pt>
                <c:pt idx="313">
                  <c:v>45.231751145011714</c:v>
                </c:pt>
                <c:pt idx="314">
                  <c:v>45.341982626493191</c:v>
                </c:pt>
                <c:pt idx="315">
                  <c:v>45.452214107974676</c:v>
                </c:pt>
                <c:pt idx="316">
                  <c:v>45.562445589456154</c:v>
                </c:pt>
                <c:pt idx="317">
                  <c:v>45.672677070937638</c:v>
                </c:pt>
                <c:pt idx="318">
                  <c:v>45.782908552419123</c:v>
                </c:pt>
                <c:pt idx="319">
                  <c:v>45.8931400339006</c:v>
                </c:pt>
                <c:pt idx="320">
                  <c:v>46.003371515382092</c:v>
                </c:pt>
                <c:pt idx="321">
                  <c:v>46.11360299686357</c:v>
                </c:pt>
                <c:pt idx="322">
                  <c:v>46.223834478345061</c:v>
                </c:pt>
                <c:pt idx="323">
                  <c:v>46.334065959826546</c:v>
                </c:pt>
                <c:pt idx="324">
                  <c:v>46.444297441308024</c:v>
                </c:pt>
                <c:pt idx="325">
                  <c:v>46.554528922789515</c:v>
                </c:pt>
                <c:pt idx="326">
                  <c:v>46.664760404270993</c:v>
                </c:pt>
                <c:pt idx="327">
                  <c:v>46.774991885752485</c:v>
                </c:pt>
                <c:pt idx="328">
                  <c:v>46.885223367233962</c:v>
                </c:pt>
                <c:pt idx="329">
                  <c:v>46.995454848715447</c:v>
                </c:pt>
                <c:pt idx="330">
                  <c:v>47.105686330196932</c:v>
                </c:pt>
                <c:pt idx="331">
                  <c:v>47.215917811678416</c:v>
                </c:pt>
                <c:pt idx="332">
                  <c:v>47.326149293159901</c:v>
                </c:pt>
                <c:pt idx="333">
                  <c:v>47.436380774641385</c:v>
                </c:pt>
                <c:pt idx="334">
                  <c:v>47.54661225612287</c:v>
                </c:pt>
                <c:pt idx="335">
                  <c:v>47.656843737604355</c:v>
                </c:pt>
                <c:pt idx="336">
                  <c:v>47.767075219085839</c:v>
                </c:pt>
                <c:pt idx="337">
                  <c:v>47.877306700567317</c:v>
                </c:pt>
                <c:pt idx="338">
                  <c:v>47.987538182048809</c:v>
                </c:pt>
                <c:pt idx="339">
                  <c:v>48.097769663530286</c:v>
                </c:pt>
                <c:pt idx="340">
                  <c:v>48.208001145011778</c:v>
                </c:pt>
                <c:pt idx="341">
                  <c:v>48.318232626493256</c:v>
                </c:pt>
                <c:pt idx="342">
                  <c:v>48.42846410797474</c:v>
                </c:pt>
                <c:pt idx="343">
                  <c:v>48.538695589456225</c:v>
                </c:pt>
                <c:pt idx="344">
                  <c:v>48.64892707093771</c:v>
                </c:pt>
                <c:pt idx="345">
                  <c:v>48.759158552419194</c:v>
                </c:pt>
                <c:pt idx="346">
                  <c:v>48.869390033900679</c:v>
                </c:pt>
                <c:pt idx="347">
                  <c:v>48.979621515382163</c:v>
                </c:pt>
                <c:pt idx="348">
                  <c:v>49.089852996863648</c:v>
                </c:pt>
                <c:pt idx="349">
                  <c:v>49.200084478345133</c:v>
                </c:pt>
                <c:pt idx="350">
                  <c:v>49.310315959826617</c:v>
                </c:pt>
                <c:pt idx="351">
                  <c:v>49.420547441308102</c:v>
                </c:pt>
                <c:pt idx="352">
                  <c:v>49.53077892278958</c:v>
                </c:pt>
                <c:pt idx="353">
                  <c:v>49.641010404271071</c:v>
                </c:pt>
                <c:pt idx="354">
                  <c:v>49.751241885752549</c:v>
                </c:pt>
                <c:pt idx="355">
                  <c:v>49.861473367234041</c:v>
                </c:pt>
                <c:pt idx="356">
                  <c:v>49.971704848715518</c:v>
                </c:pt>
                <c:pt idx="357">
                  <c:v>50.08193633019701</c:v>
                </c:pt>
                <c:pt idx="358">
                  <c:v>50.192167811678488</c:v>
                </c:pt>
                <c:pt idx="359">
                  <c:v>50.302399293159972</c:v>
                </c:pt>
                <c:pt idx="360">
                  <c:v>50.412630774641457</c:v>
                </c:pt>
                <c:pt idx="361">
                  <c:v>50.522862256122934</c:v>
                </c:pt>
                <c:pt idx="362">
                  <c:v>50.633093737604419</c:v>
                </c:pt>
                <c:pt idx="363">
                  <c:v>50.743325219085897</c:v>
                </c:pt>
                <c:pt idx="364">
                  <c:v>50.853556700567381</c:v>
                </c:pt>
                <c:pt idx="365">
                  <c:v>50.963788182048866</c:v>
                </c:pt>
                <c:pt idx="366">
                  <c:v>51.074019663530358</c:v>
                </c:pt>
                <c:pt idx="367">
                  <c:v>51.184251145011842</c:v>
                </c:pt>
                <c:pt idx="368">
                  <c:v>51.29448262649332</c:v>
                </c:pt>
                <c:pt idx="369">
                  <c:v>51.404714107974804</c:v>
                </c:pt>
                <c:pt idx="370">
                  <c:v>51.514945589456282</c:v>
                </c:pt>
                <c:pt idx="371">
                  <c:v>51.625177070937781</c:v>
                </c:pt>
                <c:pt idx="372">
                  <c:v>51.735408552419273</c:v>
                </c:pt>
                <c:pt idx="373">
                  <c:v>51.84564003390075</c:v>
                </c:pt>
                <c:pt idx="374">
                  <c:v>51.955871515382235</c:v>
                </c:pt>
                <c:pt idx="375">
                  <c:v>52.066102996863719</c:v>
                </c:pt>
                <c:pt idx="376">
                  <c:v>52.176334478345197</c:v>
                </c:pt>
                <c:pt idx="377">
                  <c:v>52.286565959826689</c:v>
                </c:pt>
                <c:pt idx="378">
                  <c:v>52.396797441308173</c:v>
                </c:pt>
                <c:pt idx="379">
                  <c:v>52.507028922789658</c:v>
                </c:pt>
                <c:pt idx="380">
                  <c:v>52.617260404271136</c:v>
                </c:pt>
                <c:pt idx="381">
                  <c:v>52.72749188575262</c:v>
                </c:pt>
                <c:pt idx="382">
                  <c:v>52.837723367234112</c:v>
                </c:pt>
                <c:pt idx="383">
                  <c:v>52.947954848715597</c:v>
                </c:pt>
                <c:pt idx="384">
                  <c:v>53.058186330197074</c:v>
                </c:pt>
                <c:pt idx="385">
                  <c:v>53.168417811678559</c:v>
                </c:pt>
                <c:pt idx="386">
                  <c:v>53.278649293160043</c:v>
                </c:pt>
                <c:pt idx="387">
                  <c:v>53.388880774641535</c:v>
                </c:pt>
                <c:pt idx="388">
                  <c:v>53.499112256123013</c:v>
                </c:pt>
                <c:pt idx="389">
                  <c:v>53.609343737604497</c:v>
                </c:pt>
                <c:pt idx="390">
                  <c:v>53.719575219085982</c:v>
                </c:pt>
                <c:pt idx="391">
                  <c:v>53.82980670056746</c:v>
                </c:pt>
                <c:pt idx="392">
                  <c:v>53.940038182048951</c:v>
                </c:pt>
                <c:pt idx="393">
                  <c:v>54.050269663530436</c:v>
                </c:pt>
                <c:pt idx="394">
                  <c:v>54.160501145011921</c:v>
                </c:pt>
                <c:pt idx="395">
                  <c:v>54.270732626493398</c:v>
                </c:pt>
                <c:pt idx="396">
                  <c:v>54.380964107974883</c:v>
                </c:pt>
                <c:pt idx="397">
                  <c:v>54.491195589456375</c:v>
                </c:pt>
                <c:pt idx="398">
                  <c:v>54.601427070937859</c:v>
                </c:pt>
                <c:pt idx="399">
                  <c:v>54.711658552419337</c:v>
                </c:pt>
                <c:pt idx="400">
                  <c:v>54.821890033900821</c:v>
                </c:pt>
                <c:pt idx="401">
                  <c:v>54.932121515382306</c:v>
                </c:pt>
                <c:pt idx="402">
                  <c:v>55.042352996863798</c:v>
                </c:pt>
                <c:pt idx="403">
                  <c:v>55.152584478345275</c:v>
                </c:pt>
                <c:pt idx="404">
                  <c:v>55.26281595982676</c:v>
                </c:pt>
                <c:pt idx="405">
                  <c:v>55.373047441308245</c:v>
                </c:pt>
                <c:pt idx="406">
                  <c:v>55.483278922789722</c:v>
                </c:pt>
                <c:pt idx="407">
                  <c:v>55.593510404271221</c:v>
                </c:pt>
                <c:pt idx="408">
                  <c:v>55.703741885752699</c:v>
                </c:pt>
                <c:pt idx="409">
                  <c:v>55.813973367234183</c:v>
                </c:pt>
                <c:pt idx="410">
                  <c:v>55.924204848715661</c:v>
                </c:pt>
                <c:pt idx="411">
                  <c:v>56.034436330197146</c:v>
                </c:pt>
                <c:pt idx="412">
                  <c:v>56.144667811678637</c:v>
                </c:pt>
                <c:pt idx="413">
                  <c:v>56.254899293160129</c:v>
                </c:pt>
                <c:pt idx="414">
                  <c:v>56.365130774641614</c:v>
                </c:pt>
                <c:pt idx="415">
                  <c:v>56.475362256123098</c:v>
                </c:pt>
                <c:pt idx="416">
                  <c:v>56.585593737604576</c:v>
                </c:pt>
                <c:pt idx="417">
                  <c:v>56.695825219086061</c:v>
                </c:pt>
                <c:pt idx="418">
                  <c:v>56.806056700567552</c:v>
                </c:pt>
                <c:pt idx="419">
                  <c:v>56.916288182049037</c:v>
                </c:pt>
                <c:pt idx="420">
                  <c:v>57.026519663530514</c:v>
                </c:pt>
                <c:pt idx="421">
                  <c:v>57.136751145011999</c:v>
                </c:pt>
                <c:pt idx="422">
                  <c:v>57.246982626493484</c:v>
                </c:pt>
                <c:pt idx="423">
                  <c:v>57.357214107974976</c:v>
                </c:pt>
                <c:pt idx="424">
                  <c:v>57.467445589456453</c:v>
                </c:pt>
                <c:pt idx="425">
                  <c:v>57.577677070937938</c:v>
                </c:pt>
                <c:pt idx="426">
                  <c:v>57.687908552419422</c:v>
                </c:pt>
                <c:pt idx="427">
                  <c:v>57.7981400339009</c:v>
                </c:pt>
                <c:pt idx="428">
                  <c:v>57.908371515382399</c:v>
                </c:pt>
                <c:pt idx="429">
                  <c:v>58.018602996863876</c:v>
                </c:pt>
                <c:pt idx="430">
                  <c:v>58.128834478345361</c:v>
                </c:pt>
                <c:pt idx="431">
                  <c:v>58.239065959826839</c:v>
                </c:pt>
                <c:pt idx="432">
                  <c:v>58.349297441308323</c:v>
                </c:pt>
                <c:pt idx="433">
                  <c:v>58.459528922789815</c:v>
                </c:pt>
                <c:pt idx="434">
                  <c:v>58.5697604042713</c:v>
                </c:pt>
                <c:pt idx="435">
                  <c:v>58.679991885752777</c:v>
                </c:pt>
                <c:pt idx="436">
                  <c:v>58.790223367234262</c:v>
                </c:pt>
                <c:pt idx="437">
                  <c:v>58.900454848715746</c:v>
                </c:pt>
                <c:pt idx="438">
                  <c:v>59.010686330197238</c:v>
                </c:pt>
                <c:pt idx="439">
                  <c:v>59.120917811678723</c:v>
                </c:pt>
                <c:pt idx="440">
                  <c:v>59.2311492931602</c:v>
                </c:pt>
                <c:pt idx="441">
                  <c:v>59.341380774641685</c:v>
                </c:pt>
                <c:pt idx="442">
                  <c:v>59.451612256123163</c:v>
                </c:pt>
                <c:pt idx="443">
                  <c:v>59.561843737604661</c:v>
                </c:pt>
                <c:pt idx="444">
                  <c:v>59.672075219086139</c:v>
                </c:pt>
                <c:pt idx="445">
                  <c:v>59.782306700567624</c:v>
                </c:pt>
                <c:pt idx="446">
                  <c:v>59.892538182049101</c:v>
                </c:pt>
                <c:pt idx="447">
                  <c:v>60.002769663530586</c:v>
                </c:pt>
                <c:pt idx="448">
                  <c:v>60.113001145012078</c:v>
                </c:pt>
                <c:pt idx="449">
                  <c:v>60.223232626493562</c:v>
                </c:pt>
                <c:pt idx="450">
                  <c:v>60.333464107975047</c:v>
                </c:pt>
                <c:pt idx="451">
                  <c:v>60.443695589456524</c:v>
                </c:pt>
                <c:pt idx="452">
                  <c:v>60.553927070938009</c:v>
                </c:pt>
                <c:pt idx="453">
                  <c:v>60.664158552419501</c:v>
                </c:pt>
                <c:pt idx="454">
                  <c:v>60.774390033900993</c:v>
                </c:pt>
                <c:pt idx="455">
                  <c:v>60.884621515382477</c:v>
                </c:pt>
                <c:pt idx="456">
                  <c:v>60.994852996863955</c:v>
                </c:pt>
                <c:pt idx="457">
                  <c:v>61.105084478345439</c:v>
                </c:pt>
                <c:pt idx="458">
                  <c:v>61.215315959826924</c:v>
                </c:pt>
                <c:pt idx="459">
                  <c:v>61.325547441308416</c:v>
                </c:pt>
                <c:pt idx="460">
                  <c:v>61.435778922789893</c:v>
                </c:pt>
                <c:pt idx="461">
                  <c:v>61.546010404271378</c:v>
                </c:pt>
                <c:pt idx="462">
                  <c:v>61.656241885752863</c:v>
                </c:pt>
                <c:pt idx="463">
                  <c:v>61.76647336723434</c:v>
                </c:pt>
                <c:pt idx="464">
                  <c:v>61.876704848715832</c:v>
                </c:pt>
                <c:pt idx="465">
                  <c:v>61.986936330197317</c:v>
                </c:pt>
                <c:pt idx="466">
                  <c:v>62.097167811678801</c:v>
                </c:pt>
                <c:pt idx="467">
                  <c:v>62.207399293160279</c:v>
                </c:pt>
                <c:pt idx="468">
                  <c:v>62.317630774641763</c:v>
                </c:pt>
                <c:pt idx="469">
                  <c:v>62.427862256123255</c:v>
                </c:pt>
                <c:pt idx="470">
                  <c:v>62.53809373760474</c:v>
                </c:pt>
                <c:pt idx="471">
                  <c:v>62.648325219086217</c:v>
                </c:pt>
                <c:pt idx="472">
                  <c:v>62.758556700567702</c:v>
                </c:pt>
                <c:pt idx="473">
                  <c:v>62.868788182049187</c:v>
                </c:pt>
                <c:pt idx="474">
                  <c:v>62.979019663530678</c:v>
                </c:pt>
                <c:pt idx="475">
                  <c:v>63.089251145012156</c:v>
                </c:pt>
                <c:pt idx="476">
                  <c:v>63.199482626493641</c:v>
                </c:pt>
                <c:pt idx="477">
                  <c:v>63.309714107975125</c:v>
                </c:pt>
                <c:pt idx="478">
                  <c:v>63.419945589456603</c:v>
                </c:pt>
                <c:pt idx="479">
                  <c:v>63.530177070938102</c:v>
                </c:pt>
                <c:pt idx="480">
                  <c:v>63.640408552419579</c:v>
                </c:pt>
                <c:pt idx="481">
                  <c:v>63.750640033901064</c:v>
                </c:pt>
                <c:pt idx="482">
                  <c:v>63.860871515382541</c:v>
                </c:pt>
                <c:pt idx="483">
                  <c:v>63.971102996864026</c:v>
                </c:pt>
                <c:pt idx="484">
                  <c:v>64.081334478345525</c:v>
                </c:pt>
                <c:pt idx="485">
                  <c:v>64.191565959827003</c:v>
                </c:pt>
                <c:pt idx="486">
                  <c:v>64.30179744130848</c:v>
                </c:pt>
                <c:pt idx="487">
                  <c:v>64.412028922789972</c:v>
                </c:pt>
                <c:pt idx="488">
                  <c:v>64.522260404271449</c:v>
                </c:pt>
                <c:pt idx="489">
                  <c:v>64.632491885752941</c:v>
                </c:pt>
                <c:pt idx="490">
                  <c:v>64.742723367234419</c:v>
                </c:pt>
                <c:pt idx="491">
                  <c:v>64.85295484871591</c:v>
                </c:pt>
                <c:pt idx="492">
                  <c:v>64.963186330197388</c:v>
                </c:pt>
                <c:pt idx="493">
                  <c:v>65.073417811678866</c:v>
                </c:pt>
                <c:pt idx="494">
                  <c:v>65.183649293160357</c:v>
                </c:pt>
                <c:pt idx="495">
                  <c:v>65.293880774641849</c:v>
                </c:pt>
                <c:pt idx="496">
                  <c:v>65.404112256123341</c:v>
                </c:pt>
                <c:pt idx="497">
                  <c:v>65.514343737604818</c:v>
                </c:pt>
                <c:pt idx="498">
                  <c:v>65.624575219086296</c:v>
                </c:pt>
                <c:pt idx="499">
                  <c:v>65.734806700567788</c:v>
                </c:pt>
                <c:pt idx="500">
                  <c:v>65.845038182049279</c:v>
                </c:pt>
                <c:pt idx="501">
                  <c:v>65.955269663530757</c:v>
                </c:pt>
                <c:pt idx="502">
                  <c:v>66.065501145012234</c:v>
                </c:pt>
                <c:pt idx="503">
                  <c:v>66.175732626493726</c:v>
                </c:pt>
                <c:pt idx="504">
                  <c:v>66.285964107975204</c:v>
                </c:pt>
                <c:pt idx="505">
                  <c:v>66.396195589456696</c:v>
                </c:pt>
                <c:pt idx="506">
                  <c:v>66.506427070938173</c:v>
                </c:pt>
                <c:pt idx="507">
                  <c:v>66.616658552419665</c:v>
                </c:pt>
                <c:pt idx="508">
                  <c:v>66.726890033901142</c:v>
                </c:pt>
                <c:pt idx="509">
                  <c:v>66.83712151538262</c:v>
                </c:pt>
                <c:pt idx="510">
                  <c:v>66.947352996864112</c:v>
                </c:pt>
                <c:pt idx="511">
                  <c:v>67.057584478345603</c:v>
                </c:pt>
                <c:pt idx="512">
                  <c:v>67.167815959827081</c:v>
                </c:pt>
                <c:pt idx="513">
                  <c:v>67.278047441308559</c:v>
                </c:pt>
                <c:pt idx="514">
                  <c:v>67.38827892279005</c:v>
                </c:pt>
                <c:pt idx="515">
                  <c:v>67.498510404271542</c:v>
                </c:pt>
                <c:pt idx="516">
                  <c:v>67.60874188575302</c:v>
                </c:pt>
                <c:pt idx="517">
                  <c:v>67.718973367234497</c:v>
                </c:pt>
                <c:pt idx="518">
                  <c:v>67.829204848715989</c:v>
                </c:pt>
                <c:pt idx="519">
                  <c:v>67.939436330197466</c:v>
                </c:pt>
                <c:pt idx="520">
                  <c:v>68.049667811678958</c:v>
                </c:pt>
                <c:pt idx="521">
                  <c:v>68.159899293160436</c:v>
                </c:pt>
                <c:pt idx="522">
                  <c:v>68.270130774641927</c:v>
                </c:pt>
                <c:pt idx="523">
                  <c:v>68.380362256123405</c:v>
                </c:pt>
                <c:pt idx="524">
                  <c:v>68.490593737604883</c:v>
                </c:pt>
                <c:pt idx="525">
                  <c:v>68.600825219086374</c:v>
                </c:pt>
                <c:pt idx="526">
                  <c:v>68.711056700567866</c:v>
                </c:pt>
                <c:pt idx="527">
                  <c:v>68.821288182049344</c:v>
                </c:pt>
                <c:pt idx="528">
                  <c:v>68.931519663530821</c:v>
                </c:pt>
                <c:pt idx="529">
                  <c:v>69.041751145012313</c:v>
                </c:pt>
                <c:pt idx="530">
                  <c:v>69.151982626493805</c:v>
                </c:pt>
                <c:pt idx="531">
                  <c:v>69.262214107975282</c:v>
                </c:pt>
                <c:pt idx="532">
                  <c:v>69.37244558945676</c:v>
                </c:pt>
                <c:pt idx="533">
                  <c:v>69.482677070938252</c:v>
                </c:pt>
                <c:pt idx="534">
                  <c:v>69.592908552419729</c:v>
                </c:pt>
                <c:pt idx="535">
                  <c:v>69.703140033901221</c:v>
                </c:pt>
                <c:pt idx="536">
                  <c:v>69.813371515382713</c:v>
                </c:pt>
                <c:pt idx="537">
                  <c:v>69.923602996864204</c:v>
                </c:pt>
                <c:pt idx="538">
                  <c:v>70.033834478345682</c:v>
                </c:pt>
                <c:pt idx="539">
                  <c:v>70.144065959827159</c:v>
                </c:pt>
                <c:pt idx="540">
                  <c:v>70.254297441308637</c:v>
                </c:pt>
                <c:pt idx="541">
                  <c:v>70.364528922790143</c:v>
                </c:pt>
                <c:pt idx="542">
                  <c:v>70.47476040427162</c:v>
                </c:pt>
                <c:pt idx="543">
                  <c:v>70.584991885753098</c:v>
                </c:pt>
                <c:pt idx="544">
                  <c:v>70.69522336723459</c:v>
                </c:pt>
                <c:pt idx="545">
                  <c:v>70.805454848716067</c:v>
                </c:pt>
                <c:pt idx="546">
                  <c:v>70.915686330197559</c:v>
                </c:pt>
                <c:pt idx="547">
                  <c:v>71.025917811679037</c:v>
                </c:pt>
                <c:pt idx="548">
                  <c:v>71.136149293160528</c:v>
                </c:pt>
                <c:pt idx="549">
                  <c:v>71.246380774642006</c:v>
                </c:pt>
                <c:pt idx="550">
                  <c:v>71.356612256123483</c:v>
                </c:pt>
                <c:pt idx="551">
                  <c:v>71.466843737604975</c:v>
                </c:pt>
                <c:pt idx="552">
                  <c:v>71.577075219086467</c:v>
                </c:pt>
                <c:pt idx="553">
                  <c:v>71.687306700567945</c:v>
                </c:pt>
                <c:pt idx="554">
                  <c:v>71.797538182049422</c:v>
                </c:pt>
                <c:pt idx="555">
                  <c:v>71.907769663530914</c:v>
                </c:pt>
                <c:pt idx="556">
                  <c:v>72.018001145012406</c:v>
                </c:pt>
                <c:pt idx="557">
                  <c:v>72.128232626493883</c:v>
                </c:pt>
                <c:pt idx="558">
                  <c:v>72.238464107975361</c:v>
                </c:pt>
                <c:pt idx="559">
                  <c:v>72.348695589456852</c:v>
                </c:pt>
                <c:pt idx="560">
                  <c:v>72.45892707093833</c:v>
                </c:pt>
                <c:pt idx="561">
                  <c:v>72.569158552419822</c:v>
                </c:pt>
                <c:pt idx="562">
                  <c:v>72.679390033901299</c:v>
                </c:pt>
                <c:pt idx="563">
                  <c:v>72.789621515382791</c:v>
                </c:pt>
                <c:pt idx="564">
                  <c:v>72.899852996864269</c:v>
                </c:pt>
                <c:pt idx="565">
                  <c:v>73.010084478345746</c:v>
                </c:pt>
                <c:pt idx="566">
                  <c:v>73.120315959827238</c:v>
                </c:pt>
                <c:pt idx="567">
                  <c:v>73.23054744130873</c:v>
                </c:pt>
                <c:pt idx="568">
                  <c:v>73.340778922790207</c:v>
                </c:pt>
                <c:pt idx="569">
                  <c:v>73.451010404271685</c:v>
                </c:pt>
                <c:pt idx="570">
                  <c:v>73.561241885753176</c:v>
                </c:pt>
                <c:pt idx="571">
                  <c:v>73.671473367234668</c:v>
                </c:pt>
                <c:pt idx="572">
                  <c:v>73.781704848716146</c:v>
                </c:pt>
                <c:pt idx="573">
                  <c:v>73.891936330197623</c:v>
                </c:pt>
                <c:pt idx="574">
                  <c:v>74.002167811679115</c:v>
                </c:pt>
                <c:pt idx="575">
                  <c:v>74.112399293160593</c:v>
                </c:pt>
                <c:pt idx="576">
                  <c:v>74.222630774642084</c:v>
                </c:pt>
                <c:pt idx="577">
                  <c:v>74.332862256123576</c:v>
                </c:pt>
                <c:pt idx="578">
                  <c:v>74.443093737605054</c:v>
                </c:pt>
                <c:pt idx="579">
                  <c:v>74.553325219086545</c:v>
                </c:pt>
                <c:pt idx="580">
                  <c:v>74.663556700568023</c:v>
                </c:pt>
                <c:pt idx="581">
                  <c:v>74.773788182049501</c:v>
                </c:pt>
                <c:pt idx="582">
                  <c:v>74.884019663530992</c:v>
                </c:pt>
                <c:pt idx="583">
                  <c:v>74.994251145012484</c:v>
                </c:pt>
                <c:pt idx="584">
                  <c:v>75.104482626493962</c:v>
                </c:pt>
                <c:pt idx="585">
                  <c:v>75.214714107975439</c:v>
                </c:pt>
                <c:pt idx="586">
                  <c:v>75.324945589456931</c:v>
                </c:pt>
                <c:pt idx="587">
                  <c:v>75.435177070938423</c:v>
                </c:pt>
                <c:pt idx="588">
                  <c:v>75.5454085524199</c:v>
                </c:pt>
                <c:pt idx="589">
                  <c:v>75.655640033901378</c:v>
                </c:pt>
                <c:pt idx="590">
                  <c:v>75.765871515382869</c:v>
                </c:pt>
                <c:pt idx="591">
                  <c:v>75.876102996864347</c:v>
                </c:pt>
                <c:pt idx="592">
                  <c:v>75.986334478345839</c:v>
                </c:pt>
                <c:pt idx="593">
                  <c:v>76.096565959827316</c:v>
                </c:pt>
                <c:pt idx="594">
                  <c:v>76.206797441308808</c:v>
                </c:pt>
                <c:pt idx="595">
                  <c:v>76.317028922790286</c:v>
                </c:pt>
                <c:pt idx="596">
                  <c:v>76.427260404271763</c:v>
                </c:pt>
                <c:pt idx="597">
                  <c:v>76.537491885753255</c:v>
                </c:pt>
                <c:pt idx="598">
                  <c:v>76.647723367234747</c:v>
                </c:pt>
                <c:pt idx="599">
                  <c:v>76.757954848716224</c:v>
                </c:pt>
                <c:pt idx="600">
                  <c:v>76.868186330197702</c:v>
                </c:pt>
                <c:pt idx="601">
                  <c:v>73.939687222020751</c:v>
                </c:pt>
                <c:pt idx="602">
                  <c:v>71.12695668139628</c:v>
                </c:pt>
                <c:pt idx="603">
                  <c:v>68.425418179277159</c:v>
                </c:pt>
                <c:pt idx="604">
                  <c:v>65.830676104619769</c:v>
                </c:pt>
                <c:pt idx="605">
                  <c:v>63.338508612386711</c:v>
                </c:pt>
                <c:pt idx="606">
                  <c:v>60.944860754279929</c:v>
                </c:pt>
                <c:pt idx="607">
                  <c:v>58.645837881027788</c:v>
                </c:pt>
                <c:pt idx="608">
                  <c:v>56.437699305491037</c:v>
                </c:pt>
                <c:pt idx="609">
                  <c:v>54.316852216276921</c:v>
                </c:pt>
                <c:pt idx="610">
                  <c:v>52.279845831958582</c:v>
                </c:pt>
                <c:pt idx="611">
                  <c:v>50.323365786388074</c:v>
                </c:pt>
                <c:pt idx="612">
                  <c:v>48.444228735967648</c:v>
                </c:pt>
                <c:pt idx="613">
                  <c:v>46.639377180104667</c:v>
                </c:pt>
                <c:pt idx="614">
                  <c:v>44.905874486422903</c:v>
                </c:pt>
                <c:pt idx="615">
                  <c:v>43.240900112635636</c:v>
                </c:pt>
                <c:pt idx="616">
                  <c:v>41.641745017306327</c:v>
                </c:pt>
                <c:pt idx="617">
                  <c:v>40.10580725202967</c:v>
                </c:pt>
                <c:pt idx="618">
                  <c:v>38.630587727861361</c:v>
                </c:pt>
                <c:pt idx="619">
                  <c:v>37.213686149108007</c:v>
                </c:pt>
                <c:pt idx="620">
                  <c:v>35.852797107861363</c:v>
                </c:pt>
                <c:pt idx="621">
                  <c:v>34.545706332922229</c:v>
                </c:pt>
                <c:pt idx="622">
                  <c:v>33.290287087010803</c:v>
                </c:pt>
                <c:pt idx="623">
                  <c:v>32.084496706401453</c:v>
                </c:pt>
                <c:pt idx="624">
                  <c:v>30.926373277351683</c:v>
                </c:pt>
                <c:pt idx="625">
                  <c:v>29.814032443917426</c:v>
                </c:pt>
                <c:pt idx="626">
                  <c:v>28.745664341960964</c:v>
                </c:pt>
                <c:pt idx="627">
                  <c:v>27.719530654362668</c:v>
                </c:pt>
                <c:pt idx="628">
                  <c:v>26.733961782645288</c:v>
                </c:pt>
                <c:pt idx="629">
                  <c:v>25.787354130408719</c:v>
                </c:pt>
                <c:pt idx="630">
                  <c:v>24.878167494155264</c:v>
                </c:pt>
                <c:pt idx="631">
                  <c:v>24.004922557260045</c:v>
                </c:pt>
                <c:pt idx="632">
                  <c:v>23.166198483008948</c:v>
                </c:pt>
                <c:pt idx="633">
                  <c:v>22.360630602788007</c:v>
                </c:pt>
                <c:pt idx="634">
                  <c:v>22.470862084269488</c:v>
                </c:pt>
                <c:pt idx="635">
                  <c:v>22.581093565750969</c:v>
                </c:pt>
                <c:pt idx="636">
                  <c:v>22.69132504723245</c:v>
                </c:pt>
                <c:pt idx="637">
                  <c:v>22.801556528713927</c:v>
                </c:pt>
                <c:pt idx="638">
                  <c:v>22.911788010195409</c:v>
                </c:pt>
                <c:pt idx="639">
                  <c:v>23.022019491676886</c:v>
                </c:pt>
                <c:pt idx="640">
                  <c:v>23.132250973158367</c:v>
                </c:pt>
                <c:pt idx="641">
                  <c:v>23.242482454639845</c:v>
                </c:pt>
                <c:pt idx="642">
                  <c:v>23.352713936121326</c:v>
                </c:pt>
                <c:pt idx="643">
                  <c:v>23.462945417602803</c:v>
                </c:pt>
                <c:pt idx="644">
                  <c:v>23.573176899084284</c:v>
                </c:pt>
                <c:pt idx="645">
                  <c:v>23.683408380565762</c:v>
                </c:pt>
                <c:pt idx="646">
                  <c:v>23.793639862047243</c:v>
                </c:pt>
                <c:pt idx="647">
                  <c:v>23.903871343528721</c:v>
                </c:pt>
                <c:pt idx="648">
                  <c:v>24.014102825010202</c:v>
                </c:pt>
                <c:pt idx="649">
                  <c:v>24.124334306491679</c:v>
                </c:pt>
                <c:pt idx="650">
                  <c:v>24.234565787973157</c:v>
                </c:pt>
                <c:pt idx="651">
                  <c:v>24.344797269454638</c:v>
                </c:pt>
                <c:pt idx="652">
                  <c:v>24.455028750936116</c:v>
                </c:pt>
                <c:pt idx="653">
                  <c:v>24.565260232417597</c:v>
                </c:pt>
                <c:pt idx="654">
                  <c:v>24.675491713899074</c:v>
                </c:pt>
                <c:pt idx="655">
                  <c:v>24.785723195380555</c:v>
                </c:pt>
                <c:pt idx="656">
                  <c:v>24.895954676862033</c:v>
                </c:pt>
                <c:pt idx="657">
                  <c:v>25.006186158343514</c:v>
                </c:pt>
                <c:pt idx="658">
                  <c:v>25.116417639824988</c:v>
                </c:pt>
                <c:pt idx="659">
                  <c:v>25.226649121306473</c:v>
                </c:pt>
                <c:pt idx="660">
                  <c:v>25.336880602787947</c:v>
                </c:pt>
                <c:pt idx="661">
                  <c:v>25.447112084269431</c:v>
                </c:pt>
                <c:pt idx="662">
                  <c:v>25.557343565750905</c:v>
                </c:pt>
                <c:pt idx="663">
                  <c:v>25.66757504723239</c:v>
                </c:pt>
                <c:pt idx="664">
                  <c:v>25.777806528713864</c:v>
                </c:pt>
                <c:pt idx="665">
                  <c:v>25.888038010195345</c:v>
                </c:pt>
                <c:pt idx="666">
                  <c:v>25.998269491676822</c:v>
                </c:pt>
                <c:pt idx="667">
                  <c:v>26.108500973158304</c:v>
                </c:pt>
                <c:pt idx="668">
                  <c:v>26.218732454639781</c:v>
                </c:pt>
                <c:pt idx="669">
                  <c:v>26.328963936121262</c:v>
                </c:pt>
                <c:pt idx="670">
                  <c:v>26.43919541760274</c:v>
                </c:pt>
                <c:pt idx="671">
                  <c:v>26.549426899084221</c:v>
                </c:pt>
                <c:pt idx="672">
                  <c:v>26.659658380565698</c:v>
                </c:pt>
                <c:pt idx="673">
                  <c:v>26.769889862047179</c:v>
                </c:pt>
                <c:pt idx="674">
                  <c:v>26.880121343528657</c:v>
                </c:pt>
                <c:pt idx="675">
                  <c:v>26.990352825010138</c:v>
                </c:pt>
                <c:pt idx="676">
                  <c:v>27.100584306491616</c:v>
                </c:pt>
                <c:pt idx="677">
                  <c:v>27.210815787973097</c:v>
                </c:pt>
                <c:pt idx="678">
                  <c:v>27.321047269454574</c:v>
                </c:pt>
                <c:pt idx="679">
                  <c:v>27.431278750936055</c:v>
                </c:pt>
                <c:pt idx="680">
                  <c:v>27.541510232417533</c:v>
                </c:pt>
                <c:pt idx="681">
                  <c:v>27.651741713899014</c:v>
                </c:pt>
                <c:pt idx="682">
                  <c:v>27.761973195380492</c:v>
                </c:pt>
                <c:pt idx="683">
                  <c:v>27.872204676861973</c:v>
                </c:pt>
                <c:pt idx="684">
                  <c:v>27.982436158343454</c:v>
                </c:pt>
                <c:pt idx="685">
                  <c:v>28.092667639824931</c:v>
                </c:pt>
                <c:pt idx="686">
                  <c:v>28.202899121306412</c:v>
                </c:pt>
                <c:pt idx="687">
                  <c:v>28.31313060278789</c:v>
                </c:pt>
                <c:pt idx="688">
                  <c:v>28.423362084269371</c:v>
                </c:pt>
                <c:pt idx="689">
                  <c:v>28.533593565750849</c:v>
                </c:pt>
                <c:pt idx="690">
                  <c:v>28.64382504723233</c:v>
                </c:pt>
                <c:pt idx="691">
                  <c:v>28.754056528713807</c:v>
                </c:pt>
                <c:pt idx="692">
                  <c:v>28.864288010195288</c:v>
                </c:pt>
                <c:pt idx="693">
                  <c:v>28.974519491676766</c:v>
                </c:pt>
                <c:pt idx="694">
                  <c:v>29.084750973158247</c:v>
                </c:pt>
                <c:pt idx="695">
                  <c:v>29.194982454639725</c:v>
                </c:pt>
                <c:pt idx="696">
                  <c:v>29.305213936121206</c:v>
                </c:pt>
                <c:pt idx="697">
                  <c:v>29.415445417602683</c:v>
                </c:pt>
                <c:pt idx="698">
                  <c:v>29.525676899084164</c:v>
                </c:pt>
                <c:pt idx="699">
                  <c:v>29.635908380565638</c:v>
                </c:pt>
                <c:pt idx="700">
                  <c:v>29.746139862047123</c:v>
                </c:pt>
                <c:pt idx="701">
                  <c:v>29.856371343528597</c:v>
                </c:pt>
                <c:pt idx="702">
                  <c:v>29.966602825010082</c:v>
                </c:pt>
                <c:pt idx="703">
                  <c:v>30.076834306491556</c:v>
                </c:pt>
                <c:pt idx="704">
                  <c:v>30.18706578797304</c:v>
                </c:pt>
                <c:pt idx="705">
                  <c:v>30.297297269454514</c:v>
                </c:pt>
                <c:pt idx="706">
                  <c:v>30.407528750935995</c:v>
                </c:pt>
                <c:pt idx="707">
                  <c:v>30.517760232417473</c:v>
                </c:pt>
                <c:pt idx="708">
                  <c:v>30.627991713898954</c:v>
                </c:pt>
                <c:pt idx="709">
                  <c:v>30.738223195380439</c:v>
                </c:pt>
                <c:pt idx="710">
                  <c:v>30.848454676861913</c:v>
                </c:pt>
                <c:pt idx="711">
                  <c:v>30.958686158343397</c:v>
                </c:pt>
                <c:pt idx="712">
                  <c:v>31.068917639824871</c:v>
                </c:pt>
                <c:pt idx="713">
                  <c:v>31.179149121306356</c:v>
                </c:pt>
                <c:pt idx="714">
                  <c:v>31.28938060278783</c:v>
                </c:pt>
                <c:pt idx="715">
                  <c:v>31.399612084269314</c:v>
                </c:pt>
                <c:pt idx="716">
                  <c:v>31.509843565750788</c:v>
                </c:pt>
                <c:pt idx="717">
                  <c:v>31.62007504723227</c:v>
                </c:pt>
                <c:pt idx="718">
                  <c:v>31.730306528713747</c:v>
                </c:pt>
                <c:pt idx="719">
                  <c:v>31.840538010195228</c:v>
                </c:pt>
                <c:pt idx="720">
                  <c:v>31.950769491676706</c:v>
                </c:pt>
                <c:pt idx="721">
                  <c:v>32.061000973158187</c:v>
                </c:pt>
                <c:pt idx="722">
                  <c:v>32.171232454639664</c:v>
                </c:pt>
                <c:pt idx="723">
                  <c:v>32.281463936121149</c:v>
                </c:pt>
                <c:pt idx="724">
                  <c:v>32.39169541760262</c:v>
                </c:pt>
                <c:pt idx="725">
                  <c:v>32.501926899084104</c:v>
                </c:pt>
                <c:pt idx="726">
                  <c:v>32.612158380565582</c:v>
                </c:pt>
                <c:pt idx="727">
                  <c:v>32.722389862047066</c:v>
                </c:pt>
                <c:pt idx="728">
                  <c:v>32.832621343528537</c:v>
                </c:pt>
                <c:pt idx="729">
                  <c:v>32.942852825010021</c:v>
                </c:pt>
                <c:pt idx="730">
                  <c:v>33.053084306491499</c:v>
                </c:pt>
                <c:pt idx="731">
                  <c:v>33.163315787972977</c:v>
                </c:pt>
                <c:pt idx="732">
                  <c:v>33.273547269454454</c:v>
                </c:pt>
                <c:pt idx="733">
                  <c:v>33.383778750935939</c:v>
                </c:pt>
                <c:pt idx="734">
                  <c:v>33.494010232417416</c:v>
                </c:pt>
                <c:pt idx="735">
                  <c:v>33.604241713898894</c:v>
                </c:pt>
                <c:pt idx="736">
                  <c:v>33.714473195380378</c:v>
                </c:pt>
                <c:pt idx="737">
                  <c:v>33.824704676861856</c:v>
                </c:pt>
                <c:pt idx="738">
                  <c:v>33.934936158343341</c:v>
                </c:pt>
                <c:pt idx="739">
                  <c:v>34.045167639824811</c:v>
                </c:pt>
                <c:pt idx="740">
                  <c:v>34.155399121306296</c:v>
                </c:pt>
                <c:pt idx="741">
                  <c:v>34.265630602787773</c:v>
                </c:pt>
                <c:pt idx="742">
                  <c:v>34.375862084269251</c:v>
                </c:pt>
                <c:pt idx="743">
                  <c:v>34.486093565750728</c:v>
                </c:pt>
                <c:pt idx="744">
                  <c:v>34.596325047232213</c:v>
                </c:pt>
                <c:pt idx="745">
                  <c:v>34.706556528713691</c:v>
                </c:pt>
                <c:pt idx="746">
                  <c:v>34.816788010195168</c:v>
                </c:pt>
                <c:pt idx="747">
                  <c:v>34.927019491676646</c:v>
                </c:pt>
                <c:pt idx="748">
                  <c:v>35.03725097315813</c:v>
                </c:pt>
                <c:pt idx="749">
                  <c:v>35.147482454639608</c:v>
                </c:pt>
                <c:pt idx="750">
                  <c:v>35.257713936121085</c:v>
                </c:pt>
                <c:pt idx="751">
                  <c:v>35.367945417602563</c:v>
                </c:pt>
                <c:pt idx="752">
                  <c:v>35.478176899084048</c:v>
                </c:pt>
                <c:pt idx="753">
                  <c:v>35.588408380565525</c:v>
                </c:pt>
                <c:pt idx="754">
                  <c:v>35.698639862047003</c:v>
                </c:pt>
                <c:pt idx="755">
                  <c:v>35.80887134352848</c:v>
                </c:pt>
                <c:pt idx="756">
                  <c:v>35.919102825009965</c:v>
                </c:pt>
                <c:pt idx="757">
                  <c:v>36.029334306491442</c:v>
                </c:pt>
                <c:pt idx="758">
                  <c:v>36.13956578797292</c:v>
                </c:pt>
                <c:pt idx="759">
                  <c:v>36.249797269454398</c:v>
                </c:pt>
                <c:pt idx="760">
                  <c:v>36.360028750935882</c:v>
                </c:pt>
                <c:pt idx="761">
                  <c:v>36.47026023241736</c:v>
                </c:pt>
                <c:pt idx="762">
                  <c:v>36.580491713898837</c:v>
                </c:pt>
                <c:pt idx="763">
                  <c:v>36.690723195380322</c:v>
                </c:pt>
                <c:pt idx="764">
                  <c:v>36.800954676861799</c:v>
                </c:pt>
                <c:pt idx="765">
                  <c:v>36.911186158343277</c:v>
                </c:pt>
                <c:pt idx="766">
                  <c:v>37.021417639824755</c:v>
                </c:pt>
                <c:pt idx="767">
                  <c:v>37.131649121306239</c:v>
                </c:pt>
                <c:pt idx="768">
                  <c:v>37.241880602787717</c:v>
                </c:pt>
                <c:pt idx="769">
                  <c:v>37.352112084269194</c:v>
                </c:pt>
                <c:pt idx="770">
                  <c:v>37.462343565750672</c:v>
                </c:pt>
                <c:pt idx="771">
                  <c:v>37.572575047232156</c:v>
                </c:pt>
                <c:pt idx="772">
                  <c:v>37.682806528713627</c:v>
                </c:pt>
                <c:pt idx="773">
                  <c:v>37.793038010195112</c:v>
                </c:pt>
                <c:pt idx="774">
                  <c:v>37.903269491676589</c:v>
                </c:pt>
                <c:pt idx="775">
                  <c:v>38.013500973158074</c:v>
                </c:pt>
                <c:pt idx="776">
                  <c:v>38.123732454639544</c:v>
                </c:pt>
                <c:pt idx="777">
                  <c:v>38.233963936121029</c:v>
                </c:pt>
                <c:pt idx="778">
                  <c:v>38.344195417602506</c:v>
                </c:pt>
                <c:pt idx="779">
                  <c:v>38.454426899083991</c:v>
                </c:pt>
                <c:pt idx="780">
                  <c:v>38.564658380565461</c:v>
                </c:pt>
                <c:pt idx="781">
                  <c:v>38.674889862046946</c:v>
                </c:pt>
                <c:pt idx="782">
                  <c:v>38.785121343528424</c:v>
                </c:pt>
                <c:pt idx="783">
                  <c:v>38.895352825009901</c:v>
                </c:pt>
                <c:pt idx="784">
                  <c:v>39.005584306491379</c:v>
                </c:pt>
                <c:pt idx="785">
                  <c:v>39.115815787972863</c:v>
                </c:pt>
                <c:pt idx="786">
                  <c:v>39.226047269454341</c:v>
                </c:pt>
                <c:pt idx="787">
                  <c:v>39.336278750935818</c:v>
                </c:pt>
                <c:pt idx="788">
                  <c:v>39.446510232417303</c:v>
                </c:pt>
                <c:pt idx="789">
                  <c:v>39.556741713898781</c:v>
                </c:pt>
                <c:pt idx="790">
                  <c:v>39.666973195380265</c:v>
                </c:pt>
                <c:pt idx="791">
                  <c:v>39.777204676861736</c:v>
                </c:pt>
                <c:pt idx="792">
                  <c:v>39.88743615834322</c:v>
                </c:pt>
                <c:pt idx="793">
                  <c:v>39.997667639824698</c:v>
                </c:pt>
                <c:pt idx="794">
                  <c:v>40.107899121306176</c:v>
                </c:pt>
                <c:pt idx="795">
                  <c:v>40.218130602787653</c:v>
                </c:pt>
                <c:pt idx="796">
                  <c:v>40.328362084269138</c:v>
                </c:pt>
                <c:pt idx="797">
                  <c:v>40.438593565750615</c:v>
                </c:pt>
                <c:pt idx="798">
                  <c:v>40.548825047232093</c:v>
                </c:pt>
                <c:pt idx="799">
                  <c:v>40.65905652871357</c:v>
                </c:pt>
                <c:pt idx="800">
                  <c:v>40.769288010195055</c:v>
                </c:pt>
                <c:pt idx="801">
                  <c:v>40.879519491676533</c:v>
                </c:pt>
                <c:pt idx="802">
                  <c:v>40.98975097315801</c:v>
                </c:pt>
                <c:pt idx="803">
                  <c:v>41.099982454639488</c:v>
                </c:pt>
                <c:pt idx="804">
                  <c:v>41.210213936120972</c:v>
                </c:pt>
                <c:pt idx="805">
                  <c:v>41.32044541760245</c:v>
                </c:pt>
                <c:pt idx="806">
                  <c:v>41.430676899083927</c:v>
                </c:pt>
                <c:pt idx="807">
                  <c:v>41.540908380565405</c:v>
                </c:pt>
                <c:pt idx="808">
                  <c:v>41.65113986204689</c:v>
                </c:pt>
                <c:pt idx="809">
                  <c:v>41.761371343528367</c:v>
                </c:pt>
                <c:pt idx="810">
                  <c:v>41.871602825009845</c:v>
                </c:pt>
                <c:pt idx="811">
                  <c:v>41.981834306491322</c:v>
                </c:pt>
                <c:pt idx="812">
                  <c:v>42.092065787972807</c:v>
                </c:pt>
                <c:pt idx="813">
                  <c:v>42.202297269454277</c:v>
                </c:pt>
                <c:pt idx="814">
                  <c:v>42.312528750935762</c:v>
                </c:pt>
                <c:pt idx="815">
                  <c:v>42.422760232417247</c:v>
                </c:pt>
                <c:pt idx="816">
                  <c:v>42.532991713898724</c:v>
                </c:pt>
                <c:pt idx="817">
                  <c:v>42.643223195380202</c:v>
                </c:pt>
                <c:pt idx="818">
                  <c:v>42.753454676861679</c:v>
                </c:pt>
                <c:pt idx="819">
                  <c:v>42.863686158343164</c:v>
                </c:pt>
                <c:pt idx="820">
                  <c:v>42.973917639824641</c:v>
                </c:pt>
                <c:pt idx="821">
                  <c:v>43.084149121306119</c:v>
                </c:pt>
                <c:pt idx="822">
                  <c:v>43.194380602787597</c:v>
                </c:pt>
                <c:pt idx="823">
                  <c:v>43.304612084269081</c:v>
                </c:pt>
                <c:pt idx="824">
                  <c:v>43.414843565750552</c:v>
                </c:pt>
                <c:pt idx="825">
                  <c:v>43.525075047232036</c:v>
                </c:pt>
                <c:pt idx="826">
                  <c:v>43.635306528713514</c:v>
                </c:pt>
                <c:pt idx="827">
                  <c:v>43.745538010194998</c:v>
                </c:pt>
                <c:pt idx="828">
                  <c:v>43.855769491676469</c:v>
                </c:pt>
                <c:pt idx="829">
                  <c:v>43.966000973157954</c:v>
                </c:pt>
                <c:pt idx="830">
                  <c:v>44.076232454639431</c:v>
                </c:pt>
                <c:pt idx="831">
                  <c:v>44.186463936120916</c:v>
                </c:pt>
                <c:pt idx="832">
                  <c:v>44.296695417602386</c:v>
                </c:pt>
                <c:pt idx="833">
                  <c:v>44.406926899083871</c:v>
                </c:pt>
                <c:pt idx="834">
                  <c:v>44.517158380565348</c:v>
                </c:pt>
                <c:pt idx="835">
                  <c:v>44.627389862046826</c:v>
                </c:pt>
                <c:pt idx="836">
                  <c:v>44.737621343528303</c:v>
                </c:pt>
                <c:pt idx="837">
                  <c:v>44.847852825009788</c:v>
                </c:pt>
                <c:pt idx="838">
                  <c:v>44.958084306491266</c:v>
                </c:pt>
                <c:pt idx="839">
                  <c:v>45.068315787972743</c:v>
                </c:pt>
                <c:pt idx="840">
                  <c:v>45.178547269454221</c:v>
                </c:pt>
                <c:pt idx="841">
                  <c:v>45.288778750935705</c:v>
                </c:pt>
                <c:pt idx="842">
                  <c:v>45.399010232417183</c:v>
                </c:pt>
                <c:pt idx="843">
                  <c:v>45.50924171389866</c:v>
                </c:pt>
                <c:pt idx="844">
                  <c:v>45.619473195380145</c:v>
                </c:pt>
                <c:pt idx="845">
                  <c:v>45.72970467686163</c:v>
                </c:pt>
                <c:pt idx="846">
                  <c:v>45.839936158343114</c:v>
                </c:pt>
                <c:pt idx="847">
                  <c:v>45.950167639824599</c:v>
                </c:pt>
                <c:pt idx="848">
                  <c:v>46.060399121306077</c:v>
                </c:pt>
                <c:pt idx="849">
                  <c:v>46.170630602787568</c:v>
                </c:pt>
                <c:pt idx="850">
                  <c:v>46.280862084269046</c:v>
                </c:pt>
                <c:pt idx="851">
                  <c:v>46.391093565750538</c:v>
                </c:pt>
                <c:pt idx="852">
                  <c:v>46.501325047232015</c:v>
                </c:pt>
                <c:pt idx="853">
                  <c:v>46.6115565287135</c:v>
                </c:pt>
                <c:pt idx="854">
                  <c:v>46.721788010194985</c:v>
                </c:pt>
                <c:pt idx="855">
                  <c:v>46.832019491676469</c:v>
                </c:pt>
                <c:pt idx="856">
                  <c:v>46.942250973157954</c:v>
                </c:pt>
                <c:pt idx="857">
                  <c:v>47.052482454639438</c:v>
                </c:pt>
                <c:pt idx="858">
                  <c:v>47.162713936120923</c:v>
                </c:pt>
                <c:pt idx="859">
                  <c:v>47.272945417602408</c:v>
                </c:pt>
                <c:pt idx="860">
                  <c:v>47.383176899083892</c:v>
                </c:pt>
                <c:pt idx="861">
                  <c:v>47.493408380565377</c:v>
                </c:pt>
                <c:pt idx="862">
                  <c:v>47.603639862046862</c:v>
                </c:pt>
                <c:pt idx="863">
                  <c:v>47.713871343528339</c:v>
                </c:pt>
                <c:pt idx="864">
                  <c:v>47.824102825009831</c:v>
                </c:pt>
                <c:pt idx="865">
                  <c:v>47.934334306491309</c:v>
                </c:pt>
                <c:pt idx="866">
                  <c:v>48.0445657879728</c:v>
                </c:pt>
                <c:pt idx="867">
                  <c:v>48.154797269454278</c:v>
                </c:pt>
                <c:pt idx="868">
                  <c:v>48.265028750935763</c:v>
                </c:pt>
                <c:pt idx="869">
                  <c:v>48.375260232417247</c:v>
                </c:pt>
                <c:pt idx="870">
                  <c:v>48.485491713898732</c:v>
                </c:pt>
                <c:pt idx="871">
                  <c:v>48.595723195380216</c:v>
                </c:pt>
                <c:pt idx="872">
                  <c:v>48.705954676861701</c:v>
                </c:pt>
                <c:pt idx="873">
                  <c:v>48.816186158343186</c:v>
                </c:pt>
                <c:pt idx="874">
                  <c:v>48.92641763982467</c:v>
                </c:pt>
                <c:pt idx="875">
                  <c:v>49.036649121306155</c:v>
                </c:pt>
                <c:pt idx="876">
                  <c:v>49.14688060278764</c:v>
                </c:pt>
                <c:pt idx="877">
                  <c:v>49.257112084269124</c:v>
                </c:pt>
                <c:pt idx="878">
                  <c:v>49.367343565750602</c:v>
                </c:pt>
                <c:pt idx="879">
                  <c:v>49.477575047232094</c:v>
                </c:pt>
                <c:pt idx="880">
                  <c:v>49.587806528713571</c:v>
                </c:pt>
                <c:pt idx="881">
                  <c:v>49.698038010195056</c:v>
                </c:pt>
                <c:pt idx="882">
                  <c:v>49.80826949167654</c:v>
                </c:pt>
                <c:pt idx="883">
                  <c:v>49.918500973158025</c:v>
                </c:pt>
                <c:pt idx="884">
                  <c:v>50.02873245463951</c:v>
                </c:pt>
                <c:pt idx="885">
                  <c:v>50.138963936120994</c:v>
                </c:pt>
                <c:pt idx="886">
                  <c:v>50.249195417602479</c:v>
                </c:pt>
                <c:pt idx="887">
                  <c:v>50.359426899083957</c:v>
                </c:pt>
                <c:pt idx="888">
                  <c:v>50.469658380565448</c:v>
                </c:pt>
                <c:pt idx="889">
                  <c:v>50.579889862046933</c:v>
                </c:pt>
                <c:pt idx="890">
                  <c:v>50.690121343528418</c:v>
                </c:pt>
                <c:pt idx="891">
                  <c:v>50.800352825009895</c:v>
                </c:pt>
                <c:pt idx="892">
                  <c:v>50.91058430649138</c:v>
                </c:pt>
                <c:pt idx="893">
                  <c:v>51.020815787972872</c:v>
                </c:pt>
                <c:pt idx="894">
                  <c:v>51.131047269454356</c:v>
                </c:pt>
                <c:pt idx="895">
                  <c:v>51.241278750935834</c:v>
                </c:pt>
                <c:pt idx="896">
                  <c:v>51.351510232417318</c:v>
                </c:pt>
                <c:pt idx="897">
                  <c:v>51.461741713898803</c:v>
                </c:pt>
                <c:pt idx="898">
                  <c:v>51.571973195380295</c:v>
                </c:pt>
                <c:pt idx="899">
                  <c:v>51.682204676861772</c:v>
                </c:pt>
                <c:pt idx="900">
                  <c:v>51.792436158343257</c:v>
                </c:pt>
                <c:pt idx="901">
                  <c:v>51.902667639824742</c:v>
                </c:pt>
                <c:pt idx="902">
                  <c:v>52.012899121306219</c:v>
                </c:pt>
                <c:pt idx="903">
                  <c:v>52.123130602787718</c:v>
                </c:pt>
                <c:pt idx="904">
                  <c:v>52.233362084269196</c:v>
                </c:pt>
                <c:pt idx="905">
                  <c:v>52.34359356575068</c:v>
                </c:pt>
                <c:pt idx="906">
                  <c:v>52.453825047232158</c:v>
                </c:pt>
                <c:pt idx="907">
                  <c:v>52.564056528713643</c:v>
                </c:pt>
                <c:pt idx="908">
                  <c:v>52.674288010195134</c:v>
                </c:pt>
                <c:pt idx="909">
                  <c:v>52.784519491676619</c:v>
                </c:pt>
                <c:pt idx="910">
                  <c:v>52.894750973158096</c:v>
                </c:pt>
                <c:pt idx="911">
                  <c:v>53.004982454639581</c:v>
                </c:pt>
                <c:pt idx="912">
                  <c:v>53.115213936121066</c:v>
                </c:pt>
                <c:pt idx="913">
                  <c:v>53.225445417602558</c:v>
                </c:pt>
                <c:pt idx="914">
                  <c:v>53.335676899084042</c:v>
                </c:pt>
                <c:pt idx="915">
                  <c:v>53.44590838056552</c:v>
                </c:pt>
                <c:pt idx="916">
                  <c:v>53.556139862047004</c:v>
                </c:pt>
                <c:pt idx="917">
                  <c:v>53.666371343528482</c:v>
                </c:pt>
                <c:pt idx="918">
                  <c:v>53.776602825009981</c:v>
                </c:pt>
                <c:pt idx="919">
                  <c:v>53.886834306491473</c:v>
                </c:pt>
                <c:pt idx="920">
                  <c:v>53.99706578797295</c:v>
                </c:pt>
                <c:pt idx="921">
                  <c:v>54.107297269454435</c:v>
                </c:pt>
                <c:pt idx="922">
                  <c:v>54.217528750935919</c:v>
                </c:pt>
                <c:pt idx="923">
                  <c:v>54.327760232417397</c:v>
                </c:pt>
                <c:pt idx="924">
                  <c:v>54.437991713898896</c:v>
                </c:pt>
                <c:pt idx="925">
                  <c:v>54.548223195380373</c:v>
                </c:pt>
                <c:pt idx="926">
                  <c:v>54.658454676861858</c:v>
                </c:pt>
                <c:pt idx="927">
                  <c:v>54.768686158343336</c:v>
                </c:pt>
                <c:pt idx="928">
                  <c:v>54.87891763982482</c:v>
                </c:pt>
                <c:pt idx="929">
                  <c:v>54.989149121306312</c:v>
                </c:pt>
                <c:pt idx="930">
                  <c:v>55.099380602787797</c:v>
                </c:pt>
                <c:pt idx="931">
                  <c:v>55.209612084269274</c:v>
                </c:pt>
                <c:pt idx="932">
                  <c:v>55.319843565750759</c:v>
                </c:pt>
                <c:pt idx="933">
                  <c:v>55.430075047232243</c:v>
                </c:pt>
                <c:pt idx="934">
                  <c:v>55.540306528713735</c:v>
                </c:pt>
                <c:pt idx="935">
                  <c:v>55.65053801019522</c:v>
                </c:pt>
                <c:pt idx="936">
                  <c:v>55.760769491676697</c:v>
                </c:pt>
                <c:pt idx="937">
                  <c:v>55.871000973158182</c:v>
                </c:pt>
                <c:pt idx="938">
                  <c:v>55.98123245463966</c:v>
                </c:pt>
                <c:pt idx="939">
                  <c:v>56.091463936121158</c:v>
                </c:pt>
                <c:pt idx="940">
                  <c:v>56.201695417602636</c:v>
                </c:pt>
                <c:pt idx="941">
                  <c:v>56.311926899084121</c:v>
                </c:pt>
                <c:pt idx="942">
                  <c:v>56.422158380565598</c:v>
                </c:pt>
                <c:pt idx="943">
                  <c:v>56.532389862047083</c:v>
                </c:pt>
                <c:pt idx="944">
                  <c:v>56.642621343528575</c:v>
                </c:pt>
                <c:pt idx="945">
                  <c:v>56.752852825010059</c:v>
                </c:pt>
                <c:pt idx="946">
                  <c:v>56.863084306491544</c:v>
                </c:pt>
                <c:pt idx="947">
                  <c:v>56.973315787973021</c:v>
                </c:pt>
                <c:pt idx="948">
                  <c:v>57.083547269454506</c:v>
                </c:pt>
                <c:pt idx="949">
                  <c:v>57.193778750935998</c:v>
                </c:pt>
                <c:pt idx="950">
                  <c:v>57.304010232417482</c:v>
                </c:pt>
                <c:pt idx="951">
                  <c:v>57.41424171389896</c:v>
                </c:pt>
                <c:pt idx="952">
                  <c:v>57.524473195380445</c:v>
                </c:pt>
                <c:pt idx="953">
                  <c:v>57.634704676861922</c:v>
                </c:pt>
                <c:pt idx="954">
                  <c:v>57.744936158343421</c:v>
                </c:pt>
                <c:pt idx="955">
                  <c:v>57.855167639824899</c:v>
                </c:pt>
                <c:pt idx="956">
                  <c:v>57.965399121306383</c:v>
                </c:pt>
                <c:pt idx="957">
                  <c:v>58.075630602787868</c:v>
                </c:pt>
                <c:pt idx="958">
                  <c:v>58.185862084269345</c:v>
                </c:pt>
                <c:pt idx="959">
                  <c:v>58.296093565750837</c:v>
                </c:pt>
                <c:pt idx="960">
                  <c:v>58.406325047232329</c:v>
                </c:pt>
                <c:pt idx="961">
                  <c:v>58.516556528713814</c:v>
                </c:pt>
                <c:pt idx="962">
                  <c:v>58.626788010195298</c:v>
                </c:pt>
                <c:pt idx="963">
                  <c:v>58.737019491676776</c:v>
                </c:pt>
                <c:pt idx="964">
                  <c:v>58.84725097315826</c:v>
                </c:pt>
                <c:pt idx="965">
                  <c:v>58.957482454639752</c:v>
                </c:pt>
                <c:pt idx="966">
                  <c:v>59.067713936121237</c:v>
                </c:pt>
                <c:pt idx="967">
                  <c:v>59.177945417602714</c:v>
                </c:pt>
                <c:pt idx="968">
                  <c:v>59.288176899084199</c:v>
                </c:pt>
                <c:pt idx="969">
                  <c:v>59.398408380565684</c:v>
                </c:pt>
                <c:pt idx="970">
                  <c:v>59.508639862047175</c:v>
                </c:pt>
                <c:pt idx="971">
                  <c:v>59.618871343528653</c:v>
                </c:pt>
                <c:pt idx="972">
                  <c:v>59.729102825010138</c:v>
                </c:pt>
                <c:pt idx="973">
                  <c:v>59.839334306491622</c:v>
                </c:pt>
                <c:pt idx="974">
                  <c:v>59.9495657879731</c:v>
                </c:pt>
                <c:pt idx="975">
                  <c:v>60.059797269454599</c:v>
                </c:pt>
                <c:pt idx="976">
                  <c:v>60.170028750936076</c:v>
                </c:pt>
                <c:pt idx="977">
                  <c:v>60.280260232417561</c:v>
                </c:pt>
                <c:pt idx="978">
                  <c:v>60.390491713899038</c:v>
                </c:pt>
                <c:pt idx="979">
                  <c:v>60.500723195380523</c:v>
                </c:pt>
                <c:pt idx="980">
                  <c:v>60.610954676862015</c:v>
                </c:pt>
                <c:pt idx="981">
                  <c:v>60.7211861583435</c:v>
                </c:pt>
                <c:pt idx="982">
                  <c:v>60.831417639824977</c:v>
                </c:pt>
                <c:pt idx="983">
                  <c:v>60.941649121306462</c:v>
                </c:pt>
                <c:pt idx="984">
                  <c:v>61.051880602787946</c:v>
                </c:pt>
                <c:pt idx="985">
                  <c:v>61.162112084269438</c:v>
                </c:pt>
                <c:pt idx="986">
                  <c:v>61.272343565750923</c:v>
                </c:pt>
                <c:pt idx="987">
                  <c:v>61.3825750472324</c:v>
                </c:pt>
                <c:pt idx="988">
                  <c:v>61.492806528713885</c:v>
                </c:pt>
                <c:pt idx="989">
                  <c:v>61.603038010195363</c:v>
                </c:pt>
                <c:pt idx="990">
                  <c:v>61.713269491676861</c:v>
                </c:pt>
                <c:pt idx="991">
                  <c:v>61.823500973158339</c:v>
                </c:pt>
                <c:pt idx="992">
                  <c:v>61.933732454639824</c:v>
                </c:pt>
                <c:pt idx="993">
                  <c:v>62.043963936121301</c:v>
                </c:pt>
                <c:pt idx="994">
                  <c:v>62.154195417602786</c:v>
                </c:pt>
                <c:pt idx="995">
                  <c:v>62.264426899084278</c:v>
                </c:pt>
                <c:pt idx="996">
                  <c:v>62.374658380565762</c:v>
                </c:pt>
                <c:pt idx="997">
                  <c:v>62.484889862047247</c:v>
                </c:pt>
                <c:pt idx="998">
                  <c:v>62.595121343528724</c:v>
                </c:pt>
                <c:pt idx="999">
                  <c:v>62.705352825010209</c:v>
                </c:pt>
                <c:pt idx="1000">
                  <c:v>62.815584306491701</c:v>
                </c:pt>
                <c:pt idx="1001">
                  <c:v>62.925815787973185</c:v>
                </c:pt>
                <c:pt idx="1002">
                  <c:v>63.036047269454663</c:v>
                </c:pt>
                <c:pt idx="1003">
                  <c:v>63.146278750936148</c:v>
                </c:pt>
                <c:pt idx="1004">
                  <c:v>63.256510232417625</c:v>
                </c:pt>
                <c:pt idx="1005">
                  <c:v>63.366741713899124</c:v>
                </c:pt>
                <c:pt idx="1006">
                  <c:v>63.476973195380616</c:v>
                </c:pt>
                <c:pt idx="1007">
                  <c:v>63.5872046768621</c:v>
                </c:pt>
                <c:pt idx="1008">
                  <c:v>63.697436158343578</c:v>
                </c:pt>
                <c:pt idx="1009">
                  <c:v>63.807667639825063</c:v>
                </c:pt>
                <c:pt idx="1010">
                  <c:v>63.91789912130654</c:v>
                </c:pt>
                <c:pt idx="1011">
                  <c:v>64.028130602788039</c:v>
                </c:pt>
                <c:pt idx="1012">
                  <c:v>64.138362084269517</c:v>
                </c:pt>
                <c:pt idx="1013">
                  <c:v>64.248593565750994</c:v>
                </c:pt>
                <c:pt idx="1014">
                  <c:v>64.358825047232486</c:v>
                </c:pt>
                <c:pt idx="1015">
                  <c:v>64.469056528713963</c:v>
                </c:pt>
                <c:pt idx="1016">
                  <c:v>64.579288010195455</c:v>
                </c:pt>
                <c:pt idx="1017">
                  <c:v>64.689519491676933</c:v>
                </c:pt>
                <c:pt idx="1018">
                  <c:v>64.799750973158424</c:v>
                </c:pt>
                <c:pt idx="1019">
                  <c:v>64.909982454639902</c:v>
                </c:pt>
                <c:pt idx="1020">
                  <c:v>65.02021393612138</c:v>
                </c:pt>
                <c:pt idx="1021">
                  <c:v>65.130445417602871</c:v>
                </c:pt>
                <c:pt idx="1022">
                  <c:v>65.240676899084363</c:v>
                </c:pt>
                <c:pt idx="1023">
                  <c:v>65.350908380565841</c:v>
                </c:pt>
                <c:pt idx="1024">
                  <c:v>65.461139862047318</c:v>
                </c:pt>
                <c:pt idx="1025">
                  <c:v>65.57137134352881</c:v>
                </c:pt>
                <c:pt idx="1026">
                  <c:v>65.681602825010302</c:v>
                </c:pt>
                <c:pt idx="1027">
                  <c:v>65.791834306491779</c:v>
                </c:pt>
                <c:pt idx="1028">
                  <c:v>65.902065787973257</c:v>
                </c:pt>
                <c:pt idx="1029">
                  <c:v>66.012297269454749</c:v>
                </c:pt>
                <c:pt idx="1030">
                  <c:v>66.122528750936226</c:v>
                </c:pt>
                <c:pt idx="1031">
                  <c:v>66.232760232417718</c:v>
                </c:pt>
                <c:pt idx="1032">
                  <c:v>66.342991713899195</c:v>
                </c:pt>
                <c:pt idx="1033">
                  <c:v>66.453223195380687</c:v>
                </c:pt>
                <c:pt idx="1034">
                  <c:v>66.563454676862165</c:v>
                </c:pt>
                <c:pt idx="1035">
                  <c:v>66.673686158343642</c:v>
                </c:pt>
                <c:pt idx="1036">
                  <c:v>66.783917639825148</c:v>
                </c:pt>
                <c:pt idx="1037">
                  <c:v>66.894149121306626</c:v>
                </c:pt>
                <c:pt idx="1038">
                  <c:v>67.004380602788103</c:v>
                </c:pt>
                <c:pt idx="1039">
                  <c:v>67.114612084269581</c:v>
                </c:pt>
                <c:pt idx="1040">
                  <c:v>67.224843565751073</c:v>
                </c:pt>
                <c:pt idx="1041">
                  <c:v>67.335075047232564</c:v>
                </c:pt>
                <c:pt idx="1042">
                  <c:v>67.445306528714042</c:v>
                </c:pt>
                <c:pt idx="1043">
                  <c:v>67.555538010195519</c:v>
                </c:pt>
                <c:pt idx="1044">
                  <c:v>67.665769491677011</c:v>
                </c:pt>
                <c:pt idx="1045">
                  <c:v>67.776000973158489</c:v>
                </c:pt>
                <c:pt idx="1046">
                  <c:v>67.88623245463998</c:v>
                </c:pt>
                <c:pt idx="1047">
                  <c:v>67.996463936121472</c:v>
                </c:pt>
                <c:pt idx="1048">
                  <c:v>68.106695417602964</c:v>
                </c:pt>
                <c:pt idx="1049">
                  <c:v>68.216926899084442</c:v>
                </c:pt>
                <c:pt idx="1050">
                  <c:v>68.327158380565919</c:v>
                </c:pt>
                <c:pt idx="1051">
                  <c:v>68.437389862047411</c:v>
                </c:pt>
                <c:pt idx="1052">
                  <c:v>68.547621343528903</c:v>
                </c:pt>
                <c:pt idx="1053">
                  <c:v>68.65785282501038</c:v>
                </c:pt>
                <c:pt idx="1054">
                  <c:v>68.768084306491858</c:v>
                </c:pt>
                <c:pt idx="1055">
                  <c:v>68.878315787973349</c:v>
                </c:pt>
                <c:pt idx="1056">
                  <c:v>68.988547269454827</c:v>
                </c:pt>
                <c:pt idx="1057">
                  <c:v>69.098778750936319</c:v>
                </c:pt>
                <c:pt idx="1058">
                  <c:v>69.209010232417796</c:v>
                </c:pt>
                <c:pt idx="1059">
                  <c:v>69.319241713899288</c:v>
                </c:pt>
                <c:pt idx="1060">
                  <c:v>69.429473195380766</c:v>
                </c:pt>
                <c:pt idx="1061">
                  <c:v>69.539704676862243</c:v>
                </c:pt>
                <c:pt idx="1062">
                  <c:v>69.649936158343735</c:v>
                </c:pt>
                <c:pt idx="1063">
                  <c:v>69.760167639825227</c:v>
                </c:pt>
                <c:pt idx="1064">
                  <c:v>69.870399121306704</c:v>
                </c:pt>
                <c:pt idx="1065">
                  <c:v>69.980630602788182</c:v>
                </c:pt>
                <c:pt idx="1066">
                  <c:v>70.090862084269673</c:v>
                </c:pt>
                <c:pt idx="1067">
                  <c:v>70.201093565751165</c:v>
                </c:pt>
                <c:pt idx="1068">
                  <c:v>70.311325047232643</c:v>
                </c:pt>
                <c:pt idx="1069">
                  <c:v>70.42155652871412</c:v>
                </c:pt>
                <c:pt idx="1070">
                  <c:v>70.531788010195612</c:v>
                </c:pt>
                <c:pt idx="1071">
                  <c:v>70.64201949167709</c:v>
                </c:pt>
                <c:pt idx="1072">
                  <c:v>70.752250973158581</c:v>
                </c:pt>
                <c:pt idx="1073">
                  <c:v>70.862482454640059</c:v>
                </c:pt>
                <c:pt idx="1074">
                  <c:v>70.972713936121551</c:v>
                </c:pt>
                <c:pt idx="1075">
                  <c:v>71.082945417603028</c:v>
                </c:pt>
                <c:pt idx="1076">
                  <c:v>71.193176899084506</c:v>
                </c:pt>
                <c:pt idx="1077">
                  <c:v>71.303408380565998</c:v>
                </c:pt>
                <c:pt idx="1078">
                  <c:v>71.413639862047489</c:v>
                </c:pt>
                <c:pt idx="1079">
                  <c:v>71.523871343528967</c:v>
                </c:pt>
                <c:pt idx="1080">
                  <c:v>71.634102825010444</c:v>
                </c:pt>
                <c:pt idx="1081">
                  <c:v>68.912515970333502</c:v>
                </c:pt>
                <c:pt idx="1082">
                  <c:v>66.298518088709628</c:v>
                </c:pt>
                <c:pt idx="1083">
                  <c:v>63.78785600442162</c:v>
                </c:pt>
                <c:pt idx="1084">
                  <c:v>61.376444677046884</c:v>
                </c:pt>
                <c:pt idx="1085">
                  <c:v>59.060360554782264</c:v>
                </c:pt>
                <c:pt idx="1086">
                  <c:v>56.835835190523412</c:v>
                </c:pt>
                <c:pt idx="1087">
                  <c:v>54.699249110311229</c:v>
                </c:pt>
                <c:pt idx="1088">
                  <c:v>52.647125924169302</c:v>
                </c:pt>
                <c:pt idx="1089">
                  <c:v>50.676126669749777</c:v>
                </c:pt>
                <c:pt idx="1090">
                  <c:v>48.783044379584759</c:v>
                </c:pt>
                <c:pt idx="1091">
                  <c:v>46.96479886310339</c:v>
                </c:pt>
                <c:pt idx="1092">
                  <c:v>45.218431694924746</c:v>
                </c:pt>
                <c:pt idx="1093">
                  <c:v>43.541101401272101</c:v>
                </c:pt>
                <c:pt idx="1094">
                  <c:v>41.930078836676429</c:v>
                </c:pt>
                <c:pt idx="1095">
                  <c:v>40.382742743446656</c:v>
                </c:pt>
                <c:pt idx="1096">
                  <c:v>38.896575486681712</c:v>
                </c:pt>
                <c:pt idx="1097">
                  <c:v>37.469158957884787</c:v>
                </c:pt>
                <c:pt idx="1098">
                  <c:v>36.098170640514716</c:v>
                </c:pt>
                <c:pt idx="1099">
                  <c:v>34.781379831072833</c:v>
                </c:pt>
                <c:pt idx="1100">
                  <c:v>33.516644009576737</c:v>
                </c:pt>
                <c:pt idx="1101">
                  <c:v>32.301905353515345</c:v>
                </c:pt>
                <c:pt idx="1102">
                  <c:v>31.13518738961336</c:v>
                </c:pt>
                <c:pt idx="1103">
                  <c:v>30.014591777957122</c:v>
                </c:pt>
                <c:pt idx="1104">
                  <c:v>28.938295223249483</c:v>
                </c:pt>
                <c:pt idx="1105">
                  <c:v>27.904546508168039</c:v>
                </c:pt>
                <c:pt idx="1106">
                  <c:v>26.911663643999795</c:v>
                </c:pt>
                <c:pt idx="1107">
                  <c:v>25.95803113391608</c:v>
                </c:pt>
                <c:pt idx="1108">
                  <c:v>25.042097344434882</c:v>
                </c:pt>
                <c:pt idx="1109">
                  <c:v>24.162371980793758</c:v>
                </c:pt>
                <c:pt idx="1110">
                  <c:v>23.317423662125599</c:v>
                </c:pt>
                <c:pt idx="1111">
                  <c:v>22.505877592491746</c:v>
                </c:pt>
                <c:pt idx="1112">
                  <c:v>21.72641332398327</c:v>
                </c:pt>
                <c:pt idx="1113">
                  <c:v>20.977762608250554</c:v>
                </c:pt>
                <c:pt idx="1114">
                  <c:v>21.087994089732039</c:v>
                </c:pt>
                <c:pt idx="1115">
                  <c:v>21.19822557121352</c:v>
                </c:pt>
                <c:pt idx="1116">
                  <c:v>21.308457052694997</c:v>
                </c:pt>
                <c:pt idx="1117">
                  <c:v>21.418688534176479</c:v>
                </c:pt>
                <c:pt idx="1118">
                  <c:v>21.528920015657956</c:v>
                </c:pt>
                <c:pt idx="1119">
                  <c:v>21.639151497139437</c:v>
                </c:pt>
                <c:pt idx="1120">
                  <c:v>21.749382978620922</c:v>
                </c:pt>
                <c:pt idx="1121">
                  <c:v>21.859614460102403</c:v>
                </c:pt>
                <c:pt idx="1122">
                  <c:v>21.969845941583884</c:v>
                </c:pt>
                <c:pt idx="1123">
                  <c:v>22.080077423065365</c:v>
                </c:pt>
                <c:pt idx="1124">
                  <c:v>22.19030890454685</c:v>
                </c:pt>
                <c:pt idx="1125">
                  <c:v>22.300540386028331</c:v>
                </c:pt>
                <c:pt idx="1126">
                  <c:v>22.410771867509808</c:v>
                </c:pt>
                <c:pt idx="1127">
                  <c:v>22.52100334899129</c:v>
                </c:pt>
                <c:pt idx="1128">
                  <c:v>22.631234830472771</c:v>
                </c:pt>
                <c:pt idx="1129">
                  <c:v>22.741466311954252</c:v>
                </c:pt>
                <c:pt idx="1130">
                  <c:v>22.851697793435733</c:v>
                </c:pt>
                <c:pt idx="1131">
                  <c:v>22.96192927491721</c:v>
                </c:pt>
                <c:pt idx="1132">
                  <c:v>23.072160756398691</c:v>
                </c:pt>
                <c:pt idx="1133">
                  <c:v>23.182392237880169</c:v>
                </c:pt>
                <c:pt idx="1134">
                  <c:v>23.29262371936165</c:v>
                </c:pt>
                <c:pt idx="1135">
                  <c:v>23.402855200843128</c:v>
                </c:pt>
                <c:pt idx="1136">
                  <c:v>23.513086682324609</c:v>
                </c:pt>
                <c:pt idx="1137">
                  <c:v>23.623318163806086</c:v>
                </c:pt>
                <c:pt idx="1138">
                  <c:v>23.733549645287567</c:v>
                </c:pt>
                <c:pt idx="1139">
                  <c:v>23.843781126769045</c:v>
                </c:pt>
                <c:pt idx="1140">
                  <c:v>23.954012608250526</c:v>
                </c:pt>
                <c:pt idx="1141">
                  <c:v>24.064244089732004</c:v>
                </c:pt>
                <c:pt idx="1142">
                  <c:v>24.174475571213485</c:v>
                </c:pt>
                <c:pt idx="1143">
                  <c:v>24.284707052694962</c:v>
                </c:pt>
                <c:pt idx="1144">
                  <c:v>24.39493853417644</c:v>
                </c:pt>
                <c:pt idx="1145">
                  <c:v>24.505170015657921</c:v>
                </c:pt>
                <c:pt idx="1146">
                  <c:v>24.615401497139398</c:v>
                </c:pt>
                <c:pt idx="1147">
                  <c:v>24.725632978620879</c:v>
                </c:pt>
                <c:pt idx="1148">
                  <c:v>24.835864460102357</c:v>
                </c:pt>
                <c:pt idx="1149">
                  <c:v>24.946095941583838</c:v>
                </c:pt>
                <c:pt idx="1150">
                  <c:v>25.056327423065316</c:v>
                </c:pt>
                <c:pt idx="1151">
                  <c:v>25.166558904546793</c:v>
                </c:pt>
                <c:pt idx="1152">
                  <c:v>25.276790386028274</c:v>
                </c:pt>
                <c:pt idx="1153">
                  <c:v>25.387021867509752</c:v>
                </c:pt>
                <c:pt idx="1154">
                  <c:v>25.497253348991233</c:v>
                </c:pt>
                <c:pt idx="1155">
                  <c:v>25.607484830472711</c:v>
                </c:pt>
                <c:pt idx="1156">
                  <c:v>25.717716311954192</c:v>
                </c:pt>
                <c:pt idx="1157">
                  <c:v>25.827947793435669</c:v>
                </c:pt>
                <c:pt idx="1158">
                  <c:v>25.93817927491715</c:v>
                </c:pt>
                <c:pt idx="1159">
                  <c:v>26.048410756398628</c:v>
                </c:pt>
                <c:pt idx="1160">
                  <c:v>26.158642237880109</c:v>
                </c:pt>
                <c:pt idx="1161">
                  <c:v>26.268873719361586</c:v>
                </c:pt>
                <c:pt idx="1162">
                  <c:v>26.379105200843068</c:v>
                </c:pt>
                <c:pt idx="1163">
                  <c:v>26.489336682324545</c:v>
                </c:pt>
                <c:pt idx="1164">
                  <c:v>26.599568163806026</c:v>
                </c:pt>
                <c:pt idx="1165">
                  <c:v>26.709799645287504</c:v>
                </c:pt>
                <c:pt idx="1166">
                  <c:v>26.820031126768985</c:v>
                </c:pt>
                <c:pt idx="1167">
                  <c:v>26.930262608250466</c:v>
                </c:pt>
                <c:pt idx="1168">
                  <c:v>27.040494089731943</c:v>
                </c:pt>
                <c:pt idx="1169">
                  <c:v>27.150725571213425</c:v>
                </c:pt>
                <c:pt idx="1170">
                  <c:v>27.260957052694902</c:v>
                </c:pt>
                <c:pt idx="1171">
                  <c:v>27.371188534176383</c:v>
                </c:pt>
                <c:pt idx="1172">
                  <c:v>27.481420015657861</c:v>
                </c:pt>
                <c:pt idx="1173">
                  <c:v>27.591651497139342</c:v>
                </c:pt>
                <c:pt idx="1174">
                  <c:v>27.701882978620816</c:v>
                </c:pt>
                <c:pt idx="1175">
                  <c:v>27.8121144601023</c:v>
                </c:pt>
                <c:pt idx="1176">
                  <c:v>27.922345941583774</c:v>
                </c:pt>
                <c:pt idx="1177">
                  <c:v>28.032577423065259</c:v>
                </c:pt>
                <c:pt idx="1178">
                  <c:v>28.142808904546733</c:v>
                </c:pt>
                <c:pt idx="1179">
                  <c:v>28.253040386028218</c:v>
                </c:pt>
                <c:pt idx="1180">
                  <c:v>28.363271867509692</c:v>
                </c:pt>
                <c:pt idx="1181">
                  <c:v>28.473503348991176</c:v>
                </c:pt>
                <c:pt idx="1182">
                  <c:v>28.58373483047265</c:v>
                </c:pt>
                <c:pt idx="1183">
                  <c:v>28.693966311954135</c:v>
                </c:pt>
                <c:pt idx="1184">
                  <c:v>28.804197793435609</c:v>
                </c:pt>
                <c:pt idx="1185">
                  <c:v>28.91442927491709</c:v>
                </c:pt>
                <c:pt idx="1186">
                  <c:v>29.024660756398568</c:v>
                </c:pt>
                <c:pt idx="1187">
                  <c:v>29.134892237880049</c:v>
                </c:pt>
                <c:pt idx="1188">
                  <c:v>29.245123719361526</c:v>
                </c:pt>
                <c:pt idx="1189">
                  <c:v>29.355355200843007</c:v>
                </c:pt>
                <c:pt idx="1190">
                  <c:v>29.465586682324485</c:v>
                </c:pt>
                <c:pt idx="1191">
                  <c:v>29.575818163805966</c:v>
                </c:pt>
                <c:pt idx="1192">
                  <c:v>29.686049645287447</c:v>
                </c:pt>
                <c:pt idx="1193">
                  <c:v>29.796281126768925</c:v>
                </c:pt>
                <c:pt idx="1194">
                  <c:v>29.906512608250406</c:v>
                </c:pt>
                <c:pt idx="1195">
                  <c:v>30.016744089731883</c:v>
                </c:pt>
                <c:pt idx="1196">
                  <c:v>30.126975571213364</c:v>
                </c:pt>
                <c:pt idx="1197">
                  <c:v>30.237207052694842</c:v>
                </c:pt>
                <c:pt idx="1198">
                  <c:v>30.347438534176323</c:v>
                </c:pt>
                <c:pt idx="1199">
                  <c:v>30.457670015657801</c:v>
                </c:pt>
                <c:pt idx="1200">
                  <c:v>30.567901497139282</c:v>
                </c:pt>
                <c:pt idx="1201">
                  <c:v>30.678132978620759</c:v>
                </c:pt>
                <c:pt idx="1202">
                  <c:v>30.78836446010224</c:v>
                </c:pt>
                <c:pt idx="1203">
                  <c:v>30.898595941583718</c:v>
                </c:pt>
                <c:pt idx="1204">
                  <c:v>31.008827423065199</c:v>
                </c:pt>
                <c:pt idx="1205">
                  <c:v>31.119058904546677</c:v>
                </c:pt>
                <c:pt idx="1206">
                  <c:v>31.229290386028158</c:v>
                </c:pt>
                <c:pt idx="1207">
                  <c:v>31.339521867509635</c:v>
                </c:pt>
                <c:pt idx="1208">
                  <c:v>31.449753348991116</c:v>
                </c:pt>
                <c:pt idx="1209">
                  <c:v>31.559984830472594</c:v>
                </c:pt>
                <c:pt idx="1210">
                  <c:v>31.670216311954075</c:v>
                </c:pt>
                <c:pt idx="1211">
                  <c:v>31.780447793435552</c:v>
                </c:pt>
                <c:pt idx="1212">
                  <c:v>31.890679274917034</c:v>
                </c:pt>
                <c:pt idx="1213">
                  <c:v>32.000910756398511</c:v>
                </c:pt>
                <c:pt idx="1214">
                  <c:v>32.111142237879989</c:v>
                </c:pt>
                <c:pt idx="1215">
                  <c:v>32.221373719361466</c:v>
                </c:pt>
                <c:pt idx="1216">
                  <c:v>32.331605200842951</c:v>
                </c:pt>
                <c:pt idx="1217">
                  <c:v>32.441836682324428</c:v>
                </c:pt>
                <c:pt idx="1218">
                  <c:v>32.552068163805906</c:v>
                </c:pt>
                <c:pt idx="1219">
                  <c:v>32.662299645287391</c:v>
                </c:pt>
                <c:pt idx="1220">
                  <c:v>32.772531126768868</c:v>
                </c:pt>
                <c:pt idx="1221">
                  <c:v>32.882762608250346</c:v>
                </c:pt>
                <c:pt idx="1222">
                  <c:v>32.992994089731823</c:v>
                </c:pt>
                <c:pt idx="1223">
                  <c:v>33.103225571213308</c:v>
                </c:pt>
                <c:pt idx="1224">
                  <c:v>33.213457052694785</c:v>
                </c:pt>
                <c:pt idx="1225">
                  <c:v>33.323688534176263</c:v>
                </c:pt>
                <c:pt idx="1226">
                  <c:v>33.433920015657741</c:v>
                </c:pt>
                <c:pt idx="1227">
                  <c:v>33.544151497139225</c:v>
                </c:pt>
                <c:pt idx="1228">
                  <c:v>33.654382978620703</c:v>
                </c:pt>
                <c:pt idx="1229">
                  <c:v>33.76461446010218</c:v>
                </c:pt>
                <c:pt idx="1230">
                  <c:v>33.874845941583658</c:v>
                </c:pt>
                <c:pt idx="1231">
                  <c:v>33.985077423065142</c:v>
                </c:pt>
                <c:pt idx="1232">
                  <c:v>34.09530890454662</c:v>
                </c:pt>
                <c:pt idx="1233">
                  <c:v>34.205540386028098</c:v>
                </c:pt>
                <c:pt idx="1234">
                  <c:v>34.315771867509575</c:v>
                </c:pt>
                <c:pt idx="1235">
                  <c:v>34.42600334899106</c:v>
                </c:pt>
                <c:pt idx="1236">
                  <c:v>34.536234830472537</c:v>
                </c:pt>
                <c:pt idx="1237">
                  <c:v>34.646466311954015</c:v>
                </c:pt>
                <c:pt idx="1238">
                  <c:v>34.756697793435492</c:v>
                </c:pt>
                <c:pt idx="1239">
                  <c:v>34.866929274916977</c:v>
                </c:pt>
                <c:pt idx="1240">
                  <c:v>34.977160756398447</c:v>
                </c:pt>
                <c:pt idx="1241">
                  <c:v>35.087392237879932</c:v>
                </c:pt>
                <c:pt idx="1242">
                  <c:v>35.19762371936141</c:v>
                </c:pt>
                <c:pt idx="1243">
                  <c:v>35.307855200842894</c:v>
                </c:pt>
                <c:pt idx="1244">
                  <c:v>35.418086682324365</c:v>
                </c:pt>
                <c:pt idx="1245">
                  <c:v>35.528318163805849</c:v>
                </c:pt>
                <c:pt idx="1246">
                  <c:v>35.638549645287334</c:v>
                </c:pt>
                <c:pt idx="1247">
                  <c:v>35.748781126768812</c:v>
                </c:pt>
                <c:pt idx="1248">
                  <c:v>35.859012608250289</c:v>
                </c:pt>
                <c:pt idx="1249">
                  <c:v>35.969244089731767</c:v>
                </c:pt>
                <c:pt idx="1250">
                  <c:v>36.079475571213251</c:v>
                </c:pt>
                <c:pt idx="1251">
                  <c:v>36.189707052694722</c:v>
                </c:pt>
                <c:pt idx="1252">
                  <c:v>36.299938534176206</c:v>
                </c:pt>
                <c:pt idx="1253">
                  <c:v>36.410170015657684</c:v>
                </c:pt>
                <c:pt idx="1254">
                  <c:v>36.520401497139169</c:v>
                </c:pt>
                <c:pt idx="1255">
                  <c:v>36.630632978620639</c:v>
                </c:pt>
                <c:pt idx="1256">
                  <c:v>36.740864460102124</c:v>
                </c:pt>
                <c:pt idx="1257">
                  <c:v>36.851095941583601</c:v>
                </c:pt>
                <c:pt idx="1258">
                  <c:v>36.961327423065086</c:v>
                </c:pt>
                <c:pt idx="1259">
                  <c:v>37.071558904546556</c:v>
                </c:pt>
                <c:pt idx="1260">
                  <c:v>37.181790386028041</c:v>
                </c:pt>
                <c:pt idx="1261">
                  <c:v>37.292021867509519</c:v>
                </c:pt>
                <c:pt idx="1262">
                  <c:v>37.402253348990996</c:v>
                </c:pt>
                <c:pt idx="1263">
                  <c:v>37.512484830472474</c:v>
                </c:pt>
                <c:pt idx="1264">
                  <c:v>37.622716311953958</c:v>
                </c:pt>
                <c:pt idx="1265">
                  <c:v>37.732947793435436</c:v>
                </c:pt>
                <c:pt idx="1266">
                  <c:v>37.843179274916913</c:v>
                </c:pt>
                <c:pt idx="1267">
                  <c:v>37.953410756398391</c:v>
                </c:pt>
                <c:pt idx="1268">
                  <c:v>38.063642237879876</c:v>
                </c:pt>
                <c:pt idx="1269">
                  <c:v>38.173873719361353</c:v>
                </c:pt>
                <c:pt idx="1270">
                  <c:v>38.284105200842831</c:v>
                </c:pt>
                <c:pt idx="1271">
                  <c:v>38.394336682324315</c:v>
                </c:pt>
                <c:pt idx="1272">
                  <c:v>38.504568163805793</c:v>
                </c:pt>
                <c:pt idx="1273">
                  <c:v>38.61479964528727</c:v>
                </c:pt>
                <c:pt idx="1274">
                  <c:v>38.725031126768748</c:v>
                </c:pt>
                <c:pt idx="1275">
                  <c:v>38.835262608250233</c:v>
                </c:pt>
                <c:pt idx="1276">
                  <c:v>38.94549408973171</c:v>
                </c:pt>
                <c:pt idx="1277">
                  <c:v>39.055725571213188</c:v>
                </c:pt>
                <c:pt idx="1278">
                  <c:v>39.165957052694665</c:v>
                </c:pt>
                <c:pt idx="1279">
                  <c:v>39.27618853417615</c:v>
                </c:pt>
                <c:pt idx="1280">
                  <c:v>39.386420015657627</c:v>
                </c:pt>
                <c:pt idx="1281">
                  <c:v>39.496651497139105</c:v>
                </c:pt>
                <c:pt idx="1282">
                  <c:v>39.606882978620582</c:v>
                </c:pt>
                <c:pt idx="1283">
                  <c:v>39.717114460102067</c:v>
                </c:pt>
                <c:pt idx="1284">
                  <c:v>39.827345941583545</c:v>
                </c:pt>
                <c:pt idx="1285">
                  <c:v>39.937577423065022</c:v>
                </c:pt>
                <c:pt idx="1286">
                  <c:v>40.0478089045465</c:v>
                </c:pt>
                <c:pt idx="1287">
                  <c:v>40.158040386027984</c:v>
                </c:pt>
                <c:pt idx="1288">
                  <c:v>40.268271867509462</c:v>
                </c:pt>
                <c:pt idx="1289">
                  <c:v>40.37850334899094</c:v>
                </c:pt>
                <c:pt idx="1290">
                  <c:v>40.488734830472417</c:v>
                </c:pt>
                <c:pt idx="1291">
                  <c:v>40.598966311953902</c:v>
                </c:pt>
                <c:pt idx="1292">
                  <c:v>40.709197793435372</c:v>
                </c:pt>
                <c:pt idx="1293">
                  <c:v>40.819429274916857</c:v>
                </c:pt>
                <c:pt idx="1294">
                  <c:v>40.929660756398334</c:v>
                </c:pt>
                <c:pt idx="1295">
                  <c:v>41.039892237879819</c:v>
                </c:pt>
                <c:pt idx="1296">
                  <c:v>41.150123719361289</c:v>
                </c:pt>
                <c:pt idx="1297">
                  <c:v>41.260355200842774</c:v>
                </c:pt>
                <c:pt idx="1298">
                  <c:v>41.370586682324259</c:v>
                </c:pt>
                <c:pt idx="1299">
                  <c:v>41.480818163805736</c:v>
                </c:pt>
                <c:pt idx="1300">
                  <c:v>41.591049645287214</c:v>
                </c:pt>
                <c:pt idx="1301">
                  <c:v>41.701281126768691</c:v>
                </c:pt>
                <c:pt idx="1302">
                  <c:v>41.811512608250176</c:v>
                </c:pt>
                <c:pt idx="1303">
                  <c:v>41.921744089731646</c:v>
                </c:pt>
                <c:pt idx="1304">
                  <c:v>42.031975571213131</c:v>
                </c:pt>
                <c:pt idx="1305">
                  <c:v>42.142207052694609</c:v>
                </c:pt>
                <c:pt idx="1306">
                  <c:v>42.252438534176093</c:v>
                </c:pt>
                <c:pt idx="1307">
                  <c:v>42.362670015657564</c:v>
                </c:pt>
                <c:pt idx="1308">
                  <c:v>42.472901497139048</c:v>
                </c:pt>
                <c:pt idx="1309">
                  <c:v>42.583132978620526</c:v>
                </c:pt>
                <c:pt idx="1310">
                  <c:v>42.693364460102003</c:v>
                </c:pt>
                <c:pt idx="1311">
                  <c:v>42.803595941583481</c:v>
                </c:pt>
                <c:pt idx="1312">
                  <c:v>42.913827423064966</c:v>
                </c:pt>
                <c:pt idx="1313">
                  <c:v>43.024058904546443</c:v>
                </c:pt>
                <c:pt idx="1314">
                  <c:v>43.134290386027921</c:v>
                </c:pt>
                <c:pt idx="1315">
                  <c:v>43.244521867509398</c:v>
                </c:pt>
                <c:pt idx="1316">
                  <c:v>43.354753348990883</c:v>
                </c:pt>
                <c:pt idx="1317">
                  <c:v>43.46498483047236</c:v>
                </c:pt>
                <c:pt idx="1318">
                  <c:v>43.575216311953838</c:v>
                </c:pt>
                <c:pt idx="1319">
                  <c:v>43.685447793435316</c:v>
                </c:pt>
                <c:pt idx="1320">
                  <c:v>43.7956792749168</c:v>
                </c:pt>
                <c:pt idx="1321">
                  <c:v>43.905910756398278</c:v>
                </c:pt>
                <c:pt idx="1322">
                  <c:v>44.016142237879755</c:v>
                </c:pt>
                <c:pt idx="1323">
                  <c:v>44.126373719361233</c:v>
                </c:pt>
                <c:pt idx="1324">
                  <c:v>44.236605200842718</c:v>
                </c:pt>
                <c:pt idx="1325">
                  <c:v>44.346836682324195</c:v>
                </c:pt>
                <c:pt idx="1326">
                  <c:v>44.457068163805673</c:v>
                </c:pt>
                <c:pt idx="1327">
                  <c:v>44.567299645287157</c:v>
                </c:pt>
                <c:pt idx="1328">
                  <c:v>44.677531126768635</c:v>
                </c:pt>
                <c:pt idx="1329">
                  <c:v>44.787762608250112</c:v>
                </c:pt>
                <c:pt idx="1330">
                  <c:v>44.89799408973159</c:v>
                </c:pt>
                <c:pt idx="1331">
                  <c:v>45.008225571213075</c:v>
                </c:pt>
                <c:pt idx="1332">
                  <c:v>45.118457052694552</c:v>
                </c:pt>
                <c:pt idx="1333">
                  <c:v>45.22868853417603</c:v>
                </c:pt>
                <c:pt idx="1334">
                  <c:v>45.338920015657507</c:v>
                </c:pt>
                <c:pt idx="1335">
                  <c:v>45.449151497138992</c:v>
                </c:pt>
                <c:pt idx="1336">
                  <c:v>45.559382978620469</c:v>
                </c:pt>
                <c:pt idx="1337">
                  <c:v>45.669614460101954</c:v>
                </c:pt>
                <c:pt idx="1338">
                  <c:v>45.779845941583439</c:v>
                </c:pt>
                <c:pt idx="1339">
                  <c:v>45.890077423064916</c:v>
                </c:pt>
                <c:pt idx="1340">
                  <c:v>46.000308904546408</c:v>
                </c:pt>
                <c:pt idx="1341">
                  <c:v>46.110540386027886</c:v>
                </c:pt>
                <c:pt idx="1342">
                  <c:v>46.220771867509377</c:v>
                </c:pt>
                <c:pt idx="1343">
                  <c:v>46.331003348990855</c:v>
                </c:pt>
                <c:pt idx="1344">
                  <c:v>46.441234830472339</c:v>
                </c:pt>
                <c:pt idx="1345">
                  <c:v>46.551466311953824</c:v>
                </c:pt>
                <c:pt idx="1346">
                  <c:v>46.661697793435309</c:v>
                </c:pt>
                <c:pt idx="1347">
                  <c:v>46.771929274916793</c:v>
                </c:pt>
                <c:pt idx="1348">
                  <c:v>46.882160756398278</c:v>
                </c:pt>
                <c:pt idx="1349">
                  <c:v>46.992392237879763</c:v>
                </c:pt>
                <c:pt idx="1350">
                  <c:v>47.102623719361247</c:v>
                </c:pt>
                <c:pt idx="1351">
                  <c:v>47.212855200842732</c:v>
                </c:pt>
                <c:pt idx="1352">
                  <c:v>47.323086682324217</c:v>
                </c:pt>
                <c:pt idx="1353">
                  <c:v>47.433318163805701</c:v>
                </c:pt>
                <c:pt idx="1354">
                  <c:v>47.543549645287179</c:v>
                </c:pt>
                <c:pt idx="1355">
                  <c:v>47.653781126768671</c:v>
                </c:pt>
                <c:pt idx="1356">
                  <c:v>47.764012608250148</c:v>
                </c:pt>
                <c:pt idx="1357">
                  <c:v>47.87424408973164</c:v>
                </c:pt>
                <c:pt idx="1358">
                  <c:v>47.984475571213117</c:v>
                </c:pt>
                <c:pt idx="1359">
                  <c:v>48.094707052694602</c:v>
                </c:pt>
                <c:pt idx="1360">
                  <c:v>48.204938534176087</c:v>
                </c:pt>
                <c:pt idx="1361">
                  <c:v>48.315170015657571</c:v>
                </c:pt>
                <c:pt idx="1362">
                  <c:v>48.425401497139056</c:v>
                </c:pt>
                <c:pt idx="1363">
                  <c:v>48.535632978620541</c:v>
                </c:pt>
                <c:pt idx="1364">
                  <c:v>48.645864460102025</c:v>
                </c:pt>
                <c:pt idx="1365">
                  <c:v>48.75609594158351</c:v>
                </c:pt>
                <c:pt idx="1366">
                  <c:v>48.866327423064995</c:v>
                </c:pt>
                <c:pt idx="1367">
                  <c:v>48.976558904546472</c:v>
                </c:pt>
                <c:pt idx="1368">
                  <c:v>49.086790386027964</c:v>
                </c:pt>
                <c:pt idx="1369">
                  <c:v>49.197021867509442</c:v>
                </c:pt>
                <c:pt idx="1370">
                  <c:v>49.307253348990933</c:v>
                </c:pt>
                <c:pt idx="1371">
                  <c:v>49.417484830472411</c:v>
                </c:pt>
                <c:pt idx="1372">
                  <c:v>49.527716311953895</c:v>
                </c:pt>
                <c:pt idx="1373">
                  <c:v>49.63794779343538</c:v>
                </c:pt>
                <c:pt idx="1374">
                  <c:v>49.748179274916865</c:v>
                </c:pt>
                <c:pt idx="1375">
                  <c:v>49.858410756398349</c:v>
                </c:pt>
                <c:pt idx="1376">
                  <c:v>49.968642237879834</c:v>
                </c:pt>
                <c:pt idx="1377">
                  <c:v>50.078873719361319</c:v>
                </c:pt>
                <c:pt idx="1378">
                  <c:v>50.189105200842796</c:v>
                </c:pt>
                <c:pt idx="1379">
                  <c:v>50.299336682324295</c:v>
                </c:pt>
                <c:pt idx="1380">
                  <c:v>50.409568163805773</c:v>
                </c:pt>
                <c:pt idx="1381">
                  <c:v>50.519799645287257</c:v>
                </c:pt>
                <c:pt idx="1382">
                  <c:v>50.630031126768735</c:v>
                </c:pt>
                <c:pt idx="1383">
                  <c:v>50.74026260825022</c:v>
                </c:pt>
                <c:pt idx="1384">
                  <c:v>50.850494089731711</c:v>
                </c:pt>
                <c:pt idx="1385">
                  <c:v>50.960725571213196</c:v>
                </c:pt>
                <c:pt idx="1386">
                  <c:v>51.070957052694673</c:v>
                </c:pt>
                <c:pt idx="1387">
                  <c:v>51.181188534176158</c:v>
                </c:pt>
                <c:pt idx="1388">
                  <c:v>51.291420015657643</c:v>
                </c:pt>
                <c:pt idx="1389">
                  <c:v>51.401651497139135</c:v>
                </c:pt>
                <c:pt idx="1390">
                  <c:v>51.511882978620619</c:v>
                </c:pt>
                <c:pt idx="1391">
                  <c:v>51.622114460102097</c:v>
                </c:pt>
                <c:pt idx="1392">
                  <c:v>51.732345941583581</c:v>
                </c:pt>
                <c:pt idx="1393">
                  <c:v>51.842577423065059</c:v>
                </c:pt>
                <c:pt idx="1394">
                  <c:v>51.952808904546558</c:v>
                </c:pt>
                <c:pt idx="1395">
                  <c:v>52.063040386028035</c:v>
                </c:pt>
                <c:pt idx="1396">
                  <c:v>52.17327186750952</c:v>
                </c:pt>
                <c:pt idx="1397">
                  <c:v>52.283503348990997</c:v>
                </c:pt>
                <c:pt idx="1398">
                  <c:v>52.393734830472482</c:v>
                </c:pt>
                <c:pt idx="1399">
                  <c:v>52.503966311953974</c:v>
                </c:pt>
                <c:pt idx="1400">
                  <c:v>52.614197793435459</c:v>
                </c:pt>
                <c:pt idx="1401">
                  <c:v>52.724429274916943</c:v>
                </c:pt>
                <c:pt idx="1402">
                  <c:v>52.834660756398421</c:v>
                </c:pt>
                <c:pt idx="1403">
                  <c:v>52.944892237879905</c:v>
                </c:pt>
                <c:pt idx="1404">
                  <c:v>53.055123719361397</c:v>
                </c:pt>
                <c:pt idx="1405">
                  <c:v>53.165355200842889</c:v>
                </c:pt>
                <c:pt idx="1406">
                  <c:v>53.275586682324374</c:v>
                </c:pt>
                <c:pt idx="1407">
                  <c:v>53.385818163805851</c:v>
                </c:pt>
                <c:pt idx="1408">
                  <c:v>53.496049645287336</c:v>
                </c:pt>
                <c:pt idx="1409">
                  <c:v>53.60628112676882</c:v>
                </c:pt>
                <c:pt idx="1410">
                  <c:v>53.716512608250312</c:v>
                </c:pt>
                <c:pt idx="1411">
                  <c:v>53.82674408973179</c:v>
                </c:pt>
                <c:pt idx="1412">
                  <c:v>53.936975571213274</c:v>
                </c:pt>
                <c:pt idx="1413">
                  <c:v>54.047207052694759</c:v>
                </c:pt>
                <c:pt idx="1414">
                  <c:v>54.157438534176237</c:v>
                </c:pt>
                <c:pt idx="1415">
                  <c:v>54.267670015657728</c:v>
                </c:pt>
                <c:pt idx="1416">
                  <c:v>54.377901497139213</c:v>
                </c:pt>
                <c:pt idx="1417">
                  <c:v>54.488132978620698</c:v>
                </c:pt>
                <c:pt idx="1418">
                  <c:v>54.598364460102175</c:v>
                </c:pt>
                <c:pt idx="1419">
                  <c:v>54.70859594158366</c:v>
                </c:pt>
                <c:pt idx="1420">
                  <c:v>54.818827423065152</c:v>
                </c:pt>
                <c:pt idx="1421">
                  <c:v>54.929058904546636</c:v>
                </c:pt>
                <c:pt idx="1422">
                  <c:v>55.039290386028114</c:v>
                </c:pt>
                <c:pt idx="1423">
                  <c:v>55.149521867509598</c:v>
                </c:pt>
                <c:pt idx="1424">
                  <c:v>55.259753348991083</c:v>
                </c:pt>
                <c:pt idx="1425">
                  <c:v>55.369984830472575</c:v>
                </c:pt>
                <c:pt idx="1426">
                  <c:v>55.480216311954052</c:v>
                </c:pt>
                <c:pt idx="1427">
                  <c:v>55.590447793435537</c:v>
                </c:pt>
                <c:pt idx="1428">
                  <c:v>55.700679274917022</c:v>
                </c:pt>
                <c:pt idx="1429">
                  <c:v>55.810910756398499</c:v>
                </c:pt>
                <c:pt idx="1430">
                  <c:v>55.921142237879998</c:v>
                </c:pt>
                <c:pt idx="1431">
                  <c:v>56.031373719361476</c:v>
                </c:pt>
                <c:pt idx="1432">
                  <c:v>56.14160520084296</c:v>
                </c:pt>
                <c:pt idx="1433">
                  <c:v>56.251836682324438</c:v>
                </c:pt>
                <c:pt idx="1434">
                  <c:v>56.362068163805922</c:v>
                </c:pt>
                <c:pt idx="1435">
                  <c:v>56.472299645287414</c:v>
                </c:pt>
                <c:pt idx="1436">
                  <c:v>56.582531126768899</c:v>
                </c:pt>
                <c:pt idx="1437">
                  <c:v>56.692762608250376</c:v>
                </c:pt>
                <c:pt idx="1438">
                  <c:v>56.802994089731861</c:v>
                </c:pt>
                <c:pt idx="1439">
                  <c:v>56.913225571213346</c:v>
                </c:pt>
                <c:pt idx="1440">
                  <c:v>57.023457052694837</c:v>
                </c:pt>
                <c:pt idx="1441">
                  <c:v>57.133688534176322</c:v>
                </c:pt>
                <c:pt idx="1442">
                  <c:v>57.2439200156578</c:v>
                </c:pt>
                <c:pt idx="1443">
                  <c:v>57.354151497139284</c:v>
                </c:pt>
                <c:pt idx="1444">
                  <c:v>57.464382978620762</c:v>
                </c:pt>
                <c:pt idx="1445">
                  <c:v>57.574614460102261</c:v>
                </c:pt>
                <c:pt idx="1446">
                  <c:v>57.684845941583752</c:v>
                </c:pt>
                <c:pt idx="1447">
                  <c:v>57.79507742306523</c:v>
                </c:pt>
                <c:pt idx="1448">
                  <c:v>57.905308904546715</c:v>
                </c:pt>
                <c:pt idx="1449">
                  <c:v>58.015540386028199</c:v>
                </c:pt>
                <c:pt idx="1450">
                  <c:v>58.125771867509677</c:v>
                </c:pt>
                <c:pt idx="1451">
                  <c:v>58.236003348991176</c:v>
                </c:pt>
                <c:pt idx="1452">
                  <c:v>58.346234830472653</c:v>
                </c:pt>
                <c:pt idx="1453">
                  <c:v>58.456466311954138</c:v>
                </c:pt>
                <c:pt idx="1454">
                  <c:v>58.566697793435615</c:v>
                </c:pt>
                <c:pt idx="1455">
                  <c:v>58.6769292749171</c:v>
                </c:pt>
                <c:pt idx="1456">
                  <c:v>58.787160756398592</c:v>
                </c:pt>
                <c:pt idx="1457">
                  <c:v>58.897392237880076</c:v>
                </c:pt>
                <c:pt idx="1458">
                  <c:v>59.007623719361554</c:v>
                </c:pt>
                <c:pt idx="1459">
                  <c:v>59.117855200843039</c:v>
                </c:pt>
                <c:pt idx="1460">
                  <c:v>59.228086682324523</c:v>
                </c:pt>
                <c:pt idx="1461">
                  <c:v>59.338318163806015</c:v>
                </c:pt>
                <c:pt idx="1462">
                  <c:v>59.4485496452875</c:v>
                </c:pt>
                <c:pt idx="1463">
                  <c:v>59.558781126768977</c:v>
                </c:pt>
                <c:pt idx="1464">
                  <c:v>59.669012608250462</c:v>
                </c:pt>
                <c:pt idx="1465">
                  <c:v>59.779244089731939</c:v>
                </c:pt>
                <c:pt idx="1466">
                  <c:v>59.889475571213438</c:v>
                </c:pt>
                <c:pt idx="1467">
                  <c:v>59.999707052694916</c:v>
                </c:pt>
                <c:pt idx="1468">
                  <c:v>60.109938534176401</c:v>
                </c:pt>
                <c:pt idx="1469">
                  <c:v>60.220170015657878</c:v>
                </c:pt>
                <c:pt idx="1470">
                  <c:v>60.330401497139363</c:v>
                </c:pt>
                <c:pt idx="1471">
                  <c:v>60.440632978620854</c:v>
                </c:pt>
                <c:pt idx="1472">
                  <c:v>60.550864460102339</c:v>
                </c:pt>
                <c:pt idx="1473">
                  <c:v>60.661095941583824</c:v>
                </c:pt>
                <c:pt idx="1474">
                  <c:v>60.771327423065301</c:v>
                </c:pt>
                <c:pt idx="1475">
                  <c:v>60.881558904546786</c:v>
                </c:pt>
                <c:pt idx="1476">
                  <c:v>60.991790386028278</c:v>
                </c:pt>
                <c:pt idx="1477">
                  <c:v>61.102021867509762</c:v>
                </c:pt>
                <c:pt idx="1478">
                  <c:v>61.21225334899124</c:v>
                </c:pt>
                <c:pt idx="1479">
                  <c:v>61.322484830472725</c:v>
                </c:pt>
                <c:pt idx="1480">
                  <c:v>61.432716311954202</c:v>
                </c:pt>
                <c:pt idx="1481">
                  <c:v>61.542947793435701</c:v>
                </c:pt>
                <c:pt idx="1482">
                  <c:v>61.653179274917179</c:v>
                </c:pt>
                <c:pt idx="1483">
                  <c:v>61.763410756398663</c:v>
                </c:pt>
                <c:pt idx="1484">
                  <c:v>61.873642237880148</c:v>
                </c:pt>
                <c:pt idx="1485">
                  <c:v>61.983873719361625</c:v>
                </c:pt>
                <c:pt idx="1486">
                  <c:v>62.094105200843117</c:v>
                </c:pt>
                <c:pt idx="1487">
                  <c:v>62.204336682324609</c:v>
                </c:pt>
                <c:pt idx="1488">
                  <c:v>62.314568163806094</c:v>
                </c:pt>
                <c:pt idx="1489">
                  <c:v>62.424799645287578</c:v>
                </c:pt>
                <c:pt idx="1490">
                  <c:v>62.535031126769056</c:v>
                </c:pt>
                <c:pt idx="1491">
                  <c:v>62.64526260825054</c:v>
                </c:pt>
                <c:pt idx="1492">
                  <c:v>62.755494089732032</c:v>
                </c:pt>
                <c:pt idx="1493">
                  <c:v>62.865725571213517</c:v>
                </c:pt>
                <c:pt idx="1494">
                  <c:v>62.975957052694994</c:v>
                </c:pt>
                <c:pt idx="1495">
                  <c:v>63.086188534176479</c:v>
                </c:pt>
                <c:pt idx="1496">
                  <c:v>63.196420015657964</c:v>
                </c:pt>
                <c:pt idx="1497">
                  <c:v>63.306651497139455</c:v>
                </c:pt>
                <c:pt idx="1498">
                  <c:v>63.416882978620933</c:v>
                </c:pt>
                <c:pt idx="1499">
                  <c:v>63.527114460102418</c:v>
                </c:pt>
                <c:pt idx="1500">
                  <c:v>63.637345941583902</c:v>
                </c:pt>
                <c:pt idx="1501">
                  <c:v>63.74757742306538</c:v>
                </c:pt>
                <c:pt idx="1502">
                  <c:v>63.857808904546879</c:v>
                </c:pt>
                <c:pt idx="1503">
                  <c:v>63.968040386028356</c:v>
                </c:pt>
                <c:pt idx="1504">
                  <c:v>64.078271867509841</c:v>
                </c:pt>
                <c:pt idx="1505">
                  <c:v>64.188503348991318</c:v>
                </c:pt>
                <c:pt idx="1506">
                  <c:v>64.29873483047281</c:v>
                </c:pt>
                <c:pt idx="1507">
                  <c:v>64.408966311954302</c:v>
                </c:pt>
                <c:pt idx="1508">
                  <c:v>64.519197793435779</c:v>
                </c:pt>
                <c:pt idx="1509">
                  <c:v>64.629429274917257</c:v>
                </c:pt>
                <c:pt idx="1510">
                  <c:v>64.739660756398749</c:v>
                </c:pt>
                <c:pt idx="1511">
                  <c:v>64.849892237880226</c:v>
                </c:pt>
                <c:pt idx="1512">
                  <c:v>64.960123719361718</c:v>
                </c:pt>
                <c:pt idx="1513">
                  <c:v>65.070355200843196</c:v>
                </c:pt>
                <c:pt idx="1514">
                  <c:v>65.180586682324687</c:v>
                </c:pt>
                <c:pt idx="1515">
                  <c:v>65.290818163806165</c:v>
                </c:pt>
                <c:pt idx="1516">
                  <c:v>65.401049645287642</c:v>
                </c:pt>
                <c:pt idx="1517">
                  <c:v>65.511281126769134</c:v>
                </c:pt>
                <c:pt idx="1518">
                  <c:v>65.621512608250626</c:v>
                </c:pt>
                <c:pt idx="1519">
                  <c:v>65.731744089732103</c:v>
                </c:pt>
                <c:pt idx="1520">
                  <c:v>65.841975571213581</c:v>
                </c:pt>
                <c:pt idx="1521">
                  <c:v>65.952207052695073</c:v>
                </c:pt>
                <c:pt idx="1522">
                  <c:v>66.062438534176565</c:v>
                </c:pt>
                <c:pt idx="1523">
                  <c:v>66.172670015658042</c:v>
                </c:pt>
                <c:pt idx="1524">
                  <c:v>66.28290149713952</c:v>
                </c:pt>
                <c:pt idx="1525">
                  <c:v>66.393132978621011</c:v>
                </c:pt>
                <c:pt idx="1526">
                  <c:v>66.503364460102489</c:v>
                </c:pt>
                <c:pt idx="1527">
                  <c:v>66.613595941583981</c:v>
                </c:pt>
                <c:pt idx="1528">
                  <c:v>66.723827423065472</c:v>
                </c:pt>
                <c:pt idx="1529">
                  <c:v>66.83405890454695</c:v>
                </c:pt>
                <c:pt idx="1530">
                  <c:v>66.944290386028442</c:v>
                </c:pt>
                <c:pt idx="1531">
                  <c:v>67.054521867509919</c:v>
                </c:pt>
                <c:pt idx="1532">
                  <c:v>67.164753348991397</c:v>
                </c:pt>
                <c:pt idx="1533">
                  <c:v>67.274984830472889</c:v>
                </c:pt>
                <c:pt idx="1534">
                  <c:v>67.38521631195438</c:v>
                </c:pt>
                <c:pt idx="1535">
                  <c:v>67.495447793435858</c:v>
                </c:pt>
                <c:pt idx="1536">
                  <c:v>67.605679274917335</c:v>
                </c:pt>
                <c:pt idx="1537">
                  <c:v>67.715910756398827</c:v>
                </c:pt>
                <c:pt idx="1538">
                  <c:v>67.826142237880319</c:v>
                </c:pt>
                <c:pt idx="1539">
                  <c:v>67.936373719361796</c:v>
                </c:pt>
                <c:pt idx="1540">
                  <c:v>68.046605200843274</c:v>
                </c:pt>
                <c:pt idx="1541">
                  <c:v>68.156836682324766</c:v>
                </c:pt>
                <c:pt idx="1542">
                  <c:v>68.267068163806243</c:v>
                </c:pt>
                <c:pt idx="1543">
                  <c:v>68.377299645287735</c:v>
                </c:pt>
                <c:pt idx="1544">
                  <c:v>68.487531126769213</c:v>
                </c:pt>
                <c:pt idx="1545">
                  <c:v>68.597762608250704</c:v>
                </c:pt>
                <c:pt idx="1546">
                  <c:v>68.707994089732182</c:v>
                </c:pt>
                <c:pt idx="1547">
                  <c:v>68.818225571213659</c:v>
                </c:pt>
                <c:pt idx="1548">
                  <c:v>68.928457052695151</c:v>
                </c:pt>
                <c:pt idx="1549">
                  <c:v>69.038688534176643</c:v>
                </c:pt>
                <c:pt idx="1550">
                  <c:v>69.148920015658121</c:v>
                </c:pt>
                <c:pt idx="1551">
                  <c:v>69.259151497139598</c:v>
                </c:pt>
                <c:pt idx="1552">
                  <c:v>69.36938297862109</c:v>
                </c:pt>
                <c:pt idx="1553">
                  <c:v>69.479614460102582</c:v>
                </c:pt>
                <c:pt idx="1554">
                  <c:v>69.589845941584059</c:v>
                </c:pt>
                <c:pt idx="1555">
                  <c:v>69.700077423065537</c:v>
                </c:pt>
                <c:pt idx="1556">
                  <c:v>69.810308904547028</c:v>
                </c:pt>
                <c:pt idx="1557">
                  <c:v>69.920540386028506</c:v>
                </c:pt>
                <c:pt idx="1558">
                  <c:v>70.030771867509998</c:v>
                </c:pt>
                <c:pt idx="1559">
                  <c:v>70.141003348991475</c:v>
                </c:pt>
                <c:pt idx="1560">
                  <c:v>70.251234830472967</c:v>
                </c:pt>
                <c:pt idx="1561">
                  <c:v>70.361466311954445</c:v>
                </c:pt>
                <c:pt idx="1562">
                  <c:v>70.471697793435922</c:v>
                </c:pt>
                <c:pt idx="1563">
                  <c:v>70.581929274917428</c:v>
                </c:pt>
                <c:pt idx="1564">
                  <c:v>70.692160756398906</c:v>
                </c:pt>
                <c:pt idx="1565">
                  <c:v>70.802392237880383</c:v>
                </c:pt>
                <c:pt idx="1566">
                  <c:v>70.912623719361861</c:v>
                </c:pt>
                <c:pt idx="1567">
                  <c:v>71.022855200843352</c:v>
                </c:pt>
                <c:pt idx="1568">
                  <c:v>71.133086682324844</c:v>
                </c:pt>
                <c:pt idx="1569">
                  <c:v>71.243318163806322</c:v>
                </c:pt>
                <c:pt idx="1570">
                  <c:v>71.353549645287799</c:v>
                </c:pt>
                <c:pt idx="1571">
                  <c:v>71.463781126769291</c:v>
                </c:pt>
                <c:pt idx="1572">
                  <c:v>71.574012608250769</c:v>
                </c:pt>
                <c:pt idx="1573">
                  <c:v>71.68424408973226</c:v>
                </c:pt>
                <c:pt idx="1574">
                  <c:v>71.794475571213752</c:v>
                </c:pt>
                <c:pt idx="1575">
                  <c:v>71.904707052695244</c:v>
                </c:pt>
                <c:pt idx="1576">
                  <c:v>72.014938534176721</c:v>
                </c:pt>
                <c:pt idx="1577">
                  <c:v>72.125170015658199</c:v>
                </c:pt>
                <c:pt idx="1578">
                  <c:v>72.235401497139691</c:v>
                </c:pt>
                <c:pt idx="1579">
                  <c:v>72.345632978621182</c:v>
                </c:pt>
                <c:pt idx="1580">
                  <c:v>72.45586446010266</c:v>
                </c:pt>
                <c:pt idx="1581">
                  <c:v>72.566095941584138</c:v>
                </c:pt>
                <c:pt idx="1582">
                  <c:v>72.676327423065629</c:v>
                </c:pt>
                <c:pt idx="1583">
                  <c:v>72.786558904547107</c:v>
                </c:pt>
                <c:pt idx="1584">
                  <c:v>72.896790386028599</c:v>
                </c:pt>
                <c:pt idx="1585">
                  <c:v>73.007021867510076</c:v>
                </c:pt>
                <c:pt idx="1586">
                  <c:v>73.117253348991568</c:v>
                </c:pt>
                <c:pt idx="1587">
                  <c:v>73.227484830473045</c:v>
                </c:pt>
                <c:pt idx="1588">
                  <c:v>73.337716311954523</c:v>
                </c:pt>
                <c:pt idx="1589">
                  <c:v>73.447947793436015</c:v>
                </c:pt>
                <c:pt idx="1590">
                  <c:v>73.558179274917507</c:v>
                </c:pt>
                <c:pt idx="1591">
                  <c:v>73.668410756398984</c:v>
                </c:pt>
                <c:pt idx="1592">
                  <c:v>73.778642237880462</c:v>
                </c:pt>
                <c:pt idx="1593">
                  <c:v>73.888873719361953</c:v>
                </c:pt>
                <c:pt idx="1594">
                  <c:v>73.999105200843445</c:v>
                </c:pt>
                <c:pt idx="1595">
                  <c:v>74.109336682324923</c:v>
                </c:pt>
                <c:pt idx="1596">
                  <c:v>74.2195681638064</c:v>
                </c:pt>
                <c:pt idx="1597">
                  <c:v>74.329799645287892</c:v>
                </c:pt>
                <c:pt idx="1598">
                  <c:v>74.44003112676937</c:v>
                </c:pt>
                <c:pt idx="1599">
                  <c:v>74.550262608250861</c:v>
                </c:pt>
                <c:pt idx="1600">
                  <c:v>74.660494089732339</c:v>
                </c:pt>
                <c:pt idx="1601">
                  <c:v>74.770725571213831</c:v>
                </c:pt>
                <c:pt idx="1602">
                  <c:v>74.880957052695308</c:v>
                </c:pt>
                <c:pt idx="1603">
                  <c:v>74.991188534176786</c:v>
                </c:pt>
                <c:pt idx="1604">
                  <c:v>75.101420015658277</c:v>
                </c:pt>
                <c:pt idx="1605">
                  <c:v>75.211651497139769</c:v>
                </c:pt>
                <c:pt idx="1606">
                  <c:v>75.321882978621247</c:v>
                </c:pt>
                <c:pt idx="1607">
                  <c:v>75.432114460102724</c:v>
                </c:pt>
                <c:pt idx="1608">
                  <c:v>75.542345941584216</c:v>
                </c:pt>
                <c:pt idx="1609">
                  <c:v>75.652577423065708</c:v>
                </c:pt>
                <c:pt idx="1610">
                  <c:v>75.762808904547185</c:v>
                </c:pt>
                <c:pt idx="1611">
                  <c:v>75.873040386028663</c:v>
                </c:pt>
                <c:pt idx="1612">
                  <c:v>75.983271867510155</c:v>
                </c:pt>
                <c:pt idx="1613">
                  <c:v>76.093503348991632</c:v>
                </c:pt>
                <c:pt idx="1614">
                  <c:v>76.203734830473124</c:v>
                </c:pt>
                <c:pt idx="1615">
                  <c:v>76.313966311954616</c:v>
                </c:pt>
                <c:pt idx="1616">
                  <c:v>76.424197793436093</c:v>
                </c:pt>
                <c:pt idx="1617">
                  <c:v>76.534429274917585</c:v>
                </c:pt>
                <c:pt idx="1618">
                  <c:v>76.644660756399063</c:v>
                </c:pt>
                <c:pt idx="1619">
                  <c:v>76.75489223788054</c:v>
                </c:pt>
                <c:pt idx="1620">
                  <c:v>76.865123719362032</c:v>
                </c:pt>
                <c:pt idx="1621">
                  <c:v>76.975355200843524</c:v>
                </c:pt>
                <c:pt idx="1622">
                  <c:v>77.085586682325001</c:v>
                </c:pt>
                <c:pt idx="1623">
                  <c:v>77.195818163806479</c:v>
                </c:pt>
                <c:pt idx="1624">
                  <c:v>77.30604964528797</c:v>
                </c:pt>
                <c:pt idx="1625">
                  <c:v>77.416281126769462</c:v>
                </c:pt>
                <c:pt idx="1626">
                  <c:v>77.52651260825094</c:v>
                </c:pt>
                <c:pt idx="1627">
                  <c:v>77.636744089732417</c:v>
                </c:pt>
                <c:pt idx="1628">
                  <c:v>77.746975571213909</c:v>
                </c:pt>
                <c:pt idx="1629">
                  <c:v>77.857207052695387</c:v>
                </c:pt>
                <c:pt idx="1630">
                  <c:v>77.967438534176878</c:v>
                </c:pt>
                <c:pt idx="1631">
                  <c:v>78.077670015658356</c:v>
                </c:pt>
                <c:pt idx="1632">
                  <c:v>78.187901497139848</c:v>
                </c:pt>
                <c:pt idx="1633">
                  <c:v>78.298132978621325</c:v>
                </c:pt>
                <c:pt idx="1634">
                  <c:v>78.408364460102803</c:v>
                </c:pt>
                <c:pt idx="1635">
                  <c:v>78.518595941584294</c:v>
                </c:pt>
                <c:pt idx="1636">
                  <c:v>78.628827423065786</c:v>
                </c:pt>
                <c:pt idx="1637">
                  <c:v>78.739058904547264</c:v>
                </c:pt>
                <c:pt idx="1638">
                  <c:v>78.849290386028741</c:v>
                </c:pt>
                <c:pt idx="1639">
                  <c:v>78.959521867510233</c:v>
                </c:pt>
                <c:pt idx="1640">
                  <c:v>79.069753348991725</c:v>
                </c:pt>
                <c:pt idx="1641">
                  <c:v>79.179984830473202</c:v>
                </c:pt>
                <c:pt idx="1642">
                  <c:v>79.29021631195468</c:v>
                </c:pt>
                <c:pt idx="1643">
                  <c:v>79.400447793436172</c:v>
                </c:pt>
                <c:pt idx="1644">
                  <c:v>79.510679274917649</c:v>
                </c:pt>
                <c:pt idx="1645">
                  <c:v>79.620910756399141</c:v>
                </c:pt>
                <c:pt idx="1646">
                  <c:v>79.731142237880618</c:v>
                </c:pt>
                <c:pt idx="1647">
                  <c:v>79.84137371936211</c:v>
                </c:pt>
                <c:pt idx="1648">
                  <c:v>79.951605200843588</c:v>
                </c:pt>
                <c:pt idx="1649">
                  <c:v>80.061836682325065</c:v>
                </c:pt>
                <c:pt idx="1650">
                  <c:v>80.172068163806571</c:v>
                </c:pt>
                <c:pt idx="1651">
                  <c:v>80.282299645288049</c:v>
                </c:pt>
                <c:pt idx="1652">
                  <c:v>80.392531126769526</c:v>
                </c:pt>
                <c:pt idx="1653">
                  <c:v>80.502762608251004</c:v>
                </c:pt>
                <c:pt idx="1654">
                  <c:v>80.612994089732496</c:v>
                </c:pt>
                <c:pt idx="1655">
                  <c:v>80.723225571213987</c:v>
                </c:pt>
                <c:pt idx="1656">
                  <c:v>80.833457052695479</c:v>
                </c:pt>
                <c:pt idx="1657">
                  <c:v>80.943688534176957</c:v>
                </c:pt>
                <c:pt idx="1658">
                  <c:v>81.053920015658449</c:v>
                </c:pt>
                <c:pt idx="1659">
                  <c:v>81.164151497139926</c:v>
                </c:pt>
                <c:pt idx="1660">
                  <c:v>81.274382978621404</c:v>
                </c:pt>
                <c:pt idx="1661">
                  <c:v>81.384614460102895</c:v>
                </c:pt>
                <c:pt idx="1662">
                  <c:v>81.494845941584387</c:v>
                </c:pt>
                <c:pt idx="1663">
                  <c:v>81.605077423065865</c:v>
                </c:pt>
                <c:pt idx="1664">
                  <c:v>81.715308904547342</c:v>
                </c:pt>
                <c:pt idx="1665">
                  <c:v>81.825540386028834</c:v>
                </c:pt>
                <c:pt idx="1666">
                  <c:v>81.935771867510326</c:v>
                </c:pt>
                <c:pt idx="1667">
                  <c:v>82.046003348991803</c:v>
                </c:pt>
                <c:pt idx="1668">
                  <c:v>82.156234830473281</c:v>
                </c:pt>
                <c:pt idx="1669">
                  <c:v>82.266466311954773</c:v>
                </c:pt>
                <c:pt idx="1670">
                  <c:v>82.37669779343625</c:v>
                </c:pt>
                <c:pt idx="1671">
                  <c:v>82.486929274917742</c:v>
                </c:pt>
                <c:pt idx="1672">
                  <c:v>82.597160756399219</c:v>
                </c:pt>
                <c:pt idx="1673">
                  <c:v>82.707392237880711</c:v>
                </c:pt>
                <c:pt idx="1674">
                  <c:v>82.817623719362189</c:v>
                </c:pt>
                <c:pt idx="1675">
                  <c:v>82.927855200843666</c:v>
                </c:pt>
                <c:pt idx="1676">
                  <c:v>83.038086682325158</c:v>
                </c:pt>
                <c:pt idx="1677">
                  <c:v>83.14831816380665</c:v>
                </c:pt>
                <c:pt idx="1678">
                  <c:v>83.258549645288127</c:v>
                </c:pt>
                <c:pt idx="1679">
                  <c:v>83.368781126769605</c:v>
                </c:pt>
                <c:pt idx="1680">
                  <c:v>83.479012608251097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8A-4402-8955-F1EF493F0078}"/>
            </c:ext>
          </c:extLst>
        </c:ser>
        <c:ser>
          <c:idx val="1"/>
          <c:order val="2"/>
          <c:tx>
            <c:v>IntConc - 1</c:v>
          </c:tx>
          <c:spPr>
            <a:ln w="254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Calculations!$BA$9:$BA$1689</c:f>
              <c:numCache>
                <c:formatCode>General</c:formatCode>
                <c:ptCount val="1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8A-4402-8955-F1EF493F0078}"/>
            </c:ext>
          </c:extLst>
        </c:ser>
        <c:ser>
          <c:idx val="5"/>
          <c:order val="3"/>
          <c:tx>
            <c:v>TAC - 2</c:v>
          </c:tx>
          <c:spPr>
            <a:ln w="254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Calculations!$AY$5:$AY$6</c:f>
              <c:numCache>
                <c:formatCode>General</c:formatCode>
                <c:ptCount val="2"/>
                <c:pt idx="0">
                  <c:v>0</c:v>
                </c:pt>
                <c:pt idx="1">
                  <c:v>168</c:v>
                </c:pt>
              </c:numCache>
            </c:numRef>
          </c:xVal>
          <c:yVal>
            <c:numRef>
              <c:f>Calculations!$BD$5:$BD$6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8A-4402-8955-F1EF493F0078}"/>
            </c:ext>
          </c:extLst>
        </c:ser>
        <c:ser>
          <c:idx val="3"/>
          <c:order val="4"/>
          <c:tx>
            <c:v>ExtConc - 2</c:v>
          </c:tx>
          <c:spPr>
            <a:ln w="381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Calculations!$BD$9:$BD$1689</c:f>
              <c:numCache>
                <c:formatCode>General</c:formatCode>
                <c:ptCount val="1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8A-4402-8955-F1EF493F0078}"/>
            </c:ext>
          </c:extLst>
        </c:ser>
        <c:ser>
          <c:idx val="4"/>
          <c:order val="5"/>
          <c:tx>
            <c:v>IntConc - 2</c:v>
          </c:tx>
          <c:spPr>
            <a:ln w="254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Calculations!$BE$9:$BE$1689</c:f>
              <c:numCache>
                <c:formatCode>General</c:formatCode>
                <c:ptCount val="1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98A-4402-8955-F1EF493F0078}"/>
            </c:ext>
          </c:extLst>
        </c:ser>
        <c:ser>
          <c:idx val="6"/>
          <c:order val="6"/>
          <c:tx>
            <c:v>TAC - 3</c:v>
          </c:tx>
          <c:spPr>
            <a:ln w="25400">
              <a:solidFill>
                <a:srgbClr val="1FB714"/>
              </a:solidFill>
              <a:prstDash val="lgDash"/>
            </a:ln>
          </c:spPr>
          <c:marker>
            <c:symbol val="none"/>
          </c:marker>
          <c:xVal>
            <c:numRef>
              <c:f>Calculations!$AY$5:$AY$6</c:f>
              <c:numCache>
                <c:formatCode>General</c:formatCode>
                <c:ptCount val="2"/>
                <c:pt idx="0">
                  <c:v>0</c:v>
                </c:pt>
                <c:pt idx="1">
                  <c:v>168</c:v>
                </c:pt>
              </c:numCache>
            </c:numRef>
          </c:xVal>
          <c:yVal>
            <c:numRef>
              <c:f>Calculations!$BH$5:$BH$6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8A-4402-8955-F1EF493F0078}"/>
            </c:ext>
          </c:extLst>
        </c:ser>
        <c:ser>
          <c:idx val="7"/>
          <c:order val="7"/>
          <c:tx>
            <c:v>ExtConc - 3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Calculations!$BH$9:$BH$1689</c:f>
              <c:numCache>
                <c:formatCode>General</c:formatCode>
                <c:ptCount val="1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98A-4402-8955-F1EF493F0078}"/>
            </c:ext>
          </c:extLst>
        </c:ser>
        <c:ser>
          <c:idx val="8"/>
          <c:order val="8"/>
          <c:tx>
            <c:v>IntConc - 3</c:v>
          </c:tx>
          <c:spPr>
            <a:ln w="254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Calculations!$BI$9:$BI$1689</c:f>
              <c:numCache>
                <c:formatCode>General</c:formatCode>
                <c:ptCount val="1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8A-4402-8955-F1EF493F0078}"/>
            </c:ext>
          </c:extLst>
        </c:ser>
        <c:ser>
          <c:idx val="9"/>
          <c:order val="9"/>
          <c:tx>
            <c:v>TAC - 4</c:v>
          </c:tx>
          <c:spPr>
            <a:ln w="25400">
              <a:solidFill>
                <a:srgbClr val="DD0806"/>
              </a:solidFill>
              <a:prstDash val="lgDash"/>
            </a:ln>
          </c:spPr>
          <c:marker>
            <c:symbol val="none"/>
          </c:marker>
          <c:xVal>
            <c:numRef>
              <c:f>Calculations!$AY$5:$AY$6</c:f>
              <c:numCache>
                <c:formatCode>General</c:formatCode>
                <c:ptCount val="2"/>
                <c:pt idx="0">
                  <c:v>0</c:v>
                </c:pt>
                <c:pt idx="1">
                  <c:v>168</c:v>
                </c:pt>
              </c:numCache>
            </c:numRef>
          </c:xVal>
          <c:yVal>
            <c:numRef>
              <c:f>Calculations!$BL$5:$BL$6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98A-4402-8955-F1EF493F0078}"/>
            </c:ext>
          </c:extLst>
        </c:ser>
        <c:ser>
          <c:idx val="10"/>
          <c:order val="10"/>
          <c:tx>
            <c:v>ExtConc - 4</c:v>
          </c:tx>
          <c:spPr>
            <a:ln w="381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Calculations!$BL$9:$BL$1689</c:f>
              <c:numCache>
                <c:formatCode>General</c:formatCode>
                <c:ptCount val="1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8A-4402-8955-F1EF493F0078}"/>
            </c:ext>
          </c:extLst>
        </c:ser>
        <c:ser>
          <c:idx val="11"/>
          <c:order val="11"/>
          <c:tx>
            <c:v>IntConc - 4</c:v>
          </c:tx>
          <c:spPr>
            <a:ln w="254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Calculations!$BM$9:$BM$1689</c:f>
              <c:numCache>
                <c:formatCode>General</c:formatCode>
                <c:ptCount val="1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98A-4402-8955-F1EF493F0078}"/>
            </c:ext>
          </c:extLst>
        </c:ser>
        <c:ser>
          <c:idx val="12"/>
          <c:order val="12"/>
          <c:tx>
            <c:v>TAC - 5</c:v>
          </c:tx>
          <c:spPr>
            <a:ln w="254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Calculations!$AY$5:$AY$6</c:f>
              <c:numCache>
                <c:formatCode>General</c:formatCode>
                <c:ptCount val="2"/>
                <c:pt idx="0">
                  <c:v>0</c:v>
                </c:pt>
                <c:pt idx="1">
                  <c:v>168</c:v>
                </c:pt>
              </c:numCache>
            </c:numRef>
          </c:xVal>
          <c:yVal>
            <c:numRef>
              <c:f>Calculations!$BP$5:$BP$6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98A-4402-8955-F1EF493F0078}"/>
            </c:ext>
          </c:extLst>
        </c:ser>
        <c:ser>
          <c:idx val="14"/>
          <c:order val="13"/>
          <c:tx>
            <c:v>ExtConc - 5</c:v>
          </c:tx>
          <c:spPr>
            <a:ln w="381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Calculations!$BP$9:$BP$1689</c:f>
              <c:numCache>
                <c:formatCode>General</c:formatCode>
                <c:ptCount val="1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98A-4402-8955-F1EF493F0078}"/>
            </c:ext>
          </c:extLst>
        </c:ser>
        <c:ser>
          <c:idx val="13"/>
          <c:order val="14"/>
          <c:tx>
            <c:v>IntConc - 5</c:v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Calculations!$BQ$9:$BQ$1689</c:f>
              <c:numCache>
                <c:formatCode>General</c:formatCode>
                <c:ptCount val="16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98A-4402-8955-F1EF493F0078}"/>
            </c:ext>
          </c:extLst>
        </c:ser>
        <c:ser>
          <c:idx val="15"/>
          <c:order val="15"/>
          <c:tx>
            <c:v>ExtVol - 1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8064A2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Calculations!$BB$9:$BB$1689</c:f>
            </c:numRef>
          </c:yVal>
          <c:smooth val="0"/>
          <c:extLst>
            <c:ext xmlns:c16="http://schemas.microsoft.com/office/drawing/2014/chart" uri="{C3380CC4-5D6E-409C-BE32-E72D297353CC}">
              <c16:uniqueId val="{0000000F-898A-4402-8955-F1EF493F0078}"/>
            </c:ext>
          </c:extLst>
        </c:ser>
        <c:ser>
          <c:idx val="16"/>
          <c:order val="16"/>
          <c:tx>
            <c:v>IntVol - 1</c:v>
          </c:tx>
          <c:spPr>
            <a:ln w="25400">
              <a:solidFill>
                <a:srgbClr val="33CCCC"/>
              </a:solidFill>
              <a:prstDash val="solid"/>
            </a:ln>
          </c:spPr>
          <c:marker>
            <c:spPr>
              <a:solidFill>
                <a:srgbClr val="4BACC6"/>
              </a:solidFill>
              <a:ln>
                <a:solidFill>
                  <a:srgbClr val="33CCCC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Calculations!$BC$9:$BC$1689</c:f>
            </c:numRef>
          </c:yVal>
          <c:smooth val="0"/>
          <c:extLst>
            <c:ext xmlns:c16="http://schemas.microsoft.com/office/drawing/2014/chart" uri="{C3380CC4-5D6E-409C-BE32-E72D297353CC}">
              <c16:uniqueId val="{00000010-898A-4402-8955-F1EF493F0078}"/>
            </c:ext>
          </c:extLst>
        </c:ser>
        <c:ser>
          <c:idx val="17"/>
          <c:order val="17"/>
          <c:tx>
            <c:v>ExtVol - 2</c:v>
          </c:tx>
          <c:spPr>
            <a:ln w="25400">
              <a:solidFill>
                <a:srgbClr val="FF8080"/>
              </a:solidFill>
              <a:prstDash val="solid"/>
            </a:ln>
          </c:spPr>
          <c:marker>
            <c:spPr>
              <a:solidFill>
                <a:srgbClr val="F79646"/>
              </a:solidFill>
              <a:ln>
                <a:solidFill>
                  <a:srgbClr val="FF8080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Calculations!$BF$9:$BF$1689</c:f>
            </c:numRef>
          </c:yVal>
          <c:smooth val="0"/>
          <c:extLst>
            <c:ext xmlns:c16="http://schemas.microsoft.com/office/drawing/2014/chart" uri="{C3380CC4-5D6E-409C-BE32-E72D297353CC}">
              <c16:uniqueId val="{00000011-898A-4402-8955-F1EF493F0078}"/>
            </c:ext>
          </c:extLst>
        </c:ser>
        <c:ser>
          <c:idx val="18"/>
          <c:order val="18"/>
          <c:tx>
            <c:v>IntVol - 2</c:v>
          </c:tx>
          <c:spPr>
            <a:ln w="25400">
              <a:solidFill>
                <a:srgbClr val="99CCFF"/>
              </a:solidFill>
              <a:prstDash val="solid"/>
            </a:ln>
          </c:spPr>
          <c:marker>
            <c:spPr>
              <a:solidFill>
                <a:srgbClr val="93A9CF"/>
              </a:solidFill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Calculations!$BG$9:$BG$1689</c:f>
            </c:numRef>
          </c:yVal>
          <c:smooth val="0"/>
          <c:extLst>
            <c:ext xmlns:c16="http://schemas.microsoft.com/office/drawing/2014/chart" uri="{C3380CC4-5D6E-409C-BE32-E72D297353CC}">
              <c16:uniqueId val="{00000012-898A-4402-8955-F1EF493F0078}"/>
            </c:ext>
          </c:extLst>
        </c:ser>
        <c:ser>
          <c:idx val="19"/>
          <c:order val="19"/>
          <c:tx>
            <c:v>ExtVol - 3</c:v>
          </c:tx>
          <c:spPr>
            <a:ln w="25400">
              <a:solidFill>
                <a:srgbClr val="CCCCFF"/>
              </a:solidFill>
              <a:prstDash val="solid"/>
            </a:ln>
          </c:spPr>
          <c:marker>
            <c:spPr>
              <a:solidFill>
                <a:srgbClr val="D19392"/>
              </a:solidFill>
              <a:ln>
                <a:solidFill>
                  <a:srgbClr val="CCCCFF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Calculations!$BJ$9:$BJ$1689</c:f>
            </c:numRef>
          </c:yVal>
          <c:smooth val="0"/>
          <c:extLst>
            <c:ext xmlns:c16="http://schemas.microsoft.com/office/drawing/2014/chart" uri="{C3380CC4-5D6E-409C-BE32-E72D297353CC}">
              <c16:uniqueId val="{00000013-898A-4402-8955-F1EF493F0078}"/>
            </c:ext>
          </c:extLst>
        </c:ser>
        <c:ser>
          <c:idx val="20"/>
          <c:order val="20"/>
          <c:tx>
            <c:v>IntVol - 3</c:v>
          </c:tx>
          <c:spPr>
            <a:ln w="25400">
              <a:solidFill>
                <a:srgbClr val="CCCCFF"/>
              </a:solidFill>
              <a:prstDash val="solid"/>
            </a:ln>
          </c:spPr>
          <c:marker>
            <c:spPr>
              <a:solidFill>
                <a:srgbClr val="B9CD96"/>
              </a:solidFill>
              <a:ln>
                <a:solidFill>
                  <a:srgbClr val="CCCCFF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Calculations!$BK$9:$BK$1689</c:f>
            </c:numRef>
          </c:yVal>
          <c:smooth val="0"/>
          <c:extLst>
            <c:ext xmlns:c16="http://schemas.microsoft.com/office/drawing/2014/chart" uri="{C3380CC4-5D6E-409C-BE32-E72D297353CC}">
              <c16:uniqueId val="{00000014-898A-4402-8955-F1EF493F0078}"/>
            </c:ext>
          </c:extLst>
        </c:ser>
        <c:ser>
          <c:idx val="21"/>
          <c:order val="21"/>
          <c:tx>
            <c:v>ExtVol - 4</c:v>
          </c:tx>
          <c:spPr>
            <a:ln w="25400">
              <a:solidFill>
                <a:srgbClr val="CCCCFF"/>
              </a:solidFill>
              <a:prstDash val="solid"/>
            </a:ln>
          </c:spPr>
          <c:marker>
            <c:spPr>
              <a:solidFill>
                <a:srgbClr val="A99BBD"/>
              </a:solidFill>
              <a:ln>
                <a:solidFill>
                  <a:srgbClr val="CCCCFF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Calculations!$BN$9:$BN$1689</c:f>
            </c:numRef>
          </c:yVal>
          <c:smooth val="0"/>
          <c:extLst>
            <c:ext xmlns:c16="http://schemas.microsoft.com/office/drawing/2014/chart" uri="{C3380CC4-5D6E-409C-BE32-E72D297353CC}">
              <c16:uniqueId val="{00000015-898A-4402-8955-F1EF493F0078}"/>
            </c:ext>
          </c:extLst>
        </c:ser>
        <c:ser>
          <c:idx val="22"/>
          <c:order val="22"/>
          <c:tx>
            <c:v>IntVol - 4</c:v>
          </c:tx>
          <c:spPr>
            <a:ln w="25400">
              <a:solidFill>
                <a:srgbClr val="99CCFF"/>
              </a:solidFill>
              <a:prstDash val="solid"/>
            </a:ln>
          </c:spPr>
          <c:marker>
            <c:spPr>
              <a:solidFill>
                <a:srgbClr val="91C3D5"/>
              </a:solidFill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Calculations!$BO$9:$BO$1689</c:f>
            </c:numRef>
          </c:yVal>
          <c:smooth val="0"/>
          <c:extLst>
            <c:ext xmlns:c16="http://schemas.microsoft.com/office/drawing/2014/chart" uri="{C3380CC4-5D6E-409C-BE32-E72D297353CC}">
              <c16:uniqueId val="{00000016-898A-4402-8955-F1EF493F0078}"/>
            </c:ext>
          </c:extLst>
        </c:ser>
        <c:ser>
          <c:idx val="23"/>
          <c:order val="23"/>
          <c:tx>
            <c:v>ExtVol - 5</c:v>
          </c:tx>
          <c:spPr>
            <a:ln w="25400">
              <a:solidFill>
                <a:srgbClr val="FFCC99"/>
              </a:solidFill>
              <a:prstDash val="solid"/>
            </a:ln>
          </c:spPr>
          <c:marker>
            <c:spPr>
              <a:solidFill>
                <a:srgbClr val="F9B59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Calculations!$BR$9:$BR$1689</c:f>
            </c:numRef>
          </c:yVal>
          <c:smooth val="0"/>
          <c:extLst>
            <c:ext xmlns:c16="http://schemas.microsoft.com/office/drawing/2014/chart" uri="{C3380CC4-5D6E-409C-BE32-E72D297353CC}">
              <c16:uniqueId val="{00000017-898A-4402-8955-F1EF493F0078}"/>
            </c:ext>
          </c:extLst>
        </c:ser>
        <c:ser>
          <c:idx val="24"/>
          <c:order val="24"/>
          <c:tx>
            <c:v>IntVol - 5</c:v>
          </c:tx>
          <c:spPr>
            <a:ln w="25400">
              <a:solidFill>
                <a:srgbClr val="99CCFF"/>
              </a:solidFill>
              <a:prstDash val="solid"/>
            </a:ln>
          </c:spPr>
          <c:marker>
            <c:spPr>
              <a:solidFill>
                <a:srgbClr val="BCC8DF"/>
              </a:solidFill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Calculations!$AY$9:$AY$1689</c:f>
              <c:numCache>
                <c:formatCode>General</c:formatCode>
                <c:ptCount val="16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</c:numCache>
            </c:numRef>
          </c:xVal>
          <c:yVal>
            <c:numRef>
              <c:f>Calculations!$BR$9:$BR$1689</c:f>
            </c:numRef>
          </c:yVal>
          <c:smooth val="0"/>
          <c:extLst>
            <c:ext xmlns:c16="http://schemas.microsoft.com/office/drawing/2014/chart" uri="{C3380CC4-5D6E-409C-BE32-E72D297353CC}">
              <c16:uniqueId val="{00000018-898A-4402-8955-F1EF493F0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17439"/>
        <c:axId val="1"/>
      </c:scatterChart>
      <c:valAx>
        <c:axId val="561217439"/>
        <c:scaling>
          <c:orientation val="minMax"/>
          <c:max val="168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1"/>
        <c:crosses val="autoZero"/>
        <c:crossBetween val="midCat"/>
        <c:majorUnit val="24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561217439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CheckBox" fmlaLink="Calculations!$AA$6" lockText="1" noThreeD="1"/>
</file>

<file path=xl/ctrlProps/ctrlProp2.xml><?xml version="1.0" encoding="utf-8"?>
<formControlPr xmlns="http://schemas.microsoft.com/office/spreadsheetml/2009/9/main" objectType="CheckBox" checked="Checked" fmlaLink="Calculations!$AA$7" lockText="1" noThreeD="1"/>
</file>

<file path=xl/ctrlProps/ctrlProp3.xml><?xml version="1.0" encoding="utf-8"?>
<formControlPr xmlns="http://schemas.microsoft.com/office/spreadsheetml/2009/9/main" objectType="CheckBox" checked="Checked" fmlaLink="Calculations!$AA$9" lockText="1" noThreeD="1"/>
</file>

<file path=xl/ctrlProps/ctrlProp4.xml><?xml version="1.0" encoding="utf-8"?>
<formControlPr xmlns="http://schemas.microsoft.com/office/spreadsheetml/2009/9/main" objectType="CheckBox" fmlaLink="Calculations!$AA$10" lockText="1" noThreeD="1"/>
</file>

<file path=xl/ctrlProps/ctrlProp5.xml><?xml version="1.0" encoding="utf-8"?>
<formControlPr xmlns="http://schemas.microsoft.com/office/spreadsheetml/2009/9/main" objectType="CheckBox" checked="Checked" fmlaLink="Calculations!$AA$5" lockText="1" noThreeD="1"/>
</file>

<file path=xl/ctrlProps/ctrlProp6.xml><?xml version="1.0" encoding="utf-8"?>
<formControlPr xmlns="http://schemas.microsoft.com/office/spreadsheetml/2009/9/main" objectType="CheckBox" fmlaLink="Calculations!$AA$8" lockText="1" noThreeD="1"/>
</file>

<file path=xl/ctrlProps/ctrlProp7.xml><?xml version="1.0" encoding="utf-8"?>
<formControlPr xmlns="http://schemas.microsoft.com/office/spreadsheetml/2009/9/main" objectType="CheckBox" fmlaLink="Calculations!$AA$11" lockText="1" noThreeD="1"/>
</file>

<file path=xl/ctrlProps/ctrlProp8.xml><?xml version="1.0" encoding="utf-8"?>
<formControlPr xmlns="http://schemas.microsoft.com/office/spreadsheetml/2009/9/main" objectType="CheckBox" fmlaLink="Calculations!$AG$18" lockText="1" noThreeD="1"/>
</file>

<file path=xl/ctrlProps/ctrlProp9.xml><?xml version="1.0" encoding="utf-8"?>
<formControlPr xmlns="http://schemas.microsoft.com/office/spreadsheetml/2009/9/main" objectType="CheckBox" checked="Checked" fmlaLink="Calculations!$AG$19" lockText="1" noThreeD="1"/>
</file>

<file path=xl/ctrlProps/ctrlProp10.xml><?xml version="1.0" encoding="utf-8"?>
<formControlPr xmlns="http://schemas.microsoft.com/office/spreadsheetml/2009/9/main" objectType="CheckBox" fmlaLink="Calculations!$AG$20" lockText="1" noThreeD="1"/>
</file>

<file path=xl/ctrlProps/ctrlProp11.xml><?xml version="1.0" encoding="utf-8"?>
<formControlPr xmlns="http://schemas.microsoft.com/office/spreadsheetml/2009/9/main" objectType="List" dx="21" fmlaRange="Calculations!$AV$5:$AV$11" noThreeD="1" sel="2" val="2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Lines="57" dropStyle="combo" dx="21" fmlaLink="Calculations!$C$10" fmlaRange="Calculations!$C$8:$C$9" sel="1" val="0"/>
</file>

<file path=xl/ctrlProps/ctrlProp14.xml><?xml version="1.0" encoding="utf-8"?>
<formControlPr xmlns="http://schemas.microsoft.com/office/spreadsheetml/2009/9/main" objectType="Drop" dropLines="57" dropStyle="combo" dx="21" fmlaLink="Calculations!$C$15" fmlaRange="Calculations!$C$12:$C$14" sel="1" val="0"/>
</file>

<file path=xl/ctrlProps/ctrlProp15.xml><?xml version="1.0" encoding="utf-8"?>
<formControlPr xmlns="http://schemas.microsoft.com/office/spreadsheetml/2009/9/main" objectType="Drop" dropStyle="combo" dx="21" fmlaLink="Calculations!$C$19" fmlaRange="Calculations!$C$17:$C$18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355600</xdr:colOff>
          <xdr:row>10</xdr:row>
          <xdr:rowOff>0</xdr:rowOff>
        </xdr:from>
        <xdr:to>
          <xdr:col>3</xdr:col>
          <xdr:colOff>177800</xdr:colOff>
          <xdr:row>11</xdr:row>
          <xdr:rowOff>25400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Tue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10</xdr:row>
          <xdr:rowOff>0</xdr:rowOff>
        </xdr:from>
        <xdr:to>
          <xdr:col>3</xdr:col>
          <xdr:colOff>571500</xdr:colOff>
          <xdr:row>11</xdr:row>
          <xdr:rowOff>25400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Wed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965200</xdr:colOff>
          <xdr:row>10</xdr:row>
          <xdr:rowOff>0</xdr:rowOff>
        </xdr:from>
        <xdr:to>
          <xdr:col>4</xdr:col>
          <xdr:colOff>190500</xdr:colOff>
          <xdr:row>11</xdr:row>
          <xdr:rowOff>25400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10</xdr:row>
          <xdr:rowOff>0</xdr:rowOff>
        </xdr:from>
        <xdr:to>
          <xdr:col>4</xdr:col>
          <xdr:colOff>596900</xdr:colOff>
          <xdr:row>11</xdr:row>
          <xdr:rowOff>25400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0</xdr:rowOff>
        </xdr:from>
        <xdr:to>
          <xdr:col>2</xdr:col>
          <xdr:colOff>368300</xdr:colOff>
          <xdr:row>11</xdr:row>
          <xdr:rowOff>25400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Mon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558800</xdr:colOff>
          <xdr:row>10</xdr:row>
          <xdr:rowOff>0</xdr:rowOff>
        </xdr:from>
        <xdr:to>
          <xdr:col>3</xdr:col>
          <xdr:colOff>977900</xdr:colOff>
          <xdr:row>11</xdr:row>
          <xdr:rowOff>25400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Thu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10</xdr:row>
          <xdr:rowOff>0</xdr:rowOff>
        </xdr:from>
        <xdr:to>
          <xdr:col>5</xdr:col>
          <xdr:colOff>38100</xdr:colOff>
          <xdr:row>11</xdr:row>
          <xdr:rowOff>25400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Sun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76200</xdr:colOff>
      <xdr:row>1</xdr:row>
      <xdr:rowOff>142875</xdr:rowOff>
    </xdr:from>
    <xdr:to>
      <xdr:col>14</xdr:col>
      <xdr:colOff>190500</xdr:colOff>
      <xdr:row>17</xdr:row>
      <xdr:rowOff>190500</xdr:rowOff>
    </xdr:to>
    <xdr:graphicFrame macro="">
      <xdr:nvGraphicFramePr>
        <xdr:cNvPr id="171181" name="Chart 21">
          <a:extLst>
            <a:ext uri="{FF2B5EF4-FFF2-40B4-BE49-F238E27FC236}">
              <a16:creationId xmlns:a16="http://schemas.microsoft.com/office/drawing/2014/main" id="{00000000-0008-0000-0000-0000AD9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17</xdr:row>
          <xdr:rowOff>177800</xdr:rowOff>
        </xdr:from>
        <xdr:to>
          <xdr:col>10</xdr:col>
          <xdr:colOff>482600</xdr:colOff>
          <xdr:row>19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Hold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17</xdr:row>
          <xdr:rowOff>177800</xdr:rowOff>
        </xdr:from>
        <xdr:to>
          <xdr:col>11</xdr:col>
          <xdr:colOff>368300</xdr:colOff>
          <xdr:row>19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Plot TAC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17</xdr:row>
          <xdr:rowOff>177800</xdr:rowOff>
        </xdr:from>
        <xdr:to>
          <xdr:col>12</xdr:col>
          <xdr:colOff>762000</xdr:colOff>
          <xdr:row>19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Plot Intra.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419100</xdr:colOff>
          <xdr:row>20</xdr:row>
          <xdr:rowOff>0</xdr:rowOff>
        </xdr:from>
        <xdr:to>
          <xdr:col>13</xdr:col>
          <xdr:colOff>1181100</xdr:colOff>
          <xdr:row>23</xdr:row>
          <xdr:rowOff>50800</xdr:rowOff>
        </xdr:to>
        <xdr:sp macro="" textlink="">
          <xdr:nvSpPr>
            <xdr:cNvPr id="1039" name="List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190500</xdr:colOff>
      <xdr:row>0</xdr:row>
      <xdr:rowOff>190500</xdr:rowOff>
    </xdr:from>
    <xdr:to>
      <xdr:col>6</xdr:col>
      <xdr:colOff>9525</xdr:colOff>
      <xdr:row>0</xdr:row>
      <xdr:rowOff>190500</xdr:rowOff>
    </xdr:to>
    <xdr:sp macro="" textlink="">
      <xdr:nvSpPr>
        <xdr:cNvPr id="171182" name="Line 81">
          <a:extLst>
            <a:ext uri="{FF2B5EF4-FFF2-40B4-BE49-F238E27FC236}">
              <a16:creationId xmlns:a16="http://schemas.microsoft.com/office/drawing/2014/main" id="{00000000-0008-0000-0000-0000AE9C0200}"/>
            </a:ext>
          </a:extLst>
        </xdr:cNvPr>
        <xdr:cNvSpPr>
          <a:spLocks noChangeShapeType="1"/>
        </xdr:cNvSpPr>
      </xdr:nvSpPr>
      <xdr:spPr bwMode="auto">
        <a:xfrm>
          <a:off x="190500" y="190500"/>
          <a:ext cx="3143250" cy="0"/>
        </a:xfrm>
        <a:prstGeom prst="line">
          <a:avLst/>
        </a:prstGeom>
        <a:noFill/>
        <a:ln w="9525">
          <a:solidFill>
            <a:srgbClr val="F1EFE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</xdr:row>
      <xdr:rowOff>0</xdr:rowOff>
    </xdr:from>
    <xdr:to>
      <xdr:col>6</xdr:col>
      <xdr:colOff>19050</xdr:colOff>
      <xdr:row>1</xdr:row>
      <xdr:rowOff>0</xdr:rowOff>
    </xdr:to>
    <xdr:sp macro="" textlink="">
      <xdr:nvSpPr>
        <xdr:cNvPr id="171183" name="Line 82">
          <a:extLst>
            <a:ext uri="{FF2B5EF4-FFF2-40B4-BE49-F238E27FC236}">
              <a16:creationId xmlns:a16="http://schemas.microsoft.com/office/drawing/2014/main" id="{00000000-0008-0000-0000-0000AF9C0200}"/>
            </a:ext>
          </a:extLst>
        </xdr:cNvPr>
        <xdr:cNvSpPr>
          <a:spLocks noChangeShapeType="1"/>
        </xdr:cNvSpPr>
      </xdr:nvSpPr>
      <xdr:spPr bwMode="auto">
        <a:xfrm>
          <a:off x="200025" y="200025"/>
          <a:ext cx="3143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0</xdr:row>
      <xdr:rowOff>190500</xdr:rowOff>
    </xdr:from>
    <xdr:to>
      <xdr:col>6</xdr:col>
      <xdr:colOff>9525</xdr:colOff>
      <xdr:row>24</xdr:row>
      <xdr:rowOff>9525</xdr:rowOff>
    </xdr:to>
    <xdr:grpSp>
      <xdr:nvGrpSpPr>
        <xdr:cNvPr id="171184" name="Lines_OneComp">
          <a:extLst>
            <a:ext uri="{FF2B5EF4-FFF2-40B4-BE49-F238E27FC236}">
              <a16:creationId xmlns:a16="http://schemas.microsoft.com/office/drawing/2014/main" id="{00000000-0008-0000-0000-0000B09C0200}"/>
            </a:ext>
          </a:extLst>
        </xdr:cNvPr>
        <xdr:cNvGrpSpPr>
          <a:grpSpLocks/>
        </xdr:cNvGrpSpPr>
      </xdr:nvGrpSpPr>
      <xdr:grpSpPr bwMode="auto">
        <a:xfrm>
          <a:off x="190500" y="190500"/>
          <a:ext cx="3607858" cy="4623858"/>
          <a:chOff x="20" y="20"/>
          <a:chExt cx="330" cy="509"/>
        </a:xfrm>
      </xdr:grpSpPr>
      <xdr:sp macro="" textlink="">
        <xdr:nvSpPr>
          <xdr:cNvPr id="171210" name="Line 83">
            <a:extLst>
              <a:ext uri="{FF2B5EF4-FFF2-40B4-BE49-F238E27FC236}">
                <a16:creationId xmlns:a16="http://schemas.microsoft.com/office/drawing/2014/main" id="{00000000-0008-0000-0000-0000CA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-235" y="275"/>
            <a:ext cx="509" cy="0"/>
          </a:xfrm>
          <a:prstGeom prst="line">
            <a:avLst/>
          </a:prstGeom>
          <a:noFill/>
          <a:ln w="9525">
            <a:solidFill>
              <a:srgbClr val="F1EFE2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11" name="Line 84">
            <a:extLst>
              <a:ext uri="{FF2B5EF4-FFF2-40B4-BE49-F238E27FC236}">
                <a16:creationId xmlns:a16="http://schemas.microsoft.com/office/drawing/2014/main" id="{00000000-0008-0000-0000-0000CB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-233" y="275"/>
            <a:ext cx="50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12" name="Line 85">
            <a:extLst>
              <a:ext uri="{FF2B5EF4-FFF2-40B4-BE49-F238E27FC236}">
                <a16:creationId xmlns:a16="http://schemas.microsoft.com/office/drawing/2014/main" id="{00000000-0008-0000-0000-0000CC9C0200}"/>
              </a:ext>
            </a:extLst>
          </xdr:cNvPr>
          <xdr:cNvSpPr>
            <a:spLocks noChangeShapeType="1"/>
          </xdr:cNvSpPr>
        </xdr:nvSpPr>
        <xdr:spPr bwMode="auto">
          <a:xfrm>
            <a:off x="21" y="528"/>
            <a:ext cx="328" cy="0"/>
          </a:xfrm>
          <a:prstGeom prst="line">
            <a:avLst/>
          </a:prstGeom>
          <a:noFill/>
          <a:ln w="9525">
            <a:solidFill>
              <a:srgbClr val="ACA899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13" name="Line 86">
            <a:extLst>
              <a:ext uri="{FF2B5EF4-FFF2-40B4-BE49-F238E27FC236}">
                <a16:creationId xmlns:a16="http://schemas.microsoft.com/office/drawing/2014/main" id="{00000000-0008-0000-0000-0000CD9C0200}"/>
              </a:ext>
            </a:extLst>
          </xdr:cNvPr>
          <xdr:cNvSpPr>
            <a:spLocks noChangeShapeType="1"/>
          </xdr:cNvSpPr>
        </xdr:nvSpPr>
        <xdr:spPr bwMode="auto">
          <a:xfrm>
            <a:off x="20" y="529"/>
            <a:ext cx="330" cy="0"/>
          </a:xfrm>
          <a:prstGeom prst="line">
            <a:avLst/>
          </a:prstGeom>
          <a:noFill/>
          <a:ln w="9525">
            <a:solidFill>
              <a:srgbClr val="716F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14" name="Line 87">
            <a:extLst>
              <a:ext uri="{FF2B5EF4-FFF2-40B4-BE49-F238E27FC236}">
                <a16:creationId xmlns:a16="http://schemas.microsoft.com/office/drawing/2014/main" id="{00000000-0008-0000-0000-0000CE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96" y="275"/>
            <a:ext cx="506" cy="0"/>
          </a:xfrm>
          <a:prstGeom prst="line">
            <a:avLst/>
          </a:prstGeom>
          <a:noFill/>
          <a:ln w="9525">
            <a:solidFill>
              <a:srgbClr val="ACA899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15" name="Line 88">
            <a:extLst>
              <a:ext uri="{FF2B5EF4-FFF2-40B4-BE49-F238E27FC236}">
                <a16:creationId xmlns:a16="http://schemas.microsoft.com/office/drawing/2014/main" id="{00000000-0008-0000-0000-0000CF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96" y="275"/>
            <a:ext cx="509" cy="0"/>
          </a:xfrm>
          <a:prstGeom prst="line">
            <a:avLst/>
          </a:prstGeom>
          <a:noFill/>
          <a:ln w="9525">
            <a:solidFill>
              <a:srgbClr val="716F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6</xdr:col>
      <xdr:colOff>190500</xdr:colOff>
      <xdr:row>0</xdr:row>
      <xdr:rowOff>190500</xdr:rowOff>
    </xdr:from>
    <xdr:to>
      <xdr:col>15</xdr:col>
      <xdr:colOff>9525</xdr:colOff>
      <xdr:row>0</xdr:row>
      <xdr:rowOff>190500</xdr:rowOff>
    </xdr:to>
    <xdr:sp macro="" textlink="">
      <xdr:nvSpPr>
        <xdr:cNvPr id="171185" name="Line 90">
          <a:extLst>
            <a:ext uri="{FF2B5EF4-FFF2-40B4-BE49-F238E27FC236}">
              <a16:creationId xmlns:a16="http://schemas.microsoft.com/office/drawing/2014/main" id="{00000000-0008-0000-0000-0000B19C0200}"/>
            </a:ext>
          </a:extLst>
        </xdr:cNvPr>
        <xdr:cNvSpPr>
          <a:spLocks noChangeShapeType="1"/>
        </xdr:cNvSpPr>
      </xdr:nvSpPr>
      <xdr:spPr bwMode="auto">
        <a:xfrm>
          <a:off x="3514725" y="190500"/>
          <a:ext cx="5657850" cy="0"/>
        </a:xfrm>
        <a:prstGeom prst="line">
          <a:avLst/>
        </a:prstGeom>
        <a:noFill/>
        <a:ln w="9525">
          <a:solidFill>
            <a:srgbClr val="F1EFE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14</xdr:col>
      <xdr:colOff>190500</xdr:colOff>
      <xdr:row>1</xdr:row>
      <xdr:rowOff>0</xdr:rowOff>
    </xdr:to>
    <xdr:sp macro="" textlink="">
      <xdr:nvSpPr>
        <xdr:cNvPr id="171186" name="Line 91">
          <a:extLst>
            <a:ext uri="{FF2B5EF4-FFF2-40B4-BE49-F238E27FC236}">
              <a16:creationId xmlns:a16="http://schemas.microsoft.com/office/drawing/2014/main" id="{00000000-0008-0000-0000-0000B29C0200}"/>
            </a:ext>
          </a:extLst>
        </xdr:cNvPr>
        <xdr:cNvSpPr>
          <a:spLocks noChangeShapeType="1"/>
        </xdr:cNvSpPr>
      </xdr:nvSpPr>
      <xdr:spPr bwMode="auto">
        <a:xfrm>
          <a:off x="3524250" y="200025"/>
          <a:ext cx="56292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190500</xdr:colOff>
      <xdr:row>0</xdr:row>
      <xdr:rowOff>190500</xdr:rowOff>
    </xdr:from>
    <xdr:to>
      <xdr:col>6</xdr:col>
      <xdr:colOff>190500</xdr:colOff>
      <xdr:row>24</xdr:row>
      <xdr:rowOff>9525</xdr:rowOff>
    </xdr:to>
    <xdr:sp macro="" textlink="">
      <xdr:nvSpPr>
        <xdr:cNvPr id="171187" name="Line 92">
          <a:extLst>
            <a:ext uri="{FF2B5EF4-FFF2-40B4-BE49-F238E27FC236}">
              <a16:creationId xmlns:a16="http://schemas.microsoft.com/office/drawing/2014/main" id="{00000000-0008-0000-0000-0000B39C0200}"/>
            </a:ext>
          </a:extLst>
        </xdr:cNvPr>
        <xdr:cNvSpPr>
          <a:spLocks noChangeShapeType="1"/>
        </xdr:cNvSpPr>
      </xdr:nvSpPr>
      <xdr:spPr bwMode="auto">
        <a:xfrm rot="5400000">
          <a:off x="1090612" y="2614613"/>
          <a:ext cx="4848225" cy="0"/>
        </a:xfrm>
        <a:prstGeom prst="line">
          <a:avLst/>
        </a:prstGeom>
        <a:noFill/>
        <a:ln w="9525">
          <a:solidFill>
            <a:srgbClr val="F1EFE2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0</xdr:colOff>
      <xdr:row>24</xdr:row>
      <xdr:rowOff>9525</xdr:rowOff>
    </xdr:to>
    <xdr:sp macro="" textlink="">
      <xdr:nvSpPr>
        <xdr:cNvPr id="171188" name="Line 93">
          <a:extLst>
            <a:ext uri="{FF2B5EF4-FFF2-40B4-BE49-F238E27FC236}">
              <a16:creationId xmlns:a16="http://schemas.microsoft.com/office/drawing/2014/main" id="{00000000-0008-0000-0000-0000B49C0200}"/>
            </a:ext>
          </a:extLst>
        </xdr:cNvPr>
        <xdr:cNvSpPr>
          <a:spLocks noChangeShapeType="1"/>
        </xdr:cNvSpPr>
      </xdr:nvSpPr>
      <xdr:spPr bwMode="auto">
        <a:xfrm rot="5400000">
          <a:off x="1104900" y="2619375"/>
          <a:ext cx="4838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24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171189" name="Line 94">
          <a:extLst>
            <a:ext uri="{FF2B5EF4-FFF2-40B4-BE49-F238E27FC236}">
              <a16:creationId xmlns:a16="http://schemas.microsoft.com/office/drawing/2014/main" id="{00000000-0008-0000-0000-0000B59C0200}"/>
            </a:ext>
          </a:extLst>
        </xdr:cNvPr>
        <xdr:cNvSpPr>
          <a:spLocks noChangeShapeType="1"/>
        </xdr:cNvSpPr>
      </xdr:nvSpPr>
      <xdr:spPr bwMode="auto">
        <a:xfrm>
          <a:off x="3524250" y="5029200"/>
          <a:ext cx="5638800" cy="0"/>
        </a:xfrm>
        <a:prstGeom prst="line">
          <a:avLst/>
        </a:prstGeom>
        <a:noFill/>
        <a:ln w="9525">
          <a:solidFill>
            <a:srgbClr val="ACA8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190500</xdr:colOff>
      <xdr:row>24</xdr:row>
      <xdr:rowOff>9525</xdr:rowOff>
    </xdr:from>
    <xdr:to>
      <xdr:col>15</xdr:col>
      <xdr:colOff>9525</xdr:colOff>
      <xdr:row>24</xdr:row>
      <xdr:rowOff>9525</xdr:rowOff>
    </xdr:to>
    <xdr:sp macro="" textlink="">
      <xdr:nvSpPr>
        <xdr:cNvPr id="171190" name="Line 95">
          <a:extLst>
            <a:ext uri="{FF2B5EF4-FFF2-40B4-BE49-F238E27FC236}">
              <a16:creationId xmlns:a16="http://schemas.microsoft.com/office/drawing/2014/main" id="{00000000-0008-0000-0000-0000B69C0200}"/>
            </a:ext>
          </a:extLst>
        </xdr:cNvPr>
        <xdr:cNvSpPr>
          <a:spLocks noChangeShapeType="1"/>
        </xdr:cNvSpPr>
      </xdr:nvSpPr>
      <xdr:spPr bwMode="auto">
        <a:xfrm>
          <a:off x="3514725" y="5038725"/>
          <a:ext cx="5657850" cy="0"/>
        </a:xfrm>
        <a:prstGeom prst="line">
          <a:avLst/>
        </a:prstGeom>
        <a:noFill/>
        <a:ln w="9525">
          <a:solidFill>
            <a:srgbClr val="716F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1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171191" name="Line 96">
          <a:extLst>
            <a:ext uri="{FF2B5EF4-FFF2-40B4-BE49-F238E27FC236}">
              <a16:creationId xmlns:a16="http://schemas.microsoft.com/office/drawing/2014/main" id="{00000000-0008-0000-0000-0000B79C0200}"/>
            </a:ext>
          </a:extLst>
        </xdr:cNvPr>
        <xdr:cNvSpPr>
          <a:spLocks noChangeShapeType="1"/>
        </xdr:cNvSpPr>
      </xdr:nvSpPr>
      <xdr:spPr bwMode="auto">
        <a:xfrm rot="5400000">
          <a:off x="6748462" y="2614613"/>
          <a:ext cx="4829175" cy="0"/>
        </a:xfrm>
        <a:prstGeom prst="line">
          <a:avLst/>
        </a:prstGeom>
        <a:noFill/>
        <a:ln w="9525">
          <a:solidFill>
            <a:srgbClr val="ACA8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9525</xdr:colOff>
      <xdr:row>0</xdr:row>
      <xdr:rowOff>190500</xdr:rowOff>
    </xdr:from>
    <xdr:to>
      <xdr:col>15</xdr:col>
      <xdr:colOff>9525</xdr:colOff>
      <xdr:row>24</xdr:row>
      <xdr:rowOff>9525</xdr:rowOff>
    </xdr:to>
    <xdr:sp macro="" textlink="">
      <xdr:nvSpPr>
        <xdr:cNvPr id="171192" name="Line 97">
          <a:extLst>
            <a:ext uri="{FF2B5EF4-FFF2-40B4-BE49-F238E27FC236}">
              <a16:creationId xmlns:a16="http://schemas.microsoft.com/office/drawing/2014/main" id="{00000000-0008-0000-0000-0000B89C0200}"/>
            </a:ext>
          </a:extLst>
        </xdr:cNvPr>
        <xdr:cNvSpPr>
          <a:spLocks noChangeShapeType="1"/>
        </xdr:cNvSpPr>
      </xdr:nvSpPr>
      <xdr:spPr bwMode="auto">
        <a:xfrm rot="5400000">
          <a:off x="6748462" y="2614613"/>
          <a:ext cx="4848225" cy="0"/>
        </a:xfrm>
        <a:prstGeom prst="line">
          <a:avLst/>
        </a:prstGeom>
        <a:noFill/>
        <a:ln w="9525">
          <a:solidFill>
            <a:srgbClr val="716F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0</xdr:row>
      <xdr:rowOff>190500</xdr:rowOff>
    </xdr:from>
    <xdr:to>
      <xdr:col>6</xdr:col>
      <xdr:colOff>9525</xdr:colOff>
      <xdr:row>23</xdr:row>
      <xdr:rowOff>9525</xdr:rowOff>
    </xdr:to>
    <xdr:grpSp>
      <xdr:nvGrpSpPr>
        <xdr:cNvPr id="171193" name="Lines_TwoCompUrea" hidden="1">
          <a:extLst>
            <a:ext uri="{FF2B5EF4-FFF2-40B4-BE49-F238E27FC236}">
              <a16:creationId xmlns:a16="http://schemas.microsoft.com/office/drawing/2014/main" id="{00000000-0008-0000-0000-0000B99C0200}"/>
            </a:ext>
          </a:extLst>
        </xdr:cNvPr>
        <xdr:cNvGrpSpPr>
          <a:grpSpLocks/>
        </xdr:cNvGrpSpPr>
      </xdr:nvGrpSpPr>
      <xdr:grpSpPr bwMode="auto">
        <a:xfrm>
          <a:off x="190500" y="190500"/>
          <a:ext cx="3607858" cy="4433358"/>
          <a:chOff x="20" y="20"/>
          <a:chExt cx="330" cy="488"/>
        </a:xfrm>
      </xdr:grpSpPr>
      <xdr:sp macro="" textlink="">
        <xdr:nvSpPr>
          <xdr:cNvPr id="171204" name="Line 103" hidden="1">
            <a:extLst>
              <a:ext uri="{FF2B5EF4-FFF2-40B4-BE49-F238E27FC236}">
                <a16:creationId xmlns:a16="http://schemas.microsoft.com/office/drawing/2014/main" id="{00000000-0008-0000-0000-0000C4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-224" y="264"/>
            <a:ext cx="488" cy="0"/>
          </a:xfrm>
          <a:prstGeom prst="line">
            <a:avLst/>
          </a:prstGeom>
          <a:noFill/>
          <a:ln w="9525">
            <a:solidFill>
              <a:srgbClr val="F1EFE2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05" name="Line 104" hidden="1">
            <a:extLst>
              <a:ext uri="{FF2B5EF4-FFF2-40B4-BE49-F238E27FC236}">
                <a16:creationId xmlns:a16="http://schemas.microsoft.com/office/drawing/2014/main" id="{00000000-0008-0000-0000-0000C5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-222" y="265"/>
            <a:ext cx="48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06" name="Line 105" hidden="1">
            <a:extLst>
              <a:ext uri="{FF2B5EF4-FFF2-40B4-BE49-F238E27FC236}">
                <a16:creationId xmlns:a16="http://schemas.microsoft.com/office/drawing/2014/main" id="{00000000-0008-0000-0000-0000C69C0200}"/>
              </a:ext>
            </a:extLst>
          </xdr:cNvPr>
          <xdr:cNvSpPr>
            <a:spLocks noChangeShapeType="1"/>
          </xdr:cNvSpPr>
        </xdr:nvSpPr>
        <xdr:spPr bwMode="auto">
          <a:xfrm>
            <a:off x="21" y="507"/>
            <a:ext cx="328" cy="0"/>
          </a:xfrm>
          <a:prstGeom prst="line">
            <a:avLst/>
          </a:prstGeom>
          <a:noFill/>
          <a:ln w="9525">
            <a:solidFill>
              <a:srgbClr val="ACA899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07" name="Line 106" hidden="1">
            <a:extLst>
              <a:ext uri="{FF2B5EF4-FFF2-40B4-BE49-F238E27FC236}">
                <a16:creationId xmlns:a16="http://schemas.microsoft.com/office/drawing/2014/main" id="{00000000-0008-0000-0000-0000C79C0200}"/>
              </a:ext>
            </a:extLst>
          </xdr:cNvPr>
          <xdr:cNvSpPr>
            <a:spLocks noChangeShapeType="1"/>
          </xdr:cNvSpPr>
        </xdr:nvSpPr>
        <xdr:spPr bwMode="auto">
          <a:xfrm>
            <a:off x="20" y="508"/>
            <a:ext cx="330" cy="0"/>
          </a:xfrm>
          <a:prstGeom prst="line">
            <a:avLst/>
          </a:prstGeom>
          <a:noFill/>
          <a:ln w="9525">
            <a:solidFill>
              <a:srgbClr val="716F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08" name="Line 107" hidden="1">
            <a:extLst>
              <a:ext uri="{FF2B5EF4-FFF2-40B4-BE49-F238E27FC236}">
                <a16:creationId xmlns:a16="http://schemas.microsoft.com/office/drawing/2014/main" id="{00000000-0008-0000-0000-0000C8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106" y="264"/>
            <a:ext cx="485" cy="0"/>
          </a:xfrm>
          <a:prstGeom prst="line">
            <a:avLst/>
          </a:prstGeom>
          <a:noFill/>
          <a:ln w="9525">
            <a:solidFill>
              <a:srgbClr val="ACA899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09" name="Line 108" hidden="1">
            <a:extLst>
              <a:ext uri="{FF2B5EF4-FFF2-40B4-BE49-F238E27FC236}">
                <a16:creationId xmlns:a16="http://schemas.microsoft.com/office/drawing/2014/main" id="{00000000-0008-0000-0000-0000C9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106" y="264"/>
            <a:ext cx="488" cy="0"/>
          </a:xfrm>
          <a:prstGeom prst="line">
            <a:avLst/>
          </a:prstGeom>
          <a:noFill/>
          <a:ln w="9525">
            <a:solidFill>
              <a:srgbClr val="716F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190500</xdr:colOff>
      <xdr:row>0</xdr:row>
      <xdr:rowOff>190500</xdr:rowOff>
    </xdr:from>
    <xdr:to>
      <xdr:col>6</xdr:col>
      <xdr:colOff>9525</xdr:colOff>
      <xdr:row>27</xdr:row>
      <xdr:rowOff>9525</xdr:rowOff>
    </xdr:to>
    <xdr:grpSp>
      <xdr:nvGrpSpPr>
        <xdr:cNvPr id="171194" name="Lines_TwoCompAdLib" hidden="1">
          <a:extLst>
            <a:ext uri="{FF2B5EF4-FFF2-40B4-BE49-F238E27FC236}">
              <a16:creationId xmlns:a16="http://schemas.microsoft.com/office/drawing/2014/main" id="{00000000-0008-0000-0000-0000BA9C0200}"/>
            </a:ext>
          </a:extLst>
        </xdr:cNvPr>
        <xdr:cNvGrpSpPr>
          <a:grpSpLocks/>
        </xdr:cNvGrpSpPr>
      </xdr:nvGrpSpPr>
      <xdr:grpSpPr bwMode="auto">
        <a:xfrm>
          <a:off x="190500" y="190500"/>
          <a:ext cx="3607858" cy="5195358"/>
          <a:chOff x="20" y="20"/>
          <a:chExt cx="330" cy="572"/>
        </a:xfrm>
      </xdr:grpSpPr>
      <xdr:sp macro="" textlink="">
        <xdr:nvSpPr>
          <xdr:cNvPr id="171198" name="Line 111" hidden="1">
            <a:extLst>
              <a:ext uri="{FF2B5EF4-FFF2-40B4-BE49-F238E27FC236}">
                <a16:creationId xmlns:a16="http://schemas.microsoft.com/office/drawing/2014/main" id="{00000000-0008-0000-0000-0000BE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-266" y="306"/>
            <a:ext cx="572" cy="0"/>
          </a:xfrm>
          <a:prstGeom prst="line">
            <a:avLst/>
          </a:prstGeom>
          <a:noFill/>
          <a:ln w="9525">
            <a:solidFill>
              <a:srgbClr val="F1EFE2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199" name="Line 112" hidden="1">
            <a:extLst>
              <a:ext uri="{FF2B5EF4-FFF2-40B4-BE49-F238E27FC236}">
                <a16:creationId xmlns:a16="http://schemas.microsoft.com/office/drawing/2014/main" id="{00000000-0008-0000-0000-0000BF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-264" y="307"/>
            <a:ext cx="57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00" name="Line 113" hidden="1">
            <a:extLst>
              <a:ext uri="{FF2B5EF4-FFF2-40B4-BE49-F238E27FC236}">
                <a16:creationId xmlns:a16="http://schemas.microsoft.com/office/drawing/2014/main" id="{00000000-0008-0000-0000-0000C09C0200}"/>
              </a:ext>
            </a:extLst>
          </xdr:cNvPr>
          <xdr:cNvSpPr>
            <a:spLocks noChangeShapeType="1"/>
          </xdr:cNvSpPr>
        </xdr:nvSpPr>
        <xdr:spPr bwMode="auto">
          <a:xfrm>
            <a:off x="21" y="591"/>
            <a:ext cx="328" cy="0"/>
          </a:xfrm>
          <a:prstGeom prst="line">
            <a:avLst/>
          </a:prstGeom>
          <a:noFill/>
          <a:ln w="9525">
            <a:solidFill>
              <a:srgbClr val="ACA899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01" name="Line 114" hidden="1">
            <a:extLst>
              <a:ext uri="{FF2B5EF4-FFF2-40B4-BE49-F238E27FC236}">
                <a16:creationId xmlns:a16="http://schemas.microsoft.com/office/drawing/2014/main" id="{00000000-0008-0000-0000-0000C19C0200}"/>
              </a:ext>
            </a:extLst>
          </xdr:cNvPr>
          <xdr:cNvSpPr>
            <a:spLocks noChangeShapeType="1"/>
          </xdr:cNvSpPr>
        </xdr:nvSpPr>
        <xdr:spPr bwMode="auto">
          <a:xfrm>
            <a:off x="20" y="592"/>
            <a:ext cx="330" cy="0"/>
          </a:xfrm>
          <a:prstGeom prst="line">
            <a:avLst/>
          </a:prstGeom>
          <a:noFill/>
          <a:ln w="9525">
            <a:solidFill>
              <a:srgbClr val="716F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02" name="Line 115" hidden="1">
            <a:extLst>
              <a:ext uri="{FF2B5EF4-FFF2-40B4-BE49-F238E27FC236}">
                <a16:creationId xmlns:a16="http://schemas.microsoft.com/office/drawing/2014/main" id="{00000000-0008-0000-0000-0000C2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64" y="306"/>
            <a:ext cx="569" cy="0"/>
          </a:xfrm>
          <a:prstGeom prst="line">
            <a:avLst/>
          </a:prstGeom>
          <a:noFill/>
          <a:ln w="9525">
            <a:solidFill>
              <a:srgbClr val="ACA899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03" name="Line 116" hidden="1">
            <a:extLst>
              <a:ext uri="{FF2B5EF4-FFF2-40B4-BE49-F238E27FC236}">
                <a16:creationId xmlns:a16="http://schemas.microsoft.com/office/drawing/2014/main" id="{00000000-0008-0000-0000-0000C39C02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64" y="306"/>
            <a:ext cx="572" cy="0"/>
          </a:xfrm>
          <a:prstGeom prst="line">
            <a:avLst/>
          </a:prstGeom>
          <a:noFill/>
          <a:ln w="9525">
            <a:solidFill>
              <a:srgbClr val="716F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771525</xdr:colOff>
      <xdr:row>4</xdr:row>
      <xdr:rowOff>104775</xdr:rowOff>
    </xdr:from>
    <xdr:to>
      <xdr:col>12</xdr:col>
      <xdr:colOff>819150</xdr:colOff>
      <xdr:row>17</xdr:row>
      <xdr:rowOff>161925</xdr:rowOff>
    </xdr:to>
    <xdr:grpSp>
      <xdr:nvGrpSpPr>
        <xdr:cNvPr id="171195" name="Group 18" hidden="1">
          <a:extLst>
            <a:ext uri="{FF2B5EF4-FFF2-40B4-BE49-F238E27FC236}">
              <a16:creationId xmlns:a16="http://schemas.microsoft.com/office/drawing/2014/main" id="{00000000-0008-0000-0000-0000BB9C0200}"/>
            </a:ext>
          </a:extLst>
        </xdr:cNvPr>
        <xdr:cNvGrpSpPr>
          <a:grpSpLocks/>
        </xdr:cNvGrpSpPr>
      </xdr:nvGrpSpPr>
      <xdr:grpSpPr bwMode="auto">
        <a:xfrm>
          <a:off x="1893358" y="944386"/>
          <a:ext cx="6715125" cy="2611261"/>
          <a:chOff x="236" y="173"/>
          <a:chExt cx="628" cy="268"/>
        </a:xfrm>
      </xdr:grpSpPr>
      <xdr:sp macro="" textlink="">
        <xdr:nvSpPr>
          <xdr:cNvPr id="171196" name="Text Box 19" hidden="1">
            <a:extLst>
              <a:ext uri="{FF2B5EF4-FFF2-40B4-BE49-F238E27FC236}">
                <a16:creationId xmlns:a16="http://schemas.microsoft.com/office/drawing/2014/main" id="{00000000-0008-0000-0000-0000BC9C02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6" y="173"/>
            <a:ext cx="628" cy="26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DD0806" mc:Ignorable="a14" a14:legacySpreadsheetColorIndex="10">
              <a:alpha val="50195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44" name="Text Box 20" hidden="1">
            <a:extLst>
              <a:ext uri="{FF2B5EF4-FFF2-40B4-BE49-F238E27FC236}">
                <a16:creationId xmlns:a16="http://schemas.microsoft.com/office/drawing/2014/main" id="{00000000-0008-0000-0000-000014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7" y="248"/>
            <a:ext cx="466" cy="11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8080" mc:Ignorable="a14" a14:legacySpreadsheetColorIndex="29"/>
          </a:solidFill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lnSpc>
                <a:spcPts val="1700"/>
              </a:lnSpc>
              <a:defRPr sz="1000"/>
            </a:pPr>
            <a:r>
              <a:rPr lang="en-US" sz="15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A solution cannot be found with normal-precision calculations.  High-precision calculations will now be employed.  This may take a few minutes.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0</xdr:rowOff>
        </xdr:from>
        <xdr:to>
          <xdr:col>9</xdr:col>
          <xdr:colOff>330200</xdr:colOff>
          <xdr:row>19</xdr:row>
          <xdr:rowOff>12700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SOLVE!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95" name="Drop Dow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196" name="Drop Dow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1197" name="Drop Dow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26"/>
  <sheetViews>
    <sheetView tabSelected="1" zoomScale="180" zoomScaleNormal="180" workbookViewId="0">
      <selection activeCell="E3" sqref="E3"/>
    </sheetView>
  </sheetViews>
  <sheetFormatPr baseColWidth="10" defaultColWidth="9.1640625" defaultRowHeight="15.75" customHeight="1" x14ac:dyDescent="0.15"/>
  <cols>
    <col min="1" max="2" width="3" style="3" customWidth="1"/>
    <col min="3" max="3" width="8.83203125" style="3" customWidth="1"/>
    <col min="4" max="4" width="17.6640625" style="3" customWidth="1"/>
    <col min="5" max="5" width="14.33203125" style="3" customWidth="1"/>
    <col min="6" max="8" width="3" style="3" customWidth="1"/>
    <col min="9" max="10" width="12.83203125" style="3" customWidth="1"/>
    <col min="11" max="11" width="14.33203125" style="3" customWidth="1"/>
    <col min="12" max="12" width="6.5" style="3" customWidth="1"/>
    <col min="13" max="13" width="14.33203125" style="3" customWidth="1"/>
    <col min="14" max="14" width="17.83203125" style="3" customWidth="1"/>
    <col min="15" max="15" width="3" style="3" customWidth="1"/>
    <col min="16" max="256" width="11.5" style="3" customWidth="1"/>
    <col min="257" max="16384" width="9.1640625" style="3"/>
  </cols>
  <sheetData>
    <row r="2" spans="2:15" s="1" customFormat="1" ht="21.75" customHeight="1" x14ac:dyDescent="0.15">
      <c r="B2" s="5"/>
      <c r="C2" s="49" t="s">
        <v>0</v>
      </c>
      <c r="D2" s="49"/>
      <c r="E2" s="49"/>
      <c r="F2" s="5"/>
      <c r="H2" s="5"/>
      <c r="I2" s="49" t="s">
        <v>1</v>
      </c>
      <c r="J2" s="49"/>
      <c r="K2" s="49"/>
      <c r="L2" s="49"/>
      <c r="M2" s="49"/>
      <c r="N2" s="49"/>
      <c r="O2" s="5"/>
    </row>
    <row r="3" spans="2:15" ht="15.75" customHeight="1" x14ac:dyDescent="0.15">
      <c r="B3" s="4"/>
      <c r="C3" s="4" t="s">
        <v>2</v>
      </c>
      <c r="D3" s="4"/>
      <c r="E3" s="2">
        <v>3.33</v>
      </c>
      <c r="F3" s="4"/>
      <c r="H3" s="4"/>
      <c r="I3" s="4"/>
      <c r="J3" s="27"/>
      <c r="K3" s="27"/>
      <c r="L3" s="27"/>
      <c r="M3" s="27"/>
      <c r="N3" s="4"/>
      <c r="O3" s="4"/>
    </row>
    <row r="4" spans="2:15" ht="15.75" customHeight="1" x14ac:dyDescent="0.15">
      <c r="B4" s="4"/>
      <c r="C4" s="4" t="s">
        <v>3</v>
      </c>
      <c r="D4" s="4"/>
      <c r="E4" s="2">
        <v>360</v>
      </c>
      <c r="F4" s="4"/>
      <c r="H4" s="4"/>
      <c r="I4" s="4"/>
      <c r="J4" s="27" t="s">
        <v>4</v>
      </c>
      <c r="K4" s="28" t="s">
        <v>5</v>
      </c>
      <c r="L4" s="27" t="s">
        <v>6</v>
      </c>
      <c r="M4" s="27" t="s">
        <v>7</v>
      </c>
      <c r="N4" s="4"/>
      <c r="O4" s="4"/>
    </row>
    <row r="5" spans="2:15" ht="15.75" customHeight="1" x14ac:dyDescent="0.15">
      <c r="B5" s="4"/>
      <c r="C5" s="4" t="s">
        <v>8</v>
      </c>
      <c r="D5" s="4"/>
      <c r="E5" s="2">
        <v>500</v>
      </c>
      <c r="F5" s="4"/>
      <c r="H5" s="4"/>
      <c r="I5" s="4"/>
      <c r="J5" s="27" t="s">
        <v>9</v>
      </c>
      <c r="K5" s="28" t="s">
        <v>10</v>
      </c>
      <c r="L5" s="27" t="s">
        <v>11</v>
      </c>
      <c r="M5" s="27" t="s">
        <v>12</v>
      </c>
      <c r="N5" s="4"/>
      <c r="O5" s="4"/>
    </row>
    <row r="6" spans="2:15" ht="15.75" customHeight="1" x14ac:dyDescent="0.15">
      <c r="B6" s="4"/>
      <c r="C6" s="30" t="s">
        <v>13</v>
      </c>
      <c r="D6" s="4"/>
      <c r="E6" s="35">
        <v>500</v>
      </c>
      <c r="F6" s="4"/>
      <c r="H6" s="4"/>
      <c r="I6" s="4"/>
      <c r="J6" s="27"/>
      <c r="K6" s="27"/>
      <c r="L6" s="27" t="s">
        <v>14</v>
      </c>
      <c r="M6" s="27"/>
      <c r="N6" s="4"/>
      <c r="O6" s="4"/>
    </row>
    <row r="7" spans="2:15" ht="15.75" customHeight="1" x14ac:dyDescent="0.15">
      <c r="B7" s="4"/>
      <c r="C7" s="8" t="s">
        <v>15</v>
      </c>
      <c r="D7" s="4"/>
      <c r="E7" s="45">
        <v>0</v>
      </c>
      <c r="F7" s="4"/>
      <c r="H7" s="4"/>
      <c r="I7" s="4"/>
      <c r="J7" s="27"/>
      <c r="K7" s="27"/>
      <c r="L7" s="27"/>
      <c r="M7" s="27"/>
      <c r="N7" s="4"/>
      <c r="O7" s="4"/>
    </row>
    <row r="8" spans="2:15" ht="15.75" customHeight="1" x14ac:dyDescent="0.15">
      <c r="B8" s="4"/>
      <c r="C8" s="46" t="s">
        <v>16</v>
      </c>
      <c r="D8" s="4"/>
      <c r="E8" s="47">
        <f>E14*7/Calculations!AA12</f>
        <v>0</v>
      </c>
      <c r="F8" s="4"/>
      <c r="H8" s="4"/>
      <c r="I8" s="4"/>
      <c r="J8" s="27"/>
      <c r="K8" s="27"/>
      <c r="L8" s="27"/>
      <c r="M8" s="27"/>
      <c r="N8" s="4"/>
      <c r="O8" s="4"/>
    </row>
    <row r="9" spans="2:15" ht="15.75" customHeight="1" x14ac:dyDescent="0.15">
      <c r="B9" s="4"/>
      <c r="C9" s="4" t="s">
        <v>17</v>
      </c>
      <c r="D9" s="4"/>
      <c r="E9" s="48">
        <v>0</v>
      </c>
      <c r="F9" s="4"/>
      <c r="H9" s="4"/>
      <c r="I9" s="4"/>
      <c r="J9" s="27"/>
      <c r="K9" s="27"/>
      <c r="L9" s="27"/>
      <c r="M9" s="27"/>
      <c r="N9" s="4"/>
      <c r="O9" s="4"/>
    </row>
    <row r="10" spans="2:15" ht="15.75" customHeight="1" x14ac:dyDescent="0.15">
      <c r="B10" s="4"/>
      <c r="C10" s="10" t="s">
        <v>4</v>
      </c>
      <c r="D10" s="8" t="s">
        <v>18</v>
      </c>
      <c r="E10" s="9">
        <f>E9</f>
        <v>0</v>
      </c>
      <c r="F10" s="4"/>
      <c r="H10" s="4"/>
      <c r="I10" s="4"/>
      <c r="J10" s="27"/>
      <c r="K10" s="27"/>
      <c r="L10" s="27"/>
      <c r="M10" s="27"/>
      <c r="N10" s="4"/>
      <c r="O10" s="4"/>
    </row>
    <row r="11" spans="2:15" ht="15.75" customHeight="1" x14ac:dyDescent="0.15">
      <c r="B11" s="4"/>
      <c r="C11" s="4"/>
      <c r="D11" s="4"/>
      <c r="E11" s="4"/>
      <c r="F11" s="4"/>
      <c r="H11" s="4"/>
      <c r="I11" s="4"/>
      <c r="J11" s="27"/>
      <c r="K11" s="27"/>
      <c r="L11" s="27"/>
      <c r="M11" s="27"/>
      <c r="N11" s="4"/>
      <c r="O11" s="4"/>
    </row>
    <row r="12" spans="2:15" s="1" customFormat="1" ht="21.75" customHeight="1" x14ac:dyDescent="0.15">
      <c r="B12" s="5"/>
      <c r="C12" s="49" t="s">
        <v>19</v>
      </c>
      <c r="D12" s="49"/>
      <c r="E12" s="49"/>
      <c r="F12" s="5"/>
      <c r="H12" s="5"/>
      <c r="I12" s="5"/>
      <c r="J12" s="29"/>
      <c r="K12" s="29"/>
      <c r="L12" s="29"/>
      <c r="M12" s="29"/>
      <c r="N12" s="5"/>
      <c r="O12" s="5"/>
    </row>
    <row r="13" spans="2:15" ht="15.75" customHeight="1" x14ac:dyDescent="0.15">
      <c r="B13" s="4"/>
      <c r="C13" s="4" t="s">
        <v>20</v>
      </c>
      <c r="D13" s="4"/>
      <c r="E13" s="2">
        <v>0</v>
      </c>
      <c r="F13" s="4"/>
      <c r="H13" s="4"/>
      <c r="I13" s="4"/>
      <c r="J13" s="27"/>
      <c r="K13" s="27"/>
      <c r="L13" s="27"/>
      <c r="M13" s="27"/>
      <c r="N13" s="4"/>
      <c r="O13" s="4"/>
    </row>
    <row r="14" spans="2:15" ht="15.75" customHeight="1" x14ac:dyDescent="0.15">
      <c r="B14" s="4"/>
      <c r="C14" s="4" t="s">
        <v>21</v>
      </c>
      <c r="D14" s="4"/>
      <c r="E14" s="2">
        <v>0</v>
      </c>
      <c r="F14" s="4"/>
      <c r="H14" s="4"/>
      <c r="I14" s="4"/>
      <c r="J14" s="27"/>
      <c r="K14" s="27"/>
      <c r="L14" s="27"/>
      <c r="M14" s="27"/>
      <c r="N14" s="4"/>
      <c r="O14" s="4"/>
    </row>
    <row r="15" spans="2:15" ht="15.75" customHeight="1" x14ac:dyDescent="0.15">
      <c r="B15" s="4"/>
      <c r="C15" s="4" t="s">
        <v>22</v>
      </c>
      <c r="D15" s="4"/>
      <c r="E15" s="2">
        <v>0</v>
      </c>
      <c r="F15" s="4"/>
      <c r="H15" s="4"/>
      <c r="I15" s="4"/>
      <c r="J15" s="27"/>
      <c r="K15" s="27"/>
      <c r="L15" s="27"/>
      <c r="M15" s="27"/>
      <c r="N15" s="4"/>
      <c r="O15" s="4"/>
    </row>
    <row r="16" spans="2:15" ht="15.75" customHeight="1" x14ac:dyDescent="0.15">
      <c r="B16" s="4"/>
      <c r="C16" s="4" t="s">
        <v>23</v>
      </c>
      <c r="D16" s="4"/>
      <c r="E16" s="2">
        <v>0</v>
      </c>
      <c r="F16" s="4"/>
      <c r="H16" s="4"/>
      <c r="I16" s="4"/>
      <c r="J16" s="27"/>
      <c r="K16" s="27"/>
      <c r="L16" s="27"/>
      <c r="M16" s="27"/>
      <c r="N16" s="4"/>
      <c r="O16" s="4"/>
    </row>
    <row r="17" spans="2:15" ht="15.75" customHeight="1" x14ac:dyDescent="0.15">
      <c r="B17" s="4"/>
      <c r="C17" s="4" t="s">
        <v>24</v>
      </c>
      <c r="D17" s="4"/>
      <c r="E17" s="31"/>
      <c r="F17" s="4"/>
      <c r="H17" s="4"/>
      <c r="I17" s="4"/>
      <c r="J17" s="4"/>
      <c r="K17" s="4"/>
      <c r="L17" s="4"/>
      <c r="M17" s="4"/>
      <c r="N17" s="4"/>
      <c r="O17" s="4"/>
    </row>
    <row r="18" spans="2:15" ht="15.75" customHeight="1" x14ac:dyDescent="0.15">
      <c r="B18" s="4"/>
      <c r="C18" s="4" t="s">
        <v>25</v>
      </c>
      <c r="D18" s="4"/>
      <c r="E18" s="44">
        <v>9524</v>
      </c>
      <c r="F18" s="4"/>
      <c r="H18" s="4"/>
      <c r="I18" s="4"/>
      <c r="J18" s="4"/>
      <c r="K18" s="4"/>
      <c r="L18" s="4"/>
      <c r="M18" s="4"/>
      <c r="N18" s="4"/>
      <c r="O18" s="4"/>
    </row>
    <row r="19" spans="2:15" ht="15.75" customHeight="1" x14ac:dyDescent="0.15">
      <c r="B19" s="4"/>
      <c r="C19" s="8" t="s">
        <v>26</v>
      </c>
      <c r="D19" s="4"/>
      <c r="E19" s="9">
        <v>0</v>
      </c>
      <c r="F19" s="4"/>
      <c r="H19" s="4"/>
      <c r="I19" s="4"/>
      <c r="J19" s="4"/>
      <c r="K19" s="4"/>
      <c r="L19" s="4"/>
      <c r="M19" s="4"/>
      <c r="N19" s="2"/>
      <c r="O19" s="4"/>
    </row>
    <row r="20" spans="2:15" s="1" customFormat="1" ht="21.75" customHeight="1" x14ac:dyDescent="0.15">
      <c r="B20" s="5"/>
      <c r="C20" s="49" t="s">
        <v>27</v>
      </c>
      <c r="D20" s="49"/>
      <c r="E20" s="49"/>
      <c r="F20" s="5"/>
      <c r="H20" s="5"/>
      <c r="I20" s="49" t="s">
        <v>28</v>
      </c>
      <c r="J20" s="49"/>
      <c r="K20" s="49"/>
      <c r="L20" s="49"/>
      <c r="M20" s="49"/>
      <c r="N20" s="49"/>
      <c r="O20" s="5"/>
    </row>
    <row r="21" spans="2:15" ht="15.75" customHeight="1" x14ac:dyDescent="0.15">
      <c r="B21" s="4"/>
      <c r="C21" s="4" t="s">
        <v>29</v>
      </c>
      <c r="D21" s="4"/>
      <c r="E21" s="36"/>
      <c r="F21" s="4"/>
      <c r="H21" s="4"/>
      <c r="I21" s="4" t="s">
        <v>30</v>
      </c>
      <c r="J21" s="4"/>
      <c r="K21" s="7">
        <v>237.19023966079999</v>
      </c>
      <c r="L21" s="4"/>
      <c r="M21" s="4" t="s">
        <v>31</v>
      </c>
      <c r="N21" s="4"/>
      <c r="O21" s="4"/>
    </row>
    <row r="22" spans="2:15" ht="15.75" customHeight="1" x14ac:dyDescent="0.15">
      <c r="B22" s="4"/>
      <c r="C22" s="4" t="s">
        <v>32</v>
      </c>
      <c r="D22" s="4"/>
      <c r="E22" s="2">
        <v>36</v>
      </c>
      <c r="F22" s="4"/>
      <c r="H22" s="4"/>
      <c r="I22" s="4" t="s">
        <v>33</v>
      </c>
      <c r="J22" s="4"/>
      <c r="K22" s="6">
        <v>53.198395085822355</v>
      </c>
      <c r="L22" s="4"/>
      <c r="M22" s="4"/>
      <c r="N22" s="4"/>
      <c r="O22" s="4"/>
    </row>
    <row r="23" spans="2:15" ht="15.75" customHeight="1" x14ac:dyDescent="0.15">
      <c r="B23" s="4"/>
      <c r="C23" s="4" t="s">
        <v>34</v>
      </c>
      <c r="D23" s="4"/>
      <c r="E23" s="2">
        <v>100</v>
      </c>
      <c r="F23" s="4"/>
      <c r="H23" s="4"/>
      <c r="I23" s="4" t="s">
        <v>35</v>
      </c>
      <c r="J23" s="4"/>
      <c r="K23" s="6">
        <v>81.727069862787928</v>
      </c>
      <c r="L23" s="4"/>
      <c r="M23" s="4"/>
      <c r="N23" s="4"/>
      <c r="O23" s="4"/>
    </row>
    <row r="24" spans="2:15" ht="15.75" customHeight="1" x14ac:dyDescent="0.15">
      <c r="B24" s="4"/>
      <c r="C24" s="4"/>
      <c r="D24" s="4"/>
      <c r="E24" s="34"/>
      <c r="F24" s="4"/>
      <c r="H24" s="4"/>
      <c r="I24" s="4"/>
      <c r="J24" s="4"/>
      <c r="K24" s="4"/>
      <c r="L24" s="4"/>
      <c r="M24" s="4"/>
      <c r="N24" s="4"/>
      <c r="O24" s="4"/>
    </row>
    <row r="25" spans="2:15" ht="15.75" customHeight="1" x14ac:dyDescent="0.15">
      <c r="E25" s="33"/>
    </row>
    <row r="26" spans="2:15" ht="15.75" customHeight="1" x14ac:dyDescent="0.15">
      <c r="E26" s="33"/>
    </row>
  </sheetData>
  <sheetProtection selectLockedCells="1"/>
  <mergeCells count="5">
    <mergeCell ref="C2:E2"/>
    <mergeCell ref="C12:E12"/>
    <mergeCell ref="C20:E20"/>
    <mergeCell ref="I2:N2"/>
    <mergeCell ref="I20:N20"/>
  </mergeCells>
  <phoneticPr fontId="4" type="noConversion"/>
  <dataValidations count="22">
    <dataValidation type="decimal" allowBlank="1" showErrorMessage="1" errorTitle="Duration" error="Duration must be between 0 and 24 hours." promptTitle="Treatment Duration" prompt="Enter the length of each dialysis treatment in hours." sqref="E3" xr:uid="{00000000-0002-0000-0000-000000000000}">
      <formula1>0</formula1>
      <formula2>24</formula2>
    </dataValidation>
    <dataValidation type="decimal" operator="greaterThanOrEqual" allowBlank="1" showInputMessage="1" showErrorMessage="1" errorTitle="Blood Flow" error="The blood flow to the dialyzer must be greater than or equal to zero." sqref="E4" xr:uid="{00000000-0002-0000-0000-000001000000}">
      <formula1>0</formula1>
    </dataValidation>
    <dataValidation type="decimal" operator="greaterThanOrEqual" allowBlank="1" showInputMessage="1" showErrorMessage="1" errorTitle="Dialysate Flow" error="The dialysate flow to the dialyzer must be greater than or equal to zero." sqref="E5" xr:uid="{00000000-0002-0000-0000-000002000000}">
      <formula1>0</formula1>
    </dataValidation>
    <dataValidation type="decimal" operator="greaterThanOrEqual" allowBlank="1" showInputMessage="1" showErrorMessage="1" errorTitle="Mass Transfer Area Coefficient" error="The membrane's mass transfer area coefficient must be greater than or equal to zero." sqref="E6" xr:uid="{00000000-0002-0000-0000-000003000000}">
      <formula1>0</formula1>
    </dataValidation>
    <dataValidation operator="greaterThanOrEqual" allowBlank="1" showInputMessage="1" showErrorMessage="1" errorTitle="Dilution Rate" error="The dilution rate must be greater than or equal to zero." sqref="E8" xr:uid="{00000000-0002-0000-0000-000004000000}"/>
    <dataValidation type="decimal" allowBlank="1" showInputMessage="1" showErrorMessage="1" errorTitle="Blood Hematocrit" error="The hematocrit must be between 0 and 100 percent." sqref="E13" xr:uid="{00000000-0002-0000-0000-000005000000}">
      <formula1>0</formula1>
      <formula2>100</formula2>
    </dataValidation>
    <dataValidation type="decimal" operator="greaterThanOrEqual" allowBlank="1" showInputMessage="1" showErrorMessage="1" errorTitle="Patient Fluid Gain" error="The fluid gain per day of the patient must be greater than or equal to zero." sqref="E14" xr:uid="{00000000-0002-0000-0000-000006000000}">
      <formula1>0</formula1>
    </dataValidation>
    <dataValidation type="decimal" operator="greaterThanOrEqual" allowBlank="1" showInputMessage="1" showErrorMessage="1" errorTitle="Endogenous Clearance" error="The endogeneous clearance of the patient must be greater than or equal to zero." sqref="E15" xr:uid="{00000000-0002-0000-0000-000007000000}">
      <formula1>0</formula1>
    </dataValidation>
    <dataValidation type="decimal" allowBlank="1" showInputMessage="1" showErrorMessage="1" errorTitle="Access Recirculation" error="The access recirculation must be between 0 and 100 percent." sqref="E16" xr:uid="{00000000-0002-0000-0000-000008000000}">
      <formula1>0</formula1>
      <formula2>100</formula2>
    </dataValidation>
    <dataValidation type="decimal" allowBlank="1" showInputMessage="1" showErrorMessage="1" errorTitle="Solute Protein Binding" error="The solute's protein binding must be between 0 and 100 percent." sqref="E19" xr:uid="{00000000-0002-0000-0000-000009000000}">
      <formula1>0</formula1>
      <formula2>100</formula2>
    </dataValidation>
    <dataValidation type="decimal" operator="greaterThanOrEqual" allowBlank="1" showInputMessage="1" showErrorMessage="1" errorTitle="Solute Generation Rate" error="The generation rate of the solute by the patient must be greater than or equal to zero." sqref="E18" xr:uid="{00000000-0002-0000-0000-00000A000000}">
      <formula1>0</formula1>
    </dataValidation>
    <dataValidation type="decimal" allowBlank="1" showInputMessage="1" showErrorMessage="1" errorTitle="Fluid Gain to Compartment 2" error="The fluid gain to compartment 2 must be between 0 and 100 percent." sqref="E26" xr:uid="{00000000-0002-0000-0000-00000B000000}">
      <formula1>0</formula1>
      <formula2>100</formula2>
    </dataValidation>
    <dataValidation type="decimal" allowBlank="1" showInputMessage="1" showErrorMessage="1" errorTitle="Fluid Gain to Compartment 1" error="The fluid gain to compartment 1 must be between 0 and 100 percent." sqref="E25" xr:uid="{00000000-0002-0000-0000-00000C000000}">
      <formula1>0</formula1>
      <formula2>100</formula2>
    </dataValidation>
    <dataValidation type="decimal" operator="greaterThanOrEqual" allowBlank="1" showInputMessage="1" showErrorMessage="1" errorTitle="Mass Transfer Coefficient" error="The intercompartmental mass transfer coefficient must be greater than or equal to zero." sqref="E24" xr:uid="{00000000-0002-0000-0000-00000D000000}">
      <formula1>0</formula1>
    </dataValidation>
    <dataValidation allowBlank="1" errorTitle="Solute Type" error="The solute type must be either Urea or Plasma." sqref="E17" xr:uid="{00000000-0002-0000-0000-00000E000000}"/>
    <dataValidation allowBlank="1" errorTitle="Model Type" error="The model type must be either One Comp, Two Comp Urea, or Two Comp Ad Lib." sqref="E21" xr:uid="{00000000-0002-0000-0000-00000F000000}"/>
    <dataValidation allowBlank="1" showDropDown="1" errorTitle="Dilution Mode" error="The dilution mode must be either Predilution or Postdilution." sqref="C8" xr:uid="{00000000-0002-0000-0000-000010000000}"/>
    <dataValidation allowBlank="1" errorTitle="Chart Mode" error="The chart mode must be set to either Concentration vs. Time or Volume vs. Time." sqref="N19" xr:uid="{00000000-0002-0000-0000-000011000000}"/>
    <dataValidation type="decimal" operator="greaterThan" allowBlank="1" showInputMessage="1" showErrorMessage="1" errorTitle="Volume of Distribution" error="The volume of distribution must be greater than zero." sqref="E22" xr:uid="{00000000-0002-0000-0000-000012000000}">
      <formula1>0</formula1>
    </dataValidation>
    <dataValidation type="list" allowBlank="1" showInputMessage="1" showErrorMessage="1" sqref="C10" xr:uid="{00000000-0002-0000-0000-000013000000}">
      <formula1>$J$4:$J$5</formula1>
    </dataValidation>
    <dataValidation type="decimal" allowBlank="1" showInputMessage="1" showErrorMessage="1" errorTitle="Reflection Coefficient" error="The membrane's reflection coefficient must be between 0 and 1." sqref="E7" xr:uid="{00000000-0002-0000-0000-000014000000}">
      <formula1>0</formula1>
      <formula2>1</formula2>
    </dataValidation>
    <dataValidation type="decimal" allowBlank="1" showErrorMessage="1" errorTitle="Fluid Gain Percentage" error="The fluid gain to compartment 1 must be between 0 and 100 percent." sqref="E23" xr:uid="{00000000-0002-0000-0000-000015000000}">
      <formula1>0</formula1>
      <formula2>100</formula2>
    </dataValidation>
  </dataValidations>
  <pageMargins left="0.75" right="0.75" top="1" bottom="1" header="0.5" footer="0.5"/>
  <pageSetup scale="70" orientation="landscape"/>
  <headerFooter alignWithMargins="0"/>
  <ignoredErrors>
    <ignoredError sqref="E8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Check Box 3">
              <controlPr defaultSize="0" autoFill="0" autoLine="0" autoPict="0">
                <anchor moveWithCells="1" sizeWithCells="1">
                  <from>
                    <xdr:col>2</xdr:col>
                    <xdr:colOff>355600</xdr:colOff>
                    <xdr:row>10</xdr:row>
                    <xdr:rowOff>0</xdr:rowOff>
                  </from>
                  <to>
                    <xdr:col>3</xdr:col>
                    <xdr:colOff>177800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 sizeWithCells="1">
                  <from>
                    <xdr:col>3</xdr:col>
                    <xdr:colOff>152400</xdr:colOff>
                    <xdr:row>10</xdr:row>
                    <xdr:rowOff>0</xdr:rowOff>
                  </from>
                  <to>
                    <xdr:col>3</xdr:col>
                    <xdr:colOff>571500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 sizeWithCells="1">
                  <from>
                    <xdr:col>3</xdr:col>
                    <xdr:colOff>965200</xdr:colOff>
                    <xdr:row>10</xdr:row>
                    <xdr:rowOff>0</xdr:rowOff>
                  </from>
                  <to>
                    <xdr:col>4</xdr:col>
                    <xdr:colOff>190500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 sizeWithCells="1">
                  <from>
                    <xdr:col>4</xdr:col>
                    <xdr:colOff>177800</xdr:colOff>
                    <xdr:row>10</xdr:row>
                    <xdr:rowOff>0</xdr:rowOff>
                  </from>
                  <to>
                    <xdr:col>4</xdr:col>
                    <xdr:colOff>596900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Check Box 2">
              <controlPr defaultSize="0" autoFill="0" autoLine="0" autoPict="0">
                <anchor moveWithCells="1" sizeWithCells="1">
                  <from>
                    <xdr:col>1</xdr:col>
                    <xdr:colOff>152400</xdr:colOff>
                    <xdr:row>10</xdr:row>
                    <xdr:rowOff>0</xdr:rowOff>
                  </from>
                  <to>
                    <xdr:col>2</xdr:col>
                    <xdr:colOff>368300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 sizeWithCells="1">
                  <from>
                    <xdr:col>3</xdr:col>
                    <xdr:colOff>558800</xdr:colOff>
                    <xdr:row>10</xdr:row>
                    <xdr:rowOff>0</xdr:rowOff>
                  </from>
                  <to>
                    <xdr:col>3</xdr:col>
                    <xdr:colOff>977900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 sizeWithCells="1">
                  <from>
                    <xdr:col>4</xdr:col>
                    <xdr:colOff>571500</xdr:colOff>
                    <xdr:row>10</xdr:row>
                    <xdr:rowOff>0</xdr:rowOff>
                  </from>
                  <to>
                    <xdr:col>5</xdr:col>
                    <xdr:colOff>38100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eck Box 11">
              <controlPr defaultSize="0" autoFill="0" autoLine="0" autoPict="0">
                <anchor moveWithCells="1">
                  <from>
                    <xdr:col>9</xdr:col>
                    <xdr:colOff>647700</xdr:colOff>
                    <xdr:row>17</xdr:row>
                    <xdr:rowOff>177800</xdr:rowOff>
                  </from>
                  <to>
                    <xdr:col>10</xdr:col>
                    <xdr:colOff>482600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eck Box 12">
              <controlPr defaultSize="0" autoFill="0" autoLine="0" autoPict="0">
                <anchor moveWithCells="1">
                  <from>
                    <xdr:col>10</xdr:col>
                    <xdr:colOff>495300</xdr:colOff>
                    <xdr:row>17</xdr:row>
                    <xdr:rowOff>177800</xdr:rowOff>
                  </from>
                  <to>
                    <xdr:col>11</xdr:col>
                    <xdr:colOff>368300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heck Box 13">
              <controlPr defaultSize="0" autoFill="0" autoLine="0" autoPict="0">
                <anchor moveWithCells="1">
                  <from>
                    <xdr:col>11</xdr:col>
                    <xdr:colOff>381000</xdr:colOff>
                    <xdr:row>17</xdr:row>
                    <xdr:rowOff>177800</xdr:rowOff>
                  </from>
                  <to>
                    <xdr:col>12</xdr:col>
                    <xdr:colOff>762000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List Box 15">
              <controlPr defaultSize="0" autoLine="0" autoPict="0">
                <anchor moveWithCells="1">
                  <from>
                    <xdr:col>13</xdr:col>
                    <xdr:colOff>419100</xdr:colOff>
                    <xdr:row>20</xdr:row>
                    <xdr:rowOff>0</xdr:rowOff>
                  </from>
                  <to>
                    <xdr:col>13</xdr:col>
                    <xdr:colOff>1181100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4" name="Button 168">
              <controlPr defaultSize="0" print="0" autoFill="0" autoPict="0" macro="[0]!SolveDialSim">
                <anchor moveWithCells="1" siz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330200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5" name="Drop Down 171">
              <controlPr defaultSize="0" autoLine="0" autoPict="0" macro="[0]!ChangeSolute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6" name="Drop Down 172">
              <controlPr defaultSize="0" autoLine="0" autoPict="0" macro="[0]!ChangeModel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" name="Drop Down 173">
              <controlPr defaultSize="0" autoLine="0" autoPict="0" macro="[0]!ChangeChart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R2754"/>
  <sheetViews>
    <sheetView topLeftCell="AL3" zoomScale="210" zoomScaleNormal="210" workbookViewId="0">
      <pane ySplit="9660" topLeftCell="A156"/>
      <selection activeCell="AZ9" sqref="AZ9:BC1689"/>
      <selection pane="bottomLeft" activeCell="AL162" sqref="A162:XFD162"/>
    </sheetView>
  </sheetViews>
  <sheetFormatPr baseColWidth="10" defaultColWidth="9.1640625" defaultRowHeight="11" x14ac:dyDescent="0.15"/>
  <cols>
    <col min="1" max="1" width="3" style="3" customWidth="1"/>
    <col min="2" max="2" width="11.1640625" style="3" bestFit="1" customWidth="1"/>
    <col min="3" max="3" width="17.5" style="3" bestFit="1" customWidth="1"/>
    <col min="4" max="4" width="3" style="3" customWidth="1"/>
    <col min="5" max="5" width="11.1640625" style="3" customWidth="1"/>
    <col min="6" max="6" width="9.83203125" style="3" bestFit="1" customWidth="1"/>
    <col min="7" max="7" width="3" style="3" customWidth="1"/>
    <col min="8" max="8" width="9.1640625" style="3" customWidth="1"/>
    <col min="9" max="9" width="9.5" style="3" bestFit="1" customWidth="1"/>
    <col min="10" max="10" width="10.83203125" style="3" customWidth="1"/>
    <col min="11" max="11" width="13.5" style="3" customWidth="1"/>
    <col min="12" max="12" width="9.83203125" style="3" bestFit="1" customWidth="1"/>
    <col min="13" max="23" width="9.1640625" style="3" customWidth="1"/>
    <col min="24" max="24" width="13.5" style="3" customWidth="1"/>
    <col min="25" max="25" width="9.5" style="3" bestFit="1" customWidth="1"/>
    <col min="26" max="26" width="23" style="3" customWidth="1"/>
    <col min="27" max="29" width="9.5" style="3" bestFit="1" customWidth="1"/>
    <col min="30" max="30" width="11.5" style="3" bestFit="1" customWidth="1"/>
    <col min="31" max="31" width="9.5" style="3" bestFit="1" customWidth="1"/>
    <col min="32" max="32" width="9.83203125" style="3" bestFit="1" customWidth="1"/>
    <col min="33" max="33" width="10.5" style="3" bestFit="1" customWidth="1"/>
    <col min="34" max="34" width="8.6640625" style="3" customWidth="1"/>
    <col min="35" max="35" width="9.5" style="11" bestFit="1" customWidth="1"/>
    <col min="36" max="36" width="4.33203125" style="11" customWidth="1"/>
    <col min="37" max="37" width="11.5" style="11" bestFit="1" customWidth="1"/>
    <col min="38" max="39" width="9.5" style="11" bestFit="1" customWidth="1"/>
    <col min="40" max="40" width="11.5" style="11" bestFit="1" customWidth="1"/>
    <col min="41" max="41" width="9.5" style="11" bestFit="1" customWidth="1"/>
    <col min="42" max="42" width="10.1640625" style="3" customWidth="1"/>
    <col min="43" max="43" width="9.5" style="3" bestFit="1" customWidth="1"/>
    <col min="44" max="44" width="3.5" style="3" customWidth="1"/>
    <col min="45" max="45" width="9.1640625" style="3" customWidth="1"/>
    <col min="46" max="46" width="9.1640625" style="11" customWidth="1"/>
    <col min="47" max="47" width="12.6640625" style="3" customWidth="1"/>
    <col min="48" max="48" width="9.5" style="3" bestFit="1" customWidth="1"/>
    <col min="49" max="49" width="5.1640625" style="3" customWidth="1"/>
    <col min="50" max="50" width="9.5" style="3" customWidth="1"/>
    <col min="51" max="53" width="9.1640625" style="3" customWidth="1"/>
    <col min="54" max="54" width="9.33203125" style="3" hidden="1" customWidth="1"/>
    <col min="55" max="55" width="9.1640625" style="3" hidden="1" customWidth="1"/>
    <col min="56" max="57" width="9.1640625" style="3" customWidth="1"/>
    <col min="58" max="58" width="9.33203125" style="3" hidden="1" customWidth="1"/>
    <col min="59" max="59" width="9.1640625" style="3" hidden="1" customWidth="1"/>
    <col min="60" max="61" width="9.1640625" style="3" customWidth="1"/>
    <col min="62" max="62" width="9.33203125" style="3" hidden="1" customWidth="1"/>
    <col min="63" max="63" width="9.1640625" style="3" hidden="1" customWidth="1"/>
    <col min="64" max="65" width="9.1640625" style="3" customWidth="1"/>
    <col min="66" max="66" width="9.33203125" style="3" hidden="1" customWidth="1"/>
    <col min="67" max="67" width="9.1640625" style="3" hidden="1" customWidth="1"/>
    <col min="68" max="69" width="9.1640625" style="3" customWidth="1"/>
    <col min="70" max="71" width="9.1640625" style="3" hidden="1" customWidth="1"/>
    <col min="72" max="256" width="11.5" style="3" customWidth="1"/>
    <col min="257" max="16384" width="9.1640625" style="3"/>
  </cols>
  <sheetData>
    <row r="1" spans="2:96" x14ac:dyDescent="0.15">
      <c r="AI1" s="3"/>
      <c r="AJ1" s="3"/>
      <c r="AP1" s="11"/>
      <c r="AQ1" s="11"/>
      <c r="AT1" s="3"/>
      <c r="AV1" s="11"/>
    </row>
    <row r="2" spans="2:96" x14ac:dyDescent="0.15">
      <c r="B2" s="18" t="s">
        <v>36</v>
      </c>
      <c r="E2" s="18" t="s">
        <v>37</v>
      </c>
      <c r="Z2" s="18" t="s">
        <v>38</v>
      </c>
      <c r="AI2" s="16"/>
      <c r="AJ2" s="3"/>
      <c r="AK2" s="16" t="s">
        <v>39</v>
      </c>
      <c r="AP2" s="11"/>
      <c r="AQ2" s="11"/>
      <c r="AT2" s="3"/>
      <c r="AV2" s="11"/>
      <c r="CD2" s="18"/>
      <c r="CE2" s="18"/>
      <c r="CF2" s="18"/>
      <c r="CG2" s="18"/>
      <c r="CH2" s="18"/>
      <c r="CI2" s="18"/>
      <c r="CJ2" s="18"/>
      <c r="CK2" s="18"/>
      <c r="CL2" s="18"/>
      <c r="CO2" s="12" t="s">
        <v>40</v>
      </c>
    </row>
    <row r="3" spans="2:96" x14ac:dyDescent="0.15">
      <c r="E3" s="18"/>
      <c r="AI3" s="3"/>
      <c r="AJ3" s="3"/>
      <c r="AP3" s="11"/>
      <c r="AQ3" s="11"/>
      <c r="AT3" s="3"/>
      <c r="AV3" s="11"/>
      <c r="CD3" s="18"/>
      <c r="CE3" s="18"/>
      <c r="CF3" s="18"/>
      <c r="CG3" s="18"/>
      <c r="CH3" s="18"/>
      <c r="CI3" s="18"/>
      <c r="CJ3" s="18"/>
      <c r="CK3" s="18"/>
      <c r="CL3" s="18"/>
      <c r="CO3" s="12" t="s">
        <v>41</v>
      </c>
      <c r="CR3" s="13" t="s">
        <v>42</v>
      </c>
    </row>
    <row r="4" spans="2:96" x14ac:dyDescent="0.15">
      <c r="B4" s="18" t="s">
        <v>43</v>
      </c>
      <c r="C4" s="3" t="s">
        <v>4</v>
      </c>
      <c r="E4" s="24" t="s">
        <v>44</v>
      </c>
      <c r="F4" s="3">
        <f>Interface!E4</f>
        <v>360</v>
      </c>
      <c r="H4" s="18" t="s">
        <v>45</v>
      </c>
      <c r="I4" s="3">
        <v>1E-3</v>
      </c>
      <c r="K4" s="12" t="s">
        <v>46</v>
      </c>
      <c r="L4" s="3">
        <f>(1-F9)*F4</f>
        <v>360</v>
      </c>
      <c r="N4" s="18" t="s">
        <v>47</v>
      </c>
      <c r="O4" s="3">
        <f>ROUND(((L4+L5/(1-L9))*F13-(I1012+L5/(1-M1012))*N1012)/F13,10)</f>
        <v>237.19023966079999</v>
      </c>
      <c r="P4" s="12"/>
      <c r="AA4" s="22" t="s">
        <v>48</v>
      </c>
      <c r="AB4" s="22" t="s">
        <v>49</v>
      </c>
      <c r="AC4" s="22" t="s">
        <v>50</v>
      </c>
      <c r="AD4" s="22" t="s">
        <v>51</v>
      </c>
      <c r="AE4" s="22" t="s">
        <v>52</v>
      </c>
      <c r="AF4" s="22" t="s">
        <v>53</v>
      </c>
      <c r="AG4" s="22" t="s">
        <v>54</v>
      </c>
      <c r="AH4" s="22" t="s">
        <v>55</v>
      </c>
      <c r="AI4" s="22" t="s">
        <v>56</v>
      </c>
      <c r="AJ4" s="3"/>
      <c r="AL4" s="22" t="s">
        <v>57</v>
      </c>
      <c r="AM4" s="22" t="s">
        <v>58</v>
      </c>
      <c r="AN4" s="22" t="s">
        <v>59</v>
      </c>
      <c r="AO4" s="22" t="s">
        <v>60</v>
      </c>
      <c r="AP4" s="22" t="s">
        <v>61</v>
      </c>
      <c r="AQ4" s="22" t="s">
        <v>62</v>
      </c>
      <c r="AS4" s="18" t="s">
        <v>63</v>
      </c>
      <c r="AT4" s="22" t="s">
        <v>64</v>
      </c>
      <c r="AU4" s="22" t="s">
        <v>65</v>
      </c>
      <c r="AV4" s="22" t="s">
        <v>66</v>
      </c>
      <c r="AX4" s="14"/>
      <c r="AY4" s="23" t="s">
        <v>67</v>
      </c>
      <c r="AZ4" s="23" t="s">
        <v>68</v>
      </c>
      <c r="BA4" s="23"/>
      <c r="BB4" s="23"/>
      <c r="BC4" s="23"/>
      <c r="BD4" s="23" t="s">
        <v>68</v>
      </c>
      <c r="BE4" s="23"/>
      <c r="BF4" s="23"/>
      <c r="BG4" s="23"/>
      <c r="BH4" s="23" t="s">
        <v>68</v>
      </c>
      <c r="BI4" s="23"/>
      <c r="BJ4" s="23"/>
      <c r="BK4" s="23"/>
      <c r="BL4" s="23" t="s">
        <v>68</v>
      </c>
      <c r="BM4" s="23"/>
      <c r="BN4" s="15"/>
      <c r="BO4" s="15"/>
      <c r="BP4" s="23" t="s">
        <v>68</v>
      </c>
      <c r="BQ4" s="23"/>
      <c r="BR4" s="23"/>
      <c r="BS4" s="23"/>
      <c r="BT4" s="23" t="s">
        <v>68</v>
      </c>
      <c r="BU4" s="23"/>
      <c r="BV4" s="23"/>
      <c r="BW4" s="23"/>
      <c r="BX4" s="23" t="s">
        <v>68</v>
      </c>
      <c r="BY4" s="23"/>
      <c r="BZ4" s="23"/>
      <c r="CA4" s="23"/>
      <c r="CB4" s="23" t="s">
        <v>68</v>
      </c>
      <c r="CC4" s="23"/>
      <c r="CD4" s="23"/>
      <c r="CE4" s="23"/>
      <c r="CF4" s="23" t="s">
        <v>68</v>
      </c>
      <c r="CG4" s="23"/>
      <c r="CH4" s="23"/>
      <c r="CI4" s="23"/>
      <c r="CJ4" s="23" t="s">
        <v>68</v>
      </c>
      <c r="CK4" s="23"/>
      <c r="CL4" s="24"/>
      <c r="CM4" s="14"/>
      <c r="CO4" s="12" t="s">
        <v>69</v>
      </c>
      <c r="CR4" s="13" t="s">
        <v>70</v>
      </c>
    </row>
    <row r="5" spans="2:96" x14ac:dyDescent="0.15">
      <c r="B5" s="18" t="s">
        <v>71</v>
      </c>
      <c r="C5" s="3" t="s">
        <v>9</v>
      </c>
      <c r="E5" s="24" t="s">
        <v>72</v>
      </c>
      <c r="F5" s="3">
        <f>Interface!E5</f>
        <v>500</v>
      </c>
      <c r="H5" s="18" t="s">
        <v>73</v>
      </c>
      <c r="I5" s="3">
        <f>($F$13-$F$13*$F$10)/$F$13/($F$10)/($F$12-$F$13+$F$13*$F$10)</f>
        <v>0</v>
      </c>
      <c r="K5" s="12" t="s">
        <v>74</v>
      </c>
      <c r="L5" s="3">
        <f>IF($F$16=1,0.86*$F$4*$F$9,0)</f>
        <v>0</v>
      </c>
      <c r="P5" s="12"/>
      <c r="Z5" s="18" t="s">
        <v>75</v>
      </c>
      <c r="AA5" s="37" t="b">
        <v>1</v>
      </c>
      <c r="AB5" s="3">
        <v>1</v>
      </c>
      <c r="AC5" s="38">
        <f t="shared" ref="AC5:AC11" si="0">IF(AA5,(AB5-1)*24*60+$AB$16,-1)</f>
        <v>720</v>
      </c>
      <c r="AD5" s="38">
        <f t="shared" ref="AD5:AD11" si="1">IF(AA5,MOD(AC5+$AB$17,10080),-1)</f>
        <v>918</v>
      </c>
      <c r="AE5" s="3">
        <f>IF(NOT(AA5),0,IF(AA11,1,IF(AA10,2,IF(AA9,3,IF(AA8,4,IF(AA7,5,IF(AA6,6)))))))</f>
        <v>3</v>
      </c>
      <c r="AF5" s="3">
        <f t="shared" ref="AF5:AF11" si="2">IF(AE5=0,0,AE5*24*60*($AB$28+$AB$29))</f>
        <v>0</v>
      </c>
      <c r="AG5" s="3">
        <f t="shared" ref="AG5:AG11" si="3">AF5/$AB$17</f>
        <v>0</v>
      </c>
      <c r="AH5" s="3">
        <f>(AE5*Interface!$E$14+IF(AA5,Interface!$E$9,0))*1000/$AB$17</f>
        <v>0</v>
      </c>
      <c r="AI5" s="3">
        <v>237.19023966079999</v>
      </c>
      <c r="AJ5" s="3"/>
      <c r="AK5" s="39" t="s">
        <v>76</v>
      </c>
      <c r="AL5" s="11">
        <f>AO5</f>
        <v>0.83451142655377508</v>
      </c>
      <c r="AM5" s="11">
        <f>ABS(AP9-AP1689)</f>
        <v>2.7869952873582626E-4</v>
      </c>
      <c r="AN5" s="11">
        <v>0</v>
      </c>
      <c r="AO5" s="11">
        <v>0.83451142655377508</v>
      </c>
      <c r="AP5" s="11">
        <v>0</v>
      </c>
      <c r="AQ5" s="11">
        <f>$AG$16</f>
        <v>1E-3</v>
      </c>
      <c r="AS5" s="16">
        <v>1</v>
      </c>
      <c r="AT5" s="17">
        <v>0.96678920433155613</v>
      </c>
      <c r="AU5" s="17">
        <v>0.27594714107975027</v>
      </c>
      <c r="AV5" s="40">
        <f t="shared" ref="AV5:AV10" si="4">IF(ISNUMBER($AT5),($AT5-$AU5)/$AT5,"")</f>
        <v>0.71457362179530981</v>
      </c>
      <c r="AW5" s="17"/>
      <c r="AX5" s="14"/>
      <c r="AY5" s="14">
        <f>AY9</f>
        <v>0</v>
      </c>
      <c r="AZ5" s="17">
        <v>53.198395085822355</v>
      </c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17"/>
      <c r="CO5" s="18" t="s">
        <v>77</v>
      </c>
      <c r="CP5" s="15"/>
      <c r="CQ5" s="15"/>
      <c r="CR5" s="13" t="s">
        <v>78</v>
      </c>
    </row>
    <row r="6" spans="2:96" x14ac:dyDescent="0.15">
      <c r="B6" s="18" t="s">
        <v>79</v>
      </c>
      <c r="C6" s="3">
        <f>IF(Interface!C10="Predilution",1,2)</f>
        <v>1</v>
      </c>
      <c r="E6" s="24" t="s">
        <v>80</v>
      </c>
      <c r="F6" s="3">
        <v>0</v>
      </c>
      <c r="H6" s="18" t="s">
        <v>81</v>
      </c>
      <c r="I6" s="3">
        <f>($F$15-$F$14)/($F$15+$F$14)</f>
        <v>0</v>
      </c>
      <c r="K6" s="12" t="s">
        <v>82</v>
      </c>
      <c r="L6" s="3">
        <f>L4+$F$7</f>
        <v>360</v>
      </c>
      <c r="P6" s="12"/>
      <c r="Z6" s="18" t="s">
        <v>83</v>
      </c>
      <c r="AA6" s="37" t="b">
        <v>0</v>
      </c>
      <c r="AB6" s="3">
        <v>2</v>
      </c>
      <c r="AC6" s="38">
        <f t="shared" si="0"/>
        <v>-1</v>
      </c>
      <c r="AD6" s="38">
        <f t="shared" si="1"/>
        <v>-1</v>
      </c>
      <c r="AE6" s="3">
        <f>IF(NOT(AA6),0,IF(AA5,1,IF(AA11,2,IF(AA10,3,IF(AA9,4,IF(AA8,5,IF(AA7,6)))))))</f>
        <v>0</v>
      </c>
      <c r="AF6" s="3">
        <f t="shared" si="2"/>
        <v>0</v>
      </c>
      <c r="AG6" s="3">
        <f t="shared" si="3"/>
        <v>0</v>
      </c>
      <c r="AH6" s="3">
        <f>(AE6*Interface!$E$14+IF(AA6,Interface!$E$9,0))*1000/$AB$17</f>
        <v>0</v>
      </c>
      <c r="AI6" s="3">
        <v>0</v>
      </c>
      <c r="AJ6" s="3"/>
      <c r="AK6" s="39" t="s">
        <v>84</v>
      </c>
      <c r="AL6" s="11">
        <f>AO6</f>
        <v>0</v>
      </c>
      <c r="AM6" s="11">
        <f>ABS(AQ9-AQ1689)</f>
        <v>0</v>
      </c>
      <c r="AN6" s="11">
        <v>0</v>
      </c>
      <c r="AO6" s="11">
        <v>0</v>
      </c>
      <c r="AP6" s="11">
        <v>0</v>
      </c>
      <c r="AQ6" s="11">
        <f>$AG$16</f>
        <v>1E-3</v>
      </c>
      <c r="AS6" s="16">
        <v>2</v>
      </c>
      <c r="AT6" s="17">
        <v>0.76868186330197708</v>
      </c>
      <c r="AU6" s="17">
        <v>0.22360630602788006</v>
      </c>
      <c r="AV6" s="40">
        <f t="shared" si="4"/>
        <v>0.70910422542383289</v>
      </c>
      <c r="AW6" s="17"/>
      <c r="AX6" s="14"/>
      <c r="AY6" s="14">
        <v>168</v>
      </c>
      <c r="AZ6" s="17">
        <v>53.198395085822355</v>
      </c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17"/>
      <c r="CO6" s="18" t="s">
        <v>85</v>
      </c>
      <c r="CP6" s="15"/>
      <c r="CQ6" s="15"/>
      <c r="CR6" s="3" t="s">
        <v>86</v>
      </c>
    </row>
    <row r="7" spans="2:96" x14ac:dyDescent="0.15">
      <c r="B7" s="18"/>
      <c r="E7" s="24" t="s">
        <v>87</v>
      </c>
      <c r="F7" s="3">
        <f>IF(C6=1,Interface!E10*1000/AB17,0)</f>
        <v>0</v>
      </c>
      <c r="H7" s="18" t="s">
        <v>88</v>
      </c>
      <c r="I7" s="3">
        <f>2*$F$14/($F$15+$F$14)</f>
        <v>1</v>
      </c>
      <c r="K7" s="12" t="s">
        <v>89</v>
      </c>
      <c r="L7" s="15">
        <f>(F13*L4+F13/(1-L9)*L5)/(L6+L5/(1-L10))</f>
        <v>100</v>
      </c>
      <c r="P7" s="12"/>
      <c r="Z7" s="18" t="s">
        <v>90</v>
      </c>
      <c r="AA7" s="37" t="b">
        <v>1</v>
      </c>
      <c r="AB7" s="3">
        <v>3</v>
      </c>
      <c r="AC7" s="38">
        <f t="shared" si="0"/>
        <v>3600</v>
      </c>
      <c r="AD7" s="38">
        <f t="shared" si="1"/>
        <v>3798</v>
      </c>
      <c r="AE7" s="3">
        <f>IF(NOT(AA7),0,IF(AA6,1,IF(AA5,2,IF(AA11,3,IF(AA10,4,IF(AA9,5,IF(AA8,6)))))))</f>
        <v>2</v>
      </c>
      <c r="AF7" s="3">
        <f t="shared" si="2"/>
        <v>0</v>
      </c>
      <c r="AG7" s="3">
        <f t="shared" si="3"/>
        <v>0</v>
      </c>
      <c r="AH7" s="3">
        <f>(AE7*Interface!$E$14+IF(AA7,Interface!$E$9,0))*1000/$AB$17</f>
        <v>0</v>
      </c>
      <c r="AI7" s="3">
        <v>237.19023966079999</v>
      </c>
      <c r="AJ7" s="3"/>
      <c r="AP7" s="11"/>
      <c r="AQ7" s="11"/>
      <c r="AS7" s="16">
        <v>3</v>
      </c>
      <c r="AT7" s="17">
        <v>0.71634102825010448</v>
      </c>
      <c r="AU7" s="17">
        <v>0.20977762608250555</v>
      </c>
      <c r="AV7" s="40">
        <f t="shared" si="4"/>
        <v>0.70715397023264803</v>
      </c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14"/>
      <c r="CO7" s="18" t="s">
        <v>91</v>
      </c>
      <c r="CP7" s="15"/>
      <c r="CQ7" s="15"/>
      <c r="CR7" s="3" t="s">
        <v>92</v>
      </c>
    </row>
    <row r="8" spans="2:96" x14ac:dyDescent="0.15">
      <c r="B8" s="18" t="s">
        <v>93</v>
      </c>
      <c r="C8" s="3" t="s">
        <v>10</v>
      </c>
      <c r="E8" s="24" t="s">
        <v>94</v>
      </c>
      <c r="F8" s="3">
        <f>Interface!E6</f>
        <v>500</v>
      </c>
      <c r="K8" s="12" t="s">
        <v>95</v>
      </c>
      <c r="L8" s="3">
        <f>F12*L4/L6</f>
        <v>500</v>
      </c>
      <c r="N8" s="13"/>
      <c r="P8" s="12"/>
      <c r="S8" s="13"/>
      <c r="Z8" s="18" t="s">
        <v>96</v>
      </c>
      <c r="AA8" s="37" t="b">
        <v>0</v>
      </c>
      <c r="AB8" s="3">
        <v>4</v>
      </c>
      <c r="AC8" s="38">
        <f t="shared" si="0"/>
        <v>-1</v>
      </c>
      <c r="AD8" s="38">
        <f t="shared" si="1"/>
        <v>-1</v>
      </c>
      <c r="AE8" s="3">
        <f>IF(NOT(AA8),0,IF(AA7,1,IF(AA6,2,IF(AA5,3,IF(AA11,4,IF(AA10,5,IF(AA9,6)))))))</f>
        <v>0</v>
      </c>
      <c r="AF8" s="3">
        <f t="shared" si="2"/>
        <v>0</v>
      </c>
      <c r="AG8" s="3">
        <f t="shared" si="3"/>
        <v>0</v>
      </c>
      <c r="AH8" s="3">
        <f>(AE8*Interface!$E$14+IF(AA8,Interface!$E$9,0))*1000/$AB$17</f>
        <v>0</v>
      </c>
      <c r="AI8" s="3">
        <v>0</v>
      </c>
      <c r="AK8" s="22" t="s">
        <v>97</v>
      </c>
      <c r="AL8" s="22" t="s">
        <v>67</v>
      </c>
      <c r="AM8" s="22" t="s">
        <v>98</v>
      </c>
      <c r="AN8" s="22" t="s">
        <v>99</v>
      </c>
      <c r="AO8" s="22" t="s">
        <v>100</v>
      </c>
      <c r="AP8" s="22" t="s">
        <v>101</v>
      </c>
      <c r="AQ8" s="22" t="s">
        <v>102</v>
      </c>
      <c r="AS8" s="16">
        <v>4</v>
      </c>
      <c r="AT8" s="17"/>
      <c r="AU8" s="17"/>
      <c r="AV8" s="40" t="str">
        <f t="shared" si="4"/>
        <v/>
      </c>
      <c r="AX8" s="23" t="s">
        <v>103</v>
      </c>
      <c r="AY8" s="23" t="s">
        <v>67</v>
      </c>
      <c r="AZ8" s="23" t="s">
        <v>104</v>
      </c>
      <c r="BA8" s="23" t="s">
        <v>105</v>
      </c>
      <c r="BB8" s="23" t="s">
        <v>106</v>
      </c>
      <c r="BC8" s="23" t="s">
        <v>107</v>
      </c>
      <c r="BD8" s="23" t="s">
        <v>108</v>
      </c>
      <c r="BE8" s="23" t="s">
        <v>109</v>
      </c>
      <c r="BF8" s="23" t="s">
        <v>110</v>
      </c>
      <c r="BG8" s="23" t="s">
        <v>111</v>
      </c>
      <c r="BH8" s="23" t="s">
        <v>112</v>
      </c>
      <c r="BI8" s="23" t="s">
        <v>113</v>
      </c>
      <c r="BJ8" s="23" t="s">
        <v>114</v>
      </c>
      <c r="BK8" s="23" t="s">
        <v>115</v>
      </c>
      <c r="BL8" s="23" t="s">
        <v>116</v>
      </c>
      <c r="BM8" s="23" t="s">
        <v>117</v>
      </c>
      <c r="BN8" s="23" t="s">
        <v>118</v>
      </c>
      <c r="BO8" s="23" t="s">
        <v>119</v>
      </c>
      <c r="BP8" s="23" t="s">
        <v>120</v>
      </c>
      <c r="BQ8" s="23" t="s">
        <v>121</v>
      </c>
      <c r="BR8" s="23" t="s">
        <v>122</v>
      </c>
      <c r="BS8" s="23" t="s">
        <v>123</v>
      </c>
      <c r="BT8" s="23" t="s">
        <v>124</v>
      </c>
      <c r="BU8" s="23" t="s">
        <v>125</v>
      </c>
      <c r="BV8" s="23" t="s">
        <v>126</v>
      </c>
      <c r="BW8" s="23" t="s">
        <v>127</v>
      </c>
      <c r="BX8" s="23" t="s">
        <v>128</v>
      </c>
      <c r="BY8" s="23" t="s">
        <v>129</v>
      </c>
      <c r="BZ8" s="23" t="s">
        <v>130</v>
      </c>
      <c r="CA8" s="23" t="s">
        <v>131</v>
      </c>
      <c r="CB8" s="23" t="s">
        <v>132</v>
      </c>
      <c r="CC8" s="23" t="s">
        <v>133</v>
      </c>
      <c r="CD8" s="23" t="s">
        <v>134</v>
      </c>
      <c r="CE8" s="23" t="s">
        <v>135</v>
      </c>
      <c r="CF8" s="23" t="s">
        <v>136</v>
      </c>
      <c r="CG8" s="23" t="s">
        <v>137</v>
      </c>
      <c r="CH8" s="23" t="s">
        <v>138</v>
      </c>
      <c r="CI8" s="23" t="s">
        <v>139</v>
      </c>
      <c r="CJ8" s="23" t="s">
        <v>140</v>
      </c>
      <c r="CK8" s="23" t="s">
        <v>141</v>
      </c>
      <c r="CL8" s="23" t="s">
        <v>142</v>
      </c>
      <c r="CM8" s="23" t="s">
        <v>143</v>
      </c>
      <c r="CO8" s="18" t="s">
        <v>144</v>
      </c>
      <c r="CR8" s="3" t="s">
        <v>145</v>
      </c>
    </row>
    <row r="9" spans="2:96" x14ac:dyDescent="0.15">
      <c r="B9" s="18" t="s">
        <v>146</v>
      </c>
      <c r="C9" s="3" t="s">
        <v>5</v>
      </c>
      <c r="E9" s="24" t="s">
        <v>147</v>
      </c>
      <c r="F9" s="3">
        <f>Interface!E13/100</f>
        <v>0</v>
      </c>
      <c r="K9" s="12" t="s">
        <v>148</v>
      </c>
      <c r="L9" s="3">
        <v>7.0000000000000007E-2</v>
      </c>
      <c r="P9" s="12"/>
      <c r="U9" s="42"/>
      <c r="Z9" s="18" t="s">
        <v>149</v>
      </c>
      <c r="AA9" s="37" t="b">
        <v>1</v>
      </c>
      <c r="AB9" s="3">
        <v>5</v>
      </c>
      <c r="AC9" s="38">
        <f t="shared" si="0"/>
        <v>6480</v>
      </c>
      <c r="AD9" s="38">
        <f t="shared" si="1"/>
        <v>6678</v>
      </c>
      <c r="AE9" s="3">
        <f>IF(NOT(AA9),0,IF(AA8,1,IF(AA7,2,IF(AA6,3,IF(AA5,4,IF(AA11,5,IF(AA10,6)))))))</f>
        <v>2</v>
      </c>
      <c r="AF9" s="3">
        <f t="shared" si="2"/>
        <v>0</v>
      </c>
      <c r="AG9" s="3">
        <f t="shared" si="3"/>
        <v>0</v>
      </c>
      <c r="AH9" s="3">
        <f>(AE9*Interface!$E$14+IF(AA9,Interface!$E$9,0))*1000/$AB$17</f>
        <v>0</v>
      </c>
      <c r="AI9" s="3">
        <v>237.19023966079999</v>
      </c>
      <c r="AJ9" s="3"/>
      <c r="AK9" s="15">
        <f>1+INT(MOD(AL9/60/24-0.5,7))</f>
        <v>7</v>
      </c>
      <c r="AL9" s="11">
        <v>0</v>
      </c>
      <c r="AM9" s="11" t="b">
        <f t="shared" ref="AM9:AM72" si="5">OR(AND(AL9&gt;=$AC$5,AL9&lt;=$AD$5),AND(AL9&gt;=$AC$6,AL9&lt;=$AD$6),AND(AL9&gt;=$AC$7,AL9&lt;=$AD$7),AND(AL9&gt;=$AC$8,AL9&lt;=$AD$8),AND(AL9&gt;=$AC$9,AL9&lt;=$AD$9),AND(AL9&gt;=$AC$10,AL9&lt;=$AD$10),AND(AL9&gt;=$AC$11,AL9&lt;=$AD$11),AND($AD$11&lt;$AC$11,OR(AL9&lt;$AD$11,AL9&gt;$AC$11)))</f>
        <v>0</v>
      </c>
      <c r="AN9" s="11">
        <f>IF($AG$21,$AB$26,IF(AND(AM9,NOT(AM10)),$AB$26,AN1688+($AB$28-IF(AND(AM1688,AM9),CHOOSE(AK9,$AG$5,$AG$6,$AG$7,$AG$8,$AG$9,$AG$10,$AG$11)*$AA$22/$AA$24,0))*$AB$15))</f>
        <v>36000</v>
      </c>
      <c r="AO9" s="11">
        <f>IF($AG$21,$AB$27,IF(AND(AM9,NOT(AM10)),$AB$27,AO1688+($AB$29-IF(AND(AM1688,AM9),CHOOSE(AK9,$AG$5,$AG$6,$AG$7,$AG$8,$AG$9,$AG$10,$AG$11)*$AA$23/$AA$24,0))*$AB$15))</f>
        <v>0</v>
      </c>
      <c r="AP9" s="11">
        <f>AO5</f>
        <v>0.83451142655377508</v>
      </c>
      <c r="AQ9" s="11">
        <f>AO6</f>
        <v>0</v>
      </c>
      <c r="AS9" s="16">
        <v>5</v>
      </c>
      <c r="AT9" s="17"/>
      <c r="AU9" s="17"/>
      <c r="AV9" s="40" t="str">
        <f t="shared" si="4"/>
        <v/>
      </c>
      <c r="AW9" s="17"/>
      <c r="AX9" s="17">
        <v>0</v>
      </c>
      <c r="AY9" s="17">
        <f t="shared" ref="AY9:AY19" si="6">IF(ISNUMBER(AX9),IF(ROUND((AX9)*$AG$15*$AB$15,0) &lt;= 10080, ROUND((AX9)*$AG$15,0)*$AB$15/60, 168),168)</f>
        <v>0</v>
      </c>
      <c r="AZ9" s="17">
        <v>83.45114265537751</v>
      </c>
      <c r="BA9" s="17"/>
      <c r="BB9" s="17">
        <v>36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O9" s="18" t="s">
        <v>150</v>
      </c>
      <c r="CR9" s="3" t="s">
        <v>151</v>
      </c>
    </row>
    <row r="10" spans="2:96" x14ac:dyDescent="0.15">
      <c r="B10" s="18" t="s">
        <v>79</v>
      </c>
      <c r="C10" s="32">
        <v>1</v>
      </c>
      <c r="E10" s="24" t="s">
        <v>152</v>
      </c>
      <c r="F10" s="3">
        <f>IF(C10=1,1,1-Interface!E19/100)</f>
        <v>1</v>
      </c>
      <c r="K10" s="18" t="s">
        <v>153</v>
      </c>
      <c r="L10" s="3">
        <f>L9*L12/F12</f>
        <v>7.0000000000000007E-2</v>
      </c>
      <c r="Z10" s="18" t="s">
        <v>154</v>
      </c>
      <c r="AA10" s="43" t="b">
        <v>0</v>
      </c>
      <c r="AB10" s="3">
        <v>6</v>
      </c>
      <c r="AC10" s="38">
        <f t="shared" si="0"/>
        <v>-1</v>
      </c>
      <c r="AD10" s="38">
        <f t="shared" si="1"/>
        <v>-1</v>
      </c>
      <c r="AE10" s="3">
        <f>IF(NOT(AA10),0,IF(AA9,1,IF(AA8,2,IF(AA7,3,IF(AA6,4,IF(AA5,5,IF(AA11,6)))))))</f>
        <v>0</v>
      </c>
      <c r="AF10" s="3">
        <f t="shared" si="2"/>
        <v>0</v>
      </c>
      <c r="AG10" s="3">
        <f t="shared" si="3"/>
        <v>0</v>
      </c>
      <c r="AH10" s="3">
        <f>(AE10*Interface!$E$14+IF(AA10,Interface!$E$9,0))*1000/$AB$17</f>
        <v>0</v>
      </c>
      <c r="AI10" s="3">
        <v>0</v>
      </c>
      <c r="AJ10" s="3"/>
      <c r="AK10" s="15">
        <f t="shared" ref="AK10:AK73" si="7">1+INT(MOD(AL10/60/24-0.5,7))</f>
        <v>7</v>
      </c>
      <c r="AL10" s="11">
        <f t="shared" ref="AL10:AL41" si="8">AL9+$AB$15</f>
        <v>6</v>
      </c>
      <c r="AM10" s="11" t="b">
        <f t="shared" si="5"/>
        <v>0</v>
      </c>
      <c r="AN10" s="11">
        <f t="shared" ref="AN10:AN73" si="9">IF(AND(AM10,NOT(AM11)),$AB$26,AN9+($AB$28-IF(AND(AM9,AM10),CHOOSE(AK10,$AG$5,$AG$6,$AG$7,$AG$8,$AG$9,$AG$10,$AG$11)*$AA$22/$AA$24,0))*$AB$15)</f>
        <v>36000</v>
      </c>
      <c r="AO10" s="11">
        <f t="shared" ref="AO10:AO73" si="10">IF(AND(AM10,NOT(AM11)),$AB$27,AO9+($AB$29-IF(AND(AM9,AM10),CHOOSE(AK10,$AG$5,$AG$6,$AG$7,$AG$8,$AG$9,$AG$10,$AG$11)*$AA$23/$AA$24,0))*$AB$15)</f>
        <v>0</v>
      </c>
      <c r="AP10" s="11">
        <f t="shared" ref="AP10:AP73" si="11">IF(AN9&lt;=0,0,(AP9*AN9-(IF(AND(AM9,AM10),CHOOSE(AK10,$AI$5,$AI$6,$AI$7,$AI$8,$AI$9,$AI$10,$AI$11),$AA$37))*AP9*$AB$15+$AA$34*(AQ9-AP9)*$AB$15+$AA$33*$AB$15)/AN9)</f>
        <v>0.8356137413685899</v>
      </c>
      <c r="AQ10" s="11">
        <f t="shared" ref="AQ10:AQ41" si="12">IF(AO9&lt;=0,0,(AQ9*AO9-$AA$34*(AQ9-AP9)*$AB$15)/AO9)</f>
        <v>0</v>
      </c>
      <c r="AS10" s="16">
        <v>6</v>
      </c>
      <c r="AT10" s="17"/>
      <c r="AU10" s="17"/>
      <c r="AV10" s="40" t="str">
        <f t="shared" si="4"/>
        <v/>
      </c>
      <c r="AW10" s="17"/>
      <c r="AX10" s="17">
        <f t="shared" ref="AX10:AX41" si="13">IF(AX9&gt;=$AG$14,$AG$14,AX9+1)</f>
        <v>1</v>
      </c>
      <c r="AY10" s="17">
        <f t="shared" si="6"/>
        <v>0.1</v>
      </c>
      <c r="AZ10" s="17">
        <v>83.561374136858987</v>
      </c>
      <c r="BA10" s="17"/>
      <c r="BB10" s="17">
        <v>36</v>
      </c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</row>
    <row r="11" spans="2:96" x14ac:dyDescent="0.15">
      <c r="B11" s="18"/>
      <c r="E11" s="24" t="s">
        <v>155</v>
      </c>
      <c r="F11" s="3">
        <f>IF(C10=1,0,Interface!E7)</f>
        <v>0</v>
      </c>
      <c r="H11" s="22" t="s">
        <v>156</v>
      </c>
      <c r="I11" s="22" t="s">
        <v>46</v>
      </c>
      <c r="J11" s="22" t="s">
        <v>72</v>
      </c>
      <c r="K11" s="22" t="s">
        <v>157</v>
      </c>
      <c r="L11" s="22" t="s">
        <v>158</v>
      </c>
      <c r="M11" s="23" t="s">
        <v>159</v>
      </c>
      <c r="N11" s="22" t="s">
        <v>160</v>
      </c>
      <c r="O11" s="22" t="s">
        <v>161</v>
      </c>
      <c r="P11" s="22" t="s">
        <v>162</v>
      </c>
      <c r="Q11" s="22" t="s">
        <v>163</v>
      </c>
      <c r="R11" s="22" t="s">
        <v>164</v>
      </c>
      <c r="S11" s="22" t="s">
        <v>152</v>
      </c>
      <c r="T11" s="22" t="s">
        <v>165</v>
      </c>
      <c r="U11" s="22" t="s">
        <v>166</v>
      </c>
      <c r="V11" s="22" t="s">
        <v>167</v>
      </c>
      <c r="W11" s="22" t="s">
        <v>168</v>
      </c>
      <c r="X11" s="22" t="s">
        <v>169</v>
      </c>
      <c r="Z11" s="18" t="s">
        <v>170</v>
      </c>
      <c r="AA11" s="37" t="b">
        <v>0</v>
      </c>
      <c r="AB11" s="3">
        <v>7</v>
      </c>
      <c r="AC11" s="38">
        <f t="shared" si="0"/>
        <v>-1</v>
      </c>
      <c r="AD11" s="38">
        <f t="shared" si="1"/>
        <v>-1</v>
      </c>
      <c r="AE11" s="3">
        <f>IF(NOT(AA11),0,IF(AA10,1,IF(AA9,2,IF(AA8,3,IF(AA7,4,IF(AA6,5,IF(AA5,6)))))))</f>
        <v>0</v>
      </c>
      <c r="AF11" s="3">
        <f t="shared" si="2"/>
        <v>0</v>
      </c>
      <c r="AG11" s="3">
        <f t="shared" si="3"/>
        <v>0</v>
      </c>
      <c r="AH11" s="3">
        <f>(AE11*Interface!$E$14+IF(AA11,Interface!$E$9,0))*1000/$AB$17</f>
        <v>0</v>
      </c>
      <c r="AI11" s="3">
        <v>0</v>
      </c>
      <c r="AJ11" s="3"/>
      <c r="AK11" s="15">
        <f t="shared" si="7"/>
        <v>7</v>
      </c>
      <c r="AL11" s="11">
        <f t="shared" si="8"/>
        <v>12</v>
      </c>
      <c r="AM11" s="11" t="b">
        <f t="shared" si="5"/>
        <v>0</v>
      </c>
      <c r="AN11" s="11">
        <f t="shared" si="9"/>
        <v>36000</v>
      </c>
      <c r="AO11" s="11">
        <f t="shared" si="10"/>
        <v>0</v>
      </c>
      <c r="AP11" s="11">
        <f t="shared" si="11"/>
        <v>0.83671605618340472</v>
      </c>
      <c r="AQ11" s="11">
        <f t="shared" si="12"/>
        <v>0</v>
      </c>
      <c r="AS11" s="16">
        <v>7</v>
      </c>
      <c r="AT11" s="17"/>
      <c r="AU11" s="17"/>
      <c r="AV11" s="40" t="str">
        <f>IF(ISNUMBER($AT11),($AT11-$AU11)/$AT11,"")</f>
        <v/>
      </c>
      <c r="AW11" s="17"/>
      <c r="AX11" s="17">
        <f t="shared" si="13"/>
        <v>2</v>
      </c>
      <c r="AY11" s="17">
        <f t="shared" si="6"/>
        <v>0.2</v>
      </c>
      <c r="AZ11" s="17">
        <v>83.671605618340479</v>
      </c>
      <c r="BA11" s="17"/>
      <c r="BB11" s="17">
        <v>36</v>
      </c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O11" s="16"/>
    </row>
    <row r="12" spans="2:96" x14ac:dyDescent="0.15">
      <c r="B12" s="18" t="s">
        <v>171</v>
      </c>
      <c r="C12" s="3" t="s">
        <v>172</v>
      </c>
      <c r="E12" s="24" t="s">
        <v>158</v>
      </c>
      <c r="F12" s="3">
        <v>500</v>
      </c>
      <c r="H12" s="3">
        <v>0</v>
      </c>
      <c r="I12" s="3">
        <f>$L$6-$F$6*($I$6*H12^2+$I$7*H12)</f>
        <v>360</v>
      </c>
      <c r="J12" s="3">
        <f>F5+F6</f>
        <v>500</v>
      </c>
      <c r="K12" s="3">
        <f>2*$F$6*$I$6*H12+$F$6*$I$7</f>
        <v>0</v>
      </c>
      <c r="L12" s="3">
        <f t="shared" ref="L12:L75" si="14">$L$8*$L$6/I12</f>
        <v>500</v>
      </c>
      <c r="M12" s="15">
        <f>L10</f>
        <v>7.0000000000000007E-2</v>
      </c>
      <c r="N12" s="3">
        <f>L7</f>
        <v>100</v>
      </c>
      <c r="O12" s="3">
        <f t="shared" ref="O12:O75" si="15">N12*S12</f>
        <v>100</v>
      </c>
      <c r="P12" s="3">
        <f>O12/(1-M12)</f>
        <v>107.52688172043011</v>
      </c>
      <c r="Q12" s="3">
        <v>47.43804793215515</v>
      </c>
      <c r="R12" s="3">
        <f>IF($F$19,P12,(1-U12)*P12+U12*Q12)</f>
        <v>77.482464826292627</v>
      </c>
      <c r="S12" s="3">
        <f t="shared" ref="S12:S75" si="16">IF($F$10=0,0,IF($F$10=1,1,(N12-L12-1/$I$5+((L12-N12+1/$I$5)^2+4*N12/$I$5)^0.5)/2/N12))</f>
        <v>1</v>
      </c>
      <c r="T12" s="3">
        <f>IF($F$19,0,$F$8*(P12-Q12))+R12*K12*(1-$F$11)</f>
        <v>30044.416894137481</v>
      </c>
      <c r="U12" s="3">
        <f>IF($F$8=0,0,IF(V12=0,0.5,IF(ISERROR(EXP(V12)),0,1/V12-1/(EXP(V12)-1))))</f>
        <v>0.5</v>
      </c>
      <c r="V12" s="3">
        <f>K12*(1-$F$11)/$F$8</f>
        <v>0</v>
      </c>
      <c r="W12" s="3">
        <f>(I12+$L$5)*N12</f>
        <v>36000</v>
      </c>
      <c r="X12" s="3">
        <f t="shared" ref="X12:X75" si="17">IF($F$19,W12-W13+X13,J12*Q12)</f>
        <v>23719.023966077577</v>
      </c>
      <c r="Z12" s="18" t="s">
        <v>173</v>
      </c>
      <c r="AA12" s="3">
        <f>IF(AA5,1,0)+IF(AA6,1,0)+IF(AA7,1,0)+IF(AA8,1,0)+IF(AA9,1,0)+IF(AA10,1,0)+IF(AA11,1,0)</f>
        <v>3</v>
      </c>
      <c r="AH12" s="18" t="s">
        <v>174</v>
      </c>
      <c r="AI12" s="11" t="b">
        <f>IF(AND(SUM(AI5:AI11)&lt;=0,AA37=0),TRUE,FALSE)</f>
        <v>0</v>
      </c>
      <c r="AJ12" s="3"/>
      <c r="AK12" s="15">
        <f t="shared" si="7"/>
        <v>7</v>
      </c>
      <c r="AL12" s="11">
        <f t="shared" si="8"/>
        <v>18</v>
      </c>
      <c r="AM12" s="11" t="b">
        <f t="shared" si="5"/>
        <v>0</v>
      </c>
      <c r="AN12" s="11">
        <f t="shared" si="9"/>
        <v>36000</v>
      </c>
      <c r="AO12" s="11">
        <f t="shared" si="10"/>
        <v>0</v>
      </c>
      <c r="AP12" s="11">
        <f t="shared" si="11"/>
        <v>0.83781837099821965</v>
      </c>
      <c r="AQ12" s="11">
        <f t="shared" si="12"/>
        <v>0</v>
      </c>
      <c r="AT12" s="3"/>
      <c r="AU12" s="17"/>
      <c r="AV12" s="19"/>
      <c r="AW12" s="17"/>
      <c r="AX12" s="17">
        <f t="shared" si="13"/>
        <v>3</v>
      </c>
      <c r="AY12" s="17">
        <f t="shared" si="6"/>
        <v>0.3</v>
      </c>
      <c r="AZ12" s="17">
        <v>83.781837099821971</v>
      </c>
      <c r="BA12" s="17"/>
      <c r="BB12" s="17">
        <v>36</v>
      </c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O12" s="16"/>
    </row>
    <row r="13" spans="2:96" x14ac:dyDescent="0.15">
      <c r="B13" s="18" t="s">
        <v>175</v>
      </c>
      <c r="C13" s="3" t="s">
        <v>176</v>
      </c>
      <c r="E13" s="24" t="s">
        <v>160</v>
      </c>
      <c r="F13" s="3">
        <v>100</v>
      </c>
      <c r="H13" s="3">
        <f>H12+$I$4</f>
        <v>1E-3</v>
      </c>
      <c r="I13" s="3">
        <f>$L$6-$F$6*($I$6*H13^2+$I$7*H13)</f>
        <v>360</v>
      </c>
      <c r="J13" s="14">
        <f>$J$12-$F$6*($I$6*H13^2+$I$7*H13)</f>
        <v>500</v>
      </c>
      <c r="K13" s="3">
        <f t="shared" ref="K13:K76" si="18">2*$F$6*$I$6*H13+$F$6*$I$7</f>
        <v>0</v>
      </c>
      <c r="L13" s="3">
        <f t="shared" si="14"/>
        <v>500</v>
      </c>
      <c r="M13" s="15">
        <f>$M$12*L13/$L$12</f>
        <v>7.0000000000000007E-2</v>
      </c>
      <c r="N13" s="3">
        <f>(N12*I12+P12*$L$5-T12*$I$4)/(I13+$L$5/(1-M13))</f>
        <v>99.916543286405172</v>
      </c>
      <c r="O13" s="3">
        <f t="shared" si="15"/>
        <v>99.916543286405172</v>
      </c>
      <c r="P13" s="3">
        <f t="shared" ref="P13:P76" si="19">O13/(1-M13)</f>
        <v>107.43714331871524</v>
      </c>
      <c r="Q13" s="3">
        <f>IF($F$19,IF($F$20,0,X13/J13),(Q12*J12-T12*$I$4)/J13)</f>
        <v>47.37795909836688</v>
      </c>
      <c r="R13" s="3">
        <f t="shared" ref="R13:R76" si="20">IF($F$19,P13,(1-U13)*P13+U13*Q13)</f>
        <v>77.407551208541065</v>
      </c>
      <c r="S13" s="3">
        <f t="shared" si="16"/>
        <v>1</v>
      </c>
      <c r="T13" s="3">
        <f t="shared" ref="T13:T76" si="21">IF($F$19,0,$F$8*(P13-Q13))+R13*K13*(1-$F$11)</f>
        <v>30029.592110174181</v>
      </c>
      <c r="U13" s="3">
        <f t="shared" ref="U13:U76" si="22">IF($F$8=0,0,IF(V13=0,0.5,IF(ISERROR(EXP(V13)),0,1/V13-1/(EXP(V13)-1))))</f>
        <v>0.5</v>
      </c>
      <c r="V13" s="3">
        <f t="shared" ref="V13:V76" si="23">K13*(1-$F$11)/$F$8</f>
        <v>0</v>
      </c>
      <c r="W13" s="3">
        <f t="shared" ref="W13:W76" si="24">(I13+$L$5)*N13</f>
        <v>35969.955583105861</v>
      </c>
      <c r="X13" s="3">
        <f t="shared" si="17"/>
        <v>23688.979549183441</v>
      </c>
      <c r="Z13" s="18"/>
      <c r="AH13" s="18" t="s">
        <v>177</v>
      </c>
      <c r="AI13" s="3">
        <f>SUM(AI5:AI11)/AA12-AA37</f>
        <v>237.19023966079999</v>
      </c>
      <c r="AJ13" s="3"/>
      <c r="AK13" s="15">
        <f t="shared" si="7"/>
        <v>7</v>
      </c>
      <c r="AL13" s="11">
        <f t="shared" si="8"/>
        <v>24</v>
      </c>
      <c r="AM13" s="11" t="b">
        <f t="shared" si="5"/>
        <v>0</v>
      </c>
      <c r="AN13" s="11">
        <f t="shared" si="9"/>
        <v>36000</v>
      </c>
      <c r="AO13" s="11">
        <f t="shared" si="10"/>
        <v>0</v>
      </c>
      <c r="AP13" s="11">
        <f t="shared" si="11"/>
        <v>0.83892068581303447</v>
      </c>
      <c r="AQ13" s="11">
        <f t="shared" si="12"/>
        <v>0</v>
      </c>
      <c r="AS13" s="18" t="s">
        <v>68</v>
      </c>
      <c r="AT13" s="11">
        <f>AVERAGE(AP9:AP1688)</f>
        <v>0.53198395085822359</v>
      </c>
      <c r="AU13" s="17"/>
      <c r="AV13" s="19"/>
      <c r="AW13" s="17"/>
      <c r="AX13" s="17">
        <f t="shared" si="13"/>
        <v>4</v>
      </c>
      <c r="AY13" s="17">
        <f t="shared" si="6"/>
        <v>0.4</v>
      </c>
      <c r="AZ13" s="17">
        <v>83.892068581303448</v>
      </c>
      <c r="BA13" s="17"/>
      <c r="BB13" s="17">
        <v>36</v>
      </c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O13" s="16"/>
    </row>
    <row r="14" spans="2:96" x14ac:dyDescent="0.15">
      <c r="B14" s="18" t="s">
        <v>178</v>
      </c>
      <c r="C14" s="3" t="s">
        <v>179</v>
      </c>
      <c r="E14" s="25" t="s">
        <v>180</v>
      </c>
      <c r="F14" s="3">
        <v>40</v>
      </c>
      <c r="H14" s="3">
        <f t="shared" ref="H14:H77" si="25">H13+$I$4</f>
        <v>2E-3</v>
      </c>
      <c r="I14" s="3">
        <f t="shared" ref="I14:I77" si="26">$I$12-$F$6*($I$6*H14^2+$I$7*H14)</f>
        <v>360</v>
      </c>
      <c r="J14" s="14">
        <f t="shared" ref="J14:J77" si="27">$J$12-$F$6*($I$6*H14^2+$I$7*H14)</f>
        <v>500</v>
      </c>
      <c r="K14" s="3">
        <f t="shared" si="18"/>
        <v>0</v>
      </c>
      <c r="L14" s="3">
        <f t="shared" si="14"/>
        <v>500</v>
      </c>
      <c r="M14" s="15">
        <f t="shared" ref="M14:M77" si="28">$M$12*L14/$L$12</f>
        <v>7.0000000000000007E-2</v>
      </c>
      <c r="N14" s="3">
        <f t="shared" ref="N14:N77" si="29">(N13*I13+P13*$L$5-T13*$I$4)/(I14+$L$5/(1-M14))</f>
        <v>99.833127752765805</v>
      </c>
      <c r="O14" s="3">
        <f t="shared" si="15"/>
        <v>99.833127752765805</v>
      </c>
      <c r="P14" s="3">
        <f t="shared" si="19"/>
        <v>107.34744919652238</v>
      </c>
      <c r="Q14" s="3">
        <f t="shared" ref="Q14:Q76" si="30">IF($F$19,IF($F$20,0,X14/J14),(Q13*J13-T13*$I$4)/J14)</f>
        <v>47.31789991414653</v>
      </c>
      <c r="R14" s="3">
        <f t="shared" si="20"/>
        <v>77.332674555334449</v>
      </c>
      <c r="S14" s="3">
        <f t="shared" si="16"/>
        <v>1</v>
      </c>
      <c r="T14" s="3">
        <f t="shared" si="21"/>
        <v>30014.774641187923</v>
      </c>
      <c r="U14" s="3">
        <f t="shared" si="22"/>
        <v>0.5</v>
      </c>
      <c r="V14" s="3">
        <f t="shared" si="23"/>
        <v>0</v>
      </c>
      <c r="W14" s="3">
        <f t="shared" si="24"/>
        <v>35939.925990995689</v>
      </c>
      <c r="X14" s="3">
        <f t="shared" si="17"/>
        <v>23658.949957073266</v>
      </c>
      <c r="Z14" s="18"/>
      <c r="AA14" s="22" t="s">
        <v>181</v>
      </c>
      <c r="AB14" s="22" t="s">
        <v>182</v>
      </c>
      <c r="AF14" s="18" t="s">
        <v>183</v>
      </c>
      <c r="AG14" s="3">
        <v>1680</v>
      </c>
      <c r="AI14" s="3"/>
      <c r="AJ14" s="3"/>
      <c r="AK14" s="15">
        <f t="shared" si="7"/>
        <v>7</v>
      </c>
      <c r="AL14" s="11">
        <f t="shared" si="8"/>
        <v>30</v>
      </c>
      <c r="AM14" s="11" t="b">
        <f t="shared" si="5"/>
        <v>0</v>
      </c>
      <c r="AN14" s="11">
        <f t="shared" si="9"/>
        <v>36000</v>
      </c>
      <c r="AO14" s="11">
        <f t="shared" si="10"/>
        <v>0</v>
      </c>
      <c r="AP14" s="11">
        <f t="shared" si="11"/>
        <v>0.84002300062784929</v>
      </c>
      <c r="AQ14" s="11">
        <f t="shared" si="12"/>
        <v>0</v>
      </c>
      <c r="AS14" s="18" t="s">
        <v>184</v>
      </c>
      <c r="AT14" s="11">
        <f>IF(ISNUMBER(AT5),AVERAGE(AT5:AT11),AT13)</f>
        <v>0.81727069862787927</v>
      </c>
      <c r="AU14" s="17"/>
      <c r="AV14" s="19"/>
      <c r="AW14" s="17"/>
      <c r="AX14" s="17">
        <f t="shared" si="13"/>
        <v>5</v>
      </c>
      <c r="AY14" s="17">
        <f t="shared" si="6"/>
        <v>0.5</v>
      </c>
      <c r="AZ14" s="17">
        <v>84.002300062784926</v>
      </c>
      <c r="BA14" s="17"/>
      <c r="BB14" s="17">
        <v>36</v>
      </c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</row>
    <row r="15" spans="2:96" x14ac:dyDescent="0.15">
      <c r="B15" s="18" t="s">
        <v>79</v>
      </c>
      <c r="C15" s="32">
        <v>1</v>
      </c>
      <c r="E15" s="25" t="s">
        <v>185</v>
      </c>
      <c r="F15" s="3">
        <v>40</v>
      </c>
      <c r="H15" s="3">
        <f t="shared" si="25"/>
        <v>3.0000000000000001E-3</v>
      </c>
      <c r="I15" s="3">
        <f t="shared" si="26"/>
        <v>360</v>
      </c>
      <c r="J15" s="14">
        <f t="shared" si="27"/>
        <v>500</v>
      </c>
      <c r="K15" s="3">
        <f t="shared" si="18"/>
        <v>0</v>
      </c>
      <c r="L15" s="3">
        <f t="shared" si="14"/>
        <v>500</v>
      </c>
      <c r="M15" s="15">
        <f t="shared" si="28"/>
        <v>7.0000000000000007E-2</v>
      </c>
      <c r="N15" s="3">
        <f t="shared" si="29"/>
        <v>99.749753378762506</v>
      </c>
      <c r="O15" s="3">
        <f t="shared" si="15"/>
        <v>99.749753378762506</v>
      </c>
      <c r="P15" s="3">
        <f t="shared" si="19"/>
        <v>107.2577993320027</v>
      </c>
      <c r="Q15" s="3">
        <f t="shared" si="30"/>
        <v>47.257870364864154</v>
      </c>
      <c r="R15" s="3">
        <f t="shared" si="20"/>
        <v>77.257834848433433</v>
      </c>
      <c r="S15" s="3">
        <f t="shared" si="16"/>
        <v>1</v>
      </c>
      <c r="T15" s="3">
        <f t="shared" si="21"/>
        <v>29999.964483569274</v>
      </c>
      <c r="U15" s="3">
        <f t="shared" si="22"/>
        <v>0.5</v>
      </c>
      <c r="V15" s="3">
        <f t="shared" si="23"/>
        <v>0</v>
      </c>
      <c r="W15" s="3">
        <f t="shared" si="24"/>
        <v>35909.9112163545</v>
      </c>
      <c r="X15" s="3">
        <f t="shared" si="17"/>
        <v>23628.935182432077</v>
      </c>
      <c r="Z15" s="18" t="s">
        <v>186</v>
      </c>
      <c r="AA15" s="3">
        <f>AB15/60</f>
        <v>0.1</v>
      </c>
      <c r="AB15" s="3">
        <v>6</v>
      </c>
      <c r="AF15" s="18" t="s">
        <v>45</v>
      </c>
      <c r="AG15" s="3">
        <f>24*60*7/AG14/AB15</f>
        <v>1</v>
      </c>
      <c r="AI15" s="3"/>
      <c r="AJ15" s="3"/>
      <c r="AK15" s="15">
        <f t="shared" si="7"/>
        <v>7</v>
      </c>
      <c r="AL15" s="11">
        <f t="shared" si="8"/>
        <v>36</v>
      </c>
      <c r="AM15" s="11" t="b">
        <f t="shared" si="5"/>
        <v>0</v>
      </c>
      <c r="AN15" s="11">
        <f t="shared" si="9"/>
        <v>36000</v>
      </c>
      <c r="AO15" s="11">
        <f t="shared" si="10"/>
        <v>0</v>
      </c>
      <c r="AP15" s="11">
        <f t="shared" si="11"/>
        <v>0.84112531544266411</v>
      </c>
      <c r="AQ15" s="11">
        <f t="shared" si="12"/>
        <v>0</v>
      </c>
      <c r="AS15" s="18" t="s">
        <v>187</v>
      </c>
      <c r="AT15" s="11" t="b">
        <f>ISERROR(AT13)</f>
        <v>0</v>
      </c>
      <c r="AU15" s="17"/>
      <c r="AV15" s="19"/>
      <c r="AW15" s="17"/>
      <c r="AX15" s="17">
        <f t="shared" si="13"/>
        <v>6</v>
      </c>
      <c r="AY15" s="17">
        <f t="shared" si="6"/>
        <v>0.6</v>
      </c>
      <c r="AZ15" s="17">
        <v>84.112531544266417</v>
      </c>
      <c r="BA15" s="17"/>
      <c r="BB15" s="17">
        <v>36</v>
      </c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</row>
    <row r="16" spans="2:96" x14ac:dyDescent="0.15">
      <c r="B16" s="18"/>
      <c r="E16" s="18" t="s">
        <v>188</v>
      </c>
      <c r="F16" s="3">
        <f>C10</f>
        <v>1</v>
      </c>
      <c r="H16" s="3">
        <f t="shared" si="25"/>
        <v>4.0000000000000001E-3</v>
      </c>
      <c r="I16" s="3">
        <f t="shared" si="26"/>
        <v>360</v>
      </c>
      <c r="J16" s="14">
        <f t="shared" si="27"/>
        <v>500</v>
      </c>
      <c r="K16" s="3">
        <f t="shared" si="18"/>
        <v>0</v>
      </c>
      <c r="L16" s="3">
        <f t="shared" si="14"/>
        <v>500</v>
      </c>
      <c r="M16" s="15">
        <f t="shared" si="28"/>
        <v>7.0000000000000007E-2</v>
      </c>
      <c r="N16" s="3">
        <f t="shared" si="29"/>
        <v>99.666420144085919</v>
      </c>
      <c r="O16" s="3">
        <f t="shared" si="15"/>
        <v>99.666420144085919</v>
      </c>
      <c r="P16" s="3">
        <f t="shared" si="19"/>
        <v>107.1681937033182</v>
      </c>
      <c r="Q16" s="3">
        <f t="shared" si="30"/>
        <v>47.197870435897016</v>
      </c>
      <c r="R16" s="3">
        <f t="shared" si="20"/>
        <v>77.183032069607606</v>
      </c>
      <c r="S16" s="3">
        <f t="shared" si="16"/>
        <v>1</v>
      </c>
      <c r="T16" s="3">
        <f t="shared" si="21"/>
        <v>29985.161633710588</v>
      </c>
      <c r="U16" s="3">
        <f t="shared" si="22"/>
        <v>0.5</v>
      </c>
      <c r="V16" s="3">
        <f t="shared" si="23"/>
        <v>0</v>
      </c>
      <c r="W16" s="3">
        <f t="shared" si="24"/>
        <v>35879.91125187093</v>
      </c>
      <c r="X16" s="3">
        <f t="shared" si="17"/>
        <v>23598.935217948507</v>
      </c>
      <c r="Z16" s="18" t="s">
        <v>189</v>
      </c>
      <c r="AA16" s="3">
        <v>12</v>
      </c>
      <c r="AB16" s="3">
        <f>AA16*60</f>
        <v>720</v>
      </c>
      <c r="AF16" s="18" t="s">
        <v>62</v>
      </c>
      <c r="AG16" s="3">
        <v>1E-3</v>
      </c>
      <c r="AI16" s="3"/>
      <c r="AJ16" s="3"/>
      <c r="AK16" s="15">
        <f t="shared" si="7"/>
        <v>7</v>
      </c>
      <c r="AL16" s="11">
        <f t="shared" si="8"/>
        <v>42</v>
      </c>
      <c r="AM16" s="11" t="b">
        <f t="shared" si="5"/>
        <v>0</v>
      </c>
      <c r="AN16" s="11">
        <f t="shared" si="9"/>
        <v>36000</v>
      </c>
      <c r="AO16" s="11">
        <f t="shared" si="10"/>
        <v>0</v>
      </c>
      <c r="AP16" s="11">
        <f t="shared" si="11"/>
        <v>0.84222763025747893</v>
      </c>
      <c r="AQ16" s="11">
        <f t="shared" si="12"/>
        <v>0</v>
      </c>
      <c r="AS16" s="18" t="s">
        <v>190</v>
      </c>
      <c r="AT16" s="11" t="b">
        <f>IF(OR(MIN(AP9:AP1689)&lt;0,MIN(AQ9:AQ1689)&lt;0),TRUE,FALSE)</f>
        <v>0</v>
      </c>
      <c r="AU16" s="17"/>
      <c r="AV16" s="19"/>
      <c r="AW16" s="17"/>
      <c r="AX16" s="17">
        <f t="shared" si="13"/>
        <v>7</v>
      </c>
      <c r="AY16" s="17">
        <f t="shared" si="6"/>
        <v>0.7</v>
      </c>
      <c r="AZ16" s="17">
        <v>84.222763025747895</v>
      </c>
      <c r="BA16" s="17"/>
      <c r="BB16" s="17">
        <v>36</v>
      </c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</row>
    <row r="17" spans="2:86" x14ac:dyDescent="0.15">
      <c r="B17" s="18" t="s">
        <v>191</v>
      </c>
      <c r="C17" s="3" t="s">
        <v>192</v>
      </c>
      <c r="E17" s="18" t="s">
        <v>4</v>
      </c>
      <c r="H17" s="3">
        <f t="shared" si="25"/>
        <v>5.0000000000000001E-3</v>
      </c>
      <c r="I17" s="3">
        <f t="shared" si="26"/>
        <v>360</v>
      </c>
      <c r="J17" s="14">
        <f t="shared" si="27"/>
        <v>500</v>
      </c>
      <c r="K17" s="3">
        <f t="shared" si="18"/>
        <v>0</v>
      </c>
      <c r="L17" s="3">
        <f t="shared" si="14"/>
        <v>500</v>
      </c>
      <c r="M17" s="15">
        <f t="shared" si="28"/>
        <v>7.0000000000000007E-2</v>
      </c>
      <c r="N17" s="3">
        <f t="shared" si="29"/>
        <v>99.583128028436718</v>
      </c>
      <c r="O17" s="3">
        <f t="shared" si="15"/>
        <v>99.583128028436718</v>
      </c>
      <c r="P17" s="3">
        <f t="shared" si="19"/>
        <v>107.07863228864164</v>
      </c>
      <c r="Q17" s="3">
        <f t="shared" si="30"/>
        <v>47.137900112629595</v>
      </c>
      <c r="R17" s="3">
        <f t="shared" si="20"/>
        <v>77.108266200635626</v>
      </c>
      <c r="S17" s="3">
        <f t="shared" si="16"/>
        <v>1</v>
      </c>
      <c r="T17" s="3">
        <f t="shared" si="21"/>
        <v>29970.366088006023</v>
      </c>
      <c r="U17" s="3">
        <f t="shared" si="22"/>
        <v>0.5</v>
      </c>
      <c r="V17" s="3">
        <f t="shared" si="23"/>
        <v>0</v>
      </c>
      <c r="W17" s="3">
        <f t="shared" si="24"/>
        <v>35849.926090237219</v>
      </c>
      <c r="X17" s="3">
        <f t="shared" si="17"/>
        <v>23568.950056314796</v>
      </c>
      <c r="Z17" s="18" t="s">
        <v>193</v>
      </c>
      <c r="AA17" s="3">
        <f>ABS(ROUND(Interface!$E$3*10,0)/10)</f>
        <v>3.3</v>
      </c>
      <c r="AB17" s="3">
        <f>AA17*60</f>
        <v>198</v>
      </c>
      <c r="AF17" s="18" t="s">
        <v>194</v>
      </c>
      <c r="AG17" s="3">
        <v>1</v>
      </c>
      <c r="AI17" s="3"/>
      <c r="AJ17" s="3"/>
      <c r="AK17" s="15">
        <f t="shared" si="7"/>
        <v>7</v>
      </c>
      <c r="AL17" s="11">
        <f t="shared" si="8"/>
        <v>48</v>
      </c>
      <c r="AM17" s="11" t="b">
        <f t="shared" si="5"/>
        <v>0</v>
      </c>
      <c r="AN17" s="11">
        <f t="shared" si="9"/>
        <v>36000</v>
      </c>
      <c r="AO17" s="11">
        <f t="shared" si="10"/>
        <v>0</v>
      </c>
      <c r="AP17" s="11">
        <f t="shared" si="11"/>
        <v>0.84332994507229386</v>
      </c>
      <c r="AQ17" s="11">
        <f t="shared" si="12"/>
        <v>0</v>
      </c>
      <c r="AT17" s="3"/>
      <c r="AU17" s="17"/>
      <c r="AV17" s="19"/>
      <c r="AW17" s="17"/>
      <c r="AX17" s="17">
        <f t="shared" si="13"/>
        <v>8</v>
      </c>
      <c r="AY17" s="17">
        <f t="shared" si="6"/>
        <v>0.8</v>
      </c>
      <c r="AZ17" s="17">
        <v>84.332994507229387</v>
      </c>
      <c r="BA17" s="17"/>
      <c r="BB17" s="17">
        <v>36</v>
      </c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</row>
    <row r="18" spans="2:86" x14ac:dyDescent="0.15">
      <c r="B18" s="18" t="s">
        <v>195</v>
      </c>
      <c r="C18" s="3" t="s">
        <v>12</v>
      </c>
      <c r="E18" s="18"/>
      <c r="H18" s="3">
        <f t="shared" si="25"/>
        <v>6.0000000000000001E-3</v>
      </c>
      <c r="I18" s="3">
        <f t="shared" si="26"/>
        <v>360</v>
      </c>
      <c r="J18" s="14">
        <f t="shared" si="27"/>
        <v>500</v>
      </c>
      <c r="K18" s="3">
        <f t="shared" si="18"/>
        <v>0</v>
      </c>
      <c r="L18" s="3">
        <f t="shared" si="14"/>
        <v>500</v>
      </c>
      <c r="M18" s="15">
        <f t="shared" si="28"/>
        <v>7.0000000000000007E-2</v>
      </c>
      <c r="N18" s="3">
        <f t="shared" si="29"/>
        <v>99.499877011525598</v>
      </c>
      <c r="O18" s="3">
        <f t="shared" si="15"/>
        <v>99.499877011525598</v>
      </c>
      <c r="P18" s="3">
        <f t="shared" si="19"/>
        <v>106.98911506615656</v>
      </c>
      <c r="Q18" s="3">
        <f t="shared" si="30"/>
        <v>47.077959380453578</v>
      </c>
      <c r="R18" s="3">
        <f t="shared" si="20"/>
        <v>77.033537223305075</v>
      </c>
      <c r="S18" s="3">
        <f t="shared" si="16"/>
        <v>1</v>
      </c>
      <c r="T18" s="3">
        <f t="shared" si="21"/>
        <v>29955.57784285149</v>
      </c>
      <c r="U18" s="3">
        <f t="shared" si="22"/>
        <v>0.5</v>
      </c>
      <c r="V18" s="3">
        <f t="shared" si="23"/>
        <v>0</v>
      </c>
      <c r="W18" s="3">
        <f t="shared" si="24"/>
        <v>35819.955724149215</v>
      </c>
      <c r="X18" s="3">
        <f t="shared" si="17"/>
        <v>23538.979690226788</v>
      </c>
      <c r="Z18" s="18" t="s">
        <v>196</v>
      </c>
      <c r="AA18" s="3">
        <f>24-AA16-AA17</f>
        <v>8.6999999999999993</v>
      </c>
      <c r="AB18" s="3">
        <f>AA18*60</f>
        <v>522</v>
      </c>
      <c r="AF18" s="18" t="s">
        <v>197</v>
      </c>
      <c r="AG18" s="20" t="b">
        <v>0</v>
      </c>
      <c r="AH18" s="11"/>
      <c r="AJ18" s="3"/>
      <c r="AK18" s="15">
        <f t="shared" si="7"/>
        <v>7</v>
      </c>
      <c r="AL18" s="11">
        <f t="shared" si="8"/>
        <v>54</v>
      </c>
      <c r="AM18" s="11" t="b">
        <f t="shared" si="5"/>
        <v>0</v>
      </c>
      <c r="AN18" s="11">
        <f t="shared" si="9"/>
        <v>36000</v>
      </c>
      <c r="AO18" s="11">
        <f t="shared" si="10"/>
        <v>0</v>
      </c>
      <c r="AP18" s="11">
        <f t="shared" si="11"/>
        <v>0.84443225988710868</v>
      </c>
      <c r="AQ18" s="11">
        <f t="shared" si="12"/>
        <v>0</v>
      </c>
      <c r="AT18" s="3"/>
      <c r="AU18" s="17"/>
      <c r="AV18" s="19"/>
      <c r="AW18" s="17"/>
      <c r="AX18" s="17">
        <f t="shared" si="13"/>
        <v>9</v>
      </c>
      <c r="AY18" s="17">
        <f t="shared" si="6"/>
        <v>0.9</v>
      </c>
      <c r="AZ18" s="17">
        <v>84.443225988710864</v>
      </c>
      <c r="BA18" s="17"/>
      <c r="BB18" s="17">
        <v>36</v>
      </c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</row>
    <row r="19" spans="2:86" x14ac:dyDescent="0.15">
      <c r="B19" s="18" t="s">
        <v>79</v>
      </c>
      <c r="C19" s="32">
        <v>1</v>
      </c>
      <c r="E19" s="18" t="s">
        <v>198</v>
      </c>
      <c r="F19" s="11" t="b">
        <f>AND(F5&lt;=0)</f>
        <v>0</v>
      </c>
      <c r="H19" s="3">
        <f t="shared" si="25"/>
        <v>7.0000000000000001E-3</v>
      </c>
      <c r="I19" s="3">
        <f t="shared" si="26"/>
        <v>360</v>
      </c>
      <c r="J19" s="14">
        <f t="shared" si="27"/>
        <v>500</v>
      </c>
      <c r="K19" s="3">
        <f t="shared" si="18"/>
        <v>0</v>
      </c>
      <c r="L19" s="3">
        <f t="shared" si="14"/>
        <v>500</v>
      </c>
      <c r="M19" s="15">
        <f t="shared" si="28"/>
        <v>7.0000000000000007E-2</v>
      </c>
      <c r="N19" s="3">
        <f t="shared" si="29"/>
        <v>99.416667073073228</v>
      </c>
      <c r="O19" s="3">
        <f t="shared" si="15"/>
        <v>99.416667073073228</v>
      </c>
      <c r="P19" s="3">
        <f t="shared" si="19"/>
        <v>106.89964201405724</v>
      </c>
      <c r="Q19" s="3">
        <f t="shared" si="30"/>
        <v>47.018048224767874</v>
      </c>
      <c r="R19" s="3">
        <f t="shared" si="20"/>
        <v>76.958845119412558</v>
      </c>
      <c r="S19" s="3">
        <f t="shared" si="16"/>
        <v>1</v>
      </c>
      <c r="T19" s="3">
        <f t="shared" si="21"/>
        <v>29940.796894644682</v>
      </c>
      <c r="U19" s="3">
        <f t="shared" si="22"/>
        <v>0.5</v>
      </c>
      <c r="V19" s="3">
        <f t="shared" si="23"/>
        <v>0</v>
      </c>
      <c r="W19" s="3">
        <f t="shared" si="24"/>
        <v>35790.00014630636</v>
      </c>
      <c r="X19" s="3">
        <f t="shared" si="17"/>
        <v>23509.024112383937</v>
      </c>
      <c r="Z19" s="18" t="s">
        <v>199</v>
      </c>
      <c r="AA19" s="3">
        <f>AA12*AA17</f>
        <v>9.8999999999999986</v>
      </c>
      <c r="AB19" s="3">
        <f>AA19*60</f>
        <v>593.99999999999989</v>
      </c>
      <c r="AF19" s="18" t="s">
        <v>200</v>
      </c>
      <c r="AG19" s="20" t="b">
        <v>1</v>
      </c>
      <c r="AH19" s="11"/>
      <c r="AJ19" s="3"/>
      <c r="AK19" s="15">
        <f t="shared" si="7"/>
        <v>7</v>
      </c>
      <c r="AL19" s="11">
        <f t="shared" si="8"/>
        <v>60</v>
      </c>
      <c r="AM19" s="11" t="b">
        <f t="shared" si="5"/>
        <v>0</v>
      </c>
      <c r="AN19" s="11">
        <f t="shared" si="9"/>
        <v>36000</v>
      </c>
      <c r="AO19" s="11">
        <f t="shared" si="10"/>
        <v>0</v>
      </c>
      <c r="AP19" s="11">
        <f t="shared" si="11"/>
        <v>0.8455345747019235</v>
      </c>
      <c r="AQ19" s="11">
        <f t="shared" si="12"/>
        <v>0</v>
      </c>
      <c r="AT19" s="3"/>
      <c r="AU19" s="17"/>
      <c r="AV19" s="19"/>
      <c r="AW19" s="17"/>
      <c r="AX19" s="17">
        <f t="shared" si="13"/>
        <v>10</v>
      </c>
      <c r="AY19" s="17">
        <f t="shared" si="6"/>
        <v>1</v>
      </c>
      <c r="AZ19" s="17">
        <v>84.553457470192356</v>
      </c>
      <c r="BA19" s="17"/>
      <c r="BB19" s="17">
        <v>36</v>
      </c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</row>
    <row r="20" spans="2:86" x14ac:dyDescent="0.15">
      <c r="E20" s="18" t="s">
        <v>201</v>
      </c>
      <c r="F20" s="11" t="b">
        <f>AND(F6&lt;=0)</f>
        <v>1</v>
      </c>
      <c r="H20" s="3">
        <f t="shared" si="25"/>
        <v>8.0000000000000002E-3</v>
      </c>
      <c r="I20" s="3">
        <f t="shared" si="26"/>
        <v>360</v>
      </c>
      <c r="J20" s="14">
        <f t="shared" si="27"/>
        <v>500</v>
      </c>
      <c r="K20" s="3">
        <f t="shared" si="18"/>
        <v>0</v>
      </c>
      <c r="L20" s="3">
        <f t="shared" si="14"/>
        <v>500</v>
      </c>
      <c r="M20" s="15">
        <f t="shared" si="28"/>
        <v>7.0000000000000007E-2</v>
      </c>
      <c r="N20" s="3">
        <f t="shared" si="29"/>
        <v>99.33349819281031</v>
      </c>
      <c r="O20" s="3">
        <f t="shared" si="15"/>
        <v>99.33349819281031</v>
      </c>
      <c r="P20" s="3">
        <f t="shared" si="19"/>
        <v>106.81021311054873</v>
      </c>
      <c r="Q20" s="3">
        <f t="shared" si="30"/>
        <v>46.958166630978589</v>
      </c>
      <c r="R20" s="3">
        <f t="shared" si="20"/>
        <v>76.884189870763663</v>
      </c>
      <c r="S20" s="3">
        <f t="shared" si="16"/>
        <v>1</v>
      </c>
      <c r="T20" s="3">
        <f t="shared" si="21"/>
        <v>29926.02323978507</v>
      </c>
      <c r="U20" s="3">
        <f t="shared" si="22"/>
        <v>0.5</v>
      </c>
      <c r="V20" s="3">
        <f t="shared" si="23"/>
        <v>0</v>
      </c>
      <c r="W20" s="3">
        <f t="shared" si="24"/>
        <v>35760.059349411713</v>
      </c>
      <c r="X20" s="3">
        <f t="shared" si="17"/>
        <v>23479.083315489293</v>
      </c>
      <c r="Z20" s="18" t="s">
        <v>202</v>
      </c>
      <c r="AB20" s="3">
        <f>IF(AA5,AD5,IF(AA6,AD6,IF(AA7,AD7,IF(AA8,AD8,IF(AA9,AD9,IF(AA10,AD10,IF(AA11,AD11,0)))))))</f>
        <v>918</v>
      </c>
      <c r="AF20" s="18" t="s">
        <v>203</v>
      </c>
      <c r="AG20" s="20" t="b">
        <v>0</v>
      </c>
      <c r="AH20" s="11"/>
      <c r="AJ20" s="3"/>
      <c r="AK20" s="15">
        <f t="shared" si="7"/>
        <v>7</v>
      </c>
      <c r="AL20" s="11">
        <f t="shared" si="8"/>
        <v>66</v>
      </c>
      <c r="AM20" s="11" t="b">
        <f t="shared" si="5"/>
        <v>0</v>
      </c>
      <c r="AN20" s="11">
        <f t="shared" si="9"/>
        <v>36000</v>
      </c>
      <c r="AO20" s="11">
        <f t="shared" si="10"/>
        <v>0</v>
      </c>
      <c r="AP20" s="11">
        <f t="shared" si="11"/>
        <v>0.84663688951673832</v>
      </c>
      <c r="AQ20" s="11">
        <f t="shared" si="12"/>
        <v>0</v>
      </c>
      <c r="AT20" s="3"/>
      <c r="AU20" s="17"/>
      <c r="AV20" s="19"/>
      <c r="AW20" s="17"/>
      <c r="AX20" s="17">
        <f t="shared" si="13"/>
        <v>11</v>
      </c>
      <c r="AY20" s="17">
        <f t="shared" ref="AY20:AY83" si="31">IF(ISNUMBER(AX20),IF(ROUND((AX20)*$AG$15*$AB$15,0) &lt;= 10080, ROUND((AX20)*$AG$15,0)*$AB$15/60, 168),168)</f>
        <v>1.1000000000000001</v>
      </c>
      <c r="AZ20" s="17">
        <v>84.663688951673834</v>
      </c>
      <c r="BA20" s="17"/>
      <c r="BB20" s="17">
        <v>36</v>
      </c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</row>
    <row r="21" spans="2:86" x14ac:dyDescent="0.15">
      <c r="B21" s="18" t="s">
        <v>204</v>
      </c>
      <c r="C21" s="11" t="b">
        <v>1</v>
      </c>
      <c r="E21" s="18"/>
      <c r="H21" s="3">
        <f t="shared" si="25"/>
        <v>9.0000000000000011E-3</v>
      </c>
      <c r="I21" s="3">
        <f t="shared" si="26"/>
        <v>360</v>
      </c>
      <c r="J21" s="14">
        <f t="shared" si="27"/>
        <v>500</v>
      </c>
      <c r="K21" s="3">
        <f t="shared" si="18"/>
        <v>0</v>
      </c>
      <c r="L21" s="3">
        <f t="shared" si="14"/>
        <v>500</v>
      </c>
      <c r="M21" s="15">
        <f t="shared" si="28"/>
        <v>7.0000000000000007E-2</v>
      </c>
      <c r="N21" s="3">
        <f t="shared" si="29"/>
        <v>99.250370350477567</v>
      </c>
      <c r="O21" s="3">
        <f t="shared" si="15"/>
        <v>99.250370350477567</v>
      </c>
      <c r="P21" s="3">
        <f t="shared" si="19"/>
        <v>106.72082833384685</v>
      </c>
      <c r="Q21" s="3">
        <f t="shared" si="30"/>
        <v>46.898314584499012</v>
      </c>
      <c r="R21" s="3">
        <f t="shared" si="20"/>
        <v>76.809571459172929</v>
      </c>
      <c r="S21" s="3">
        <f t="shared" si="16"/>
        <v>1</v>
      </c>
      <c r="T21" s="3">
        <f t="shared" si="21"/>
        <v>29911.25687467392</v>
      </c>
      <c r="U21" s="3">
        <f t="shared" si="22"/>
        <v>0.5</v>
      </c>
      <c r="V21" s="3">
        <f t="shared" si="23"/>
        <v>0</v>
      </c>
      <c r="W21" s="3">
        <f t="shared" si="24"/>
        <v>35730.133326171926</v>
      </c>
      <c r="X21" s="3">
        <f t="shared" si="17"/>
        <v>23449.157292249507</v>
      </c>
      <c r="Z21" s="18"/>
      <c r="AF21" s="18" t="s">
        <v>205</v>
      </c>
      <c r="AG21" s="11" t="b">
        <f>IF(Calculations!AB19&gt;=10080,TRUE,FALSE)</f>
        <v>0</v>
      </c>
      <c r="AI21" s="3"/>
      <c r="AJ21" s="3"/>
      <c r="AK21" s="15">
        <f t="shared" si="7"/>
        <v>7</v>
      </c>
      <c r="AL21" s="11">
        <f t="shared" si="8"/>
        <v>72</v>
      </c>
      <c r="AM21" s="11" t="b">
        <f t="shared" si="5"/>
        <v>0</v>
      </c>
      <c r="AN21" s="11">
        <f t="shared" si="9"/>
        <v>36000</v>
      </c>
      <c r="AO21" s="11">
        <f t="shared" si="10"/>
        <v>0</v>
      </c>
      <c r="AP21" s="11">
        <f t="shared" si="11"/>
        <v>0.84773920433155314</v>
      </c>
      <c r="AQ21" s="11">
        <f t="shared" si="12"/>
        <v>0</v>
      </c>
      <c r="AT21" s="3"/>
      <c r="AU21" s="17"/>
      <c r="AV21" s="19"/>
      <c r="AW21" s="17"/>
      <c r="AX21" s="17">
        <f t="shared" si="13"/>
        <v>12</v>
      </c>
      <c r="AY21" s="17">
        <f t="shared" si="31"/>
        <v>1.2</v>
      </c>
      <c r="AZ21" s="17">
        <v>84.773920433155311</v>
      </c>
      <c r="BA21" s="17"/>
      <c r="BB21" s="17">
        <v>36</v>
      </c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</row>
    <row r="22" spans="2:86" x14ac:dyDescent="0.15">
      <c r="B22" s="18" t="s">
        <v>206</v>
      </c>
      <c r="C22" s="11" t="b">
        <v>1</v>
      </c>
      <c r="E22" s="26" t="s">
        <v>207</v>
      </c>
      <c r="F22" s="3">
        <f>MIN(I12:I1012)</f>
        <v>360</v>
      </c>
      <c r="H22" s="3">
        <f t="shared" si="25"/>
        <v>1.0000000000000002E-2</v>
      </c>
      <c r="I22" s="3">
        <f t="shared" si="26"/>
        <v>360</v>
      </c>
      <c r="J22" s="14">
        <f t="shared" si="27"/>
        <v>500</v>
      </c>
      <c r="K22" s="3">
        <f t="shared" si="18"/>
        <v>0</v>
      </c>
      <c r="L22" s="3">
        <f t="shared" si="14"/>
        <v>500</v>
      </c>
      <c r="M22" s="15">
        <f t="shared" si="28"/>
        <v>7.0000000000000007E-2</v>
      </c>
      <c r="N22" s="3">
        <f t="shared" si="29"/>
        <v>99.167283525825709</v>
      </c>
      <c r="O22" s="3">
        <f t="shared" si="15"/>
        <v>99.167283525825709</v>
      </c>
      <c r="P22" s="3">
        <f t="shared" si="19"/>
        <v>106.63148766217819</v>
      </c>
      <c r="Q22" s="3">
        <f t="shared" si="30"/>
        <v>46.838492070749666</v>
      </c>
      <c r="R22" s="3">
        <f t="shared" si="20"/>
        <v>76.734989866463934</v>
      </c>
      <c r="S22" s="3">
        <f t="shared" si="16"/>
        <v>1</v>
      </c>
      <c r="T22" s="3">
        <f t="shared" si="21"/>
        <v>29896.497795714262</v>
      </c>
      <c r="U22" s="3">
        <f t="shared" si="22"/>
        <v>0.5</v>
      </c>
      <c r="V22" s="3">
        <f t="shared" si="23"/>
        <v>0</v>
      </c>
      <c r="W22" s="3">
        <f t="shared" si="24"/>
        <v>35700.222069297255</v>
      </c>
      <c r="X22" s="3">
        <f t="shared" si="17"/>
        <v>23419.246035374832</v>
      </c>
      <c r="Z22" s="18" t="s">
        <v>208</v>
      </c>
      <c r="AA22" s="3">
        <f>IF(C15=1,Interface!E23,IF(C15=2,100,Interface!$E$25))/100</f>
        <v>1</v>
      </c>
      <c r="AI22" s="3"/>
      <c r="AJ22" s="3"/>
      <c r="AK22" s="15">
        <f t="shared" si="7"/>
        <v>7</v>
      </c>
      <c r="AL22" s="11">
        <f t="shared" si="8"/>
        <v>78</v>
      </c>
      <c r="AM22" s="11" t="b">
        <f t="shared" si="5"/>
        <v>0</v>
      </c>
      <c r="AN22" s="11">
        <f t="shared" si="9"/>
        <v>36000</v>
      </c>
      <c r="AO22" s="11">
        <f t="shared" si="10"/>
        <v>0</v>
      </c>
      <c r="AP22" s="11">
        <f t="shared" si="11"/>
        <v>0.84884151914636807</v>
      </c>
      <c r="AQ22" s="11">
        <f t="shared" si="12"/>
        <v>0</v>
      </c>
      <c r="AT22" s="3"/>
      <c r="AU22" s="17"/>
      <c r="AV22" s="19"/>
      <c r="AW22" s="17"/>
      <c r="AX22" s="17">
        <f t="shared" si="13"/>
        <v>13</v>
      </c>
      <c r="AY22" s="17">
        <f t="shared" si="31"/>
        <v>1.3</v>
      </c>
      <c r="AZ22" s="17">
        <v>84.884151914636803</v>
      </c>
      <c r="BA22" s="17"/>
      <c r="BB22" s="17">
        <v>36</v>
      </c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</row>
    <row r="23" spans="2:86" x14ac:dyDescent="0.15">
      <c r="E23" s="26" t="s">
        <v>209</v>
      </c>
      <c r="F23" s="3">
        <f>MIN(J12:J1011)</f>
        <v>500</v>
      </c>
      <c r="H23" s="3">
        <f t="shared" si="25"/>
        <v>1.1000000000000003E-2</v>
      </c>
      <c r="I23" s="3">
        <f t="shared" si="26"/>
        <v>360</v>
      </c>
      <c r="J23" s="14">
        <f t="shared" si="27"/>
        <v>500</v>
      </c>
      <c r="K23" s="3">
        <f t="shared" si="18"/>
        <v>0</v>
      </c>
      <c r="L23" s="3">
        <f t="shared" si="14"/>
        <v>500</v>
      </c>
      <c r="M23" s="15">
        <f t="shared" si="28"/>
        <v>7.0000000000000007E-2</v>
      </c>
      <c r="N23" s="3">
        <f t="shared" si="29"/>
        <v>99.084237698615397</v>
      </c>
      <c r="O23" s="3">
        <f t="shared" si="15"/>
        <v>99.084237698615397</v>
      </c>
      <c r="P23" s="3">
        <f t="shared" si="19"/>
        <v>106.54219107378</v>
      </c>
      <c r="Q23" s="3">
        <f t="shared" si="30"/>
        <v>46.778699075158237</v>
      </c>
      <c r="R23" s="3">
        <f t="shared" si="20"/>
        <v>76.660445074469123</v>
      </c>
      <c r="S23" s="3">
        <f t="shared" si="16"/>
        <v>1</v>
      </c>
      <c r="T23" s="3">
        <f t="shared" si="21"/>
        <v>29881.745999310882</v>
      </c>
      <c r="U23" s="3">
        <f t="shared" si="22"/>
        <v>0.5</v>
      </c>
      <c r="V23" s="3">
        <f t="shared" si="23"/>
        <v>0</v>
      </c>
      <c r="W23" s="3">
        <f t="shared" si="24"/>
        <v>35670.32557150154</v>
      </c>
      <c r="X23" s="3">
        <f t="shared" si="17"/>
        <v>23389.349537579117</v>
      </c>
      <c r="Z23" s="18" t="s">
        <v>210</v>
      </c>
      <c r="AA23" s="3">
        <f>IF(C15=1,0,IF(C15=2,0,Interface!$E$26))/100</f>
        <v>0</v>
      </c>
      <c r="AI23" s="3"/>
      <c r="AJ23" s="3"/>
      <c r="AK23" s="15">
        <f t="shared" si="7"/>
        <v>7</v>
      </c>
      <c r="AL23" s="11">
        <f t="shared" si="8"/>
        <v>84</v>
      </c>
      <c r="AM23" s="11" t="b">
        <f t="shared" si="5"/>
        <v>0</v>
      </c>
      <c r="AN23" s="11">
        <f t="shared" si="9"/>
        <v>36000</v>
      </c>
      <c r="AO23" s="11">
        <f t="shared" si="10"/>
        <v>0</v>
      </c>
      <c r="AP23" s="11">
        <f t="shared" si="11"/>
        <v>0.84994383396118289</v>
      </c>
      <c r="AQ23" s="11">
        <f t="shared" si="12"/>
        <v>0</v>
      </c>
      <c r="AT23" s="3"/>
      <c r="AU23" s="17"/>
      <c r="AV23" s="19"/>
      <c r="AW23" s="17"/>
      <c r="AX23" s="17">
        <f t="shared" si="13"/>
        <v>14</v>
      </c>
      <c r="AY23" s="17">
        <f t="shared" si="31"/>
        <v>1.4</v>
      </c>
      <c r="AZ23" s="17">
        <v>84.994383396118295</v>
      </c>
      <c r="BA23" s="17"/>
      <c r="BB23" s="17">
        <v>36</v>
      </c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</row>
    <row r="24" spans="2:86" x14ac:dyDescent="0.15">
      <c r="E24" s="26" t="s">
        <v>211</v>
      </c>
      <c r="F24" s="21" t="b">
        <f>IF(OR(ISERROR(F22),ISERROR(F23)),TRUE,IF(OR(F22&lt;=0,F23&lt;=0),TRUE,FALSE))</f>
        <v>0</v>
      </c>
      <c r="H24" s="3">
        <f t="shared" si="25"/>
        <v>1.2000000000000004E-2</v>
      </c>
      <c r="I24" s="3">
        <f t="shared" si="26"/>
        <v>360</v>
      </c>
      <c r="J24" s="14">
        <f t="shared" si="27"/>
        <v>500</v>
      </c>
      <c r="K24" s="3">
        <f t="shared" si="18"/>
        <v>0</v>
      </c>
      <c r="L24" s="3">
        <f t="shared" si="14"/>
        <v>500</v>
      </c>
      <c r="M24" s="15">
        <f t="shared" si="28"/>
        <v>7.0000000000000007E-2</v>
      </c>
      <c r="N24" s="3">
        <f t="shared" si="29"/>
        <v>99.001232848617306</v>
      </c>
      <c r="O24" s="3">
        <f t="shared" si="15"/>
        <v>99.001232848617306</v>
      </c>
      <c r="P24" s="3">
        <f t="shared" si="19"/>
        <v>106.45293854690034</v>
      </c>
      <c r="Q24" s="3">
        <f t="shared" si="30"/>
        <v>46.718935583159613</v>
      </c>
      <c r="R24" s="3">
        <f t="shared" si="20"/>
        <v>76.585937065029981</v>
      </c>
      <c r="S24" s="3">
        <f t="shared" si="16"/>
        <v>1</v>
      </c>
      <c r="T24" s="3">
        <f t="shared" si="21"/>
        <v>29867.001481870364</v>
      </c>
      <c r="U24" s="3">
        <f t="shared" si="22"/>
        <v>0.5</v>
      </c>
      <c r="V24" s="3">
        <f t="shared" si="23"/>
        <v>0</v>
      </c>
      <c r="W24" s="3">
        <f t="shared" si="24"/>
        <v>35640.443825502232</v>
      </c>
      <c r="X24" s="3">
        <f t="shared" si="17"/>
        <v>23359.467791579806</v>
      </c>
      <c r="Z24" s="18" t="s">
        <v>212</v>
      </c>
      <c r="AA24" s="3">
        <f>IF(AA22+AA23=0,1,AA22+AA23)</f>
        <v>1</v>
      </c>
      <c r="AI24" s="3"/>
      <c r="AJ24" s="3"/>
      <c r="AK24" s="15">
        <f t="shared" si="7"/>
        <v>7</v>
      </c>
      <c r="AL24" s="11">
        <f t="shared" si="8"/>
        <v>90</v>
      </c>
      <c r="AM24" s="11" t="b">
        <f t="shared" si="5"/>
        <v>0</v>
      </c>
      <c r="AN24" s="11">
        <f t="shared" si="9"/>
        <v>36000</v>
      </c>
      <c r="AO24" s="11">
        <f t="shared" si="10"/>
        <v>0</v>
      </c>
      <c r="AP24" s="11">
        <f t="shared" si="11"/>
        <v>0.85104614877599771</v>
      </c>
      <c r="AQ24" s="11">
        <f t="shared" si="12"/>
        <v>0</v>
      </c>
      <c r="AT24" s="3"/>
      <c r="AU24" s="17"/>
      <c r="AV24" s="19"/>
      <c r="AW24" s="17"/>
      <c r="AX24" s="17">
        <f t="shared" si="13"/>
        <v>15</v>
      </c>
      <c r="AY24" s="17">
        <f t="shared" si="31"/>
        <v>1.5</v>
      </c>
      <c r="AZ24" s="17">
        <v>85.104614877599772</v>
      </c>
      <c r="BA24" s="17"/>
      <c r="BB24" s="17">
        <v>36</v>
      </c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</row>
    <row r="25" spans="2:86" x14ac:dyDescent="0.15">
      <c r="E25" s="18"/>
      <c r="H25" s="3">
        <f t="shared" si="25"/>
        <v>1.3000000000000005E-2</v>
      </c>
      <c r="I25" s="3">
        <f t="shared" si="26"/>
        <v>360</v>
      </c>
      <c r="J25" s="14">
        <f t="shared" si="27"/>
        <v>500</v>
      </c>
      <c r="K25" s="3">
        <f t="shared" si="18"/>
        <v>0</v>
      </c>
      <c r="L25" s="3">
        <f t="shared" si="14"/>
        <v>500</v>
      </c>
      <c r="M25" s="15">
        <f t="shared" si="28"/>
        <v>7.0000000000000007E-2</v>
      </c>
      <c r="N25" s="3">
        <f t="shared" si="29"/>
        <v>98.91826895561212</v>
      </c>
      <c r="O25" s="3">
        <f t="shared" si="15"/>
        <v>98.91826895561212</v>
      </c>
      <c r="P25" s="3">
        <f t="shared" si="19"/>
        <v>106.36373005979799</v>
      </c>
      <c r="Q25" s="3">
        <f t="shared" si="30"/>
        <v>46.659201580195869</v>
      </c>
      <c r="R25" s="3">
        <f t="shared" si="20"/>
        <v>76.511465819996928</v>
      </c>
      <c r="S25" s="3">
        <f t="shared" si="16"/>
        <v>1</v>
      </c>
      <c r="T25" s="3">
        <f t="shared" si="21"/>
        <v>29852.264239801058</v>
      </c>
      <c r="U25" s="3">
        <f t="shared" si="22"/>
        <v>0.5</v>
      </c>
      <c r="V25" s="3">
        <f t="shared" si="23"/>
        <v>0</v>
      </c>
      <c r="W25" s="3">
        <f t="shared" si="24"/>
        <v>35610.576824020362</v>
      </c>
      <c r="X25" s="3">
        <f t="shared" si="17"/>
        <v>23329.600790097935</v>
      </c>
      <c r="Z25" s="18"/>
      <c r="AA25" s="22" t="s">
        <v>213</v>
      </c>
      <c r="AB25" s="22" t="s">
        <v>214</v>
      </c>
      <c r="AI25" s="3"/>
      <c r="AJ25" s="3"/>
      <c r="AK25" s="15">
        <f t="shared" si="7"/>
        <v>7</v>
      </c>
      <c r="AL25" s="11">
        <f t="shared" si="8"/>
        <v>96</v>
      </c>
      <c r="AM25" s="11" t="b">
        <f t="shared" si="5"/>
        <v>0</v>
      </c>
      <c r="AN25" s="11">
        <f t="shared" si="9"/>
        <v>36000</v>
      </c>
      <c r="AO25" s="11">
        <f t="shared" si="10"/>
        <v>0</v>
      </c>
      <c r="AP25" s="11">
        <f t="shared" si="11"/>
        <v>0.85214846359081253</v>
      </c>
      <c r="AQ25" s="11">
        <f t="shared" si="12"/>
        <v>0</v>
      </c>
      <c r="AT25" s="3"/>
      <c r="AU25" s="17"/>
      <c r="AV25" s="19"/>
      <c r="AW25" s="17"/>
      <c r="AX25" s="17">
        <f t="shared" si="13"/>
        <v>16</v>
      </c>
      <c r="AY25" s="17">
        <f t="shared" si="31"/>
        <v>1.6</v>
      </c>
      <c r="AZ25" s="17">
        <v>85.21484635908125</v>
      </c>
      <c r="BA25" s="17"/>
      <c r="BB25" s="17">
        <v>36</v>
      </c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</row>
    <row r="26" spans="2:86" x14ac:dyDescent="0.15">
      <c r="E26" s="18" t="s">
        <v>215</v>
      </c>
      <c r="F26" s="3">
        <v>100</v>
      </c>
      <c r="H26" s="3">
        <f t="shared" si="25"/>
        <v>1.4000000000000005E-2</v>
      </c>
      <c r="I26" s="3">
        <f t="shared" si="26"/>
        <v>360</v>
      </c>
      <c r="J26" s="14">
        <f t="shared" si="27"/>
        <v>500</v>
      </c>
      <c r="K26" s="3">
        <f t="shared" si="18"/>
        <v>0</v>
      </c>
      <c r="L26" s="3">
        <f t="shared" si="14"/>
        <v>500</v>
      </c>
      <c r="M26" s="15">
        <f t="shared" si="28"/>
        <v>7.0000000000000007E-2</v>
      </c>
      <c r="N26" s="3">
        <f t="shared" si="29"/>
        <v>98.835345999390441</v>
      </c>
      <c r="O26" s="3">
        <f t="shared" si="15"/>
        <v>98.835345999390441</v>
      </c>
      <c r="P26" s="3">
        <f t="shared" si="19"/>
        <v>106.27456559074241</v>
      </c>
      <c r="Q26" s="3">
        <f t="shared" si="30"/>
        <v>46.599497051716263</v>
      </c>
      <c r="R26" s="3">
        <f t="shared" si="20"/>
        <v>76.437031321229341</v>
      </c>
      <c r="S26" s="3">
        <f t="shared" si="16"/>
        <v>1</v>
      </c>
      <c r="T26" s="3">
        <f t="shared" si="21"/>
        <v>29837.534269513075</v>
      </c>
      <c r="U26" s="3">
        <f t="shared" si="22"/>
        <v>0.5</v>
      </c>
      <c r="V26" s="3">
        <f t="shared" si="23"/>
        <v>0</v>
      </c>
      <c r="W26" s="3">
        <f t="shared" si="24"/>
        <v>35580.72455978056</v>
      </c>
      <c r="X26" s="3">
        <f t="shared" si="17"/>
        <v>23299.748525858133</v>
      </c>
      <c r="Z26" s="18" t="s">
        <v>216</v>
      </c>
      <c r="AA26" s="3">
        <f>Interface!E22*IF(C15=2,1/3,1)</f>
        <v>36</v>
      </c>
      <c r="AB26" s="3">
        <f>AA26*1000</f>
        <v>36000</v>
      </c>
      <c r="AI26" s="3"/>
      <c r="AJ26" s="3"/>
      <c r="AK26" s="15">
        <f t="shared" si="7"/>
        <v>7</v>
      </c>
      <c r="AL26" s="11">
        <f t="shared" si="8"/>
        <v>102</v>
      </c>
      <c r="AM26" s="11" t="b">
        <f t="shared" si="5"/>
        <v>0</v>
      </c>
      <c r="AN26" s="11">
        <f t="shared" si="9"/>
        <v>36000</v>
      </c>
      <c r="AO26" s="11">
        <f t="shared" si="10"/>
        <v>0</v>
      </c>
      <c r="AP26" s="11">
        <f t="shared" si="11"/>
        <v>0.85325077840562735</v>
      </c>
      <c r="AQ26" s="11">
        <f t="shared" si="12"/>
        <v>0</v>
      </c>
      <c r="AT26" s="3"/>
      <c r="AU26" s="17"/>
      <c r="AV26" s="19"/>
      <c r="AW26" s="17"/>
      <c r="AX26" s="17">
        <f t="shared" si="13"/>
        <v>17</v>
      </c>
      <c r="AY26" s="17">
        <f t="shared" si="31"/>
        <v>1.7</v>
      </c>
      <c r="AZ26" s="17">
        <v>85.325077840562741</v>
      </c>
      <c r="BA26" s="17"/>
      <c r="BB26" s="17">
        <v>36</v>
      </c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</row>
    <row r="27" spans="2:86" x14ac:dyDescent="0.15">
      <c r="H27" s="3">
        <f t="shared" si="25"/>
        <v>1.5000000000000006E-2</v>
      </c>
      <c r="I27" s="3">
        <f t="shared" si="26"/>
        <v>360</v>
      </c>
      <c r="J27" s="14">
        <f t="shared" si="27"/>
        <v>500</v>
      </c>
      <c r="K27" s="3">
        <f t="shared" si="18"/>
        <v>0</v>
      </c>
      <c r="L27" s="3">
        <f t="shared" si="14"/>
        <v>500</v>
      </c>
      <c r="M27" s="15">
        <f t="shared" si="28"/>
        <v>7.0000000000000007E-2</v>
      </c>
      <c r="N27" s="3">
        <f t="shared" si="29"/>
        <v>98.752463959752902</v>
      </c>
      <c r="O27" s="3">
        <f t="shared" si="15"/>
        <v>98.752463959752902</v>
      </c>
      <c r="P27" s="3">
        <f t="shared" si="19"/>
        <v>106.18544511801387</v>
      </c>
      <c r="Q27" s="3">
        <f t="shared" si="30"/>
        <v>46.539821983177234</v>
      </c>
      <c r="R27" s="3">
        <f t="shared" si="20"/>
        <v>76.362633550595547</v>
      </c>
      <c r="S27" s="3">
        <f t="shared" si="16"/>
        <v>1</v>
      </c>
      <c r="T27" s="3">
        <f t="shared" si="21"/>
        <v>29822.811567418321</v>
      </c>
      <c r="U27" s="3">
        <f t="shared" si="22"/>
        <v>0.5</v>
      </c>
      <c r="V27" s="3">
        <f t="shared" si="23"/>
        <v>0</v>
      </c>
      <c r="W27" s="3">
        <f t="shared" si="24"/>
        <v>35550.887025511045</v>
      </c>
      <c r="X27" s="3">
        <f t="shared" si="17"/>
        <v>23269.910991588618</v>
      </c>
      <c r="Z27" s="18" t="s">
        <v>217</v>
      </c>
      <c r="AA27" s="3">
        <f>IF(C15=1,0,IF(C15=2,Interface!E22*(1-AA31),Interface!E23))</f>
        <v>0</v>
      </c>
      <c r="AB27" s="3">
        <f>AA27*1000</f>
        <v>0</v>
      </c>
      <c r="AI27" s="3"/>
      <c r="AJ27" s="3"/>
      <c r="AK27" s="15">
        <f t="shared" si="7"/>
        <v>7</v>
      </c>
      <c r="AL27" s="11">
        <f t="shared" si="8"/>
        <v>108</v>
      </c>
      <c r="AM27" s="11" t="b">
        <f t="shared" si="5"/>
        <v>0</v>
      </c>
      <c r="AN27" s="11">
        <f t="shared" si="9"/>
        <v>36000</v>
      </c>
      <c r="AO27" s="11">
        <f t="shared" si="10"/>
        <v>0</v>
      </c>
      <c r="AP27" s="11">
        <f t="shared" si="11"/>
        <v>0.85435309322044228</v>
      </c>
      <c r="AQ27" s="11">
        <f t="shared" si="12"/>
        <v>0</v>
      </c>
      <c r="AT27" s="3"/>
      <c r="AU27" s="17"/>
      <c r="AV27" s="19"/>
      <c r="AW27" s="17"/>
      <c r="AX27" s="17">
        <f t="shared" si="13"/>
        <v>18</v>
      </c>
      <c r="AY27" s="17">
        <f t="shared" si="31"/>
        <v>1.8</v>
      </c>
      <c r="AZ27" s="17">
        <v>85.435309322044233</v>
      </c>
      <c r="BA27" s="17"/>
      <c r="BB27" s="17">
        <v>36</v>
      </c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</row>
    <row r="28" spans="2:86" x14ac:dyDescent="0.15">
      <c r="H28" s="3">
        <f t="shared" si="25"/>
        <v>1.6000000000000007E-2</v>
      </c>
      <c r="I28" s="3">
        <f t="shared" si="26"/>
        <v>360</v>
      </c>
      <c r="J28" s="14">
        <f t="shared" si="27"/>
        <v>500</v>
      </c>
      <c r="K28" s="3">
        <f t="shared" si="18"/>
        <v>0</v>
      </c>
      <c r="L28" s="3">
        <f t="shared" si="14"/>
        <v>500</v>
      </c>
      <c r="M28" s="15">
        <f t="shared" si="28"/>
        <v>7.0000000000000007E-2</v>
      </c>
      <c r="N28" s="3">
        <f t="shared" si="29"/>
        <v>98.669622816510071</v>
      </c>
      <c r="O28" s="3">
        <f t="shared" si="15"/>
        <v>98.669622816510071</v>
      </c>
      <c r="P28" s="3">
        <f t="shared" si="19"/>
        <v>106.0963686199033</v>
      </c>
      <c r="Q28" s="3">
        <f t="shared" si="30"/>
        <v>46.4801763600424</v>
      </c>
      <c r="R28" s="3">
        <f t="shared" si="20"/>
        <v>76.288272489972854</v>
      </c>
      <c r="S28" s="3">
        <f t="shared" si="16"/>
        <v>1</v>
      </c>
      <c r="T28" s="3">
        <f t="shared" si="21"/>
        <v>29808.096129930451</v>
      </c>
      <c r="U28" s="3">
        <f t="shared" si="22"/>
        <v>0.5</v>
      </c>
      <c r="V28" s="3">
        <f t="shared" si="23"/>
        <v>0</v>
      </c>
      <c r="W28" s="3">
        <f t="shared" si="24"/>
        <v>35521.064213943624</v>
      </c>
      <c r="X28" s="3">
        <f t="shared" si="17"/>
        <v>23240.088180021201</v>
      </c>
      <c r="Z28" s="18" t="s">
        <v>218</v>
      </c>
      <c r="AA28" s="3">
        <f>AA22*Interface!E$14/24/60</f>
        <v>0</v>
      </c>
      <c r="AB28" s="3">
        <f>AA28*1000</f>
        <v>0</v>
      </c>
      <c r="AI28" s="3"/>
      <c r="AJ28" s="3"/>
      <c r="AK28" s="15">
        <f t="shared" si="7"/>
        <v>7</v>
      </c>
      <c r="AL28" s="11">
        <f t="shared" si="8"/>
        <v>114</v>
      </c>
      <c r="AM28" s="11" t="b">
        <f t="shared" si="5"/>
        <v>0</v>
      </c>
      <c r="AN28" s="11">
        <f t="shared" si="9"/>
        <v>36000</v>
      </c>
      <c r="AO28" s="11">
        <f t="shared" si="10"/>
        <v>0</v>
      </c>
      <c r="AP28" s="11">
        <f t="shared" si="11"/>
        <v>0.8554554080352571</v>
      </c>
      <c r="AQ28" s="11">
        <f t="shared" si="12"/>
        <v>0</v>
      </c>
      <c r="AT28" s="3"/>
      <c r="AU28" s="17"/>
      <c r="AV28" s="19"/>
      <c r="AW28" s="17"/>
      <c r="AX28" s="17">
        <f t="shared" si="13"/>
        <v>19</v>
      </c>
      <c r="AY28" s="17">
        <f t="shared" si="31"/>
        <v>1.9</v>
      </c>
      <c r="AZ28" s="17">
        <v>85.545540803525711</v>
      </c>
      <c r="BA28" s="17"/>
      <c r="BB28" s="17">
        <v>36</v>
      </c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</row>
    <row r="29" spans="2:86" x14ac:dyDescent="0.15">
      <c r="H29" s="3">
        <f t="shared" si="25"/>
        <v>1.7000000000000008E-2</v>
      </c>
      <c r="I29" s="3">
        <f t="shared" si="26"/>
        <v>360</v>
      </c>
      <c r="J29" s="14">
        <f t="shared" si="27"/>
        <v>500</v>
      </c>
      <c r="K29" s="3">
        <f t="shared" si="18"/>
        <v>0</v>
      </c>
      <c r="L29" s="3">
        <f t="shared" si="14"/>
        <v>500</v>
      </c>
      <c r="M29" s="15">
        <f t="shared" si="28"/>
        <v>7.0000000000000007E-2</v>
      </c>
      <c r="N29" s="3">
        <f t="shared" si="29"/>
        <v>98.586822549482491</v>
      </c>
      <c r="O29" s="3">
        <f t="shared" si="15"/>
        <v>98.586822549482491</v>
      </c>
      <c r="P29" s="3">
        <f t="shared" si="19"/>
        <v>106.00733607471237</v>
      </c>
      <c r="Q29" s="3">
        <f t="shared" si="30"/>
        <v>46.42056016778254</v>
      </c>
      <c r="R29" s="3">
        <f t="shared" si="20"/>
        <v>76.213948121247455</v>
      </c>
      <c r="S29" s="3">
        <f t="shared" si="16"/>
        <v>1</v>
      </c>
      <c r="T29" s="3">
        <f t="shared" si="21"/>
        <v>29793.387953464917</v>
      </c>
      <c r="U29" s="3">
        <f t="shared" si="22"/>
        <v>0.5</v>
      </c>
      <c r="V29" s="3">
        <f t="shared" si="23"/>
        <v>0</v>
      </c>
      <c r="W29" s="3">
        <f t="shared" si="24"/>
        <v>35491.256117813697</v>
      </c>
      <c r="X29" s="3">
        <f t="shared" si="17"/>
        <v>23210.28008389127</v>
      </c>
      <c r="Z29" s="18" t="s">
        <v>219</v>
      </c>
      <c r="AA29" s="3">
        <f>AA23*Interface!E$14/24/60</f>
        <v>0</v>
      </c>
      <c r="AB29" s="3">
        <f>AA29*1000</f>
        <v>0</v>
      </c>
      <c r="AI29" s="3"/>
      <c r="AJ29" s="3"/>
      <c r="AK29" s="15">
        <f t="shared" si="7"/>
        <v>7</v>
      </c>
      <c r="AL29" s="11">
        <f t="shared" si="8"/>
        <v>120</v>
      </c>
      <c r="AM29" s="11" t="b">
        <f t="shared" si="5"/>
        <v>0</v>
      </c>
      <c r="AN29" s="11">
        <f t="shared" si="9"/>
        <v>36000</v>
      </c>
      <c r="AO29" s="11">
        <f t="shared" si="10"/>
        <v>0</v>
      </c>
      <c r="AP29" s="11">
        <f t="shared" si="11"/>
        <v>0.85655772285007192</v>
      </c>
      <c r="AQ29" s="11">
        <f t="shared" si="12"/>
        <v>0</v>
      </c>
      <c r="AT29" s="3"/>
      <c r="AU29" s="17"/>
      <c r="AV29" s="19"/>
      <c r="AW29" s="17"/>
      <c r="AX29" s="17">
        <f t="shared" si="13"/>
        <v>20</v>
      </c>
      <c r="AY29" s="17">
        <f t="shared" si="31"/>
        <v>2</v>
      </c>
      <c r="AZ29" s="17">
        <v>85.655772285007188</v>
      </c>
      <c r="BA29" s="17"/>
      <c r="BB29" s="17">
        <v>36</v>
      </c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</row>
    <row r="30" spans="2:86" x14ac:dyDescent="0.15">
      <c r="H30" s="3">
        <f t="shared" si="25"/>
        <v>1.8000000000000009E-2</v>
      </c>
      <c r="I30" s="3">
        <f t="shared" si="26"/>
        <v>360</v>
      </c>
      <c r="J30" s="14">
        <f t="shared" si="27"/>
        <v>500</v>
      </c>
      <c r="K30" s="3">
        <f t="shared" si="18"/>
        <v>0</v>
      </c>
      <c r="L30" s="3">
        <f t="shared" si="14"/>
        <v>500</v>
      </c>
      <c r="M30" s="15">
        <f t="shared" si="28"/>
        <v>7.0000000000000007E-2</v>
      </c>
      <c r="N30" s="3">
        <f t="shared" si="29"/>
        <v>98.504063138500641</v>
      </c>
      <c r="O30" s="3">
        <f t="shared" si="15"/>
        <v>98.504063138500641</v>
      </c>
      <c r="P30" s="3">
        <f t="shared" si="19"/>
        <v>105.91834746075338</v>
      </c>
      <c r="Q30" s="3">
        <f t="shared" si="30"/>
        <v>46.360973391875611</v>
      </c>
      <c r="R30" s="3">
        <f t="shared" si="20"/>
        <v>76.139660426314492</v>
      </c>
      <c r="S30" s="3">
        <f t="shared" si="16"/>
        <v>1</v>
      </c>
      <c r="T30" s="3">
        <f t="shared" si="21"/>
        <v>29778.687034438884</v>
      </c>
      <c r="U30" s="3">
        <f t="shared" si="22"/>
        <v>0.5</v>
      </c>
      <c r="V30" s="3">
        <f t="shared" si="23"/>
        <v>0</v>
      </c>
      <c r="W30" s="3">
        <f t="shared" si="24"/>
        <v>35461.462729860228</v>
      </c>
      <c r="X30" s="3">
        <f t="shared" si="17"/>
        <v>23180.486695937805</v>
      </c>
      <c r="Z30" s="18"/>
      <c r="AI30" s="3"/>
      <c r="AJ30" s="3"/>
      <c r="AK30" s="15">
        <f t="shared" si="7"/>
        <v>7</v>
      </c>
      <c r="AL30" s="11">
        <f t="shared" si="8"/>
        <v>126</v>
      </c>
      <c r="AM30" s="11" t="b">
        <f t="shared" si="5"/>
        <v>0</v>
      </c>
      <c r="AN30" s="11">
        <f t="shared" si="9"/>
        <v>36000</v>
      </c>
      <c r="AO30" s="11">
        <f t="shared" si="10"/>
        <v>0</v>
      </c>
      <c r="AP30" s="11">
        <f t="shared" si="11"/>
        <v>0.85766003766488674</v>
      </c>
      <c r="AQ30" s="11">
        <f t="shared" si="12"/>
        <v>0</v>
      </c>
      <c r="AT30" s="3"/>
      <c r="AU30" s="17"/>
      <c r="AV30" s="19"/>
      <c r="AW30" s="17"/>
      <c r="AX30" s="17">
        <f t="shared" si="13"/>
        <v>21</v>
      </c>
      <c r="AY30" s="17">
        <f t="shared" si="31"/>
        <v>2.1</v>
      </c>
      <c r="AZ30" s="17">
        <v>85.76600376648868</v>
      </c>
      <c r="BA30" s="17"/>
      <c r="BB30" s="17">
        <v>36</v>
      </c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</row>
    <row r="31" spans="2:86" x14ac:dyDescent="0.15">
      <c r="H31" s="3">
        <f t="shared" si="25"/>
        <v>1.900000000000001E-2</v>
      </c>
      <c r="I31" s="3">
        <f t="shared" si="26"/>
        <v>360</v>
      </c>
      <c r="J31" s="14">
        <f t="shared" si="27"/>
        <v>500</v>
      </c>
      <c r="K31" s="3">
        <f t="shared" si="18"/>
        <v>0</v>
      </c>
      <c r="L31" s="3">
        <f t="shared" si="14"/>
        <v>500</v>
      </c>
      <c r="M31" s="15">
        <f t="shared" si="28"/>
        <v>7.0000000000000007E-2</v>
      </c>
      <c r="N31" s="3">
        <f t="shared" si="29"/>
        <v>98.421344563404986</v>
      </c>
      <c r="O31" s="3">
        <f t="shared" si="15"/>
        <v>98.421344563404986</v>
      </c>
      <c r="P31" s="3">
        <f t="shared" si="19"/>
        <v>105.82940275634945</v>
      </c>
      <c r="Q31" s="3">
        <f t="shared" si="30"/>
        <v>46.30141601780673</v>
      </c>
      <c r="R31" s="3">
        <f t="shared" si="20"/>
        <v>76.065409387078091</v>
      </c>
      <c r="S31" s="3">
        <f t="shared" si="16"/>
        <v>1</v>
      </c>
      <c r="T31" s="3">
        <f t="shared" si="21"/>
        <v>29763.99336927136</v>
      </c>
      <c r="U31" s="3">
        <f t="shared" si="22"/>
        <v>0.5</v>
      </c>
      <c r="V31" s="3">
        <f t="shared" si="23"/>
        <v>0</v>
      </c>
      <c r="W31" s="3">
        <f t="shared" si="24"/>
        <v>35431.684042825793</v>
      </c>
      <c r="X31" s="3">
        <f t="shared" si="17"/>
        <v>23150.708008903366</v>
      </c>
      <c r="Z31" s="18" t="s">
        <v>220</v>
      </c>
      <c r="AA31" s="3">
        <f>1/3</f>
        <v>0.33333333333333331</v>
      </c>
      <c r="AI31" s="3"/>
      <c r="AJ31" s="3"/>
      <c r="AK31" s="15">
        <f t="shared" si="7"/>
        <v>7</v>
      </c>
      <c r="AL31" s="11">
        <f t="shared" si="8"/>
        <v>132</v>
      </c>
      <c r="AM31" s="11" t="b">
        <f t="shared" si="5"/>
        <v>0</v>
      </c>
      <c r="AN31" s="11">
        <f t="shared" si="9"/>
        <v>36000</v>
      </c>
      <c r="AO31" s="11">
        <f t="shared" si="10"/>
        <v>0</v>
      </c>
      <c r="AP31" s="11">
        <f t="shared" si="11"/>
        <v>0.85876235247970156</v>
      </c>
      <c r="AQ31" s="11">
        <f t="shared" si="12"/>
        <v>0</v>
      </c>
      <c r="AT31" s="3"/>
      <c r="AU31" s="17"/>
      <c r="AV31" s="19"/>
      <c r="AW31" s="17"/>
      <c r="AX31" s="17">
        <f t="shared" si="13"/>
        <v>22</v>
      </c>
      <c r="AY31" s="17">
        <f t="shared" si="31"/>
        <v>2.2000000000000002</v>
      </c>
      <c r="AZ31" s="17">
        <v>85.876235247970158</v>
      </c>
      <c r="BA31" s="17"/>
      <c r="BB31" s="17">
        <v>36</v>
      </c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</row>
    <row r="32" spans="2:86" x14ac:dyDescent="0.15">
      <c r="H32" s="3">
        <f t="shared" si="25"/>
        <v>2.0000000000000011E-2</v>
      </c>
      <c r="I32" s="3">
        <f t="shared" si="26"/>
        <v>360</v>
      </c>
      <c r="J32" s="14">
        <f t="shared" si="27"/>
        <v>500</v>
      </c>
      <c r="K32" s="3">
        <f t="shared" si="18"/>
        <v>0</v>
      </c>
      <c r="L32" s="3">
        <f t="shared" si="14"/>
        <v>500</v>
      </c>
      <c r="M32" s="15">
        <f t="shared" si="28"/>
        <v>7.0000000000000007E-2</v>
      </c>
      <c r="N32" s="3">
        <f t="shared" si="29"/>
        <v>98.3386668040459</v>
      </c>
      <c r="O32" s="3">
        <f t="shared" si="15"/>
        <v>98.3386668040459</v>
      </c>
      <c r="P32" s="3">
        <f t="shared" si="19"/>
        <v>105.7405019398343</v>
      </c>
      <c r="Q32" s="3">
        <f t="shared" si="30"/>
        <v>46.241888031068193</v>
      </c>
      <c r="R32" s="3">
        <f t="shared" si="20"/>
        <v>75.991194985451244</v>
      </c>
      <c r="S32" s="3">
        <f t="shared" si="16"/>
        <v>1</v>
      </c>
      <c r="T32" s="3">
        <f t="shared" si="21"/>
        <v>29749.306954383053</v>
      </c>
      <c r="U32" s="3">
        <f t="shared" si="22"/>
        <v>0.5</v>
      </c>
      <c r="V32" s="3">
        <f t="shared" si="23"/>
        <v>0</v>
      </c>
      <c r="W32" s="3">
        <f t="shared" si="24"/>
        <v>35401.920049456523</v>
      </c>
      <c r="X32" s="3">
        <f t="shared" si="17"/>
        <v>23120.944015534096</v>
      </c>
      <c r="Z32" s="18" t="s">
        <v>221</v>
      </c>
      <c r="AA32" s="3">
        <v>800</v>
      </c>
      <c r="AI32" s="3"/>
      <c r="AJ32" s="3"/>
      <c r="AK32" s="15">
        <f t="shared" si="7"/>
        <v>7</v>
      </c>
      <c r="AL32" s="11">
        <f t="shared" si="8"/>
        <v>138</v>
      </c>
      <c r="AM32" s="11" t="b">
        <f t="shared" si="5"/>
        <v>0</v>
      </c>
      <c r="AN32" s="11">
        <f t="shared" si="9"/>
        <v>36000</v>
      </c>
      <c r="AO32" s="11">
        <f t="shared" si="10"/>
        <v>0</v>
      </c>
      <c r="AP32" s="11">
        <f t="shared" si="11"/>
        <v>0.85986466729451649</v>
      </c>
      <c r="AQ32" s="11">
        <f t="shared" si="12"/>
        <v>0</v>
      </c>
      <c r="AT32" s="3"/>
      <c r="AU32" s="17"/>
      <c r="AV32" s="19"/>
      <c r="AW32" s="17"/>
      <c r="AX32" s="17">
        <f t="shared" si="13"/>
        <v>23</v>
      </c>
      <c r="AY32" s="17">
        <f t="shared" si="31"/>
        <v>2.2999999999999998</v>
      </c>
      <c r="AZ32" s="17">
        <v>85.986466729451649</v>
      </c>
      <c r="BA32" s="17"/>
      <c r="BB32" s="17">
        <v>36</v>
      </c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</row>
    <row r="33" spans="8:86" x14ac:dyDescent="0.15">
      <c r="H33" s="3">
        <f t="shared" si="25"/>
        <v>2.1000000000000012E-2</v>
      </c>
      <c r="I33" s="3">
        <f t="shared" si="26"/>
        <v>360</v>
      </c>
      <c r="J33" s="14">
        <f t="shared" si="27"/>
        <v>500</v>
      </c>
      <c r="K33" s="3">
        <f t="shared" si="18"/>
        <v>0</v>
      </c>
      <c r="L33" s="3">
        <f t="shared" si="14"/>
        <v>500</v>
      </c>
      <c r="M33" s="15">
        <f t="shared" si="28"/>
        <v>7.0000000000000007E-2</v>
      </c>
      <c r="N33" s="3">
        <f t="shared" si="29"/>
        <v>98.256029840283716</v>
      </c>
      <c r="O33" s="3">
        <f t="shared" si="15"/>
        <v>98.256029840283716</v>
      </c>
      <c r="P33" s="3">
        <f t="shared" si="19"/>
        <v>105.65164498955239</v>
      </c>
      <c r="Q33" s="3">
        <f t="shared" si="30"/>
        <v>46.182389417159428</v>
      </c>
      <c r="R33" s="3">
        <f t="shared" si="20"/>
        <v>75.917017203355911</v>
      </c>
      <c r="S33" s="3">
        <f t="shared" si="16"/>
        <v>1</v>
      </c>
      <c r="T33" s="3">
        <f t="shared" si="21"/>
        <v>29734.627786196485</v>
      </c>
      <c r="U33" s="3">
        <f t="shared" si="22"/>
        <v>0.5</v>
      </c>
      <c r="V33" s="3">
        <f t="shared" si="23"/>
        <v>0</v>
      </c>
      <c r="W33" s="3">
        <f t="shared" si="24"/>
        <v>35372.170742502138</v>
      </c>
      <c r="X33" s="3">
        <f t="shared" si="17"/>
        <v>23091.194708579715</v>
      </c>
      <c r="Z33" s="18" t="s">
        <v>222</v>
      </c>
      <c r="AA33" s="3">
        <f>Interface!E18/24/60</f>
        <v>6.6138888888888889</v>
      </c>
      <c r="AI33" s="3"/>
      <c r="AJ33" s="3"/>
      <c r="AK33" s="15">
        <f t="shared" si="7"/>
        <v>7</v>
      </c>
      <c r="AL33" s="11">
        <f t="shared" si="8"/>
        <v>144</v>
      </c>
      <c r="AM33" s="11" t="b">
        <f t="shared" si="5"/>
        <v>0</v>
      </c>
      <c r="AN33" s="11">
        <f t="shared" si="9"/>
        <v>36000</v>
      </c>
      <c r="AO33" s="11">
        <f t="shared" si="10"/>
        <v>0</v>
      </c>
      <c r="AP33" s="11">
        <f t="shared" si="11"/>
        <v>0.86096698210933131</v>
      </c>
      <c r="AQ33" s="11">
        <f t="shared" si="12"/>
        <v>0</v>
      </c>
      <c r="AT33" s="3"/>
      <c r="AU33" s="17"/>
      <c r="AV33" s="19"/>
      <c r="AW33" s="17"/>
      <c r="AX33" s="17">
        <f t="shared" si="13"/>
        <v>24</v>
      </c>
      <c r="AY33" s="17">
        <f t="shared" si="31"/>
        <v>2.4</v>
      </c>
      <c r="AZ33" s="17">
        <v>86.096698210933127</v>
      </c>
      <c r="BA33" s="17"/>
      <c r="BB33" s="17">
        <v>36</v>
      </c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</row>
    <row r="34" spans="8:86" x14ac:dyDescent="0.15">
      <c r="H34" s="3">
        <f t="shared" si="25"/>
        <v>2.2000000000000013E-2</v>
      </c>
      <c r="I34" s="3">
        <f t="shared" si="26"/>
        <v>360</v>
      </c>
      <c r="J34" s="14">
        <f t="shared" si="27"/>
        <v>500</v>
      </c>
      <c r="K34" s="3">
        <f t="shared" si="18"/>
        <v>0</v>
      </c>
      <c r="L34" s="3">
        <f t="shared" si="14"/>
        <v>500</v>
      </c>
      <c r="M34" s="15">
        <f t="shared" si="28"/>
        <v>7.0000000000000007E-2</v>
      </c>
      <c r="N34" s="3">
        <f t="shared" si="29"/>
        <v>98.173433651988731</v>
      </c>
      <c r="O34" s="3">
        <f t="shared" si="15"/>
        <v>98.173433651988731</v>
      </c>
      <c r="P34" s="3">
        <f t="shared" si="19"/>
        <v>105.56283188385886</v>
      </c>
      <c r="Q34" s="3">
        <f t="shared" si="30"/>
        <v>46.122920161587032</v>
      </c>
      <c r="R34" s="3">
        <f t="shared" si="20"/>
        <v>75.842876022722947</v>
      </c>
      <c r="S34" s="3">
        <f t="shared" si="16"/>
        <v>1</v>
      </c>
      <c r="T34" s="3">
        <f t="shared" si="21"/>
        <v>29719.955861135913</v>
      </c>
      <c r="U34" s="3">
        <f t="shared" si="22"/>
        <v>0.5</v>
      </c>
      <c r="V34" s="3">
        <f t="shared" si="23"/>
        <v>0</v>
      </c>
      <c r="W34" s="3">
        <f t="shared" si="24"/>
        <v>35342.436114715943</v>
      </c>
      <c r="X34" s="3">
        <f t="shared" si="17"/>
        <v>23061.460080793517</v>
      </c>
      <c r="Z34" s="18" t="s">
        <v>223</v>
      </c>
      <c r="AA34" s="3">
        <f>IF(C15=1,0,IF(C15=2,AA32*(Interface!E22/42)^(2/3),Interface!E24))</f>
        <v>0</v>
      </c>
      <c r="AI34" s="3"/>
      <c r="AJ34" s="3"/>
      <c r="AK34" s="15">
        <f t="shared" si="7"/>
        <v>7</v>
      </c>
      <c r="AL34" s="11">
        <f t="shared" si="8"/>
        <v>150</v>
      </c>
      <c r="AM34" s="11" t="b">
        <f t="shared" si="5"/>
        <v>0</v>
      </c>
      <c r="AN34" s="11">
        <f t="shared" si="9"/>
        <v>36000</v>
      </c>
      <c r="AO34" s="11">
        <f t="shared" si="10"/>
        <v>0</v>
      </c>
      <c r="AP34" s="11">
        <f t="shared" si="11"/>
        <v>0.86206929692414613</v>
      </c>
      <c r="AQ34" s="11">
        <f t="shared" si="12"/>
        <v>0</v>
      </c>
      <c r="AT34" s="3"/>
      <c r="AU34" s="17"/>
      <c r="AV34" s="19"/>
      <c r="AW34" s="17"/>
      <c r="AX34" s="17">
        <f t="shared" si="13"/>
        <v>25</v>
      </c>
      <c r="AY34" s="17">
        <f t="shared" si="31"/>
        <v>2.5</v>
      </c>
      <c r="AZ34" s="17">
        <v>86.206929692414619</v>
      </c>
      <c r="BA34" s="17"/>
      <c r="BB34" s="17">
        <v>36</v>
      </c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</row>
    <row r="35" spans="8:86" x14ac:dyDescent="0.15">
      <c r="H35" s="3">
        <f t="shared" si="25"/>
        <v>2.3000000000000013E-2</v>
      </c>
      <c r="I35" s="3">
        <f t="shared" si="26"/>
        <v>360</v>
      </c>
      <c r="J35" s="14">
        <f t="shared" si="27"/>
        <v>500</v>
      </c>
      <c r="K35" s="3">
        <f t="shared" si="18"/>
        <v>0</v>
      </c>
      <c r="L35" s="3">
        <f t="shared" si="14"/>
        <v>500</v>
      </c>
      <c r="M35" s="15">
        <f t="shared" si="28"/>
        <v>7.0000000000000007E-2</v>
      </c>
      <c r="N35" s="3">
        <f t="shared" si="29"/>
        <v>98.090878219041116</v>
      </c>
      <c r="O35" s="3">
        <f t="shared" si="15"/>
        <v>98.090878219041116</v>
      </c>
      <c r="P35" s="3">
        <f t="shared" si="19"/>
        <v>105.47406260111948</v>
      </c>
      <c r="Q35" s="3">
        <f t="shared" si="30"/>
        <v>46.06348024986476</v>
      </c>
      <c r="R35" s="3">
        <f t="shared" si="20"/>
        <v>75.768771425492119</v>
      </c>
      <c r="S35" s="3">
        <f t="shared" si="16"/>
        <v>1</v>
      </c>
      <c r="T35" s="3">
        <f t="shared" si="21"/>
        <v>29705.291175627361</v>
      </c>
      <c r="U35" s="3">
        <f t="shared" si="22"/>
        <v>0.5</v>
      </c>
      <c r="V35" s="3">
        <f t="shared" si="23"/>
        <v>0</v>
      </c>
      <c r="W35" s="3">
        <f t="shared" si="24"/>
        <v>35312.716158854804</v>
      </c>
      <c r="X35" s="3">
        <f t="shared" si="17"/>
        <v>23031.740124932381</v>
      </c>
      <c r="Z35" s="18" t="s">
        <v>224</v>
      </c>
      <c r="AA35" s="3">
        <v>237.19023966079999</v>
      </c>
      <c r="AI35" s="3"/>
      <c r="AJ35" s="3"/>
      <c r="AK35" s="15">
        <f t="shared" si="7"/>
        <v>7</v>
      </c>
      <c r="AL35" s="11">
        <f t="shared" si="8"/>
        <v>156</v>
      </c>
      <c r="AM35" s="11" t="b">
        <f t="shared" si="5"/>
        <v>0</v>
      </c>
      <c r="AN35" s="11">
        <f t="shared" si="9"/>
        <v>36000</v>
      </c>
      <c r="AO35" s="11">
        <f t="shared" si="10"/>
        <v>0</v>
      </c>
      <c r="AP35" s="11">
        <f t="shared" si="11"/>
        <v>0.86317161173896095</v>
      </c>
      <c r="AQ35" s="11">
        <f t="shared" si="12"/>
        <v>0</v>
      </c>
      <c r="AT35" s="3"/>
      <c r="AU35" s="17"/>
      <c r="AV35" s="19"/>
      <c r="AW35" s="17"/>
      <c r="AX35" s="17">
        <f t="shared" si="13"/>
        <v>26</v>
      </c>
      <c r="AY35" s="17">
        <f t="shared" si="31"/>
        <v>2.6</v>
      </c>
      <c r="AZ35" s="17">
        <v>86.317161173896096</v>
      </c>
      <c r="BA35" s="17"/>
      <c r="BB35" s="17">
        <v>36</v>
      </c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</row>
    <row r="36" spans="8:86" x14ac:dyDescent="0.15">
      <c r="H36" s="3">
        <f t="shared" si="25"/>
        <v>2.4000000000000014E-2</v>
      </c>
      <c r="I36" s="3">
        <f t="shared" si="26"/>
        <v>360</v>
      </c>
      <c r="J36" s="14">
        <f t="shared" si="27"/>
        <v>500</v>
      </c>
      <c r="K36" s="3">
        <f t="shared" si="18"/>
        <v>0</v>
      </c>
      <c r="L36" s="3">
        <f t="shared" si="14"/>
        <v>500</v>
      </c>
      <c r="M36" s="15">
        <f t="shared" si="28"/>
        <v>7.0000000000000007E-2</v>
      </c>
      <c r="N36" s="3">
        <f t="shared" si="29"/>
        <v>98.008363521331049</v>
      </c>
      <c r="O36" s="3">
        <f t="shared" si="15"/>
        <v>98.008363521331049</v>
      </c>
      <c r="P36" s="3">
        <f t="shared" si="19"/>
        <v>105.38533711971081</v>
      </c>
      <c r="Q36" s="3">
        <f t="shared" si="30"/>
        <v>46.004069667513505</v>
      </c>
      <c r="R36" s="3">
        <f t="shared" si="20"/>
        <v>75.694703393612158</v>
      </c>
      <c r="S36" s="3">
        <f t="shared" si="16"/>
        <v>1</v>
      </c>
      <c r="T36" s="3">
        <f t="shared" si="21"/>
        <v>29690.633726098655</v>
      </c>
      <c r="U36" s="3">
        <f t="shared" si="22"/>
        <v>0.5</v>
      </c>
      <c r="V36" s="3">
        <f t="shared" si="23"/>
        <v>0</v>
      </c>
      <c r="W36" s="3">
        <f t="shared" si="24"/>
        <v>35283.010867679179</v>
      </c>
      <c r="X36" s="3">
        <f t="shared" si="17"/>
        <v>23002.034833756752</v>
      </c>
      <c r="Z36" s="18" t="s">
        <v>225</v>
      </c>
      <c r="AA36" s="3">
        <f>Interface!E16/100</f>
        <v>0</v>
      </c>
      <c r="AI36" s="3"/>
      <c r="AJ36" s="3"/>
      <c r="AK36" s="15">
        <f t="shared" si="7"/>
        <v>7</v>
      </c>
      <c r="AL36" s="11">
        <f t="shared" si="8"/>
        <v>162</v>
      </c>
      <c r="AM36" s="11" t="b">
        <f t="shared" si="5"/>
        <v>0</v>
      </c>
      <c r="AN36" s="11">
        <f t="shared" si="9"/>
        <v>36000</v>
      </c>
      <c r="AO36" s="11">
        <f t="shared" si="10"/>
        <v>0</v>
      </c>
      <c r="AP36" s="11">
        <f t="shared" si="11"/>
        <v>0.86427392655377577</v>
      </c>
      <c r="AQ36" s="11">
        <f t="shared" si="12"/>
        <v>0</v>
      </c>
      <c r="AT36" s="3"/>
      <c r="AU36" s="17"/>
      <c r="AV36" s="19"/>
      <c r="AW36" s="17"/>
      <c r="AX36" s="17">
        <f t="shared" si="13"/>
        <v>27</v>
      </c>
      <c r="AY36" s="17">
        <f t="shared" si="31"/>
        <v>2.7</v>
      </c>
      <c r="AZ36" s="17">
        <v>86.427392655377574</v>
      </c>
      <c r="BA36" s="17"/>
      <c r="BB36" s="17">
        <v>36</v>
      </c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</row>
    <row r="37" spans="8:86" x14ac:dyDescent="0.15">
      <c r="H37" s="3">
        <f t="shared" si="25"/>
        <v>2.5000000000000015E-2</v>
      </c>
      <c r="I37" s="3">
        <f t="shared" si="26"/>
        <v>360</v>
      </c>
      <c r="J37" s="14">
        <f t="shared" si="27"/>
        <v>500</v>
      </c>
      <c r="K37" s="3">
        <f t="shared" si="18"/>
        <v>0</v>
      </c>
      <c r="L37" s="3">
        <f t="shared" si="14"/>
        <v>500</v>
      </c>
      <c r="M37" s="15">
        <f t="shared" si="28"/>
        <v>7.0000000000000007E-2</v>
      </c>
      <c r="N37" s="3">
        <f t="shared" si="29"/>
        <v>97.925889538758568</v>
      </c>
      <c r="O37" s="3">
        <f t="shared" si="15"/>
        <v>97.925889538758568</v>
      </c>
      <c r="P37" s="3">
        <f t="shared" si="19"/>
        <v>105.29665541801997</v>
      </c>
      <c r="Q37" s="3">
        <f t="shared" si="30"/>
        <v>45.94468840006131</v>
      </c>
      <c r="R37" s="3">
        <f t="shared" si="20"/>
        <v>75.620671909040638</v>
      </c>
      <c r="S37" s="3">
        <f t="shared" si="16"/>
        <v>1</v>
      </c>
      <c r="T37" s="3">
        <f t="shared" si="21"/>
        <v>29675.983508979327</v>
      </c>
      <c r="U37" s="3">
        <f t="shared" si="22"/>
        <v>0.5</v>
      </c>
      <c r="V37" s="3">
        <f t="shared" si="23"/>
        <v>0</v>
      </c>
      <c r="W37" s="3">
        <f t="shared" si="24"/>
        <v>35253.320233953084</v>
      </c>
      <c r="X37" s="3">
        <f t="shared" si="17"/>
        <v>22972.344200030653</v>
      </c>
      <c r="Z37" s="18" t="s">
        <v>226</v>
      </c>
      <c r="AA37" s="3">
        <f>Interface!E15</f>
        <v>0</v>
      </c>
      <c r="AI37" s="3"/>
      <c r="AJ37" s="3"/>
      <c r="AK37" s="15">
        <f t="shared" si="7"/>
        <v>7</v>
      </c>
      <c r="AL37" s="11">
        <f t="shared" si="8"/>
        <v>168</v>
      </c>
      <c r="AM37" s="11" t="b">
        <f t="shared" si="5"/>
        <v>0</v>
      </c>
      <c r="AN37" s="11">
        <f t="shared" si="9"/>
        <v>36000</v>
      </c>
      <c r="AO37" s="11">
        <f t="shared" si="10"/>
        <v>0</v>
      </c>
      <c r="AP37" s="11">
        <f t="shared" si="11"/>
        <v>0.8653762413685907</v>
      </c>
      <c r="AQ37" s="11">
        <f t="shared" si="12"/>
        <v>0</v>
      </c>
      <c r="AT37" s="3"/>
      <c r="AU37" s="17"/>
      <c r="AV37" s="19"/>
      <c r="AW37" s="17"/>
      <c r="AX37" s="17">
        <f t="shared" si="13"/>
        <v>28</v>
      </c>
      <c r="AY37" s="17">
        <f t="shared" si="31"/>
        <v>2.8</v>
      </c>
      <c r="AZ37" s="17">
        <v>86.537624136859066</v>
      </c>
      <c r="BA37" s="17"/>
      <c r="BB37" s="17">
        <v>36</v>
      </c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</row>
    <row r="38" spans="8:86" x14ac:dyDescent="0.15">
      <c r="H38" s="3">
        <f t="shared" si="25"/>
        <v>2.6000000000000016E-2</v>
      </c>
      <c r="I38" s="3">
        <f t="shared" si="26"/>
        <v>360</v>
      </c>
      <c r="J38" s="14">
        <f t="shared" si="27"/>
        <v>500</v>
      </c>
      <c r="K38" s="3">
        <f t="shared" si="18"/>
        <v>0</v>
      </c>
      <c r="L38" s="3">
        <f t="shared" si="14"/>
        <v>500</v>
      </c>
      <c r="M38" s="15">
        <f t="shared" si="28"/>
        <v>7.0000000000000007E-2</v>
      </c>
      <c r="N38" s="3">
        <f t="shared" si="29"/>
        <v>97.843456251233633</v>
      </c>
      <c r="O38" s="3">
        <f t="shared" si="15"/>
        <v>97.843456251233633</v>
      </c>
      <c r="P38" s="3">
        <f t="shared" si="19"/>
        <v>105.20801747444477</v>
      </c>
      <c r="Q38" s="3">
        <f t="shared" si="30"/>
        <v>45.885336433043349</v>
      </c>
      <c r="R38" s="3">
        <f t="shared" si="20"/>
        <v>75.546676953744054</v>
      </c>
      <c r="S38" s="3">
        <f t="shared" si="16"/>
        <v>1</v>
      </c>
      <c r="T38" s="3">
        <f t="shared" si="21"/>
        <v>29661.340520700713</v>
      </c>
      <c r="U38" s="3">
        <f t="shared" si="22"/>
        <v>0.5</v>
      </c>
      <c r="V38" s="3">
        <f t="shared" si="23"/>
        <v>0</v>
      </c>
      <c r="W38" s="3">
        <f t="shared" si="24"/>
        <v>35223.644250444107</v>
      </c>
      <c r="X38" s="3">
        <f t="shared" si="17"/>
        <v>22942.668216521673</v>
      </c>
      <c r="Z38" s="18" t="s">
        <v>227</v>
      </c>
      <c r="AA38" s="14">
        <f>AA37+AA35</f>
        <v>237.19023966079999</v>
      </c>
      <c r="AI38" s="3"/>
      <c r="AJ38" s="3"/>
      <c r="AK38" s="15">
        <f t="shared" si="7"/>
        <v>7</v>
      </c>
      <c r="AL38" s="11">
        <f t="shared" si="8"/>
        <v>174</v>
      </c>
      <c r="AM38" s="11" t="b">
        <f t="shared" si="5"/>
        <v>0</v>
      </c>
      <c r="AN38" s="11">
        <f t="shared" si="9"/>
        <v>36000</v>
      </c>
      <c r="AO38" s="11">
        <f t="shared" si="10"/>
        <v>0</v>
      </c>
      <c r="AP38" s="11">
        <f t="shared" si="11"/>
        <v>0.86647855618340563</v>
      </c>
      <c r="AQ38" s="11">
        <f t="shared" si="12"/>
        <v>0</v>
      </c>
      <c r="AT38" s="3"/>
      <c r="AU38" s="17"/>
      <c r="AV38" s="19"/>
      <c r="AW38" s="17"/>
      <c r="AX38" s="17">
        <f t="shared" si="13"/>
        <v>29</v>
      </c>
      <c r="AY38" s="17">
        <f t="shared" si="31"/>
        <v>2.9</v>
      </c>
      <c r="AZ38" s="17">
        <v>86.647855618340557</v>
      </c>
      <c r="BA38" s="17"/>
      <c r="BB38" s="17">
        <v>36</v>
      </c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</row>
    <row r="39" spans="8:86" x14ac:dyDescent="0.15">
      <c r="H39" s="3">
        <f t="shared" si="25"/>
        <v>2.7000000000000017E-2</v>
      </c>
      <c r="I39" s="3">
        <f t="shared" si="26"/>
        <v>360</v>
      </c>
      <c r="J39" s="14">
        <f t="shared" si="27"/>
        <v>500</v>
      </c>
      <c r="K39" s="3">
        <f t="shared" si="18"/>
        <v>0</v>
      </c>
      <c r="L39" s="3">
        <f t="shared" si="14"/>
        <v>500</v>
      </c>
      <c r="M39" s="15">
        <f t="shared" si="28"/>
        <v>7.0000000000000007E-2</v>
      </c>
      <c r="N39" s="3">
        <f t="shared" si="29"/>
        <v>97.76106363867612</v>
      </c>
      <c r="O39" s="3">
        <f t="shared" si="15"/>
        <v>97.76106363867612</v>
      </c>
      <c r="P39" s="3">
        <f t="shared" si="19"/>
        <v>105.11942326739369</v>
      </c>
      <c r="Q39" s="3">
        <f t="shared" si="30"/>
        <v>45.826013752001948</v>
      </c>
      <c r="R39" s="3">
        <f t="shared" si="20"/>
        <v>75.472718509697813</v>
      </c>
      <c r="S39" s="3">
        <f t="shared" si="16"/>
        <v>1</v>
      </c>
      <c r="T39" s="3">
        <f t="shared" si="21"/>
        <v>29646.704757695868</v>
      </c>
      <c r="U39" s="3">
        <f t="shared" si="22"/>
        <v>0.5</v>
      </c>
      <c r="V39" s="3">
        <f t="shared" si="23"/>
        <v>0</v>
      </c>
      <c r="W39" s="3">
        <f t="shared" si="24"/>
        <v>35193.982909923405</v>
      </c>
      <c r="X39" s="3">
        <f t="shared" si="17"/>
        <v>22913.006876000974</v>
      </c>
      <c r="AI39" s="3"/>
      <c r="AJ39" s="3"/>
      <c r="AK39" s="15">
        <f t="shared" si="7"/>
        <v>7</v>
      </c>
      <c r="AL39" s="11">
        <f t="shared" si="8"/>
        <v>180</v>
      </c>
      <c r="AM39" s="11" t="b">
        <f t="shared" si="5"/>
        <v>0</v>
      </c>
      <c r="AN39" s="11">
        <f t="shared" si="9"/>
        <v>36000</v>
      </c>
      <c r="AO39" s="11">
        <f t="shared" si="10"/>
        <v>0</v>
      </c>
      <c r="AP39" s="11">
        <f t="shared" si="11"/>
        <v>0.86758087099822045</v>
      </c>
      <c r="AQ39" s="11">
        <f t="shared" si="12"/>
        <v>0</v>
      </c>
      <c r="AT39" s="3"/>
      <c r="AU39" s="17"/>
      <c r="AV39" s="19"/>
      <c r="AW39" s="17"/>
      <c r="AX39" s="17">
        <f t="shared" si="13"/>
        <v>30</v>
      </c>
      <c r="AY39" s="17">
        <f t="shared" si="31"/>
        <v>3</v>
      </c>
      <c r="AZ39" s="17">
        <v>86.758087099822049</v>
      </c>
      <c r="BA39" s="17"/>
      <c r="BB39" s="17">
        <v>36</v>
      </c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</row>
    <row r="40" spans="8:86" x14ac:dyDescent="0.15">
      <c r="H40" s="3">
        <f t="shared" si="25"/>
        <v>2.8000000000000018E-2</v>
      </c>
      <c r="I40" s="3">
        <f t="shared" si="26"/>
        <v>360</v>
      </c>
      <c r="J40" s="14">
        <f t="shared" si="27"/>
        <v>500</v>
      </c>
      <c r="K40" s="3">
        <f t="shared" si="18"/>
        <v>0</v>
      </c>
      <c r="L40" s="3">
        <f t="shared" si="14"/>
        <v>500</v>
      </c>
      <c r="M40" s="15">
        <f t="shared" si="28"/>
        <v>7.0000000000000007E-2</v>
      </c>
      <c r="N40" s="3">
        <f t="shared" si="29"/>
        <v>97.678711681015855</v>
      </c>
      <c r="O40" s="3">
        <f t="shared" si="15"/>
        <v>97.678711681015855</v>
      </c>
      <c r="P40" s="3">
        <f t="shared" si="19"/>
        <v>105.03087277528587</v>
      </c>
      <c r="Q40" s="3">
        <f t="shared" si="30"/>
        <v>45.766720342486558</v>
      </c>
      <c r="R40" s="3">
        <f t="shared" si="20"/>
        <v>75.398796558886218</v>
      </c>
      <c r="S40" s="3">
        <f t="shared" si="16"/>
        <v>1</v>
      </c>
      <c r="T40" s="3">
        <f t="shared" si="21"/>
        <v>29632.076216399659</v>
      </c>
      <c r="U40" s="3">
        <f t="shared" si="22"/>
        <v>0.5</v>
      </c>
      <c r="V40" s="3">
        <f t="shared" si="23"/>
        <v>0</v>
      </c>
      <c r="W40" s="3">
        <f t="shared" si="24"/>
        <v>35164.33620516571</v>
      </c>
      <c r="X40" s="3">
        <f t="shared" si="17"/>
        <v>22883.360171243279</v>
      </c>
      <c r="AI40" s="3"/>
      <c r="AJ40" s="3"/>
      <c r="AK40" s="15">
        <f t="shared" si="7"/>
        <v>7</v>
      </c>
      <c r="AL40" s="11">
        <f t="shared" si="8"/>
        <v>186</v>
      </c>
      <c r="AM40" s="11" t="b">
        <f t="shared" si="5"/>
        <v>0</v>
      </c>
      <c r="AN40" s="11">
        <f t="shared" si="9"/>
        <v>36000</v>
      </c>
      <c r="AO40" s="11">
        <f t="shared" si="10"/>
        <v>0</v>
      </c>
      <c r="AP40" s="11">
        <f t="shared" si="11"/>
        <v>0.86868318581303527</v>
      </c>
      <c r="AQ40" s="11">
        <f t="shared" si="12"/>
        <v>0</v>
      </c>
      <c r="AT40" s="3"/>
      <c r="AU40" s="17"/>
      <c r="AV40" s="19"/>
      <c r="AW40" s="17"/>
      <c r="AX40" s="17">
        <f t="shared" si="13"/>
        <v>31</v>
      </c>
      <c r="AY40" s="17">
        <f t="shared" si="31"/>
        <v>3.1</v>
      </c>
      <c r="AZ40" s="17">
        <v>86.868318581303527</v>
      </c>
      <c r="BA40" s="17"/>
      <c r="BB40" s="17">
        <v>36</v>
      </c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</row>
    <row r="41" spans="8:86" x14ac:dyDescent="0.15">
      <c r="H41" s="3">
        <f t="shared" si="25"/>
        <v>2.9000000000000019E-2</v>
      </c>
      <c r="I41" s="3">
        <f t="shared" si="26"/>
        <v>360</v>
      </c>
      <c r="J41" s="14">
        <f t="shared" si="27"/>
        <v>500</v>
      </c>
      <c r="K41" s="3">
        <f t="shared" si="18"/>
        <v>0</v>
      </c>
      <c r="L41" s="3">
        <f t="shared" si="14"/>
        <v>500</v>
      </c>
      <c r="M41" s="15">
        <f t="shared" si="28"/>
        <v>7.0000000000000007E-2</v>
      </c>
      <c r="N41" s="3">
        <f t="shared" si="29"/>
        <v>97.596400358192511</v>
      </c>
      <c r="O41" s="3">
        <f t="shared" si="15"/>
        <v>97.596400358192511</v>
      </c>
      <c r="P41" s="3">
        <f t="shared" si="19"/>
        <v>104.94236597655109</v>
      </c>
      <c r="Q41" s="3">
        <f t="shared" si="30"/>
        <v>45.707456190053762</v>
      </c>
      <c r="R41" s="3">
        <f t="shared" si="20"/>
        <v>75.324911083302425</v>
      </c>
      <c r="S41" s="3">
        <f t="shared" si="16"/>
        <v>1</v>
      </c>
      <c r="T41" s="3">
        <f t="shared" si="21"/>
        <v>29617.454893248661</v>
      </c>
      <c r="U41" s="3">
        <f t="shared" si="22"/>
        <v>0.5</v>
      </c>
      <c r="V41" s="3">
        <f t="shared" si="23"/>
        <v>0</v>
      </c>
      <c r="W41" s="3">
        <f t="shared" si="24"/>
        <v>35134.704128949306</v>
      </c>
      <c r="X41" s="3">
        <f t="shared" si="17"/>
        <v>22853.72809502688</v>
      </c>
      <c r="AI41" s="3"/>
      <c r="AJ41" s="3"/>
      <c r="AK41" s="15">
        <f t="shared" si="7"/>
        <v>7</v>
      </c>
      <c r="AL41" s="11">
        <f t="shared" si="8"/>
        <v>192</v>
      </c>
      <c r="AM41" s="11" t="b">
        <f t="shared" si="5"/>
        <v>0</v>
      </c>
      <c r="AN41" s="11">
        <f t="shared" si="9"/>
        <v>36000</v>
      </c>
      <c r="AO41" s="11">
        <f t="shared" si="10"/>
        <v>0</v>
      </c>
      <c r="AP41" s="11">
        <f t="shared" si="11"/>
        <v>0.86978550062785009</v>
      </c>
      <c r="AQ41" s="11">
        <f t="shared" si="12"/>
        <v>0</v>
      </c>
      <c r="AT41" s="3"/>
      <c r="AU41" s="17"/>
      <c r="AV41" s="19"/>
      <c r="AW41" s="17"/>
      <c r="AX41" s="17">
        <f t="shared" si="13"/>
        <v>32</v>
      </c>
      <c r="AY41" s="17">
        <f t="shared" si="31"/>
        <v>3.2</v>
      </c>
      <c r="AZ41" s="17">
        <v>86.978550062785004</v>
      </c>
      <c r="BA41" s="17"/>
      <c r="BB41" s="17">
        <v>36</v>
      </c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</row>
    <row r="42" spans="8:86" x14ac:dyDescent="0.15">
      <c r="H42" s="3">
        <f t="shared" si="25"/>
        <v>3.000000000000002E-2</v>
      </c>
      <c r="I42" s="3">
        <f t="shared" si="26"/>
        <v>360</v>
      </c>
      <c r="J42" s="14">
        <f t="shared" si="27"/>
        <v>500</v>
      </c>
      <c r="K42" s="3">
        <f t="shared" si="18"/>
        <v>0</v>
      </c>
      <c r="L42" s="3">
        <f t="shared" si="14"/>
        <v>500</v>
      </c>
      <c r="M42" s="15">
        <f t="shared" si="28"/>
        <v>7.0000000000000007E-2</v>
      </c>
      <c r="N42" s="3">
        <f t="shared" si="29"/>
        <v>97.514129650155724</v>
      </c>
      <c r="O42" s="3">
        <f t="shared" si="15"/>
        <v>97.514129650155724</v>
      </c>
      <c r="P42" s="3">
        <f t="shared" si="19"/>
        <v>104.85390284962982</v>
      </c>
      <c r="Q42" s="3">
        <f t="shared" si="30"/>
        <v>45.648221280267258</v>
      </c>
      <c r="R42" s="3">
        <f t="shared" si="20"/>
        <v>75.251062064948542</v>
      </c>
      <c r="S42" s="3">
        <f t="shared" si="16"/>
        <v>1</v>
      </c>
      <c r="T42" s="3">
        <f t="shared" si="21"/>
        <v>29602.840784681281</v>
      </c>
      <c r="U42" s="3">
        <f t="shared" si="22"/>
        <v>0.5</v>
      </c>
      <c r="V42" s="3">
        <f t="shared" si="23"/>
        <v>0</v>
      </c>
      <c r="W42" s="3">
        <f t="shared" si="24"/>
        <v>35105.08667405606</v>
      </c>
      <c r="X42" s="3">
        <f t="shared" si="17"/>
        <v>22824.110640133629</v>
      </c>
      <c r="AI42" s="3"/>
      <c r="AJ42" s="3"/>
      <c r="AK42" s="15">
        <f t="shared" si="7"/>
        <v>7</v>
      </c>
      <c r="AL42" s="11">
        <f t="shared" ref="AL42:AL74" si="32">AL41+$AB$15</f>
        <v>198</v>
      </c>
      <c r="AM42" s="11" t="b">
        <f t="shared" si="5"/>
        <v>0</v>
      </c>
      <c r="AN42" s="11">
        <f t="shared" si="9"/>
        <v>36000</v>
      </c>
      <c r="AO42" s="11">
        <f t="shared" si="10"/>
        <v>0</v>
      </c>
      <c r="AP42" s="11">
        <f t="shared" si="11"/>
        <v>0.87088781544266491</v>
      </c>
      <c r="AQ42" s="11">
        <f t="shared" ref="AQ42:AQ74" si="33">IF(AO41&lt;=0,0,(AQ41*AO41-$AA$34*(AQ41-AP41)*$AB$15)/AO41)</f>
        <v>0</v>
      </c>
      <c r="AT42" s="3"/>
      <c r="AU42" s="17"/>
      <c r="AV42" s="19"/>
      <c r="AW42" s="17"/>
      <c r="AX42" s="17">
        <f t="shared" ref="AX42:AX73" si="34">IF(AX41&gt;=$AG$14,$AG$14,AX41+1)</f>
        <v>33</v>
      </c>
      <c r="AY42" s="17">
        <f t="shared" si="31"/>
        <v>3.3</v>
      </c>
      <c r="AZ42" s="17">
        <v>87.088781544266496</v>
      </c>
      <c r="BA42" s="17"/>
      <c r="BB42" s="17">
        <v>36</v>
      </c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</row>
    <row r="43" spans="8:86" x14ac:dyDescent="0.15">
      <c r="H43" s="3">
        <f t="shared" si="25"/>
        <v>3.1000000000000021E-2</v>
      </c>
      <c r="I43" s="3">
        <f t="shared" si="26"/>
        <v>360</v>
      </c>
      <c r="J43" s="14">
        <f t="shared" si="27"/>
        <v>500</v>
      </c>
      <c r="K43" s="3">
        <f t="shared" si="18"/>
        <v>0</v>
      </c>
      <c r="L43" s="3">
        <f t="shared" si="14"/>
        <v>500</v>
      </c>
      <c r="M43" s="15">
        <f t="shared" si="28"/>
        <v>7.0000000000000007E-2</v>
      </c>
      <c r="N43" s="3">
        <f t="shared" si="29"/>
        <v>97.431899536864933</v>
      </c>
      <c r="O43" s="3">
        <f t="shared" si="15"/>
        <v>97.431899536864933</v>
      </c>
      <c r="P43" s="3">
        <f t="shared" si="19"/>
        <v>104.76548337297305</v>
      </c>
      <c r="Q43" s="3">
        <f t="shared" si="30"/>
        <v>45.589015598697891</v>
      </c>
      <c r="R43" s="3">
        <f t="shared" si="20"/>
        <v>75.177249485835475</v>
      </c>
      <c r="S43" s="3">
        <f t="shared" si="16"/>
        <v>1</v>
      </c>
      <c r="T43" s="3">
        <f t="shared" si="21"/>
        <v>29588.23388713758</v>
      </c>
      <c r="U43" s="3">
        <f t="shared" si="22"/>
        <v>0.5</v>
      </c>
      <c r="V43" s="3">
        <f t="shared" si="23"/>
        <v>0</v>
      </c>
      <c r="W43" s="3">
        <f t="shared" si="24"/>
        <v>35075.483833271377</v>
      </c>
      <c r="X43" s="3">
        <f t="shared" si="17"/>
        <v>22794.507799348947</v>
      </c>
      <c r="AI43" s="3"/>
      <c r="AJ43" s="3"/>
      <c r="AK43" s="15">
        <f t="shared" si="7"/>
        <v>7</v>
      </c>
      <c r="AL43" s="11">
        <f t="shared" si="32"/>
        <v>204</v>
      </c>
      <c r="AM43" s="11" t="b">
        <f t="shared" si="5"/>
        <v>0</v>
      </c>
      <c r="AN43" s="11">
        <f t="shared" si="9"/>
        <v>36000</v>
      </c>
      <c r="AO43" s="11">
        <f t="shared" si="10"/>
        <v>0</v>
      </c>
      <c r="AP43" s="11">
        <f t="shared" si="11"/>
        <v>0.87199013025747985</v>
      </c>
      <c r="AQ43" s="11">
        <f t="shared" si="33"/>
        <v>0</v>
      </c>
      <c r="AT43" s="3"/>
      <c r="AU43" s="17"/>
      <c r="AV43" s="19"/>
      <c r="AW43" s="17"/>
      <c r="AX43" s="17">
        <f t="shared" si="34"/>
        <v>34</v>
      </c>
      <c r="AY43" s="17">
        <f t="shared" si="31"/>
        <v>3.4</v>
      </c>
      <c r="AZ43" s="17">
        <v>87.199013025747988</v>
      </c>
      <c r="BA43" s="17"/>
      <c r="BB43" s="17">
        <v>36</v>
      </c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</row>
    <row r="44" spans="8:86" x14ac:dyDescent="0.15">
      <c r="H44" s="3">
        <f t="shared" si="25"/>
        <v>3.2000000000000021E-2</v>
      </c>
      <c r="I44" s="3">
        <f t="shared" si="26"/>
        <v>360</v>
      </c>
      <c r="J44" s="14">
        <f t="shared" si="27"/>
        <v>500</v>
      </c>
      <c r="K44" s="3">
        <f t="shared" si="18"/>
        <v>0</v>
      </c>
      <c r="L44" s="3">
        <f t="shared" si="14"/>
        <v>500</v>
      </c>
      <c r="M44" s="15">
        <f t="shared" si="28"/>
        <v>7.0000000000000007E-2</v>
      </c>
      <c r="N44" s="3">
        <f t="shared" si="29"/>
        <v>97.349709998289555</v>
      </c>
      <c r="O44" s="3">
        <f t="shared" si="15"/>
        <v>97.349709998289555</v>
      </c>
      <c r="P44" s="3">
        <f t="shared" si="19"/>
        <v>104.67710752504254</v>
      </c>
      <c r="Q44" s="3">
        <f t="shared" si="30"/>
        <v>45.529839130923619</v>
      </c>
      <c r="R44" s="3">
        <f t="shared" si="20"/>
        <v>75.103473327983082</v>
      </c>
      <c r="S44" s="3">
        <f t="shared" si="16"/>
        <v>1</v>
      </c>
      <c r="T44" s="3">
        <f t="shared" si="21"/>
        <v>29573.634197059462</v>
      </c>
      <c r="U44" s="3">
        <f t="shared" si="22"/>
        <v>0.5</v>
      </c>
      <c r="V44" s="3">
        <f t="shared" si="23"/>
        <v>0</v>
      </c>
      <c r="W44" s="3">
        <f t="shared" si="24"/>
        <v>35045.895599384239</v>
      </c>
      <c r="X44" s="3">
        <f t="shared" si="17"/>
        <v>22764.919565461809</v>
      </c>
      <c r="AI44" s="3"/>
      <c r="AJ44" s="3"/>
      <c r="AK44" s="15">
        <f t="shared" si="7"/>
        <v>7</v>
      </c>
      <c r="AL44" s="11">
        <f t="shared" si="32"/>
        <v>210</v>
      </c>
      <c r="AM44" s="11" t="b">
        <f t="shared" si="5"/>
        <v>0</v>
      </c>
      <c r="AN44" s="11">
        <f t="shared" si="9"/>
        <v>36000</v>
      </c>
      <c r="AO44" s="11">
        <f t="shared" si="10"/>
        <v>0</v>
      </c>
      <c r="AP44" s="11">
        <f t="shared" si="11"/>
        <v>0.87309244507229467</v>
      </c>
      <c r="AQ44" s="11">
        <f t="shared" si="33"/>
        <v>0</v>
      </c>
      <c r="AT44" s="3"/>
      <c r="AU44" s="17"/>
      <c r="AV44" s="19"/>
      <c r="AW44" s="17"/>
      <c r="AX44" s="17">
        <f t="shared" si="34"/>
        <v>35</v>
      </c>
      <c r="AY44" s="17">
        <f t="shared" si="31"/>
        <v>3.5</v>
      </c>
      <c r="AZ44" s="17">
        <v>87.309244507229465</v>
      </c>
      <c r="BA44" s="17"/>
      <c r="BB44" s="17">
        <v>36</v>
      </c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</row>
    <row r="45" spans="8:86" x14ac:dyDescent="0.15">
      <c r="H45" s="3">
        <f t="shared" si="25"/>
        <v>3.3000000000000022E-2</v>
      </c>
      <c r="I45" s="3">
        <f t="shared" si="26"/>
        <v>360</v>
      </c>
      <c r="J45" s="14">
        <f t="shared" si="27"/>
        <v>500</v>
      </c>
      <c r="K45" s="3">
        <f t="shared" si="18"/>
        <v>0</v>
      </c>
      <c r="L45" s="3">
        <f t="shared" si="14"/>
        <v>500</v>
      </c>
      <c r="M45" s="15">
        <f t="shared" si="28"/>
        <v>7.0000000000000007E-2</v>
      </c>
      <c r="N45" s="3">
        <f t="shared" si="29"/>
        <v>97.267561014408827</v>
      </c>
      <c r="O45" s="3">
        <f t="shared" si="15"/>
        <v>97.267561014408827</v>
      </c>
      <c r="P45" s="3">
        <f t="shared" si="19"/>
        <v>104.58877528431057</v>
      </c>
      <c r="Q45" s="3">
        <f t="shared" si="30"/>
        <v>45.470691862529499</v>
      </c>
      <c r="R45" s="3">
        <f t="shared" si="20"/>
        <v>75.029733573420032</v>
      </c>
      <c r="S45" s="3">
        <f t="shared" si="16"/>
        <v>1</v>
      </c>
      <c r="T45" s="3">
        <f t="shared" si="21"/>
        <v>29559.041710890535</v>
      </c>
      <c r="U45" s="3">
        <f t="shared" si="22"/>
        <v>0.5</v>
      </c>
      <c r="V45" s="3">
        <f t="shared" si="23"/>
        <v>0</v>
      </c>
      <c r="W45" s="3">
        <f t="shared" si="24"/>
        <v>35016.321965187177</v>
      </c>
      <c r="X45" s="3">
        <f t="shared" si="17"/>
        <v>22735.34593126475</v>
      </c>
      <c r="AI45" s="3"/>
      <c r="AJ45" s="3"/>
      <c r="AK45" s="15">
        <f t="shared" si="7"/>
        <v>7</v>
      </c>
      <c r="AL45" s="11">
        <f t="shared" si="32"/>
        <v>216</v>
      </c>
      <c r="AM45" s="11" t="b">
        <f t="shared" si="5"/>
        <v>0</v>
      </c>
      <c r="AN45" s="11">
        <f t="shared" si="9"/>
        <v>36000</v>
      </c>
      <c r="AO45" s="11">
        <f t="shared" si="10"/>
        <v>0</v>
      </c>
      <c r="AP45" s="11">
        <f t="shared" si="11"/>
        <v>0.87419475988710948</v>
      </c>
      <c r="AQ45" s="11">
        <f t="shared" si="33"/>
        <v>0</v>
      </c>
      <c r="AT45" s="3"/>
      <c r="AU45" s="17"/>
      <c r="AV45" s="19"/>
      <c r="AW45" s="17"/>
      <c r="AX45" s="17">
        <f t="shared" si="34"/>
        <v>36</v>
      </c>
      <c r="AY45" s="17">
        <f t="shared" si="31"/>
        <v>3.6</v>
      </c>
      <c r="AZ45" s="17">
        <v>87.419475988710943</v>
      </c>
      <c r="BA45" s="17"/>
      <c r="BB45" s="17">
        <v>36</v>
      </c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</row>
    <row r="46" spans="8:86" x14ac:dyDescent="0.15">
      <c r="H46" s="3">
        <f t="shared" si="25"/>
        <v>3.4000000000000023E-2</v>
      </c>
      <c r="I46" s="3">
        <f t="shared" si="26"/>
        <v>360</v>
      </c>
      <c r="J46" s="14">
        <f t="shared" si="27"/>
        <v>500</v>
      </c>
      <c r="K46" s="3">
        <f t="shared" si="18"/>
        <v>0</v>
      </c>
      <c r="L46" s="3">
        <f t="shared" si="14"/>
        <v>500</v>
      </c>
      <c r="M46" s="15">
        <f t="shared" si="28"/>
        <v>7.0000000000000007E-2</v>
      </c>
      <c r="N46" s="3">
        <f t="shared" si="29"/>
        <v>97.185452565211904</v>
      </c>
      <c r="O46" s="3">
        <f t="shared" si="15"/>
        <v>97.185452565211904</v>
      </c>
      <c r="P46" s="3">
        <f t="shared" si="19"/>
        <v>104.50048662926012</v>
      </c>
      <c r="Q46" s="3">
        <f t="shared" si="30"/>
        <v>45.411573779107719</v>
      </c>
      <c r="R46" s="3">
        <f t="shared" si="20"/>
        <v>74.956030204183918</v>
      </c>
      <c r="S46" s="3">
        <f t="shared" si="16"/>
        <v>1</v>
      </c>
      <c r="T46" s="3">
        <f t="shared" si="21"/>
        <v>29544.456425076201</v>
      </c>
      <c r="U46" s="3">
        <f t="shared" si="22"/>
        <v>0.5</v>
      </c>
      <c r="V46" s="3">
        <f t="shared" si="23"/>
        <v>0</v>
      </c>
      <c r="W46" s="3">
        <f t="shared" si="24"/>
        <v>34986.762923476286</v>
      </c>
      <c r="X46" s="3">
        <f t="shared" si="17"/>
        <v>22705.78688955386</v>
      </c>
      <c r="AI46" s="3"/>
      <c r="AJ46" s="3"/>
      <c r="AK46" s="15">
        <f t="shared" si="7"/>
        <v>7</v>
      </c>
      <c r="AL46" s="11">
        <f t="shared" si="32"/>
        <v>222</v>
      </c>
      <c r="AM46" s="11" t="b">
        <f t="shared" si="5"/>
        <v>0</v>
      </c>
      <c r="AN46" s="11">
        <f t="shared" si="9"/>
        <v>36000</v>
      </c>
      <c r="AO46" s="11">
        <f t="shared" si="10"/>
        <v>0</v>
      </c>
      <c r="AP46" s="11">
        <f t="shared" si="11"/>
        <v>0.8752970747019243</v>
      </c>
      <c r="AQ46" s="11">
        <f t="shared" si="33"/>
        <v>0</v>
      </c>
      <c r="AT46" s="3"/>
      <c r="AU46" s="17"/>
      <c r="AV46" s="19"/>
      <c r="AW46" s="17"/>
      <c r="AX46" s="17">
        <f t="shared" si="34"/>
        <v>37</v>
      </c>
      <c r="AY46" s="17">
        <f t="shared" si="31"/>
        <v>3.7</v>
      </c>
      <c r="AZ46" s="17">
        <v>87.529707470192434</v>
      </c>
      <c r="BA46" s="17"/>
      <c r="BB46" s="17">
        <v>36</v>
      </c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</row>
    <row r="47" spans="8:86" x14ac:dyDescent="0.15">
      <c r="H47" s="3">
        <f t="shared" si="25"/>
        <v>3.5000000000000024E-2</v>
      </c>
      <c r="I47" s="3">
        <f t="shared" si="26"/>
        <v>360</v>
      </c>
      <c r="J47" s="14">
        <f t="shared" si="27"/>
        <v>500</v>
      </c>
      <c r="K47" s="3">
        <f t="shared" si="18"/>
        <v>0</v>
      </c>
      <c r="L47" s="3">
        <f t="shared" si="14"/>
        <v>500</v>
      </c>
      <c r="M47" s="15">
        <f t="shared" si="28"/>
        <v>7.0000000000000007E-2</v>
      </c>
      <c r="N47" s="3">
        <f t="shared" si="29"/>
        <v>97.103384630697803</v>
      </c>
      <c r="O47" s="3">
        <f t="shared" si="15"/>
        <v>97.103384630697803</v>
      </c>
      <c r="P47" s="3">
        <f t="shared" si="19"/>
        <v>104.41224153838475</v>
      </c>
      <c r="Q47" s="3">
        <f t="shared" si="30"/>
        <v>45.352484866257569</v>
      </c>
      <c r="R47" s="3">
        <f t="shared" si="20"/>
        <v>74.882363202321159</v>
      </c>
      <c r="S47" s="3">
        <f t="shared" si="16"/>
        <v>1</v>
      </c>
      <c r="T47" s="3">
        <f t="shared" si="21"/>
        <v>29529.87833606359</v>
      </c>
      <c r="U47" s="3">
        <f t="shared" si="22"/>
        <v>0.5</v>
      </c>
      <c r="V47" s="3">
        <f t="shared" si="23"/>
        <v>0</v>
      </c>
      <c r="W47" s="3">
        <f t="shared" si="24"/>
        <v>34957.218467051207</v>
      </c>
      <c r="X47" s="3">
        <f t="shared" si="17"/>
        <v>22676.242433128784</v>
      </c>
      <c r="AI47" s="3"/>
      <c r="AJ47" s="3"/>
      <c r="AK47" s="15">
        <f t="shared" si="7"/>
        <v>7</v>
      </c>
      <c r="AL47" s="11">
        <f t="shared" si="32"/>
        <v>228</v>
      </c>
      <c r="AM47" s="11" t="b">
        <f t="shared" si="5"/>
        <v>0</v>
      </c>
      <c r="AN47" s="11">
        <f t="shared" si="9"/>
        <v>36000</v>
      </c>
      <c r="AO47" s="11">
        <f t="shared" si="10"/>
        <v>0</v>
      </c>
      <c r="AP47" s="11">
        <f t="shared" si="11"/>
        <v>0.87639938951673912</v>
      </c>
      <c r="AQ47" s="11">
        <f t="shared" si="33"/>
        <v>0</v>
      </c>
      <c r="AT47" s="3"/>
      <c r="AU47" s="17"/>
      <c r="AV47" s="19"/>
      <c r="AW47" s="17"/>
      <c r="AX47" s="17">
        <f t="shared" si="34"/>
        <v>38</v>
      </c>
      <c r="AY47" s="17">
        <f t="shared" si="31"/>
        <v>3.8</v>
      </c>
      <c r="AZ47" s="17">
        <v>87.639938951673912</v>
      </c>
      <c r="BA47" s="17"/>
      <c r="BB47" s="17">
        <v>36</v>
      </c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</row>
    <row r="48" spans="8:86" x14ac:dyDescent="0.15">
      <c r="H48" s="3">
        <f t="shared" si="25"/>
        <v>3.6000000000000025E-2</v>
      </c>
      <c r="I48" s="3">
        <f t="shared" si="26"/>
        <v>360</v>
      </c>
      <c r="J48" s="14">
        <f t="shared" si="27"/>
        <v>500</v>
      </c>
      <c r="K48" s="3">
        <f t="shared" si="18"/>
        <v>0</v>
      </c>
      <c r="L48" s="3">
        <f t="shared" si="14"/>
        <v>500</v>
      </c>
      <c r="M48" s="15">
        <f t="shared" si="28"/>
        <v>7.0000000000000007E-2</v>
      </c>
      <c r="N48" s="3">
        <f t="shared" si="29"/>
        <v>97.021357190875406</v>
      </c>
      <c r="O48" s="3">
        <f t="shared" si="15"/>
        <v>97.021357190875406</v>
      </c>
      <c r="P48" s="3">
        <f t="shared" si="19"/>
        <v>104.32403999018861</v>
      </c>
      <c r="Q48" s="3">
        <f t="shared" si="30"/>
        <v>45.293425109585442</v>
      </c>
      <c r="R48" s="3">
        <f t="shared" si="20"/>
        <v>74.808732549887026</v>
      </c>
      <c r="S48" s="3">
        <f t="shared" si="16"/>
        <v>1</v>
      </c>
      <c r="T48" s="3">
        <f t="shared" si="21"/>
        <v>29515.307440301585</v>
      </c>
      <c r="U48" s="3">
        <f t="shared" si="22"/>
        <v>0.5</v>
      </c>
      <c r="V48" s="3">
        <f t="shared" si="23"/>
        <v>0</v>
      </c>
      <c r="W48" s="3">
        <f t="shared" si="24"/>
        <v>34927.688588715144</v>
      </c>
      <c r="X48" s="3">
        <f t="shared" si="17"/>
        <v>22646.712554792721</v>
      </c>
      <c r="AI48" s="3"/>
      <c r="AJ48" s="3"/>
      <c r="AK48" s="15">
        <f t="shared" si="7"/>
        <v>7</v>
      </c>
      <c r="AL48" s="11">
        <f t="shared" si="32"/>
        <v>234</v>
      </c>
      <c r="AM48" s="11" t="b">
        <f t="shared" si="5"/>
        <v>0</v>
      </c>
      <c r="AN48" s="11">
        <f t="shared" si="9"/>
        <v>36000</v>
      </c>
      <c r="AO48" s="11">
        <f t="shared" si="10"/>
        <v>0</v>
      </c>
      <c r="AP48" s="11">
        <f t="shared" si="11"/>
        <v>0.87750170433155406</v>
      </c>
      <c r="AQ48" s="11">
        <f t="shared" si="33"/>
        <v>0</v>
      </c>
      <c r="AT48" s="3"/>
      <c r="AU48" s="17"/>
      <c r="AV48" s="19"/>
      <c r="AW48" s="17"/>
      <c r="AX48" s="17">
        <f t="shared" si="34"/>
        <v>39</v>
      </c>
      <c r="AY48" s="17">
        <f t="shared" si="31"/>
        <v>3.9</v>
      </c>
      <c r="AZ48" s="17">
        <v>87.750170433155404</v>
      </c>
      <c r="BA48" s="17"/>
      <c r="BB48" s="17">
        <v>36</v>
      </c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</row>
    <row r="49" spans="8:86" x14ac:dyDescent="0.15">
      <c r="H49" s="3">
        <f t="shared" si="25"/>
        <v>3.7000000000000026E-2</v>
      </c>
      <c r="I49" s="3">
        <f t="shared" si="26"/>
        <v>360</v>
      </c>
      <c r="J49" s="14">
        <f t="shared" si="27"/>
        <v>500</v>
      </c>
      <c r="K49" s="3">
        <f t="shared" si="18"/>
        <v>0</v>
      </c>
      <c r="L49" s="3">
        <f t="shared" si="14"/>
        <v>500</v>
      </c>
      <c r="M49" s="15">
        <f t="shared" si="28"/>
        <v>7.0000000000000007E-2</v>
      </c>
      <c r="N49" s="3">
        <f t="shared" si="29"/>
        <v>96.939370225763454</v>
      </c>
      <c r="O49" s="3">
        <f t="shared" si="15"/>
        <v>96.939370225763454</v>
      </c>
      <c r="P49" s="3">
        <f t="shared" si="19"/>
        <v>104.23588196318651</v>
      </c>
      <c r="Q49" s="3">
        <f t="shared" si="30"/>
        <v>45.234394494704837</v>
      </c>
      <c r="R49" s="3">
        <f t="shared" si="20"/>
        <v>74.735138228945672</v>
      </c>
      <c r="S49" s="3">
        <f t="shared" si="16"/>
        <v>1</v>
      </c>
      <c r="T49" s="3">
        <f t="shared" si="21"/>
        <v>29500.743734240838</v>
      </c>
      <c r="U49" s="3">
        <f t="shared" si="22"/>
        <v>0.5</v>
      </c>
      <c r="V49" s="3">
        <f t="shared" si="23"/>
        <v>0</v>
      </c>
      <c r="W49" s="3">
        <f t="shared" si="24"/>
        <v>34898.173281274845</v>
      </c>
      <c r="X49" s="3">
        <f t="shared" si="17"/>
        <v>22617.197247352418</v>
      </c>
      <c r="AI49" s="3"/>
      <c r="AJ49" s="3"/>
      <c r="AK49" s="15">
        <f t="shared" si="7"/>
        <v>7</v>
      </c>
      <c r="AL49" s="11">
        <f t="shared" si="32"/>
        <v>240</v>
      </c>
      <c r="AM49" s="11" t="b">
        <f t="shared" si="5"/>
        <v>0</v>
      </c>
      <c r="AN49" s="11">
        <f t="shared" si="9"/>
        <v>36000</v>
      </c>
      <c r="AO49" s="11">
        <f t="shared" si="10"/>
        <v>0</v>
      </c>
      <c r="AP49" s="11">
        <f t="shared" si="11"/>
        <v>0.87860401914636888</v>
      </c>
      <c r="AQ49" s="11">
        <f t="shared" si="33"/>
        <v>0</v>
      </c>
      <c r="AT49" s="3"/>
      <c r="AU49" s="17"/>
      <c r="AV49" s="19"/>
      <c r="AW49" s="17"/>
      <c r="AX49" s="17">
        <f t="shared" si="34"/>
        <v>40</v>
      </c>
      <c r="AY49" s="17">
        <f t="shared" si="31"/>
        <v>4</v>
      </c>
      <c r="AZ49" s="17">
        <v>87.860401914636881</v>
      </c>
      <c r="BA49" s="17"/>
      <c r="BB49" s="17">
        <v>36</v>
      </c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</row>
    <row r="50" spans="8:86" x14ac:dyDescent="0.15">
      <c r="H50" s="3">
        <f t="shared" si="25"/>
        <v>3.8000000000000027E-2</v>
      </c>
      <c r="I50" s="3">
        <f t="shared" si="26"/>
        <v>360</v>
      </c>
      <c r="J50" s="14">
        <f t="shared" si="27"/>
        <v>500</v>
      </c>
      <c r="K50" s="3">
        <f t="shared" si="18"/>
        <v>0</v>
      </c>
      <c r="L50" s="3">
        <f t="shared" si="14"/>
        <v>500</v>
      </c>
      <c r="M50" s="15">
        <f t="shared" si="28"/>
        <v>7.0000000000000007E-2</v>
      </c>
      <c r="N50" s="3">
        <f t="shared" si="29"/>
        <v>96.857423715390567</v>
      </c>
      <c r="O50" s="3">
        <f t="shared" si="15"/>
        <v>96.857423715390567</v>
      </c>
      <c r="P50" s="3">
        <f t="shared" si="19"/>
        <v>104.14776743590384</v>
      </c>
      <c r="Q50" s="3">
        <f t="shared" si="30"/>
        <v>45.175393007236359</v>
      </c>
      <c r="R50" s="3">
        <f t="shared" si="20"/>
        <v>74.661580221570105</v>
      </c>
      <c r="S50" s="3">
        <f t="shared" si="16"/>
        <v>1</v>
      </c>
      <c r="T50" s="3">
        <f t="shared" si="21"/>
        <v>29486.187214333742</v>
      </c>
      <c r="U50" s="3">
        <f t="shared" si="22"/>
        <v>0.5</v>
      </c>
      <c r="V50" s="3">
        <f t="shared" si="23"/>
        <v>0</v>
      </c>
      <c r="W50" s="3">
        <f t="shared" si="24"/>
        <v>34868.672537540602</v>
      </c>
      <c r="X50" s="3">
        <f t="shared" si="17"/>
        <v>22587.696503618179</v>
      </c>
      <c r="AI50" s="3"/>
      <c r="AJ50" s="3"/>
      <c r="AK50" s="15">
        <f t="shared" si="7"/>
        <v>7</v>
      </c>
      <c r="AL50" s="11">
        <f t="shared" si="32"/>
        <v>246</v>
      </c>
      <c r="AM50" s="11" t="b">
        <f t="shared" si="5"/>
        <v>0</v>
      </c>
      <c r="AN50" s="11">
        <f t="shared" si="9"/>
        <v>36000</v>
      </c>
      <c r="AO50" s="11">
        <f t="shared" si="10"/>
        <v>0</v>
      </c>
      <c r="AP50" s="11">
        <f t="shared" si="11"/>
        <v>0.8797063339611837</v>
      </c>
      <c r="AQ50" s="11">
        <f t="shared" si="33"/>
        <v>0</v>
      </c>
      <c r="AT50" s="3"/>
      <c r="AU50" s="17"/>
      <c r="AV50" s="19"/>
      <c r="AW50" s="17"/>
      <c r="AX50" s="17">
        <f t="shared" si="34"/>
        <v>41</v>
      </c>
      <c r="AY50" s="17">
        <f t="shared" si="31"/>
        <v>4.0999999999999996</v>
      </c>
      <c r="AZ50" s="17">
        <v>87.970633396118373</v>
      </c>
      <c r="BA50" s="17"/>
      <c r="BB50" s="17">
        <v>36</v>
      </c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</row>
    <row r="51" spans="8:86" x14ac:dyDescent="0.15">
      <c r="H51" s="3">
        <f t="shared" si="25"/>
        <v>3.9000000000000028E-2</v>
      </c>
      <c r="I51" s="3">
        <f t="shared" si="26"/>
        <v>360</v>
      </c>
      <c r="J51" s="14">
        <f t="shared" si="27"/>
        <v>500</v>
      </c>
      <c r="K51" s="3">
        <f t="shared" si="18"/>
        <v>0</v>
      </c>
      <c r="L51" s="3">
        <f t="shared" si="14"/>
        <v>500</v>
      </c>
      <c r="M51" s="15">
        <f t="shared" si="28"/>
        <v>7.0000000000000007E-2</v>
      </c>
      <c r="N51" s="3">
        <f t="shared" si="29"/>
        <v>96.775517639795197</v>
      </c>
      <c r="O51" s="3">
        <f t="shared" si="15"/>
        <v>96.775517639795197</v>
      </c>
      <c r="P51" s="3">
        <f t="shared" si="19"/>
        <v>104.05969638687657</v>
      </c>
      <c r="Q51" s="3">
        <f t="shared" si="30"/>
        <v>45.116420632807689</v>
      </c>
      <c r="R51" s="3">
        <f t="shared" si="20"/>
        <v>74.588058509842128</v>
      </c>
      <c r="S51" s="3">
        <f t="shared" si="16"/>
        <v>1</v>
      </c>
      <c r="T51" s="3">
        <f t="shared" si="21"/>
        <v>29471.637877034438</v>
      </c>
      <c r="U51" s="3">
        <f t="shared" si="22"/>
        <v>0.5</v>
      </c>
      <c r="V51" s="3">
        <f t="shared" si="23"/>
        <v>0</v>
      </c>
      <c r="W51" s="3">
        <f t="shared" si="24"/>
        <v>34839.186350326272</v>
      </c>
      <c r="X51" s="3">
        <f t="shared" si="17"/>
        <v>22558.210316403845</v>
      </c>
      <c r="AI51" s="3"/>
      <c r="AJ51" s="3"/>
      <c r="AK51" s="15">
        <f t="shared" si="7"/>
        <v>7</v>
      </c>
      <c r="AL51" s="11">
        <f t="shared" si="32"/>
        <v>252</v>
      </c>
      <c r="AM51" s="11" t="b">
        <f t="shared" si="5"/>
        <v>0</v>
      </c>
      <c r="AN51" s="11">
        <f t="shared" si="9"/>
        <v>36000</v>
      </c>
      <c r="AO51" s="11">
        <f t="shared" si="10"/>
        <v>0</v>
      </c>
      <c r="AP51" s="11">
        <f t="shared" si="11"/>
        <v>0.88080864877599852</v>
      </c>
      <c r="AQ51" s="11">
        <f t="shared" si="33"/>
        <v>0</v>
      </c>
      <c r="AT51" s="3"/>
      <c r="AU51" s="17"/>
      <c r="AV51" s="19"/>
      <c r="AW51" s="17"/>
      <c r="AX51" s="17">
        <f t="shared" si="34"/>
        <v>42</v>
      </c>
      <c r="AY51" s="17">
        <f t="shared" si="31"/>
        <v>4.2</v>
      </c>
      <c r="AZ51" s="17">
        <v>88.080864877599851</v>
      </c>
      <c r="BA51" s="17"/>
      <c r="BB51" s="17">
        <v>36</v>
      </c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</row>
    <row r="52" spans="8:86" x14ac:dyDescent="0.15">
      <c r="H52" s="3">
        <f t="shared" si="25"/>
        <v>4.0000000000000029E-2</v>
      </c>
      <c r="I52" s="3">
        <f t="shared" si="26"/>
        <v>360</v>
      </c>
      <c r="J52" s="14">
        <f t="shared" si="27"/>
        <v>500</v>
      </c>
      <c r="K52" s="3">
        <f t="shared" si="18"/>
        <v>0</v>
      </c>
      <c r="L52" s="3">
        <f t="shared" si="14"/>
        <v>500</v>
      </c>
      <c r="M52" s="15">
        <f t="shared" si="28"/>
        <v>7.0000000000000007E-2</v>
      </c>
      <c r="N52" s="3">
        <f t="shared" si="29"/>
        <v>96.693651979025674</v>
      </c>
      <c r="O52" s="3">
        <f t="shared" si="15"/>
        <v>96.693651979025674</v>
      </c>
      <c r="P52" s="3">
        <f t="shared" si="19"/>
        <v>103.97166879465126</v>
      </c>
      <c r="Q52" s="3">
        <f t="shared" si="30"/>
        <v>45.057477357053621</v>
      </c>
      <c r="R52" s="3">
        <f t="shared" si="20"/>
        <v>74.514573075852439</v>
      </c>
      <c r="S52" s="3">
        <f t="shared" si="16"/>
        <v>1</v>
      </c>
      <c r="T52" s="3">
        <f t="shared" si="21"/>
        <v>29457.095718798821</v>
      </c>
      <c r="U52" s="3">
        <f t="shared" si="22"/>
        <v>0.5</v>
      </c>
      <c r="V52" s="3">
        <f t="shared" si="23"/>
        <v>0</v>
      </c>
      <c r="W52" s="3">
        <f t="shared" si="24"/>
        <v>34809.71471244924</v>
      </c>
      <c r="X52" s="3">
        <f t="shared" si="17"/>
        <v>22528.73867852681</v>
      </c>
      <c r="AI52" s="3"/>
      <c r="AJ52" s="3"/>
      <c r="AK52" s="15">
        <f t="shared" si="7"/>
        <v>7</v>
      </c>
      <c r="AL52" s="11">
        <f t="shared" si="32"/>
        <v>258</v>
      </c>
      <c r="AM52" s="11" t="b">
        <f t="shared" si="5"/>
        <v>0</v>
      </c>
      <c r="AN52" s="11">
        <f t="shared" si="9"/>
        <v>36000</v>
      </c>
      <c r="AO52" s="11">
        <f t="shared" si="10"/>
        <v>0</v>
      </c>
      <c r="AP52" s="11">
        <f t="shared" si="11"/>
        <v>0.88191096359081333</v>
      </c>
      <c r="AQ52" s="11">
        <f t="shared" si="33"/>
        <v>0</v>
      </c>
      <c r="AT52" s="3"/>
      <c r="AU52" s="17"/>
      <c r="AV52" s="19"/>
      <c r="AW52" s="17"/>
      <c r="AX52" s="17">
        <f t="shared" si="34"/>
        <v>43</v>
      </c>
      <c r="AY52" s="17">
        <f t="shared" si="31"/>
        <v>4.3</v>
      </c>
      <c r="AZ52" s="17">
        <v>88.191096359081328</v>
      </c>
      <c r="BA52" s="17"/>
      <c r="BB52" s="17">
        <v>36</v>
      </c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</row>
    <row r="53" spans="8:86" x14ac:dyDescent="0.15">
      <c r="H53" s="3">
        <f t="shared" si="25"/>
        <v>4.1000000000000029E-2</v>
      </c>
      <c r="I53" s="3">
        <f t="shared" si="26"/>
        <v>360</v>
      </c>
      <c r="J53" s="14">
        <f t="shared" si="27"/>
        <v>500</v>
      </c>
      <c r="K53" s="3">
        <f t="shared" si="18"/>
        <v>0</v>
      </c>
      <c r="L53" s="3">
        <f t="shared" si="14"/>
        <v>500</v>
      </c>
      <c r="M53" s="15">
        <f t="shared" si="28"/>
        <v>7.0000000000000007E-2</v>
      </c>
      <c r="N53" s="3">
        <f t="shared" si="29"/>
        <v>96.611826713140118</v>
      </c>
      <c r="O53" s="3">
        <f t="shared" si="15"/>
        <v>96.611826713140118</v>
      </c>
      <c r="P53" s="3">
        <f t="shared" si="19"/>
        <v>103.88368463778508</v>
      </c>
      <c r="Q53" s="3">
        <f t="shared" si="30"/>
        <v>44.998563165616027</v>
      </c>
      <c r="R53" s="3">
        <f t="shared" si="20"/>
        <v>74.44112390170055</v>
      </c>
      <c r="S53" s="3">
        <f t="shared" si="16"/>
        <v>1</v>
      </c>
      <c r="T53" s="3">
        <f t="shared" si="21"/>
        <v>29442.560736084528</v>
      </c>
      <c r="U53" s="3">
        <f t="shared" si="22"/>
        <v>0.5</v>
      </c>
      <c r="V53" s="3">
        <f t="shared" si="23"/>
        <v>0</v>
      </c>
      <c r="W53" s="3">
        <f t="shared" si="24"/>
        <v>34780.257616730443</v>
      </c>
      <c r="X53" s="3">
        <f t="shared" si="17"/>
        <v>22499.281582808013</v>
      </c>
      <c r="AI53" s="3"/>
      <c r="AJ53" s="3"/>
      <c r="AK53" s="15">
        <f t="shared" si="7"/>
        <v>7</v>
      </c>
      <c r="AL53" s="11">
        <f t="shared" si="32"/>
        <v>264</v>
      </c>
      <c r="AM53" s="11" t="b">
        <f t="shared" si="5"/>
        <v>0</v>
      </c>
      <c r="AN53" s="11">
        <f t="shared" si="9"/>
        <v>36000</v>
      </c>
      <c r="AO53" s="11">
        <f t="shared" si="10"/>
        <v>0</v>
      </c>
      <c r="AP53" s="11">
        <f t="shared" si="11"/>
        <v>0.88301327840562827</v>
      </c>
      <c r="AQ53" s="11">
        <f t="shared" si="33"/>
        <v>0</v>
      </c>
      <c r="AT53" s="3"/>
      <c r="AU53" s="17"/>
      <c r="AV53" s="19"/>
      <c r="AW53" s="17"/>
      <c r="AX53" s="17">
        <f t="shared" si="34"/>
        <v>44</v>
      </c>
      <c r="AY53" s="17">
        <f t="shared" si="31"/>
        <v>4.4000000000000004</v>
      </c>
      <c r="AZ53" s="17">
        <v>88.30132784056282</v>
      </c>
      <c r="BA53" s="17"/>
      <c r="BB53" s="17">
        <v>36</v>
      </c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</row>
    <row r="54" spans="8:86" x14ac:dyDescent="0.15">
      <c r="H54" s="3">
        <f t="shared" si="25"/>
        <v>4.200000000000003E-2</v>
      </c>
      <c r="I54" s="3">
        <f t="shared" si="26"/>
        <v>360</v>
      </c>
      <c r="J54" s="14">
        <f t="shared" si="27"/>
        <v>500</v>
      </c>
      <c r="K54" s="3">
        <f t="shared" si="18"/>
        <v>0</v>
      </c>
      <c r="L54" s="3">
        <f t="shared" si="14"/>
        <v>500</v>
      </c>
      <c r="M54" s="15">
        <f t="shared" si="28"/>
        <v>7.0000000000000007E-2</v>
      </c>
      <c r="N54" s="3">
        <f t="shared" si="29"/>
        <v>96.530041822206556</v>
      </c>
      <c r="O54" s="3">
        <f t="shared" si="15"/>
        <v>96.530041822206556</v>
      </c>
      <c r="P54" s="3">
        <f t="shared" si="19"/>
        <v>103.79574389484577</v>
      </c>
      <c r="Q54" s="3">
        <f t="shared" si="30"/>
        <v>44.939678044143854</v>
      </c>
      <c r="R54" s="3">
        <f t="shared" si="20"/>
        <v>74.367710969494809</v>
      </c>
      <c r="S54" s="3">
        <f t="shared" si="16"/>
        <v>1</v>
      </c>
      <c r="T54" s="3">
        <f t="shared" si="21"/>
        <v>29428.032925350959</v>
      </c>
      <c r="U54" s="3">
        <f t="shared" si="22"/>
        <v>0.5</v>
      </c>
      <c r="V54" s="3">
        <f t="shared" si="23"/>
        <v>0</v>
      </c>
      <c r="W54" s="3">
        <f t="shared" si="24"/>
        <v>34750.815055994361</v>
      </c>
      <c r="X54" s="3">
        <f t="shared" si="17"/>
        <v>22469.839022071927</v>
      </c>
      <c r="AI54" s="3"/>
      <c r="AJ54" s="3"/>
      <c r="AK54" s="15">
        <f t="shared" si="7"/>
        <v>7</v>
      </c>
      <c r="AL54" s="11">
        <f t="shared" si="32"/>
        <v>270</v>
      </c>
      <c r="AM54" s="11" t="b">
        <f t="shared" si="5"/>
        <v>0</v>
      </c>
      <c r="AN54" s="11">
        <f t="shared" si="9"/>
        <v>36000</v>
      </c>
      <c r="AO54" s="11">
        <f t="shared" si="10"/>
        <v>0</v>
      </c>
      <c r="AP54" s="11">
        <f t="shared" si="11"/>
        <v>0.88411559322044309</v>
      </c>
      <c r="AQ54" s="11">
        <f t="shared" si="33"/>
        <v>0</v>
      </c>
      <c r="AT54" s="3"/>
      <c r="AU54" s="17"/>
      <c r="AV54" s="19"/>
      <c r="AW54" s="17"/>
      <c r="AX54" s="17">
        <f t="shared" si="34"/>
        <v>45</v>
      </c>
      <c r="AY54" s="17">
        <f t="shared" si="31"/>
        <v>4.5</v>
      </c>
      <c r="AZ54" s="17">
        <v>88.411559322044312</v>
      </c>
      <c r="BA54" s="17"/>
      <c r="BB54" s="17">
        <v>36</v>
      </c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7"/>
      <c r="CH54" s="17"/>
    </row>
    <row r="55" spans="8:86" x14ac:dyDescent="0.15">
      <c r="H55" s="3">
        <f t="shared" si="25"/>
        <v>4.3000000000000031E-2</v>
      </c>
      <c r="I55" s="3">
        <f t="shared" si="26"/>
        <v>360</v>
      </c>
      <c r="J55" s="14">
        <f t="shared" si="27"/>
        <v>500</v>
      </c>
      <c r="K55" s="3">
        <f t="shared" si="18"/>
        <v>0</v>
      </c>
      <c r="L55" s="3">
        <f t="shared" si="14"/>
        <v>500</v>
      </c>
      <c r="M55" s="15">
        <f t="shared" si="28"/>
        <v>7.0000000000000007E-2</v>
      </c>
      <c r="N55" s="3">
        <f t="shared" si="29"/>
        <v>96.448297286302804</v>
      </c>
      <c r="O55" s="3">
        <f t="shared" si="15"/>
        <v>96.448297286302804</v>
      </c>
      <c r="P55" s="3">
        <f t="shared" si="19"/>
        <v>103.70784654441162</v>
      </c>
      <c r="Q55" s="3">
        <f t="shared" si="30"/>
        <v>44.880821978293149</v>
      </c>
      <c r="R55" s="3">
        <f t="shared" si="20"/>
        <v>74.29433426135239</v>
      </c>
      <c r="S55" s="3">
        <f t="shared" si="16"/>
        <v>1</v>
      </c>
      <c r="T55" s="3">
        <f t="shared" si="21"/>
        <v>29413.512283059237</v>
      </c>
      <c r="U55" s="3">
        <f t="shared" si="22"/>
        <v>0.5</v>
      </c>
      <c r="V55" s="3">
        <f t="shared" si="23"/>
        <v>0</v>
      </c>
      <c r="W55" s="3">
        <f t="shared" si="24"/>
        <v>34721.387023069008</v>
      </c>
      <c r="X55" s="3">
        <f t="shared" si="17"/>
        <v>22440.410989146574</v>
      </c>
      <c r="AI55" s="3"/>
      <c r="AJ55" s="3"/>
      <c r="AK55" s="15">
        <f t="shared" si="7"/>
        <v>7</v>
      </c>
      <c r="AL55" s="11">
        <f t="shared" si="32"/>
        <v>276</v>
      </c>
      <c r="AM55" s="11" t="b">
        <f t="shared" si="5"/>
        <v>0</v>
      </c>
      <c r="AN55" s="11">
        <f t="shared" si="9"/>
        <v>36000</v>
      </c>
      <c r="AO55" s="11">
        <f t="shared" si="10"/>
        <v>0</v>
      </c>
      <c r="AP55" s="11">
        <f t="shared" si="11"/>
        <v>0.88521790803525791</v>
      </c>
      <c r="AQ55" s="11">
        <f t="shared" si="33"/>
        <v>0</v>
      </c>
      <c r="AT55" s="3"/>
      <c r="AU55" s="17"/>
      <c r="AV55" s="19"/>
      <c r="AW55" s="17"/>
      <c r="AX55" s="17">
        <f t="shared" si="34"/>
        <v>46</v>
      </c>
      <c r="AY55" s="17">
        <f t="shared" si="31"/>
        <v>4.5999999999999996</v>
      </c>
      <c r="AZ55" s="17">
        <v>88.521790803525789</v>
      </c>
      <c r="BA55" s="17"/>
      <c r="BB55" s="17">
        <v>36</v>
      </c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</row>
    <row r="56" spans="8:86" x14ac:dyDescent="0.15">
      <c r="H56" s="3">
        <f t="shared" si="25"/>
        <v>4.4000000000000032E-2</v>
      </c>
      <c r="I56" s="3">
        <f t="shared" si="26"/>
        <v>360</v>
      </c>
      <c r="J56" s="14">
        <f t="shared" si="27"/>
        <v>500</v>
      </c>
      <c r="K56" s="3">
        <f t="shared" si="18"/>
        <v>0</v>
      </c>
      <c r="L56" s="3">
        <f t="shared" si="14"/>
        <v>500</v>
      </c>
      <c r="M56" s="15">
        <f t="shared" si="28"/>
        <v>7.0000000000000007E-2</v>
      </c>
      <c r="N56" s="3">
        <f t="shared" si="29"/>
        <v>96.366593085516541</v>
      </c>
      <c r="O56" s="3">
        <f t="shared" si="15"/>
        <v>96.366593085516541</v>
      </c>
      <c r="P56" s="3">
        <f t="shared" si="19"/>
        <v>103.61999256507156</v>
      </c>
      <c r="Q56" s="3">
        <f t="shared" si="30"/>
        <v>44.821994953727028</v>
      </c>
      <c r="R56" s="3">
        <f t="shared" si="20"/>
        <v>74.220993759399292</v>
      </c>
      <c r="S56" s="3">
        <f t="shared" si="16"/>
        <v>1</v>
      </c>
      <c r="T56" s="3">
        <f t="shared" si="21"/>
        <v>29398.998805672265</v>
      </c>
      <c r="U56" s="3">
        <f t="shared" si="22"/>
        <v>0.5</v>
      </c>
      <c r="V56" s="3">
        <f t="shared" si="23"/>
        <v>0</v>
      </c>
      <c r="W56" s="3">
        <f t="shared" si="24"/>
        <v>34691.973510785952</v>
      </c>
      <c r="X56" s="3">
        <f t="shared" si="17"/>
        <v>22410.997476863515</v>
      </c>
      <c r="AI56" s="3"/>
      <c r="AJ56" s="3"/>
      <c r="AK56" s="15">
        <f t="shared" si="7"/>
        <v>7</v>
      </c>
      <c r="AL56" s="11">
        <f t="shared" si="32"/>
        <v>282</v>
      </c>
      <c r="AM56" s="11" t="b">
        <f t="shared" si="5"/>
        <v>0</v>
      </c>
      <c r="AN56" s="11">
        <f t="shared" si="9"/>
        <v>36000</v>
      </c>
      <c r="AO56" s="11">
        <f t="shared" si="10"/>
        <v>0</v>
      </c>
      <c r="AP56" s="11">
        <f t="shared" si="11"/>
        <v>0.88632022285007273</v>
      </c>
      <c r="AQ56" s="11">
        <f t="shared" si="33"/>
        <v>0</v>
      </c>
      <c r="AT56" s="3"/>
      <c r="AU56" s="17"/>
      <c r="AV56" s="19"/>
      <c r="AW56" s="17"/>
      <c r="AX56" s="17">
        <f t="shared" si="34"/>
        <v>47</v>
      </c>
      <c r="AY56" s="17">
        <f t="shared" si="31"/>
        <v>4.7</v>
      </c>
      <c r="AZ56" s="17">
        <v>88.632022285007267</v>
      </c>
      <c r="BA56" s="17"/>
      <c r="BB56" s="17">
        <v>36</v>
      </c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</row>
    <row r="57" spans="8:86" x14ac:dyDescent="0.15">
      <c r="H57" s="3">
        <f t="shared" si="25"/>
        <v>4.5000000000000033E-2</v>
      </c>
      <c r="I57" s="3">
        <f t="shared" si="26"/>
        <v>360</v>
      </c>
      <c r="J57" s="14">
        <f t="shared" si="27"/>
        <v>500</v>
      </c>
      <c r="K57" s="3">
        <f t="shared" si="18"/>
        <v>0</v>
      </c>
      <c r="L57" s="3">
        <f t="shared" si="14"/>
        <v>500</v>
      </c>
      <c r="M57" s="15">
        <f t="shared" si="28"/>
        <v>7.0000000000000007E-2</v>
      </c>
      <c r="N57" s="3">
        <f t="shared" si="29"/>
        <v>96.284929199945225</v>
      </c>
      <c r="O57" s="3">
        <f t="shared" si="15"/>
        <v>96.284929199945225</v>
      </c>
      <c r="P57" s="3">
        <f t="shared" si="19"/>
        <v>103.53218193542499</v>
      </c>
      <c r="Q57" s="3">
        <f t="shared" si="30"/>
        <v>44.763196956115685</v>
      </c>
      <c r="R57" s="3">
        <f t="shared" si="20"/>
        <v>74.147689445770339</v>
      </c>
      <c r="S57" s="3">
        <f t="shared" si="16"/>
        <v>1</v>
      </c>
      <c r="T57" s="3">
        <f t="shared" si="21"/>
        <v>29384.492489654651</v>
      </c>
      <c r="U57" s="3">
        <f t="shared" si="22"/>
        <v>0.5</v>
      </c>
      <c r="V57" s="3">
        <f t="shared" si="23"/>
        <v>0</v>
      </c>
      <c r="W57" s="3">
        <f t="shared" si="24"/>
        <v>34662.574511980281</v>
      </c>
      <c r="X57" s="3">
        <f t="shared" si="17"/>
        <v>22381.598478057844</v>
      </c>
      <c r="AI57" s="3"/>
      <c r="AJ57" s="3"/>
      <c r="AK57" s="15">
        <f t="shared" si="7"/>
        <v>7</v>
      </c>
      <c r="AL57" s="11">
        <f t="shared" si="32"/>
        <v>288</v>
      </c>
      <c r="AM57" s="11" t="b">
        <f t="shared" si="5"/>
        <v>0</v>
      </c>
      <c r="AN57" s="11">
        <f t="shared" si="9"/>
        <v>36000</v>
      </c>
      <c r="AO57" s="11">
        <f t="shared" si="10"/>
        <v>0</v>
      </c>
      <c r="AP57" s="11">
        <f t="shared" si="11"/>
        <v>0.88742253766488755</v>
      </c>
      <c r="AQ57" s="11">
        <f t="shared" si="33"/>
        <v>0</v>
      </c>
      <c r="AT57" s="3"/>
      <c r="AU57" s="17"/>
      <c r="AV57" s="19"/>
      <c r="AW57" s="17"/>
      <c r="AX57" s="17">
        <f t="shared" si="34"/>
        <v>48</v>
      </c>
      <c r="AY57" s="17">
        <f t="shared" si="31"/>
        <v>4.8</v>
      </c>
      <c r="AZ57" s="17">
        <v>88.742253766488759</v>
      </c>
      <c r="BA57" s="17"/>
      <c r="BB57" s="17">
        <v>36</v>
      </c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</row>
    <row r="58" spans="8:86" x14ac:dyDescent="0.15">
      <c r="H58" s="3">
        <f t="shared" si="25"/>
        <v>4.6000000000000034E-2</v>
      </c>
      <c r="I58" s="3">
        <f t="shared" si="26"/>
        <v>360</v>
      </c>
      <c r="J58" s="14">
        <f t="shared" si="27"/>
        <v>500</v>
      </c>
      <c r="K58" s="3">
        <f t="shared" si="18"/>
        <v>0</v>
      </c>
      <c r="L58" s="3">
        <f t="shared" si="14"/>
        <v>500</v>
      </c>
      <c r="M58" s="15">
        <f t="shared" si="28"/>
        <v>7.0000000000000007E-2</v>
      </c>
      <c r="N58" s="3">
        <f t="shared" si="29"/>
        <v>96.203305609696187</v>
      </c>
      <c r="O58" s="3">
        <f t="shared" si="15"/>
        <v>96.203305609696187</v>
      </c>
      <c r="P58" s="3">
        <f t="shared" si="19"/>
        <v>103.44441463408192</v>
      </c>
      <c r="Q58" s="3">
        <f t="shared" si="30"/>
        <v>44.704427971136376</v>
      </c>
      <c r="R58" s="3">
        <f t="shared" si="20"/>
        <v>74.074421302609153</v>
      </c>
      <c r="S58" s="3">
        <f t="shared" si="16"/>
        <v>1</v>
      </c>
      <c r="T58" s="3">
        <f t="shared" si="21"/>
        <v>29369.993331472775</v>
      </c>
      <c r="U58" s="3">
        <f t="shared" si="22"/>
        <v>0.5</v>
      </c>
      <c r="V58" s="3">
        <f t="shared" si="23"/>
        <v>0</v>
      </c>
      <c r="W58" s="3">
        <f t="shared" si="24"/>
        <v>34633.190019490627</v>
      </c>
      <c r="X58" s="3">
        <f t="shared" si="17"/>
        <v>22352.213985568189</v>
      </c>
      <c r="AI58" s="3"/>
      <c r="AJ58" s="3"/>
      <c r="AK58" s="15">
        <f t="shared" si="7"/>
        <v>7</v>
      </c>
      <c r="AL58" s="11">
        <f t="shared" si="32"/>
        <v>294</v>
      </c>
      <c r="AM58" s="11" t="b">
        <f t="shared" si="5"/>
        <v>0</v>
      </c>
      <c r="AN58" s="11">
        <f t="shared" si="9"/>
        <v>36000</v>
      </c>
      <c r="AO58" s="11">
        <f t="shared" si="10"/>
        <v>0</v>
      </c>
      <c r="AP58" s="11">
        <f t="shared" si="11"/>
        <v>0.88852485247970248</v>
      </c>
      <c r="AQ58" s="11">
        <f t="shared" si="33"/>
        <v>0</v>
      </c>
      <c r="AT58" s="3"/>
      <c r="AU58" s="17"/>
      <c r="AV58" s="19"/>
      <c r="AW58" s="17"/>
      <c r="AX58" s="17">
        <f t="shared" si="34"/>
        <v>49</v>
      </c>
      <c r="AY58" s="17">
        <f t="shared" si="31"/>
        <v>4.9000000000000004</v>
      </c>
      <c r="AZ58" s="17">
        <v>88.85248524797025</v>
      </c>
      <c r="BA58" s="17"/>
      <c r="BB58" s="17">
        <v>36</v>
      </c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</row>
    <row r="59" spans="8:86" x14ac:dyDescent="0.15">
      <c r="H59" s="3">
        <f t="shared" si="25"/>
        <v>4.7000000000000035E-2</v>
      </c>
      <c r="I59" s="3">
        <f t="shared" si="26"/>
        <v>360</v>
      </c>
      <c r="J59" s="14">
        <f t="shared" si="27"/>
        <v>500</v>
      </c>
      <c r="K59" s="3">
        <f t="shared" si="18"/>
        <v>0</v>
      </c>
      <c r="L59" s="3">
        <f t="shared" si="14"/>
        <v>500</v>
      </c>
      <c r="M59" s="15">
        <f t="shared" si="28"/>
        <v>7.0000000000000007E-2</v>
      </c>
      <c r="N59" s="3">
        <f t="shared" si="29"/>
        <v>96.121722294886538</v>
      </c>
      <c r="O59" s="3">
        <f t="shared" si="15"/>
        <v>96.121722294886538</v>
      </c>
      <c r="P59" s="3">
        <f t="shared" si="19"/>
        <v>103.35669063966296</v>
      </c>
      <c r="Q59" s="3">
        <f t="shared" si="30"/>
        <v>44.645687984473433</v>
      </c>
      <c r="R59" s="3">
        <f t="shared" si="20"/>
        <v>74.001189312068192</v>
      </c>
      <c r="S59" s="3">
        <f t="shared" si="16"/>
        <v>1</v>
      </c>
      <c r="T59" s="3">
        <f t="shared" si="21"/>
        <v>29355.501327594764</v>
      </c>
      <c r="U59" s="3">
        <f t="shared" si="22"/>
        <v>0.5</v>
      </c>
      <c r="V59" s="3">
        <f t="shared" si="23"/>
        <v>0</v>
      </c>
      <c r="W59" s="3">
        <f t="shared" si="24"/>
        <v>34603.820026159156</v>
      </c>
      <c r="X59" s="3">
        <f t="shared" si="17"/>
        <v>22322.843992236718</v>
      </c>
      <c r="AI59" s="3"/>
      <c r="AJ59" s="3"/>
      <c r="AK59" s="15">
        <f t="shared" si="7"/>
        <v>7</v>
      </c>
      <c r="AL59" s="11">
        <f t="shared" si="32"/>
        <v>300</v>
      </c>
      <c r="AM59" s="11" t="b">
        <f t="shared" si="5"/>
        <v>0</v>
      </c>
      <c r="AN59" s="11">
        <f t="shared" si="9"/>
        <v>36000</v>
      </c>
      <c r="AO59" s="11">
        <f t="shared" si="10"/>
        <v>0</v>
      </c>
      <c r="AP59" s="11">
        <f t="shared" si="11"/>
        <v>0.8896271672945173</v>
      </c>
      <c r="AQ59" s="11">
        <f t="shared" si="33"/>
        <v>0</v>
      </c>
      <c r="AT59" s="3"/>
      <c r="AU59" s="17"/>
      <c r="AV59" s="19"/>
      <c r="AW59" s="17"/>
      <c r="AX59" s="17">
        <f t="shared" si="34"/>
        <v>50</v>
      </c>
      <c r="AY59" s="17">
        <f t="shared" si="31"/>
        <v>5</v>
      </c>
      <c r="AZ59" s="17">
        <v>88.962716729451728</v>
      </c>
      <c r="BA59" s="17"/>
      <c r="BB59" s="17">
        <v>36</v>
      </c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</row>
    <row r="60" spans="8:86" x14ac:dyDescent="0.15">
      <c r="H60" s="3">
        <f t="shared" si="25"/>
        <v>4.8000000000000036E-2</v>
      </c>
      <c r="I60" s="3">
        <f t="shared" si="26"/>
        <v>360</v>
      </c>
      <c r="J60" s="14">
        <f t="shared" si="27"/>
        <v>500</v>
      </c>
      <c r="K60" s="3">
        <f t="shared" si="18"/>
        <v>0</v>
      </c>
      <c r="L60" s="3">
        <f t="shared" si="14"/>
        <v>500</v>
      </c>
      <c r="M60" s="15">
        <f t="shared" si="28"/>
        <v>7.0000000000000007E-2</v>
      </c>
      <c r="N60" s="3">
        <f t="shared" si="29"/>
        <v>96.040179235643208</v>
      </c>
      <c r="O60" s="3">
        <f t="shared" si="15"/>
        <v>96.040179235643208</v>
      </c>
      <c r="P60" s="3">
        <f t="shared" si="19"/>
        <v>103.26900993079916</v>
      </c>
      <c r="Q60" s="3">
        <f t="shared" si="30"/>
        <v>44.586976981818246</v>
      </c>
      <c r="R60" s="3">
        <f t="shared" si="20"/>
        <v>73.927993456308698</v>
      </c>
      <c r="S60" s="3">
        <f t="shared" si="16"/>
        <v>1</v>
      </c>
      <c r="T60" s="3">
        <f t="shared" si="21"/>
        <v>29341.016474490454</v>
      </c>
      <c r="U60" s="3">
        <f t="shared" si="22"/>
        <v>0.5</v>
      </c>
      <c r="V60" s="3">
        <f t="shared" si="23"/>
        <v>0</v>
      </c>
      <c r="W60" s="3">
        <f t="shared" si="24"/>
        <v>34574.464524831557</v>
      </c>
      <c r="X60" s="3">
        <f t="shared" si="17"/>
        <v>22293.488490909123</v>
      </c>
      <c r="AI60" s="3"/>
      <c r="AJ60" s="3"/>
      <c r="AK60" s="15">
        <f t="shared" si="7"/>
        <v>7</v>
      </c>
      <c r="AL60" s="11">
        <f t="shared" si="32"/>
        <v>306</v>
      </c>
      <c r="AM60" s="11" t="b">
        <f t="shared" si="5"/>
        <v>0</v>
      </c>
      <c r="AN60" s="11">
        <f t="shared" si="9"/>
        <v>36000</v>
      </c>
      <c r="AO60" s="11">
        <f t="shared" si="10"/>
        <v>0</v>
      </c>
      <c r="AP60" s="11">
        <f t="shared" si="11"/>
        <v>0.89072948210933212</v>
      </c>
      <c r="AQ60" s="11">
        <f t="shared" si="33"/>
        <v>0</v>
      </c>
      <c r="AT60" s="3"/>
      <c r="AU60" s="17"/>
      <c r="AV60" s="19"/>
      <c r="AW60" s="17"/>
      <c r="AX60" s="17">
        <f t="shared" si="34"/>
        <v>51</v>
      </c>
      <c r="AY60" s="17">
        <f t="shared" si="31"/>
        <v>5.0999999999999996</v>
      </c>
      <c r="AZ60" s="17">
        <v>89.072948210933205</v>
      </c>
      <c r="BA60" s="17"/>
      <c r="BB60" s="17">
        <v>36</v>
      </c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</row>
    <row r="61" spans="8:86" x14ac:dyDescent="0.15">
      <c r="H61" s="3">
        <f t="shared" si="25"/>
        <v>4.9000000000000037E-2</v>
      </c>
      <c r="I61" s="3">
        <f t="shared" si="26"/>
        <v>360</v>
      </c>
      <c r="J61" s="14">
        <f t="shared" si="27"/>
        <v>500</v>
      </c>
      <c r="K61" s="3">
        <f t="shared" si="18"/>
        <v>0</v>
      </c>
      <c r="L61" s="3">
        <f t="shared" si="14"/>
        <v>500</v>
      </c>
      <c r="M61" s="15">
        <f t="shared" si="28"/>
        <v>7.0000000000000007E-2</v>
      </c>
      <c r="N61" s="3">
        <f t="shared" si="29"/>
        <v>95.95867641210296</v>
      </c>
      <c r="O61" s="3">
        <f t="shared" si="15"/>
        <v>95.95867641210296</v>
      </c>
      <c r="P61" s="3">
        <f t="shared" si="19"/>
        <v>103.18137248613222</v>
      </c>
      <c r="Q61" s="3">
        <f t="shared" si="30"/>
        <v>44.528294948869267</v>
      </c>
      <c r="R61" s="3">
        <f t="shared" si="20"/>
        <v>73.854833717500739</v>
      </c>
      <c r="S61" s="3">
        <f t="shared" si="16"/>
        <v>1</v>
      </c>
      <c r="T61" s="3">
        <f t="shared" si="21"/>
        <v>29326.538768631475</v>
      </c>
      <c r="U61" s="3">
        <f t="shared" si="22"/>
        <v>0.5</v>
      </c>
      <c r="V61" s="3">
        <f t="shared" si="23"/>
        <v>0</v>
      </c>
      <c r="W61" s="3">
        <f t="shared" si="24"/>
        <v>34545.123508357065</v>
      </c>
      <c r="X61" s="3">
        <f t="shared" si="17"/>
        <v>22264.147474434634</v>
      </c>
      <c r="AI61" s="3"/>
      <c r="AJ61" s="3"/>
      <c r="AK61" s="15">
        <f t="shared" si="7"/>
        <v>7</v>
      </c>
      <c r="AL61" s="11">
        <f t="shared" si="32"/>
        <v>312</v>
      </c>
      <c r="AM61" s="11" t="b">
        <f t="shared" si="5"/>
        <v>0</v>
      </c>
      <c r="AN61" s="11">
        <f t="shared" si="9"/>
        <v>36000</v>
      </c>
      <c r="AO61" s="11">
        <f t="shared" si="10"/>
        <v>0</v>
      </c>
      <c r="AP61" s="11">
        <f t="shared" si="11"/>
        <v>0.89183179692414694</v>
      </c>
      <c r="AQ61" s="11">
        <f t="shared" si="33"/>
        <v>0</v>
      </c>
      <c r="AT61" s="3"/>
      <c r="AU61" s="17"/>
      <c r="AV61" s="19"/>
      <c r="AW61" s="17"/>
      <c r="AX61" s="17">
        <f t="shared" si="34"/>
        <v>52</v>
      </c>
      <c r="AY61" s="17">
        <f t="shared" si="31"/>
        <v>5.2</v>
      </c>
      <c r="AZ61" s="17">
        <v>89.183179692414697</v>
      </c>
      <c r="BA61" s="17"/>
      <c r="BB61" s="17">
        <v>36</v>
      </c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</row>
    <row r="62" spans="8:86" x14ac:dyDescent="0.15">
      <c r="H62" s="3">
        <f t="shared" si="25"/>
        <v>5.0000000000000037E-2</v>
      </c>
      <c r="I62" s="3">
        <f t="shared" si="26"/>
        <v>360</v>
      </c>
      <c r="J62" s="14">
        <f t="shared" si="27"/>
        <v>500</v>
      </c>
      <c r="K62" s="3">
        <f t="shared" si="18"/>
        <v>0</v>
      </c>
      <c r="L62" s="3">
        <f t="shared" si="14"/>
        <v>500</v>
      </c>
      <c r="M62" s="15">
        <f t="shared" si="28"/>
        <v>7.0000000000000007E-2</v>
      </c>
      <c r="N62" s="3">
        <f t="shared" si="29"/>
        <v>95.877213804412307</v>
      </c>
      <c r="O62" s="3">
        <f t="shared" si="15"/>
        <v>95.877213804412307</v>
      </c>
      <c r="P62" s="3">
        <f t="shared" si="19"/>
        <v>103.09377828431431</v>
      </c>
      <c r="Q62" s="3">
        <f t="shared" si="30"/>
        <v>44.469641871332009</v>
      </c>
      <c r="R62" s="3">
        <f t="shared" si="20"/>
        <v>73.781710077823163</v>
      </c>
      <c r="S62" s="3">
        <f t="shared" si="16"/>
        <v>1</v>
      </c>
      <c r="T62" s="3">
        <f t="shared" si="21"/>
        <v>29312.068206491153</v>
      </c>
      <c r="U62" s="3">
        <f t="shared" si="22"/>
        <v>0.5</v>
      </c>
      <c r="V62" s="3">
        <f t="shared" si="23"/>
        <v>0</v>
      </c>
      <c r="W62" s="3">
        <f t="shared" si="24"/>
        <v>34515.796969588431</v>
      </c>
      <c r="X62" s="3">
        <f t="shared" si="17"/>
        <v>22234.820935666005</v>
      </c>
      <c r="AI62" s="3"/>
      <c r="AJ62" s="3"/>
      <c r="AK62" s="15">
        <f t="shared" si="7"/>
        <v>7</v>
      </c>
      <c r="AL62" s="11">
        <f t="shared" si="32"/>
        <v>318</v>
      </c>
      <c r="AM62" s="11" t="b">
        <f t="shared" si="5"/>
        <v>0</v>
      </c>
      <c r="AN62" s="11">
        <f t="shared" si="9"/>
        <v>36000</v>
      </c>
      <c r="AO62" s="11">
        <f t="shared" si="10"/>
        <v>0</v>
      </c>
      <c r="AP62" s="11">
        <f t="shared" si="11"/>
        <v>0.89293411173896176</v>
      </c>
      <c r="AQ62" s="11">
        <f t="shared" si="33"/>
        <v>0</v>
      </c>
      <c r="AT62" s="3"/>
      <c r="AU62" s="17"/>
      <c r="AV62" s="19"/>
      <c r="AW62" s="17"/>
      <c r="AX62" s="17">
        <f t="shared" si="34"/>
        <v>53</v>
      </c>
      <c r="AY62" s="17">
        <f t="shared" si="31"/>
        <v>5.3</v>
      </c>
      <c r="AZ62" s="17">
        <v>89.293411173896175</v>
      </c>
      <c r="BA62" s="17"/>
      <c r="BB62" s="17">
        <v>36</v>
      </c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</row>
    <row r="63" spans="8:86" x14ac:dyDescent="0.15">
      <c r="H63" s="3">
        <f t="shared" si="25"/>
        <v>5.1000000000000038E-2</v>
      </c>
      <c r="I63" s="3">
        <f t="shared" si="26"/>
        <v>360</v>
      </c>
      <c r="J63" s="14">
        <f t="shared" si="27"/>
        <v>500</v>
      </c>
      <c r="K63" s="3">
        <f t="shared" si="18"/>
        <v>0</v>
      </c>
      <c r="L63" s="3">
        <f t="shared" si="14"/>
        <v>500</v>
      </c>
      <c r="M63" s="15">
        <f t="shared" si="28"/>
        <v>7.0000000000000007E-2</v>
      </c>
      <c r="N63" s="3">
        <f t="shared" si="29"/>
        <v>95.795791392727608</v>
      </c>
      <c r="O63" s="3">
        <f t="shared" si="15"/>
        <v>95.795791392727608</v>
      </c>
      <c r="P63" s="3">
        <f t="shared" si="19"/>
        <v>103.00622730400819</v>
      </c>
      <c r="Q63" s="3">
        <f t="shared" si="30"/>
        <v>44.411017734919028</v>
      </c>
      <c r="R63" s="3">
        <f t="shared" si="20"/>
        <v>73.708622519463603</v>
      </c>
      <c r="S63" s="3">
        <f t="shared" si="16"/>
        <v>1</v>
      </c>
      <c r="T63" s="3">
        <f t="shared" si="21"/>
        <v>29297.604784544583</v>
      </c>
      <c r="U63" s="3">
        <f t="shared" si="22"/>
        <v>0.5</v>
      </c>
      <c r="V63" s="3">
        <f t="shared" si="23"/>
        <v>0</v>
      </c>
      <c r="W63" s="3">
        <f t="shared" si="24"/>
        <v>34486.48490138194</v>
      </c>
      <c r="X63" s="3">
        <f t="shared" si="17"/>
        <v>22205.508867459514</v>
      </c>
      <c r="AI63" s="3"/>
      <c r="AJ63" s="3"/>
      <c r="AK63" s="15">
        <f t="shared" si="7"/>
        <v>7</v>
      </c>
      <c r="AL63" s="11">
        <f t="shared" si="32"/>
        <v>324</v>
      </c>
      <c r="AM63" s="11" t="b">
        <f t="shared" si="5"/>
        <v>0</v>
      </c>
      <c r="AN63" s="11">
        <f t="shared" si="9"/>
        <v>36000</v>
      </c>
      <c r="AO63" s="11">
        <f t="shared" si="10"/>
        <v>0</v>
      </c>
      <c r="AP63" s="11">
        <f t="shared" si="11"/>
        <v>0.89403642655377669</v>
      </c>
      <c r="AQ63" s="11">
        <f t="shared" si="33"/>
        <v>0</v>
      </c>
      <c r="AT63" s="3"/>
      <c r="AU63" s="17"/>
      <c r="AV63" s="19"/>
      <c r="AW63" s="17"/>
      <c r="AX63" s="17">
        <f t="shared" si="34"/>
        <v>54</v>
      </c>
      <c r="AY63" s="17">
        <f t="shared" si="31"/>
        <v>5.4</v>
      </c>
      <c r="AZ63" s="17">
        <v>89.403642655377666</v>
      </c>
      <c r="BA63" s="17"/>
      <c r="BB63" s="17">
        <v>36</v>
      </c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</row>
    <row r="64" spans="8:86" x14ac:dyDescent="0.15">
      <c r="H64" s="3">
        <f t="shared" si="25"/>
        <v>5.2000000000000039E-2</v>
      </c>
      <c r="I64" s="3">
        <f t="shared" si="26"/>
        <v>360</v>
      </c>
      <c r="J64" s="14">
        <f t="shared" si="27"/>
        <v>500</v>
      </c>
      <c r="K64" s="3">
        <f t="shared" si="18"/>
        <v>0</v>
      </c>
      <c r="L64" s="3">
        <f t="shared" si="14"/>
        <v>500</v>
      </c>
      <c r="M64" s="15">
        <f t="shared" si="28"/>
        <v>7.0000000000000007E-2</v>
      </c>
      <c r="N64" s="3">
        <f t="shared" si="29"/>
        <v>95.714409157214988</v>
      </c>
      <c r="O64" s="3">
        <f t="shared" si="15"/>
        <v>95.714409157214988</v>
      </c>
      <c r="P64" s="3">
        <f t="shared" si="19"/>
        <v>102.91871952388709</v>
      </c>
      <c r="Q64" s="3">
        <f t="shared" si="30"/>
        <v>44.352422525349937</v>
      </c>
      <c r="R64" s="3">
        <f t="shared" si="20"/>
        <v>73.635571024618514</v>
      </c>
      <c r="S64" s="3">
        <f t="shared" si="16"/>
        <v>1</v>
      </c>
      <c r="T64" s="3">
        <f t="shared" si="21"/>
        <v>29283.148499268576</v>
      </c>
      <c r="U64" s="3">
        <f t="shared" si="22"/>
        <v>0.5</v>
      </c>
      <c r="V64" s="3">
        <f t="shared" si="23"/>
        <v>0</v>
      </c>
      <c r="W64" s="3">
        <f t="shared" si="24"/>
        <v>34457.187296597396</v>
      </c>
      <c r="X64" s="3">
        <f t="shared" si="17"/>
        <v>22176.211262674969</v>
      </c>
      <c r="AI64" s="3"/>
      <c r="AJ64" s="3"/>
      <c r="AK64" s="15">
        <f t="shared" si="7"/>
        <v>7</v>
      </c>
      <c r="AL64" s="11">
        <f t="shared" si="32"/>
        <v>330</v>
      </c>
      <c r="AM64" s="11" t="b">
        <f t="shared" si="5"/>
        <v>0</v>
      </c>
      <c r="AN64" s="11">
        <f t="shared" si="9"/>
        <v>36000</v>
      </c>
      <c r="AO64" s="11">
        <f t="shared" si="10"/>
        <v>0</v>
      </c>
      <c r="AP64" s="11">
        <f t="shared" si="11"/>
        <v>0.89513874136859151</v>
      </c>
      <c r="AQ64" s="11">
        <f t="shared" si="33"/>
        <v>0</v>
      </c>
      <c r="AT64" s="3"/>
      <c r="AU64" s="17"/>
      <c r="AV64" s="19"/>
      <c r="AW64" s="17"/>
      <c r="AX64" s="17">
        <f t="shared" si="34"/>
        <v>55</v>
      </c>
      <c r="AY64" s="17">
        <f t="shared" si="31"/>
        <v>5.5</v>
      </c>
      <c r="AZ64" s="17">
        <v>89.513874136859144</v>
      </c>
      <c r="BA64" s="17"/>
      <c r="BB64" s="17">
        <v>36</v>
      </c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</row>
    <row r="65" spans="8:86" x14ac:dyDescent="0.15">
      <c r="H65" s="3">
        <f t="shared" si="25"/>
        <v>5.300000000000004E-2</v>
      </c>
      <c r="I65" s="3">
        <f t="shared" si="26"/>
        <v>360</v>
      </c>
      <c r="J65" s="14">
        <f t="shared" si="27"/>
        <v>500</v>
      </c>
      <c r="K65" s="3">
        <f t="shared" si="18"/>
        <v>0</v>
      </c>
      <c r="L65" s="3">
        <f t="shared" si="14"/>
        <v>500</v>
      </c>
      <c r="M65" s="15">
        <f t="shared" si="28"/>
        <v>7.0000000000000007E-2</v>
      </c>
      <c r="N65" s="3">
        <f t="shared" si="29"/>
        <v>95.633067078050345</v>
      </c>
      <c r="O65" s="3">
        <f t="shared" si="15"/>
        <v>95.633067078050345</v>
      </c>
      <c r="P65" s="3">
        <f t="shared" si="19"/>
        <v>102.83125492263478</v>
      </c>
      <c r="Q65" s="3">
        <f t="shared" si="30"/>
        <v>44.293856228351402</v>
      </c>
      <c r="R65" s="3">
        <f t="shared" si="20"/>
        <v>73.562555575493093</v>
      </c>
      <c r="S65" s="3">
        <f t="shared" si="16"/>
        <v>1</v>
      </c>
      <c r="T65" s="3">
        <f t="shared" si="21"/>
        <v>29268.69934714169</v>
      </c>
      <c r="U65" s="3">
        <f t="shared" si="22"/>
        <v>0.5</v>
      </c>
      <c r="V65" s="3">
        <f t="shared" si="23"/>
        <v>0</v>
      </c>
      <c r="W65" s="3">
        <f t="shared" si="24"/>
        <v>34427.904148098125</v>
      </c>
      <c r="X65" s="3">
        <f t="shared" si="17"/>
        <v>22146.928114175702</v>
      </c>
      <c r="AI65" s="3"/>
      <c r="AJ65" s="3"/>
      <c r="AK65" s="15">
        <f t="shared" si="7"/>
        <v>7</v>
      </c>
      <c r="AL65" s="11">
        <f t="shared" si="32"/>
        <v>336</v>
      </c>
      <c r="AM65" s="11" t="b">
        <f t="shared" si="5"/>
        <v>0</v>
      </c>
      <c r="AN65" s="11">
        <f t="shared" si="9"/>
        <v>36000</v>
      </c>
      <c r="AO65" s="11">
        <f t="shared" si="10"/>
        <v>0</v>
      </c>
      <c r="AP65" s="11">
        <f t="shared" si="11"/>
        <v>0.89624105618340633</v>
      </c>
      <c r="AQ65" s="11">
        <f t="shared" si="33"/>
        <v>0</v>
      </c>
      <c r="AT65" s="3"/>
      <c r="AU65" s="17"/>
      <c r="AV65" s="19"/>
      <c r="AW65" s="17"/>
      <c r="AX65" s="17">
        <f t="shared" si="34"/>
        <v>56</v>
      </c>
      <c r="AY65" s="17">
        <f t="shared" si="31"/>
        <v>5.6</v>
      </c>
      <c r="AZ65" s="17">
        <v>89.624105618340636</v>
      </c>
      <c r="BA65" s="17"/>
      <c r="BB65" s="17">
        <v>36</v>
      </c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</row>
    <row r="66" spans="8:86" x14ac:dyDescent="0.15">
      <c r="H66" s="3">
        <f t="shared" si="25"/>
        <v>5.4000000000000041E-2</v>
      </c>
      <c r="I66" s="3">
        <f t="shared" si="26"/>
        <v>360</v>
      </c>
      <c r="J66" s="14">
        <f t="shared" si="27"/>
        <v>500</v>
      </c>
      <c r="K66" s="3">
        <f t="shared" si="18"/>
        <v>0</v>
      </c>
      <c r="L66" s="3">
        <f t="shared" si="14"/>
        <v>500</v>
      </c>
      <c r="M66" s="15">
        <f t="shared" si="28"/>
        <v>7.0000000000000007E-2</v>
      </c>
      <c r="N66" s="3">
        <f t="shared" si="29"/>
        <v>95.551765135419387</v>
      </c>
      <c r="O66" s="3">
        <f t="shared" si="15"/>
        <v>95.551765135419387</v>
      </c>
      <c r="P66" s="3">
        <f t="shared" si="19"/>
        <v>102.74383347894559</v>
      </c>
      <c r="Q66" s="3">
        <f t="shared" si="30"/>
        <v>44.235318829657118</v>
      </c>
      <c r="R66" s="3">
        <f t="shared" si="20"/>
        <v>73.489576154301346</v>
      </c>
      <c r="S66" s="3">
        <f t="shared" si="16"/>
        <v>1</v>
      </c>
      <c r="T66" s="3">
        <f t="shared" si="21"/>
        <v>29254.257324644237</v>
      </c>
      <c r="U66" s="3">
        <f t="shared" si="22"/>
        <v>0.5</v>
      </c>
      <c r="V66" s="3">
        <f t="shared" si="23"/>
        <v>0</v>
      </c>
      <c r="W66" s="3">
        <f t="shared" si="24"/>
        <v>34398.635448750982</v>
      </c>
      <c r="X66" s="3">
        <f t="shared" si="17"/>
        <v>22117.659414828559</v>
      </c>
      <c r="AI66" s="3"/>
      <c r="AJ66" s="3"/>
      <c r="AK66" s="15">
        <f t="shared" si="7"/>
        <v>7</v>
      </c>
      <c r="AL66" s="11">
        <f t="shared" si="32"/>
        <v>342</v>
      </c>
      <c r="AM66" s="11" t="b">
        <f t="shared" si="5"/>
        <v>0</v>
      </c>
      <c r="AN66" s="11">
        <f t="shared" si="9"/>
        <v>36000</v>
      </c>
      <c r="AO66" s="11">
        <f t="shared" si="10"/>
        <v>0</v>
      </c>
      <c r="AP66" s="11">
        <f t="shared" si="11"/>
        <v>0.89734337099822115</v>
      </c>
      <c r="AQ66" s="11">
        <f t="shared" si="33"/>
        <v>0</v>
      </c>
      <c r="AT66" s="3"/>
      <c r="AU66" s="17"/>
      <c r="AV66" s="19"/>
      <c r="AW66" s="17"/>
      <c r="AX66" s="17">
        <f t="shared" si="34"/>
        <v>57</v>
      </c>
      <c r="AY66" s="17">
        <f t="shared" si="31"/>
        <v>5.7</v>
      </c>
      <c r="AZ66" s="17">
        <v>89.734337099822113</v>
      </c>
      <c r="BA66" s="17"/>
      <c r="BB66" s="17">
        <v>36</v>
      </c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</row>
    <row r="67" spans="8:86" x14ac:dyDescent="0.15">
      <c r="H67" s="3">
        <f t="shared" si="25"/>
        <v>5.5000000000000042E-2</v>
      </c>
      <c r="I67" s="3">
        <f t="shared" si="26"/>
        <v>360</v>
      </c>
      <c r="J67" s="14">
        <f t="shared" si="27"/>
        <v>500</v>
      </c>
      <c r="K67" s="3">
        <f t="shared" si="18"/>
        <v>0</v>
      </c>
      <c r="L67" s="3">
        <f t="shared" si="14"/>
        <v>500</v>
      </c>
      <c r="M67" s="15">
        <f t="shared" si="28"/>
        <v>7.0000000000000007E-2</v>
      </c>
      <c r="N67" s="3">
        <f t="shared" si="29"/>
        <v>95.470503309517596</v>
      </c>
      <c r="O67" s="3">
        <f t="shared" si="15"/>
        <v>95.470503309517596</v>
      </c>
      <c r="P67" s="3">
        <f t="shared" si="19"/>
        <v>102.6564551715243</v>
      </c>
      <c r="Q67" s="3">
        <f t="shared" si="30"/>
        <v>44.176810315007835</v>
      </c>
      <c r="R67" s="3">
        <f t="shared" si="20"/>
        <v>73.416632743266064</v>
      </c>
      <c r="S67" s="3">
        <f t="shared" si="16"/>
        <v>1</v>
      </c>
      <c r="T67" s="3">
        <f t="shared" si="21"/>
        <v>29239.822428258234</v>
      </c>
      <c r="U67" s="3">
        <f t="shared" si="22"/>
        <v>0.5</v>
      </c>
      <c r="V67" s="3">
        <f t="shared" si="23"/>
        <v>0</v>
      </c>
      <c r="W67" s="3">
        <f t="shared" si="24"/>
        <v>34369.381191426335</v>
      </c>
      <c r="X67" s="3">
        <f t="shared" si="17"/>
        <v>22088.405157503916</v>
      </c>
      <c r="AI67" s="3"/>
      <c r="AJ67" s="3"/>
      <c r="AK67" s="15">
        <f t="shared" si="7"/>
        <v>7</v>
      </c>
      <c r="AL67" s="11">
        <f t="shared" si="32"/>
        <v>348</v>
      </c>
      <c r="AM67" s="11" t="b">
        <f t="shared" si="5"/>
        <v>0</v>
      </c>
      <c r="AN67" s="11">
        <f t="shared" si="9"/>
        <v>36000</v>
      </c>
      <c r="AO67" s="11">
        <f t="shared" si="10"/>
        <v>0</v>
      </c>
      <c r="AP67" s="11">
        <f t="shared" si="11"/>
        <v>0.89844568581303597</v>
      </c>
      <c r="AQ67" s="11">
        <f t="shared" si="33"/>
        <v>0</v>
      </c>
      <c r="AT67" s="3"/>
      <c r="AU67" s="17"/>
      <c r="AV67" s="19"/>
      <c r="AW67" s="17"/>
      <c r="AX67" s="17">
        <f t="shared" si="34"/>
        <v>58</v>
      </c>
      <c r="AY67" s="17">
        <f t="shared" si="31"/>
        <v>5.8</v>
      </c>
      <c r="AZ67" s="17">
        <v>89.844568581303591</v>
      </c>
      <c r="BA67" s="17"/>
      <c r="BB67" s="17">
        <v>36</v>
      </c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7"/>
    </row>
    <row r="68" spans="8:86" x14ac:dyDescent="0.15">
      <c r="H68" s="3">
        <f t="shared" si="25"/>
        <v>5.6000000000000043E-2</v>
      </c>
      <c r="I68" s="3">
        <f t="shared" si="26"/>
        <v>360</v>
      </c>
      <c r="J68" s="14">
        <f t="shared" si="27"/>
        <v>500</v>
      </c>
      <c r="K68" s="3">
        <f t="shared" si="18"/>
        <v>0</v>
      </c>
      <c r="L68" s="3">
        <f t="shared" si="14"/>
        <v>500</v>
      </c>
      <c r="M68" s="15">
        <f t="shared" si="28"/>
        <v>7.0000000000000007E-2</v>
      </c>
      <c r="N68" s="3">
        <f t="shared" si="29"/>
        <v>95.389281580550218</v>
      </c>
      <c r="O68" s="3">
        <f t="shared" si="15"/>
        <v>95.389281580550218</v>
      </c>
      <c r="P68" s="3">
        <f t="shared" si="19"/>
        <v>102.56911997908627</v>
      </c>
      <c r="Q68" s="3">
        <f t="shared" si="30"/>
        <v>44.118330670151316</v>
      </c>
      <c r="R68" s="3">
        <f t="shared" si="20"/>
        <v>73.343725324618788</v>
      </c>
      <c r="S68" s="3">
        <f t="shared" si="16"/>
        <v>1</v>
      </c>
      <c r="T68" s="3">
        <f t="shared" si="21"/>
        <v>29225.394654467476</v>
      </c>
      <c r="U68" s="3">
        <f t="shared" si="22"/>
        <v>0.5</v>
      </c>
      <c r="V68" s="3">
        <f t="shared" si="23"/>
        <v>0</v>
      </c>
      <c r="W68" s="3">
        <f t="shared" si="24"/>
        <v>34340.141368998076</v>
      </c>
      <c r="X68" s="3">
        <f t="shared" si="17"/>
        <v>22059.165335075657</v>
      </c>
      <c r="AI68" s="3"/>
      <c r="AJ68" s="3"/>
      <c r="AK68" s="15">
        <f t="shared" si="7"/>
        <v>7</v>
      </c>
      <c r="AL68" s="11">
        <f t="shared" si="32"/>
        <v>354</v>
      </c>
      <c r="AM68" s="11" t="b">
        <f t="shared" si="5"/>
        <v>0</v>
      </c>
      <c r="AN68" s="11">
        <f t="shared" si="9"/>
        <v>36000</v>
      </c>
      <c r="AO68" s="11">
        <f t="shared" si="10"/>
        <v>0</v>
      </c>
      <c r="AP68" s="11">
        <f t="shared" si="11"/>
        <v>0.8995480006278509</v>
      </c>
      <c r="AQ68" s="11">
        <f t="shared" si="33"/>
        <v>0</v>
      </c>
      <c r="AT68" s="3"/>
      <c r="AU68" s="17"/>
      <c r="AV68" s="19"/>
      <c r="AW68" s="17"/>
      <c r="AX68" s="17">
        <f t="shared" si="34"/>
        <v>59</v>
      </c>
      <c r="AY68" s="17">
        <f t="shared" si="31"/>
        <v>5.9</v>
      </c>
      <c r="AZ68" s="17">
        <v>89.954800062785097</v>
      </c>
      <c r="BA68" s="17"/>
      <c r="BB68" s="17">
        <v>36</v>
      </c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</row>
    <row r="69" spans="8:86" x14ac:dyDescent="0.15">
      <c r="H69" s="3">
        <f t="shared" si="25"/>
        <v>5.7000000000000044E-2</v>
      </c>
      <c r="I69" s="3">
        <f t="shared" si="26"/>
        <v>360</v>
      </c>
      <c r="J69" s="14">
        <f t="shared" si="27"/>
        <v>500</v>
      </c>
      <c r="K69" s="3">
        <f t="shared" si="18"/>
        <v>0</v>
      </c>
      <c r="L69" s="3">
        <f t="shared" si="14"/>
        <v>500</v>
      </c>
      <c r="M69" s="15">
        <f t="shared" si="28"/>
        <v>7.0000000000000007E-2</v>
      </c>
      <c r="N69" s="3">
        <f t="shared" si="29"/>
        <v>95.308099928732247</v>
      </c>
      <c r="O69" s="3">
        <f t="shared" si="15"/>
        <v>95.308099928732247</v>
      </c>
      <c r="P69" s="3">
        <f t="shared" si="19"/>
        <v>102.48182788035726</v>
      </c>
      <c r="Q69" s="3">
        <f t="shared" si="30"/>
        <v>44.059879880842381</v>
      </c>
      <c r="R69" s="3">
        <f t="shared" si="20"/>
        <v>73.270853880599816</v>
      </c>
      <c r="S69" s="3">
        <f t="shared" si="16"/>
        <v>1</v>
      </c>
      <c r="T69" s="3">
        <f t="shared" si="21"/>
        <v>29210.97399975744</v>
      </c>
      <c r="U69" s="3">
        <f t="shared" si="22"/>
        <v>0.5</v>
      </c>
      <c r="V69" s="3">
        <f t="shared" si="23"/>
        <v>0</v>
      </c>
      <c r="W69" s="3">
        <f t="shared" si="24"/>
        <v>34310.91597434361</v>
      </c>
      <c r="X69" s="3">
        <f t="shared" si="17"/>
        <v>22029.939940421191</v>
      </c>
      <c r="AI69" s="3"/>
      <c r="AJ69" s="3"/>
      <c r="AK69" s="15">
        <f t="shared" si="7"/>
        <v>7</v>
      </c>
      <c r="AL69" s="11">
        <f t="shared" si="32"/>
        <v>360</v>
      </c>
      <c r="AM69" s="11" t="b">
        <f t="shared" si="5"/>
        <v>0</v>
      </c>
      <c r="AN69" s="11">
        <f t="shared" si="9"/>
        <v>36000</v>
      </c>
      <c r="AO69" s="11">
        <f t="shared" si="10"/>
        <v>0</v>
      </c>
      <c r="AP69" s="11">
        <f t="shared" si="11"/>
        <v>0.90065031544266572</v>
      </c>
      <c r="AQ69" s="11">
        <f t="shared" si="33"/>
        <v>0</v>
      </c>
      <c r="AT69" s="3"/>
      <c r="AU69" s="17"/>
      <c r="AV69" s="19"/>
      <c r="AW69" s="17"/>
      <c r="AX69" s="17">
        <f t="shared" si="34"/>
        <v>60</v>
      </c>
      <c r="AY69" s="17">
        <f t="shared" si="31"/>
        <v>6</v>
      </c>
      <c r="AZ69" s="17">
        <v>90.065031544266574</v>
      </c>
      <c r="BA69" s="17"/>
      <c r="BB69" s="17">
        <v>36</v>
      </c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17"/>
      <c r="CF69" s="17"/>
      <c r="CG69" s="17"/>
      <c r="CH69" s="17"/>
    </row>
    <row r="70" spans="8:86" x14ac:dyDescent="0.15">
      <c r="H70" s="3">
        <f t="shared" si="25"/>
        <v>5.8000000000000045E-2</v>
      </c>
      <c r="I70" s="3">
        <f t="shared" si="26"/>
        <v>360</v>
      </c>
      <c r="J70" s="14">
        <f t="shared" si="27"/>
        <v>500</v>
      </c>
      <c r="K70" s="3">
        <f t="shared" si="18"/>
        <v>0</v>
      </c>
      <c r="L70" s="3">
        <f t="shared" si="14"/>
        <v>500</v>
      </c>
      <c r="M70" s="15">
        <f t="shared" si="28"/>
        <v>7.0000000000000007E-2</v>
      </c>
      <c r="N70" s="3">
        <f t="shared" si="29"/>
        <v>95.226958334288483</v>
      </c>
      <c r="O70" s="3">
        <f t="shared" si="15"/>
        <v>95.226958334288483</v>
      </c>
      <c r="P70" s="3">
        <f t="shared" si="19"/>
        <v>102.39457885407364</v>
      </c>
      <c r="Q70" s="3">
        <f t="shared" si="30"/>
        <v>44.001457932842868</v>
      </c>
      <c r="R70" s="3">
        <f t="shared" si="20"/>
        <v>73.198018393458256</v>
      </c>
      <c r="S70" s="3">
        <f t="shared" si="16"/>
        <v>1</v>
      </c>
      <c r="T70" s="3">
        <f t="shared" si="21"/>
        <v>29196.560460615387</v>
      </c>
      <c r="U70" s="3">
        <f t="shared" si="22"/>
        <v>0.5</v>
      </c>
      <c r="V70" s="3">
        <f t="shared" si="23"/>
        <v>0</v>
      </c>
      <c r="W70" s="3">
        <f t="shared" si="24"/>
        <v>34281.705000343856</v>
      </c>
      <c r="X70" s="3">
        <f t="shared" si="17"/>
        <v>22000.728966421433</v>
      </c>
      <c r="AI70" s="3"/>
      <c r="AJ70" s="3"/>
      <c r="AK70" s="15">
        <f t="shared" si="7"/>
        <v>7</v>
      </c>
      <c r="AL70" s="11">
        <f t="shared" si="32"/>
        <v>366</v>
      </c>
      <c r="AM70" s="11" t="b">
        <f t="shared" si="5"/>
        <v>0</v>
      </c>
      <c r="AN70" s="11">
        <f t="shared" si="9"/>
        <v>36000</v>
      </c>
      <c r="AO70" s="11">
        <f t="shared" si="10"/>
        <v>0</v>
      </c>
      <c r="AP70" s="11">
        <f t="shared" si="11"/>
        <v>0.90175263025748054</v>
      </c>
      <c r="AQ70" s="11">
        <f t="shared" si="33"/>
        <v>0</v>
      </c>
      <c r="AT70" s="3"/>
      <c r="AU70" s="17"/>
      <c r="AV70" s="19"/>
      <c r="AW70" s="17"/>
      <c r="AX70" s="17">
        <f t="shared" si="34"/>
        <v>61</v>
      </c>
      <c r="AY70" s="17">
        <f t="shared" si="31"/>
        <v>6.1</v>
      </c>
      <c r="AZ70" s="17">
        <v>90.175263025748052</v>
      </c>
      <c r="BA70" s="17"/>
      <c r="BB70" s="17">
        <v>36</v>
      </c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7"/>
    </row>
    <row r="71" spans="8:86" x14ac:dyDescent="0.15">
      <c r="H71" s="3">
        <f t="shared" si="25"/>
        <v>5.9000000000000045E-2</v>
      </c>
      <c r="I71" s="3">
        <f t="shared" si="26"/>
        <v>360</v>
      </c>
      <c r="J71" s="14">
        <f t="shared" si="27"/>
        <v>500</v>
      </c>
      <c r="K71" s="3">
        <f t="shared" si="18"/>
        <v>0</v>
      </c>
      <c r="L71" s="3">
        <f t="shared" si="14"/>
        <v>500</v>
      </c>
      <c r="M71" s="15">
        <f t="shared" si="28"/>
        <v>7.0000000000000007E-2</v>
      </c>
      <c r="N71" s="3">
        <f t="shared" si="29"/>
        <v>95.145856777453446</v>
      </c>
      <c r="O71" s="3">
        <f t="shared" si="15"/>
        <v>95.145856777453446</v>
      </c>
      <c r="P71" s="3">
        <f t="shared" si="19"/>
        <v>102.30737287898221</v>
      </c>
      <c r="Q71" s="3">
        <f t="shared" si="30"/>
        <v>43.943064811921637</v>
      </c>
      <c r="R71" s="3">
        <f t="shared" si="20"/>
        <v>73.125218845451926</v>
      </c>
      <c r="S71" s="3">
        <f t="shared" si="16"/>
        <v>1</v>
      </c>
      <c r="T71" s="3">
        <f t="shared" si="21"/>
        <v>29182.154033530285</v>
      </c>
      <c r="U71" s="3">
        <f t="shared" si="22"/>
        <v>0.5</v>
      </c>
      <c r="V71" s="3">
        <f t="shared" si="23"/>
        <v>0</v>
      </c>
      <c r="W71" s="3">
        <f t="shared" si="24"/>
        <v>34252.50843988324</v>
      </c>
      <c r="X71" s="3">
        <f t="shared" si="17"/>
        <v>21971.532405960817</v>
      </c>
      <c r="AI71" s="3"/>
      <c r="AJ71" s="3"/>
      <c r="AK71" s="15">
        <f t="shared" si="7"/>
        <v>7</v>
      </c>
      <c r="AL71" s="11">
        <f t="shared" si="32"/>
        <v>372</v>
      </c>
      <c r="AM71" s="11" t="b">
        <f t="shared" si="5"/>
        <v>0</v>
      </c>
      <c r="AN71" s="11">
        <f t="shared" si="9"/>
        <v>36000</v>
      </c>
      <c r="AO71" s="11">
        <f t="shared" si="10"/>
        <v>0</v>
      </c>
      <c r="AP71" s="11">
        <f t="shared" si="11"/>
        <v>0.90285494507229536</v>
      </c>
      <c r="AQ71" s="11">
        <f t="shared" si="33"/>
        <v>0</v>
      </c>
      <c r="AT71" s="3"/>
      <c r="AU71" s="17"/>
      <c r="AV71" s="19"/>
      <c r="AW71" s="17"/>
      <c r="AX71" s="17">
        <f t="shared" si="34"/>
        <v>62</v>
      </c>
      <c r="AY71" s="17">
        <f t="shared" si="31"/>
        <v>6.2</v>
      </c>
      <c r="AZ71" s="17">
        <v>90.285494507229529</v>
      </c>
      <c r="BA71" s="17"/>
      <c r="BB71" s="17">
        <v>36</v>
      </c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17"/>
    </row>
    <row r="72" spans="8:86" x14ac:dyDescent="0.15">
      <c r="H72" s="3">
        <f t="shared" si="25"/>
        <v>6.0000000000000046E-2</v>
      </c>
      <c r="I72" s="3">
        <f t="shared" si="26"/>
        <v>360</v>
      </c>
      <c r="J72" s="14">
        <f t="shared" si="27"/>
        <v>500</v>
      </c>
      <c r="K72" s="3">
        <f t="shared" si="18"/>
        <v>0</v>
      </c>
      <c r="L72" s="3">
        <f t="shared" si="14"/>
        <v>500</v>
      </c>
      <c r="M72" s="15">
        <f t="shared" si="28"/>
        <v>7.0000000000000007E-2</v>
      </c>
      <c r="N72" s="3">
        <f t="shared" si="29"/>
        <v>95.064795238471419</v>
      </c>
      <c r="O72" s="3">
        <f t="shared" si="15"/>
        <v>95.064795238471419</v>
      </c>
      <c r="P72" s="3">
        <f t="shared" si="19"/>
        <v>102.22020993384024</v>
      </c>
      <c r="Q72" s="3">
        <f t="shared" si="30"/>
        <v>43.884700503854575</v>
      </c>
      <c r="R72" s="3">
        <f t="shared" si="20"/>
        <v>73.052455218847399</v>
      </c>
      <c r="S72" s="3">
        <f t="shared" si="16"/>
        <v>1</v>
      </c>
      <c r="T72" s="3">
        <f t="shared" si="21"/>
        <v>29167.754714992832</v>
      </c>
      <c r="U72" s="3">
        <f t="shared" si="22"/>
        <v>0.5</v>
      </c>
      <c r="V72" s="3">
        <f t="shared" si="23"/>
        <v>0</v>
      </c>
      <c r="W72" s="3">
        <f t="shared" si="24"/>
        <v>34223.326285849711</v>
      </c>
      <c r="X72" s="3">
        <f t="shared" si="17"/>
        <v>21942.350251927288</v>
      </c>
      <c r="AI72" s="3"/>
      <c r="AJ72" s="3"/>
      <c r="AK72" s="15">
        <f t="shared" si="7"/>
        <v>7</v>
      </c>
      <c r="AL72" s="11">
        <f t="shared" si="32"/>
        <v>378</v>
      </c>
      <c r="AM72" s="11" t="b">
        <f t="shared" si="5"/>
        <v>0</v>
      </c>
      <c r="AN72" s="11">
        <f t="shared" si="9"/>
        <v>36000</v>
      </c>
      <c r="AO72" s="11">
        <f t="shared" si="10"/>
        <v>0</v>
      </c>
      <c r="AP72" s="11">
        <f t="shared" si="11"/>
        <v>0.90395725988711018</v>
      </c>
      <c r="AQ72" s="11">
        <f t="shared" si="33"/>
        <v>0</v>
      </c>
      <c r="AT72" s="3"/>
      <c r="AU72" s="17"/>
      <c r="AV72" s="19"/>
      <c r="AW72" s="17"/>
      <c r="AX72" s="17">
        <f t="shared" si="34"/>
        <v>63</v>
      </c>
      <c r="AY72" s="17">
        <f t="shared" si="31"/>
        <v>6.3</v>
      </c>
      <c r="AZ72" s="17">
        <v>90.395725988711021</v>
      </c>
      <c r="BA72" s="17"/>
      <c r="BB72" s="17">
        <v>36</v>
      </c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17"/>
      <c r="CF72" s="17"/>
      <c r="CG72" s="17"/>
      <c r="CH72" s="17"/>
    </row>
    <row r="73" spans="8:86" x14ac:dyDescent="0.15">
      <c r="H73" s="3">
        <f t="shared" si="25"/>
        <v>6.1000000000000047E-2</v>
      </c>
      <c r="I73" s="3">
        <f t="shared" si="26"/>
        <v>360</v>
      </c>
      <c r="J73" s="14">
        <f t="shared" si="27"/>
        <v>500</v>
      </c>
      <c r="K73" s="3">
        <f t="shared" si="18"/>
        <v>0</v>
      </c>
      <c r="L73" s="3">
        <f t="shared" si="14"/>
        <v>500</v>
      </c>
      <c r="M73" s="15">
        <f t="shared" si="28"/>
        <v>7.0000000000000007E-2</v>
      </c>
      <c r="N73" s="3">
        <f t="shared" si="29"/>
        <v>94.983773697596433</v>
      </c>
      <c r="O73" s="3">
        <f t="shared" si="15"/>
        <v>94.983773697596433</v>
      </c>
      <c r="P73" s="3">
        <f t="shared" si="19"/>
        <v>102.13308999741552</v>
      </c>
      <c r="Q73" s="3">
        <f t="shared" si="30"/>
        <v>43.826364994424594</v>
      </c>
      <c r="R73" s="3">
        <f t="shared" si="20"/>
        <v>72.979727495920059</v>
      </c>
      <c r="S73" s="3">
        <f t="shared" si="16"/>
        <v>1</v>
      </c>
      <c r="T73" s="3">
        <f t="shared" si="21"/>
        <v>29153.362501495467</v>
      </c>
      <c r="U73" s="3">
        <f t="shared" si="22"/>
        <v>0.5</v>
      </c>
      <c r="V73" s="3">
        <f t="shared" si="23"/>
        <v>0</v>
      </c>
      <c r="W73" s="3">
        <f t="shared" si="24"/>
        <v>34194.158531134715</v>
      </c>
      <c r="X73" s="3">
        <f t="shared" si="17"/>
        <v>21913.182497212296</v>
      </c>
      <c r="AI73" s="3"/>
      <c r="AJ73" s="3"/>
      <c r="AK73" s="15">
        <f t="shared" si="7"/>
        <v>7</v>
      </c>
      <c r="AL73" s="11">
        <f t="shared" si="32"/>
        <v>384</v>
      </c>
      <c r="AM73" s="11" t="b">
        <f t="shared" ref="AM73:AM136" si="35">OR(AND(AL73&gt;=$AC$5,AL73&lt;=$AD$5),AND(AL73&gt;=$AC$6,AL73&lt;=$AD$6),AND(AL73&gt;=$AC$7,AL73&lt;=$AD$7),AND(AL73&gt;=$AC$8,AL73&lt;=$AD$8),AND(AL73&gt;=$AC$9,AL73&lt;=$AD$9),AND(AL73&gt;=$AC$10,AL73&lt;=$AD$10),AND(AL73&gt;=$AC$11,AL73&lt;=$AD$11),AND($AD$11&lt;$AC$11,OR(AL73&lt;$AD$11,AL73&gt;$AC$11)))</f>
        <v>0</v>
      </c>
      <c r="AN73" s="11">
        <f t="shared" si="9"/>
        <v>36000</v>
      </c>
      <c r="AO73" s="11">
        <f t="shared" si="10"/>
        <v>0</v>
      </c>
      <c r="AP73" s="11">
        <f t="shared" si="11"/>
        <v>0.90505957470192511</v>
      </c>
      <c r="AQ73" s="11">
        <f t="shared" si="33"/>
        <v>0</v>
      </c>
      <c r="AT73" s="3"/>
      <c r="AU73" s="17"/>
      <c r="AV73" s="19"/>
      <c r="AW73" s="17"/>
      <c r="AX73" s="17">
        <f t="shared" si="34"/>
        <v>64</v>
      </c>
      <c r="AY73" s="17">
        <f t="shared" si="31"/>
        <v>6.4</v>
      </c>
      <c r="AZ73" s="17">
        <v>90.505957470192513</v>
      </c>
      <c r="BA73" s="17"/>
      <c r="BB73" s="17">
        <v>36</v>
      </c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</row>
    <row r="74" spans="8:86" x14ac:dyDescent="0.15">
      <c r="H74" s="3">
        <f t="shared" si="25"/>
        <v>6.2000000000000048E-2</v>
      </c>
      <c r="I74" s="3">
        <f t="shared" si="26"/>
        <v>360</v>
      </c>
      <c r="J74" s="14">
        <f t="shared" si="27"/>
        <v>500</v>
      </c>
      <c r="K74" s="3">
        <f t="shared" si="18"/>
        <v>0</v>
      </c>
      <c r="L74" s="3">
        <f t="shared" si="14"/>
        <v>500</v>
      </c>
      <c r="M74" s="15">
        <f t="shared" si="28"/>
        <v>7.0000000000000007E-2</v>
      </c>
      <c r="N74" s="3">
        <f t="shared" si="29"/>
        <v>94.902792135092284</v>
      </c>
      <c r="O74" s="3">
        <f t="shared" si="15"/>
        <v>94.902792135092284</v>
      </c>
      <c r="P74" s="3">
        <f t="shared" si="19"/>
        <v>102.04601304848633</v>
      </c>
      <c r="Q74" s="3">
        <f t="shared" si="30"/>
        <v>43.768058269421601</v>
      </c>
      <c r="R74" s="3">
        <f t="shared" si="20"/>
        <v>72.907035658953959</v>
      </c>
      <c r="S74" s="3">
        <f t="shared" si="16"/>
        <v>1</v>
      </c>
      <c r="T74" s="3">
        <f t="shared" si="21"/>
        <v>29138.977389532363</v>
      </c>
      <c r="U74" s="3">
        <f t="shared" si="22"/>
        <v>0.5</v>
      </c>
      <c r="V74" s="3">
        <f t="shared" si="23"/>
        <v>0</v>
      </c>
      <c r="W74" s="3">
        <f t="shared" si="24"/>
        <v>34165.005168633223</v>
      </c>
      <c r="X74" s="3">
        <f t="shared" si="17"/>
        <v>21884.0291347108</v>
      </c>
      <c r="AI74" s="3"/>
      <c r="AJ74" s="3"/>
      <c r="AK74" s="15">
        <f t="shared" ref="AK74:AK137" si="36">1+INT(MOD(AL74/60/24-0.5,7))</f>
        <v>7</v>
      </c>
      <c r="AL74" s="11">
        <f t="shared" si="32"/>
        <v>390</v>
      </c>
      <c r="AM74" s="11" t="b">
        <f t="shared" si="35"/>
        <v>0</v>
      </c>
      <c r="AN74" s="11">
        <f t="shared" ref="AN74:AN137" si="37">IF(AND(AM74,NOT(AM75)),$AB$26,AN73+($AB$28-IF(AND(AM73,AM74),CHOOSE(AK74,$AG$5,$AG$6,$AG$7,$AG$8,$AG$9,$AG$10,$AG$11)*$AA$22/$AA$24,0))*$AB$15)</f>
        <v>36000</v>
      </c>
      <c r="AO74" s="11">
        <f t="shared" ref="AO74:AO137" si="38">IF(AND(AM74,NOT(AM75)),$AB$27,AO73+($AB$29-IF(AND(AM73,AM74),CHOOSE(AK74,$AG$5,$AG$6,$AG$7,$AG$8,$AG$9,$AG$10,$AG$11)*$AA$23/$AA$24,0))*$AB$15)</f>
        <v>0</v>
      </c>
      <c r="AP74" s="11">
        <f t="shared" ref="AP74:AP137" si="39">IF(AN73&lt;=0,0,(AP73*AN73-(IF(AND(AM73,AM74),CHOOSE(AK74,$AI$5,$AI$6,$AI$7,$AI$8,$AI$9,$AI$10,$AI$11),$AA$37))*AP73*$AB$15+$AA$34*(AQ73-AP73)*$AB$15+$AA$33*$AB$15)/AN73)</f>
        <v>0.90616188951673993</v>
      </c>
      <c r="AQ74" s="11">
        <f t="shared" si="33"/>
        <v>0</v>
      </c>
      <c r="AT74" s="3"/>
      <c r="AU74" s="17"/>
      <c r="AV74" s="19"/>
      <c r="AW74" s="17"/>
      <c r="AX74" s="17">
        <f t="shared" ref="AX74:AX108" si="40">IF(AX73&gt;=$AG$14,$AG$14,AX73+1)</f>
        <v>65</v>
      </c>
      <c r="AY74" s="17">
        <f t="shared" si="31"/>
        <v>6.5</v>
      </c>
      <c r="AZ74" s="17">
        <v>90.61618895167399</v>
      </c>
      <c r="BA74" s="17"/>
      <c r="BB74" s="17">
        <v>36</v>
      </c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</row>
    <row r="75" spans="8:86" x14ac:dyDescent="0.15">
      <c r="H75" s="3">
        <f t="shared" si="25"/>
        <v>6.3000000000000042E-2</v>
      </c>
      <c r="I75" s="3">
        <f t="shared" si="26"/>
        <v>360</v>
      </c>
      <c r="J75" s="14">
        <f t="shared" si="27"/>
        <v>500</v>
      </c>
      <c r="K75" s="3">
        <f t="shared" si="18"/>
        <v>0</v>
      </c>
      <c r="L75" s="3">
        <f t="shared" si="14"/>
        <v>500</v>
      </c>
      <c r="M75" s="15">
        <f t="shared" si="28"/>
        <v>7.0000000000000007E-2</v>
      </c>
      <c r="N75" s="3">
        <f t="shared" si="29"/>
        <v>94.821850531232471</v>
      </c>
      <c r="O75" s="3">
        <f t="shared" si="15"/>
        <v>94.821850531232471</v>
      </c>
      <c r="P75" s="3">
        <f t="shared" si="19"/>
        <v>101.95897906584138</v>
      </c>
      <c r="Q75" s="3">
        <f t="shared" si="30"/>
        <v>43.709780314642536</v>
      </c>
      <c r="R75" s="3">
        <f t="shared" si="20"/>
        <v>72.83437969024196</v>
      </c>
      <c r="S75" s="3">
        <f t="shared" si="16"/>
        <v>1</v>
      </c>
      <c r="T75" s="3">
        <f t="shared" si="21"/>
        <v>29124.59937559942</v>
      </c>
      <c r="U75" s="3">
        <f t="shared" si="22"/>
        <v>0.5</v>
      </c>
      <c r="V75" s="3">
        <f t="shared" si="23"/>
        <v>0</v>
      </c>
      <c r="W75" s="3">
        <f t="shared" si="24"/>
        <v>34135.866191243687</v>
      </c>
      <c r="X75" s="3">
        <f t="shared" si="17"/>
        <v>21854.890157321268</v>
      </c>
      <c r="AI75" s="3"/>
      <c r="AJ75" s="3"/>
      <c r="AK75" s="15">
        <f t="shared" si="36"/>
        <v>7</v>
      </c>
      <c r="AL75" s="11">
        <f t="shared" ref="AL75:AL138" si="41">AL74+$AB$15</f>
        <v>396</v>
      </c>
      <c r="AM75" s="11" t="b">
        <f t="shared" si="35"/>
        <v>0</v>
      </c>
      <c r="AN75" s="11">
        <f t="shared" si="37"/>
        <v>36000</v>
      </c>
      <c r="AO75" s="11">
        <f t="shared" si="38"/>
        <v>0</v>
      </c>
      <c r="AP75" s="11">
        <f t="shared" si="39"/>
        <v>0.90726420433155475</v>
      </c>
      <c r="AQ75" s="11">
        <f t="shared" ref="AQ75:AQ138" si="42">IF(AO74&lt;=0,0,(AQ74*AO74-$AA$34*(AQ74-AP74)*$AB$15)/AO74)</f>
        <v>0</v>
      </c>
      <c r="AT75" s="3"/>
      <c r="AU75" s="17"/>
      <c r="AV75" s="19"/>
      <c r="AW75" s="17"/>
      <c r="AX75" s="17">
        <f t="shared" si="40"/>
        <v>66</v>
      </c>
      <c r="AY75" s="17">
        <f t="shared" si="31"/>
        <v>6.6</v>
      </c>
      <c r="AZ75" s="17">
        <v>90.726420433155468</v>
      </c>
      <c r="BA75" s="17"/>
      <c r="BB75" s="17">
        <v>36</v>
      </c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</row>
    <row r="76" spans="8:86" x14ac:dyDescent="0.15">
      <c r="H76" s="3">
        <f t="shared" si="25"/>
        <v>6.4000000000000043E-2</v>
      </c>
      <c r="I76" s="3">
        <f t="shared" si="26"/>
        <v>360</v>
      </c>
      <c r="J76" s="14">
        <f t="shared" si="27"/>
        <v>500</v>
      </c>
      <c r="K76" s="3">
        <f t="shared" si="18"/>
        <v>0</v>
      </c>
      <c r="L76" s="3">
        <f t="shared" ref="L76:L139" si="43">$L$8*$L$6/I76</f>
        <v>500</v>
      </c>
      <c r="M76" s="15">
        <f t="shared" si="28"/>
        <v>7.0000000000000007E-2</v>
      </c>
      <c r="N76" s="3">
        <f t="shared" si="29"/>
        <v>94.740948866300243</v>
      </c>
      <c r="O76" s="3">
        <f t="shared" ref="O76:O139" si="44">N76*S76</f>
        <v>94.740948866300243</v>
      </c>
      <c r="P76" s="3">
        <f t="shared" si="19"/>
        <v>101.87198802827984</v>
      </c>
      <c r="Q76" s="3">
        <f t="shared" si="30"/>
        <v>43.651531115891338</v>
      </c>
      <c r="R76" s="3">
        <f t="shared" si="20"/>
        <v>72.761759572085595</v>
      </c>
      <c r="S76" s="3">
        <f t="shared" ref="S76:S139" si="45">IF($F$10=0,0,IF($F$10=1,1,(N76-L76-1/$I$5+((L76-N76+1/$I$5)^2+4*N76/$I$5)^0.5)/2/N76))</f>
        <v>1</v>
      </c>
      <c r="T76" s="3">
        <f t="shared" si="21"/>
        <v>29110.228456194254</v>
      </c>
      <c r="U76" s="3">
        <f t="shared" si="22"/>
        <v>0.5</v>
      </c>
      <c r="V76" s="3">
        <f t="shared" si="23"/>
        <v>0</v>
      </c>
      <c r="W76" s="3">
        <f t="shared" si="24"/>
        <v>34106.741591868085</v>
      </c>
      <c r="X76" s="3">
        <f t="shared" ref="X76:X139" si="46">IF($F$19,W76-W77+X77,J76*Q76)</f>
        <v>21825.76555794567</v>
      </c>
      <c r="AI76" s="3"/>
      <c r="AJ76" s="3"/>
      <c r="AK76" s="15">
        <f t="shared" si="36"/>
        <v>7</v>
      </c>
      <c r="AL76" s="11">
        <f t="shared" si="41"/>
        <v>402</v>
      </c>
      <c r="AM76" s="11" t="b">
        <f t="shared" si="35"/>
        <v>0</v>
      </c>
      <c r="AN76" s="11">
        <f t="shared" si="37"/>
        <v>36000</v>
      </c>
      <c r="AO76" s="11">
        <f t="shared" si="38"/>
        <v>0</v>
      </c>
      <c r="AP76" s="11">
        <f t="shared" si="39"/>
        <v>0.90836651914636957</v>
      </c>
      <c r="AQ76" s="11">
        <f t="shared" si="42"/>
        <v>0</v>
      </c>
      <c r="AT76" s="3"/>
      <c r="AU76" s="17"/>
      <c r="AV76" s="19"/>
      <c r="AW76" s="17"/>
      <c r="AX76" s="17">
        <f t="shared" si="40"/>
        <v>67</v>
      </c>
      <c r="AY76" s="17">
        <f t="shared" si="31"/>
        <v>6.7</v>
      </c>
      <c r="AZ76" s="17">
        <v>90.83665191463696</v>
      </c>
      <c r="BA76" s="17"/>
      <c r="BB76" s="17">
        <v>36</v>
      </c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</row>
    <row r="77" spans="8:86" x14ac:dyDescent="0.15">
      <c r="H77" s="3">
        <f t="shared" si="25"/>
        <v>6.5000000000000044E-2</v>
      </c>
      <c r="I77" s="3">
        <f t="shared" si="26"/>
        <v>360</v>
      </c>
      <c r="J77" s="14">
        <f t="shared" si="27"/>
        <v>500</v>
      </c>
      <c r="K77" s="3">
        <f t="shared" ref="K77:K140" si="47">2*$F$6*$I$6*H77+$F$6*$I$7</f>
        <v>0</v>
      </c>
      <c r="L77" s="3">
        <f t="shared" si="43"/>
        <v>500</v>
      </c>
      <c r="M77" s="15">
        <f t="shared" si="28"/>
        <v>7.0000000000000007E-2</v>
      </c>
      <c r="N77" s="3">
        <f t="shared" si="29"/>
        <v>94.660087120588585</v>
      </c>
      <c r="O77" s="3">
        <f t="shared" si="44"/>
        <v>94.660087120588585</v>
      </c>
      <c r="P77" s="3">
        <f t="shared" ref="P77:P140" si="48">O77/(1-M77)</f>
        <v>101.78503991461139</v>
      </c>
      <c r="Q77" s="3">
        <f t="shared" ref="Q77:Q140" si="49">IF($F$19,IF($F$20,0,X77/J77),(Q76*J76-T76*$I$4)/J77)</f>
        <v>43.59331065897895</v>
      </c>
      <c r="R77" s="3">
        <f t="shared" ref="R77:R140" si="50">IF($F$19,P77,(1-U77)*P77+U77*Q77)</f>
        <v>72.689175286795177</v>
      </c>
      <c r="S77" s="3">
        <f t="shared" si="45"/>
        <v>1</v>
      </c>
      <c r="T77" s="3">
        <f t="shared" ref="T77:T140" si="51">IF($F$19,0,$F$8*(P77-Q77))+R77*K77*(1-$F$11)</f>
        <v>29095.86462781622</v>
      </c>
      <c r="U77" s="3">
        <f t="shared" ref="U77:U140" si="52">IF($F$8=0,0,IF(V77=0,0.5,IF(ISERROR(EXP(V77)),0,1/V77-1/(EXP(V77)-1))))</f>
        <v>0.5</v>
      </c>
      <c r="V77" s="3">
        <f t="shared" ref="V77:V140" si="53">K77*(1-$F$11)/$F$8</f>
        <v>0</v>
      </c>
      <c r="W77" s="3">
        <f t="shared" ref="W77:W140" si="54">(I77+$L$5)*N77</f>
        <v>34077.631363411892</v>
      </c>
      <c r="X77" s="3">
        <f t="shared" si="46"/>
        <v>21796.655329489477</v>
      </c>
      <c r="AI77" s="3"/>
      <c r="AJ77" s="3"/>
      <c r="AK77" s="15">
        <f t="shared" si="36"/>
        <v>7</v>
      </c>
      <c r="AL77" s="11">
        <f t="shared" si="41"/>
        <v>408</v>
      </c>
      <c r="AM77" s="11" t="b">
        <f t="shared" si="35"/>
        <v>0</v>
      </c>
      <c r="AN77" s="11">
        <f t="shared" si="37"/>
        <v>36000</v>
      </c>
      <c r="AO77" s="11">
        <f t="shared" si="38"/>
        <v>0</v>
      </c>
      <c r="AP77" s="11">
        <f t="shared" si="39"/>
        <v>0.90946883396118439</v>
      </c>
      <c r="AQ77" s="11">
        <f t="shared" si="42"/>
        <v>0</v>
      </c>
      <c r="AT77" s="3"/>
      <c r="AU77" s="17"/>
      <c r="AV77" s="19"/>
      <c r="AW77" s="17"/>
      <c r="AX77" s="17">
        <f t="shared" si="40"/>
        <v>68</v>
      </c>
      <c r="AY77" s="17">
        <f t="shared" si="31"/>
        <v>6.8</v>
      </c>
      <c r="AZ77" s="17">
        <v>90.946883396118437</v>
      </c>
      <c r="BA77" s="17"/>
      <c r="BB77" s="17">
        <v>36</v>
      </c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</row>
    <row r="78" spans="8:86" x14ac:dyDescent="0.15">
      <c r="H78" s="3">
        <f t="shared" ref="H78:H141" si="55">H77+$I$4</f>
        <v>6.6000000000000045E-2</v>
      </c>
      <c r="I78" s="3">
        <f t="shared" ref="I78:I141" si="56">$I$12-$F$6*($I$6*H78^2+$I$7*H78)</f>
        <v>360</v>
      </c>
      <c r="J78" s="14">
        <f t="shared" ref="J78:J141" si="57">$J$12-$F$6*($I$6*H78^2+$I$7*H78)</f>
        <v>500</v>
      </c>
      <c r="K78" s="3">
        <f t="shared" si="47"/>
        <v>0</v>
      </c>
      <c r="L78" s="3">
        <f t="shared" si="43"/>
        <v>500</v>
      </c>
      <c r="M78" s="15">
        <f t="shared" ref="M78:M141" si="58">$M$12*L78/$L$12</f>
        <v>7.0000000000000007E-2</v>
      </c>
      <c r="N78" s="3">
        <f t="shared" ref="N78:N141" si="59">(N77*I77+P77*$L$5-T77*$I$4)/(I78+$L$5/(1-M78))</f>
        <v>94.579265274400214</v>
      </c>
      <c r="O78" s="3">
        <f t="shared" si="44"/>
        <v>94.579265274400214</v>
      </c>
      <c r="P78" s="3">
        <f t="shared" si="48"/>
        <v>101.69813470365615</v>
      </c>
      <c r="Q78" s="3">
        <f t="shared" si="49"/>
        <v>43.535118929723325</v>
      </c>
      <c r="R78" s="3">
        <f t="shared" si="50"/>
        <v>72.616626816689745</v>
      </c>
      <c r="S78" s="3">
        <f t="shared" si="45"/>
        <v>1</v>
      </c>
      <c r="T78" s="3">
        <f t="shared" si="51"/>
        <v>29081.507886966414</v>
      </c>
      <c r="U78" s="3">
        <f t="shared" si="52"/>
        <v>0.5</v>
      </c>
      <c r="V78" s="3">
        <f t="shared" si="53"/>
        <v>0</v>
      </c>
      <c r="W78" s="3">
        <f t="shared" si="54"/>
        <v>34048.535498784076</v>
      </c>
      <c r="X78" s="3">
        <f t="shared" si="46"/>
        <v>21767.559464861661</v>
      </c>
      <c r="AI78" s="3"/>
      <c r="AJ78" s="3"/>
      <c r="AK78" s="15">
        <f t="shared" si="36"/>
        <v>7</v>
      </c>
      <c r="AL78" s="11">
        <f t="shared" si="41"/>
        <v>414</v>
      </c>
      <c r="AM78" s="11" t="b">
        <f t="shared" si="35"/>
        <v>0</v>
      </c>
      <c r="AN78" s="11">
        <f t="shared" si="37"/>
        <v>36000</v>
      </c>
      <c r="AO78" s="11">
        <f t="shared" si="38"/>
        <v>0</v>
      </c>
      <c r="AP78" s="11">
        <f t="shared" si="39"/>
        <v>0.91057114877599921</v>
      </c>
      <c r="AQ78" s="11">
        <f t="shared" si="42"/>
        <v>0</v>
      </c>
      <c r="AT78" s="3"/>
      <c r="AU78" s="17"/>
      <c r="AV78" s="19"/>
      <c r="AW78" s="17"/>
      <c r="AX78" s="17">
        <f t="shared" si="40"/>
        <v>69</v>
      </c>
      <c r="AY78" s="17">
        <f t="shared" si="31"/>
        <v>6.9</v>
      </c>
      <c r="AZ78" s="17">
        <v>91.057114877599915</v>
      </c>
      <c r="BA78" s="17"/>
      <c r="BB78" s="17">
        <v>36</v>
      </c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</row>
    <row r="79" spans="8:86" x14ac:dyDescent="0.15">
      <c r="H79" s="3">
        <f t="shared" si="55"/>
        <v>6.7000000000000046E-2</v>
      </c>
      <c r="I79" s="3">
        <f t="shared" si="56"/>
        <v>360</v>
      </c>
      <c r="J79" s="14">
        <f t="shared" si="57"/>
        <v>500</v>
      </c>
      <c r="K79" s="3">
        <f t="shared" si="47"/>
        <v>0</v>
      </c>
      <c r="L79" s="3">
        <f t="shared" si="43"/>
        <v>500</v>
      </c>
      <c r="M79" s="15">
        <f t="shared" si="58"/>
        <v>7.0000000000000007E-2</v>
      </c>
      <c r="N79" s="3">
        <f t="shared" si="59"/>
        <v>94.49848330804754</v>
      </c>
      <c r="O79" s="3">
        <f t="shared" si="44"/>
        <v>94.49848330804754</v>
      </c>
      <c r="P79" s="3">
        <f t="shared" si="48"/>
        <v>101.61127237424468</v>
      </c>
      <c r="Q79" s="3">
        <f t="shared" si="49"/>
        <v>43.476955913949389</v>
      </c>
      <c r="R79" s="3">
        <f t="shared" si="50"/>
        <v>72.544114144097037</v>
      </c>
      <c r="S79" s="3">
        <f t="shared" si="45"/>
        <v>1</v>
      </c>
      <c r="T79" s="3">
        <f t="shared" si="51"/>
        <v>29067.158230147645</v>
      </c>
      <c r="U79" s="3">
        <f t="shared" si="52"/>
        <v>0.5</v>
      </c>
      <c r="V79" s="3">
        <f t="shared" si="53"/>
        <v>0</v>
      </c>
      <c r="W79" s="3">
        <f t="shared" si="54"/>
        <v>34019.453990897113</v>
      </c>
      <c r="X79" s="3">
        <f t="shared" si="46"/>
        <v>21738.477956974693</v>
      </c>
      <c r="AI79" s="3"/>
      <c r="AJ79" s="3"/>
      <c r="AK79" s="15">
        <f t="shared" si="36"/>
        <v>7</v>
      </c>
      <c r="AL79" s="11">
        <f t="shared" si="41"/>
        <v>420</v>
      </c>
      <c r="AM79" s="11" t="b">
        <f t="shared" si="35"/>
        <v>0</v>
      </c>
      <c r="AN79" s="11">
        <f t="shared" si="37"/>
        <v>36000</v>
      </c>
      <c r="AO79" s="11">
        <f t="shared" si="38"/>
        <v>0</v>
      </c>
      <c r="AP79" s="11">
        <f t="shared" si="39"/>
        <v>0.91167346359081403</v>
      </c>
      <c r="AQ79" s="11">
        <f t="shared" si="42"/>
        <v>0</v>
      </c>
      <c r="AT79" s="3"/>
      <c r="AU79" s="17"/>
      <c r="AV79" s="19"/>
      <c r="AW79" s="17"/>
      <c r="AX79" s="17">
        <f t="shared" si="40"/>
        <v>70</v>
      </c>
      <c r="AY79" s="17">
        <f t="shared" si="31"/>
        <v>7</v>
      </c>
      <c r="AZ79" s="17">
        <v>91.167346359081407</v>
      </c>
      <c r="BA79" s="17"/>
      <c r="BB79" s="17">
        <v>36</v>
      </c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</row>
    <row r="80" spans="8:86" x14ac:dyDescent="0.15">
      <c r="H80" s="3">
        <f t="shared" si="55"/>
        <v>6.8000000000000047E-2</v>
      </c>
      <c r="I80" s="3">
        <f t="shared" si="56"/>
        <v>360</v>
      </c>
      <c r="J80" s="14">
        <f t="shared" si="57"/>
        <v>500</v>
      </c>
      <c r="K80" s="3">
        <f t="shared" si="47"/>
        <v>0</v>
      </c>
      <c r="L80" s="3">
        <f t="shared" si="43"/>
        <v>500</v>
      </c>
      <c r="M80" s="15">
        <f t="shared" si="58"/>
        <v>7.0000000000000007E-2</v>
      </c>
      <c r="N80" s="3">
        <f t="shared" si="59"/>
        <v>94.417741201852678</v>
      </c>
      <c r="O80" s="3">
        <f t="shared" si="44"/>
        <v>94.417741201852678</v>
      </c>
      <c r="P80" s="3">
        <f t="shared" si="48"/>
        <v>101.52445290521794</v>
      </c>
      <c r="Q80" s="3">
        <f t="shared" si="49"/>
        <v>43.418821597489092</v>
      </c>
      <c r="R80" s="3">
        <f t="shared" si="50"/>
        <v>72.471637251353513</v>
      </c>
      <c r="S80" s="3">
        <f t="shared" si="45"/>
        <v>1</v>
      </c>
      <c r="T80" s="3">
        <f t="shared" si="51"/>
        <v>29052.815653864425</v>
      </c>
      <c r="U80" s="3">
        <f t="shared" si="52"/>
        <v>0.5</v>
      </c>
      <c r="V80" s="3">
        <f t="shared" si="53"/>
        <v>0</v>
      </c>
      <c r="W80" s="3">
        <f t="shared" si="54"/>
        <v>33990.386832666962</v>
      </c>
      <c r="X80" s="3">
        <f t="shared" si="46"/>
        <v>21709.410798744546</v>
      </c>
      <c r="AI80" s="3"/>
      <c r="AJ80" s="3"/>
      <c r="AK80" s="15">
        <f t="shared" si="36"/>
        <v>7</v>
      </c>
      <c r="AL80" s="11">
        <f t="shared" si="41"/>
        <v>426</v>
      </c>
      <c r="AM80" s="11" t="b">
        <f t="shared" si="35"/>
        <v>0</v>
      </c>
      <c r="AN80" s="11">
        <f t="shared" si="37"/>
        <v>36000</v>
      </c>
      <c r="AO80" s="11">
        <f t="shared" si="38"/>
        <v>0</v>
      </c>
      <c r="AP80" s="11">
        <f t="shared" si="39"/>
        <v>0.91277577840562885</v>
      </c>
      <c r="AQ80" s="11">
        <f t="shared" si="42"/>
        <v>0</v>
      </c>
      <c r="AT80" s="3"/>
      <c r="AU80" s="17"/>
      <c r="AV80" s="19"/>
      <c r="AW80" s="17"/>
      <c r="AX80" s="17">
        <f t="shared" si="40"/>
        <v>71</v>
      </c>
      <c r="AY80" s="17">
        <f t="shared" si="31"/>
        <v>7.1</v>
      </c>
      <c r="AZ80" s="17">
        <v>91.277577840562884</v>
      </c>
      <c r="BA80" s="17"/>
      <c r="BB80" s="17">
        <v>36</v>
      </c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7"/>
      <c r="CG80" s="17"/>
      <c r="CH80" s="17"/>
    </row>
    <row r="81" spans="8:86" x14ac:dyDescent="0.15">
      <c r="H81" s="3">
        <f t="shared" si="55"/>
        <v>6.9000000000000047E-2</v>
      </c>
      <c r="I81" s="3">
        <f t="shared" si="56"/>
        <v>360</v>
      </c>
      <c r="J81" s="14">
        <f t="shared" si="57"/>
        <v>500</v>
      </c>
      <c r="K81" s="3">
        <f t="shared" si="47"/>
        <v>0</v>
      </c>
      <c r="L81" s="3">
        <f t="shared" si="43"/>
        <v>500</v>
      </c>
      <c r="M81" s="15">
        <f t="shared" si="58"/>
        <v>7.0000000000000007E-2</v>
      </c>
      <c r="N81" s="3">
        <f t="shared" si="59"/>
        <v>94.337038936147493</v>
      </c>
      <c r="O81" s="3">
        <f t="shared" si="44"/>
        <v>94.337038936147493</v>
      </c>
      <c r="P81" s="3">
        <f t="shared" si="48"/>
        <v>101.43767627542742</v>
      </c>
      <c r="Q81" s="3">
        <f t="shared" si="49"/>
        <v>43.360715966181367</v>
      </c>
      <c r="R81" s="3">
        <f t="shared" si="50"/>
        <v>72.39919612080439</v>
      </c>
      <c r="S81" s="3">
        <f t="shared" si="45"/>
        <v>1</v>
      </c>
      <c r="T81" s="3">
        <f t="shared" si="51"/>
        <v>29038.480154623026</v>
      </c>
      <c r="U81" s="3">
        <f t="shared" si="52"/>
        <v>0.5</v>
      </c>
      <c r="V81" s="3">
        <f t="shared" si="53"/>
        <v>0</v>
      </c>
      <c r="W81" s="3">
        <f t="shared" si="54"/>
        <v>33961.334017013098</v>
      </c>
      <c r="X81" s="3">
        <f t="shared" si="46"/>
        <v>21680.357983090682</v>
      </c>
      <c r="AI81" s="3"/>
      <c r="AJ81" s="3"/>
      <c r="AK81" s="15">
        <f t="shared" si="36"/>
        <v>7</v>
      </c>
      <c r="AL81" s="11">
        <f t="shared" si="41"/>
        <v>432</v>
      </c>
      <c r="AM81" s="11" t="b">
        <f t="shared" si="35"/>
        <v>0</v>
      </c>
      <c r="AN81" s="11">
        <f t="shared" si="37"/>
        <v>36000</v>
      </c>
      <c r="AO81" s="11">
        <f t="shared" si="38"/>
        <v>0</v>
      </c>
      <c r="AP81" s="11">
        <f t="shared" si="39"/>
        <v>0.91387809322044367</v>
      </c>
      <c r="AQ81" s="11">
        <f t="shared" si="42"/>
        <v>0</v>
      </c>
      <c r="AT81" s="3"/>
      <c r="AU81" s="17"/>
      <c r="AV81" s="19"/>
      <c r="AW81" s="17"/>
      <c r="AX81" s="17">
        <f t="shared" si="40"/>
        <v>72</v>
      </c>
      <c r="AY81" s="17">
        <f t="shared" si="31"/>
        <v>7.2</v>
      </c>
      <c r="AZ81" s="17">
        <v>91.387809322044362</v>
      </c>
      <c r="BA81" s="17"/>
      <c r="BB81" s="17">
        <v>36</v>
      </c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</row>
    <row r="82" spans="8:86" x14ac:dyDescent="0.15">
      <c r="H82" s="3">
        <f t="shared" si="55"/>
        <v>7.0000000000000048E-2</v>
      </c>
      <c r="I82" s="3">
        <f t="shared" si="56"/>
        <v>360</v>
      </c>
      <c r="J82" s="14">
        <f t="shared" si="57"/>
        <v>500</v>
      </c>
      <c r="K82" s="3">
        <f t="shared" si="47"/>
        <v>0</v>
      </c>
      <c r="L82" s="3">
        <f t="shared" si="43"/>
        <v>500</v>
      </c>
      <c r="M82" s="15">
        <f t="shared" si="58"/>
        <v>7.0000000000000007E-2</v>
      </c>
      <c r="N82" s="3">
        <f t="shared" si="59"/>
        <v>94.256376491273542</v>
      </c>
      <c r="O82" s="3">
        <f t="shared" si="44"/>
        <v>94.256376491273542</v>
      </c>
      <c r="P82" s="3">
        <f t="shared" si="48"/>
        <v>101.350942463735</v>
      </c>
      <c r="Q82" s="3">
        <f t="shared" si="49"/>
        <v>43.302639005872116</v>
      </c>
      <c r="R82" s="3">
        <f t="shared" si="50"/>
        <v>72.326790734803552</v>
      </c>
      <c r="S82" s="3">
        <f t="shared" si="45"/>
        <v>1</v>
      </c>
      <c r="T82" s="3">
        <f t="shared" si="51"/>
        <v>29024.15172893144</v>
      </c>
      <c r="U82" s="3">
        <f t="shared" si="52"/>
        <v>0.5</v>
      </c>
      <c r="V82" s="3">
        <f t="shared" si="53"/>
        <v>0</v>
      </c>
      <c r="W82" s="3">
        <f t="shared" si="54"/>
        <v>33932.295536858473</v>
      </c>
      <c r="X82" s="3">
        <f t="shared" si="46"/>
        <v>21651.319502936058</v>
      </c>
      <c r="AI82" s="3"/>
      <c r="AJ82" s="3"/>
      <c r="AK82" s="15">
        <f t="shared" si="36"/>
        <v>7</v>
      </c>
      <c r="AL82" s="11">
        <f t="shared" si="41"/>
        <v>438</v>
      </c>
      <c r="AM82" s="11" t="b">
        <f t="shared" si="35"/>
        <v>0</v>
      </c>
      <c r="AN82" s="11">
        <f t="shared" si="37"/>
        <v>36000</v>
      </c>
      <c r="AO82" s="11">
        <f t="shared" si="38"/>
        <v>0</v>
      </c>
      <c r="AP82" s="11">
        <f t="shared" si="39"/>
        <v>0.91498040803525849</v>
      </c>
      <c r="AQ82" s="11">
        <f t="shared" si="42"/>
        <v>0</v>
      </c>
      <c r="AT82" s="3"/>
      <c r="AU82" s="17"/>
      <c r="AV82" s="19"/>
      <c r="AW82" s="17"/>
      <c r="AX82" s="17">
        <f t="shared" si="40"/>
        <v>73</v>
      </c>
      <c r="AY82" s="17">
        <f t="shared" si="31"/>
        <v>7.3</v>
      </c>
      <c r="AZ82" s="17">
        <v>91.498040803525853</v>
      </c>
      <c r="BA82" s="17"/>
      <c r="BB82" s="17">
        <v>36</v>
      </c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</row>
    <row r="83" spans="8:86" x14ac:dyDescent="0.15">
      <c r="H83" s="3">
        <f t="shared" si="55"/>
        <v>7.1000000000000049E-2</v>
      </c>
      <c r="I83" s="3">
        <f t="shared" si="56"/>
        <v>360</v>
      </c>
      <c r="J83" s="14">
        <f t="shared" si="57"/>
        <v>500</v>
      </c>
      <c r="K83" s="3">
        <f t="shared" si="47"/>
        <v>0</v>
      </c>
      <c r="L83" s="3">
        <f t="shared" si="43"/>
        <v>500</v>
      </c>
      <c r="M83" s="15">
        <f t="shared" si="58"/>
        <v>7.0000000000000007E-2</v>
      </c>
      <c r="N83" s="3">
        <f t="shared" si="59"/>
        <v>94.175753847582058</v>
      </c>
      <c r="O83" s="3">
        <f t="shared" si="44"/>
        <v>94.175753847582058</v>
      </c>
      <c r="P83" s="3">
        <f t="shared" si="48"/>
        <v>101.26425144901297</v>
      </c>
      <c r="Q83" s="3">
        <f t="shared" si="49"/>
        <v>43.24459070241425</v>
      </c>
      <c r="R83" s="3">
        <f t="shared" si="50"/>
        <v>72.254421075713609</v>
      </c>
      <c r="S83" s="3">
        <f t="shared" si="45"/>
        <v>1</v>
      </c>
      <c r="T83" s="3">
        <f t="shared" si="51"/>
        <v>29009.830373299363</v>
      </c>
      <c r="U83" s="3">
        <f t="shared" si="52"/>
        <v>0.5</v>
      </c>
      <c r="V83" s="3">
        <f t="shared" si="53"/>
        <v>0</v>
      </c>
      <c r="W83" s="3">
        <f t="shared" si="54"/>
        <v>33903.271385129541</v>
      </c>
      <c r="X83" s="3">
        <f t="shared" si="46"/>
        <v>21622.295351207125</v>
      </c>
      <c r="AI83" s="3"/>
      <c r="AJ83" s="3"/>
      <c r="AK83" s="15">
        <f t="shared" si="36"/>
        <v>7</v>
      </c>
      <c r="AL83" s="11">
        <f t="shared" si="41"/>
        <v>444</v>
      </c>
      <c r="AM83" s="11" t="b">
        <f t="shared" si="35"/>
        <v>0</v>
      </c>
      <c r="AN83" s="11">
        <f t="shared" si="37"/>
        <v>36000</v>
      </c>
      <c r="AO83" s="11">
        <f t="shared" si="38"/>
        <v>0</v>
      </c>
      <c r="AP83" s="11">
        <f t="shared" si="39"/>
        <v>0.91608272285007342</v>
      </c>
      <c r="AQ83" s="11">
        <f t="shared" si="42"/>
        <v>0</v>
      </c>
      <c r="AT83" s="3"/>
      <c r="AU83" s="17"/>
      <c r="AV83" s="19"/>
      <c r="AW83" s="17"/>
      <c r="AX83" s="17">
        <f t="shared" si="40"/>
        <v>74</v>
      </c>
      <c r="AY83" s="17">
        <f t="shared" si="31"/>
        <v>7.4</v>
      </c>
      <c r="AZ83" s="17">
        <v>91.608272285007345</v>
      </c>
      <c r="BA83" s="17"/>
      <c r="BB83" s="17">
        <v>36</v>
      </c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</row>
    <row r="84" spans="8:86" x14ac:dyDescent="0.15">
      <c r="H84" s="3">
        <f t="shared" si="55"/>
        <v>7.200000000000005E-2</v>
      </c>
      <c r="I84" s="3">
        <f t="shared" si="56"/>
        <v>360</v>
      </c>
      <c r="J84" s="14">
        <f t="shared" si="57"/>
        <v>500</v>
      </c>
      <c r="K84" s="3">
        <f t="shared" si="47"/>
        <v>0</v>
      </c>
      <c r="L84" s="3">
        <f t="shared" si="43"/>
        <v>500</v>
      </c>
      <c r="M84" s="15">
        <f t="shared" si="58"/>
        <v>7.0000000000000007E-2</v>
      </c>
      <c r="N84" s="3">
        <f t="shared" si="59"/>
        <v>94.095170985433995</v>
      </c>
      <c r="O84" s="3">
        <f t="shared" si="44"/>
        <v>94.095170985433995</v>
      </c>
      <c r="P84" s="3">
        <f t="shared" si="48"/>
        <v>101.17760321014408</v>
      </c>
      <c r="Q84" s="3">
        <f t="shared" si="49"/>
        <v>43.186571041667655</v>
      </c>
      <c r="R84" s="3">
        <f t="shared" si="50"/>
        <v>72.182087125905866</v>
      </c>
      <c r="S84" s="3">
        <f t="shared" si="45"/>
        <v>1</v>
      </c>
      <c r="T84" s="3">
        <f t="shared" si="51"/>
        <v>28995.516084238214</v>
      </c>
      <c r="U84" s="3">
        <f t="shared" si="52"/>
        <v>0.5</v>
      </c>
      <c r="V84" s="3">
        <f t="shared" si="53"/>
        <v>0</v>
      </c>
      <c r="W84" s="3">
        <f t="shared" si="54"/>
        <v>33874.261554756238</v>
      </c>
      <c r="X84" s="3">
        <f t="shared" si="46"/>
        <v>21593.285520833826</v>
      </c>
      <c r="AI84" s="3"/>
      <c r="AJ84" s="3"/>
      <c r="AK84" s="15">
        <f t="shared" si="36"/>
        <v>7</v>
      </c>
      <c r="AL84" s="11">
        <f t="shared" si="41"/>
        <v>450</v>
      </c>
      <c r="AM84" s="11" t="b">
        <f t="shared" si="35"/>
        <v>0</v>
      </c>
      <c r="AN84" s="11">
        <f t="shared" si="37"/>
        <v>36000</v>
      </c>
      <c r="AO84" s="11">
        <f t="shared" si="38"/>
        <v>0</v>
      </c>
      <c r="AP84" s="11">
        <f t="shared" si="39"/>
        <v>0.91718503766488824</v>
      </c>
      <c r="AQ84" s="11">
        <f t="shared" si="42"/>
        <v>0</v>
      </c>
      <c r="AT84" s="3"/>
      <c r="AU84" s="17"/>
      <c r="AV84" s="19"/>
      <c r="AW84" s="17"/>
      <c r="AX84" s="17">
        <f t="shared" si="40"/>
        <v>75</v>
      </c>
      <c r="AY84" s="17">
        <f t="shared" ref="AY84:AY147" si="60">IF(ISNUMBER(AX84),IF(ROUND((AX84)*$AG$15*$AB$15,0) &lt;= 10080, ROUND((AX84)*$AG$15,0)*$AB$15/60, 168),168)</f>
        <v>7.5</v>
      </c>
      <c r="AZ84" s="17">
        <v>91.718503766488823</v>
      </c>
      <c r="BA84" s="17"/>
      <c r="BB84" s="17">
        <v>36</v>
      </c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</row>
    <row r="85" spans="8:86" x14ac:dyDescent="0.15">
      <c r="H85" s="3">
        <f t="shared" si="55"/>
        <v>7.3000000000000051E-2</v>
      </c>
      <c r="I85" s="3">
        <f t="shared" si="56"/>
        <v>360</v>
      </c>
      <c r="J85" s="14">
        <f t="shared" si="57"/>
        <v>500</v>
      </c>
      <c r="K85" s="3">
        <f t="shared" si="47"/>
        <v>0</v>
      </c>
      <c r="L85" s="3">
        <f t="shared" si="43"/>
        <v>500</v>
      </c>
      <c r="M85" s="15">
        <f t="shared" si="58"/>
        <v>7.0000000000000007E-2</v>
      </c>
      <c r="N85" s="3">
        <f t="shared" si="59"/>
        <v>94.014627885199999</v>
      </c>
      <c r="O85" s="3">
        <f t="shared" si="44"/>
        <v>94.014627885199999</v>
      </c>
      <c r="P85" s="3">
        <f t="shared" si="48"/>
        <v>101.09099772602151</v>
      </c>
      <c r="Q85" s="3">
        <f t="shared" si="49"/>
        <v>43.128580009499181</v>
      </c>
      <c r="R85" s="3">
        <f t="shared" si="50"/>
        <v>72.109788867760344</v>
      </c>
      <c r="S85" s="3">
        <f t="shared" si="45"/>
        <v>1</v>
      </c>
      <c r="T85" s="3">
        <f t="shared" si="51"/>
        <v>28981.208858261165</v>
      </c>
      <c r="U85" s="3">
        <f t="shared" si="52"/>
        <v>0.5</v>
      </c>
      <c r="V85" s="3">
        <f t="shared" si="53"/>
        <v>0</v>
      </c>
      <c r="W85" s="3">
        <f t="shared" si="54"/>
        <v>33845.266038672002</v>
      </c>
      <c r="X85" s="3">
        <f t="shared" si="46"/>
        <v>21564.29000474959</v>
      </c>
      <c r="AI85" s="3"/>
      <c r="AJ85" s="3"/>
      <c r="AK85" s="15">
        <f t="shared" si="36"/>
        <v>7</v>
      </c>
      <c r="AL85" s="11">
        <f t="shared" si="41"/>
        <v>456</v>
      </c>
      <c r="AM85" s="11" t="b">
        <f t="shared" si="35"/>
        <v>0</v>
      </c>
      <c r="AN85" s="11">
        <f t="shared" si="37"/>
        <v>36000</v>
      </c>
      <c r="AO85" s="11">
        <f t="shared" si="38"/>
        <v>0</v>
      </c>
      <c r="AP85" s="11">
        <f t="shared" si="39"/>
        <v>0.91828735247970306</v>
      </c>
      <c r="AQ85" s="11">
        <f t="shared" si="42"/>
        <v>0</v>
      </c>
      <c r="AT85" s="3"/>
      <c r="AU85" s="17"/>
      <c r="AV85" s="19"/>
      <c r="AW85" s="17"/>
      <c r="AX85" s="17">
        <f t="shared" si="40"/>
        <v>76</v>
      </c>
      <c r="AY85" s="17">
        <f t="shared" si="60"/>
        <v>7.6</v>
      </c>
      <c r="AZ85" s="17">
        <v>91.8287352479703</v>
      </c>
      <c r="BA85" s="17"/>
      <c r="BB85" s="17">
        <v>36</v>
      </c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</row>
    <row r="86" spans="8:86" x14ac:dyDescent="0.15">
      <c r="H86" s="3">
        <f t="shared" si="55"/>
        <v>7.4000000000000052E-2</v>
      </c>
      <c r="I86" s="3">
        <f t="shared" si="56"/>
        <v>360</v>
      </c>
      <c r="J86" s="14">
        <f t="shared" si="57"/>
        <v>500</v>
      </c>
      <c r="K86" s="3">
        <f t="shared" si="47"/>
        <v>0</v>
      </c>
      <c r="L86" s="3">
        <f t="shared" si="43"/>
        <v>500</v>
      </c>
      <c r="M86" s="15">
        <f t="shared" si="58"/>
        <v>7.0000000000000007E-2</v>
      </c>
      <c r="N86" s="3">
        <f t="shared" si="59"/>
        <v>93.934124527260394</v>
      </c>
      <c r="O86" s="3">
        <f t="shared" si="44"/>
        <v>93.934124527260394</v>
      </c>
      <c r="P86" s="3">
        <f t="shared" si="48"/>
        <v>101.00443497554882</v>
      </c>
      <c r="Q86" s="3">
        <f t="shared" si="49"/>
        <v>43.070617591782657</v>
      </c>
      <c r="R86" s="3">
        <f t="shared" si="50"/>
        <v>72.037526283665741</v>
      </c>
      <c r="S86" s="3">
        <f t="shared" si="45"/>
        <v>1</v>
      </c>
      <c r="T86" s="3">
        <f t="shared" si="51"/>
        <v>28966.90869188308</v>
      </c>
      <c r="U86" s="3">
        <f t="shared" si="52"/>
        <v>0.5</v>
      </c>
      <c r="V86" s="3">
        <f t="shared" si="53"/>
        <v>0</v>
      </c>
      <c r="W86" s="3">
        <f t="shared" si="54"/>
        <v>33816.28482981374</v>
      </c>
      <c r="X86" s="3">
        <f t="shared" si="46"/>
        <v>21535.308795891327</v>
      </c>
      <c r="AI86" s="3"/>
      <c r="AJ86" s="3"/>
      <c r="AK86" s="15">
        <f t="shared" si="36"/>
        <v>7</v>
      </c>
      <c r="AL86" s="11">
        <f t="shared" si="41"/>
        <v>462</v>
      </c>
      <c r="AM86" s="11" t="b">
        <f t="shared" si="35"/>
        <v>0</v>
      </c>
      <c r="AN86" s="11">
        <f t="shared" si="37"/>
        <v>36000</v>
      </c>
      <c r="AO86" s="11">
        <f t="shared" si="38"/>
        <v>0</v>
      </c>
      <c r="AP86" s="11">
        <f t="shared" si="39"/>
        <v>0.91938966729451788</v>
      </c>
      <c r="AQ86" s="11">
        <f t="shared" si="42"/>
        <v>0</v>
      </c>
      <c r="AT86" s="3"/>
      <c r="AU86" s="17"/>
      <c r="AV86" s="19"/>
      <c r="AW86" s="17"/>
      <c r="AX86" s="17">
        <f t="shared" si="40"/>
        <v>77</v>
      </c>
      <c r="AY86" s="17">
        <f t="shared" si="60"/>
        <v>7.7</v>
      </c>
      <c r="AZ86" s="17">
        <v>91.938966729451792</v>
      </c>
      <c r="BA86" s="17"/>
      <c r="BB86" s="17">
        <v>36</v>
      </c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</row>
    <row r="87" spans="8:86" x14ac:dyDescent="0.15">
      <c r="H87" s="3">
        <f t="shared" si="55"/>
        <v>7.5000000000000053E-2</v>
      </c>
      <c r="I87" s="3">
        <f t="shared" si="56"/>
        <v>360</v>
      </c>
      <c r="J87" s="14">
        <f t="shared" si="57"/>
        <v>500</v>
      </c>
      <c r="K87" s="3">
        <f t="shared" si="47"/>
        <v>0</v>
      </c>
      <c r="L87" s="3">
        <f t="shared" si="43"/>
        <v>500</v>
      </c>
      <c r="M87" s="15">
        <f t="shared" si="58"/>
        <v>7.0000000000000007E-2</v>
      </c>
      <c r="N87" s="3">
        <f t="shared" si="59"/>
        <v>93.853660892005166</v>
      </c>
      <c r="O87" s="3">
        <f t="shared" si="44"/>
        <v>93.853660892005166</v>
      </c>
      <c r="P87" s="3">
        <f t="shared" si="48"/>
        <v>100.91791493763996</v>
      </c>
      <c r="Q87" s="3">
        <f t="shared" si="49"/>
        <v>43.012683774398887</v>
      </c>
      <c r="R87" s="3">
        <f t="shared" si="50"/>
        <v>71.965299356019429</v>
      </c>
      <c r="S87" s="3">
        <f t="shared" si="45"/>
        <v>1</v>
      </c>
      <c r="T87" s="3">
        <f t="shared" si="51"/>
        <v>28952.615581620539</v>
      </c>
      <c r="U87" s="3">
        <f t="shared" si="52"/>
        <v>0.5</v>
      </c>
      <c r="V87" s="3">
        <f t="shared" si="53"/>
        <v>0</v>
      </c>
      <c r="W87" s="3">
        <f t="shared" si="54"/>
        <v>33787.317921121859</v>
      </c>
      <c r="X87" s="3">
        <f t="shared" si="46"/>
        <v>21506.341887199444</v>
      </c>
      <c r="AI87" s="3"/>
      <c r="AJ87" s="3"/>
      <c r="AK87" s="15">
        <f t="shared" si="36"/>
        <v>7</v>
      </c>
      <c r="AL87" s="11">
        <f t="shared" si="41"/>
        <v>468</v>
      </c>
      <c r="AM87" s="11" t="b">
        <f t="shared" si="35"/>
        <v>0</v>
      </c>
      <c r="AN87" s="11">
        <f t="shared" si="37"/>
        <v>36000</v>
      </c>
      <c r="AO87" s="11">
        <f t="shared" si="38"/>
        <v>0</v>
      </c>
      <c r="AP87" s="11">
        <f t="shared" si="39"/>
        <v>0.9204919821093327</v>
      </c>
      <c r="AQ87" s="11">
        <f t="shared" si="42"/>
        <v>0</v>
      </c>
      <c r="AT87" s="3"/>
      <c r="AU87" s="17"/>
      <c r="AV87" s="19"/>
      <c r="AW87" s="17"/>
      <c r="AX87" s="17">
        <f t="shared" si="40"/>
        <v>78</v>
      </c>
      <c r="AY87" s="17">
        <f t="shared" si="60"/>
        <v>7.8</v>
      </c>
      <c r="AZ87" s="17">
        <v>92.04919821093327</v>
      </c>
      <c r="BA87" s="17"/>
      <c r="BB87" s="17">
        <v>36</v>
      </c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</row>
    <row r="88" spans="8:86" x14ac:dyDescent="0.15">
      <c r="H88" s="3">
        <f t="shared" si="55"/>
        <v>7.6000000000000054E-2</v>
      </c>
      <c r="I88" s="3">
        <f t="shared" si="56"/>
        <v>360</v>
      </c>
      <c r="J88" s="14">
        <f t="shared" si="57"/>
        <v>500</v>
      </c>
      <c r="K88" s="3">
        <f t="shared" si="47"/>
        <v>0</v>
      </c>
      <c r="L88" s="3">
        <f t="shared" si="43"/>
        <v>500</v>
      </c>
      <c r="M88" s="15">
        <f t="shared" si="58"/>
        <v>7.0000000000000007E-2</v>
      </c>
      <c r="N88" s="3">
        <f t="shared" si="59"/>
        <v>93.773236959833994</v>
      </c>
      <c r="O88" s="3">
        <f t="shared" si="44"/>
        <v>93.773236959833994</v>
      </c>
      <c r="P88" s="3">
        <f t="shared" si="48"/>
        <v>100.83143759121936</v>
      </c>
      <c r="Q88" s="3">
        <f t="shared" si="49"/>
        <v>42.954778543235648</v>
      </c>
      <c r="R88" s="3">
        <f t="shared" si="50"/>
        <v>71.893108067227502</v>
      </c>
      <c r="S88" s="3">
        <f t="shared" si="45"/>
        <v>1</v>
      </c>
      <c r="T88" s="3">
        <f t="shared" si="51"/>
        <v>28938.329523991855</v>
      </c>
      <c r="U88" s="3">
        <f t="shared" si="52"/>
        <v>0.5</v>
      </c>
      <c r="V88" s="3">
        <f t="shared" si="53"/>
        <v>0</v>
      </c>
      <c r="W88" s="3">
        <f t="shared" si="54"/>
        <v>33758.365305540239</v>
      </c>
      <c r="X88" s="3">
        <f t="shared" si="46"/>
        <v>21477.389271617823</v>
      </c>
      <c r="AI88" s="3"/>
      <c r="AJ88" s="3"/>
      <c r="AK88" s="15">
        <f t="shared" si="36"/>
        <v>7</v>
      </c>
      <c r="AL88" s="11">
        <f t="shared" si="41"/>
        <v>474</v>
      </c>
      <c r="AM88" s="11" t="b">
        <f t="shared" si="35"/>
        <v>0</v>
      </c>
      <c r="AN88" s="11">
        <f t="shared" si="37"/>
        <v>36000</v>
      </c>
      <c r="AO88" s="11">
        <f t="shared" si="38"/>
        <v>0</v>
      </c>
      <c r="AP88" s="11">
        <f t="shared" si="39"/>
        <v>0.92159429692414763</v>
      </c>
      <c r="AQ88" s="11">
        <f t="shared" si="42"/>
        <v>0</v>
      </c>
      <c r="AT88" s="3"/>
      <c r="AU88" s="17"/>
      <c r="AV88" s="19"/>
      <c r="AW88" s="17"/>
      <c r="AX88" s="17">
        <f t="shared" si="40"/>
        <v>79</v>
      </c>
      <c r="AY88" s="17">
        <f t="shared" si="60"/>
        <v>7.9</v>
      </c>
      <c r="AZ88" s="17">
        <v>92.159429692414761</v>
      </c>
      <c r="BA88" s="17"/>
      <c r="BB88" s="17">
        <v>36</v>
      </c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</row>
    <row r="89" spans="8:86" x14ac:dyDescent="0.15">
      <c r="H89" s="3">
        <f t="shared" si="55"/>
        <v>7.7000000000000055E-2</v>
      </c>
      <c r="I89" s="3">
        <f t="shared" si="56"/>
        <v>360</v>
      </c>
      <c r="J89" s="14">
        <f t="shared" si="57"/>
        <v>500</v>
      </c>
      <c r="K89" s="3">
        <f t="shared" si="47"/>
        <v>0</v>
      </c>
      <c r="L89" s="3">
        <f t="shared" si="43"/>
        <v>500</v>
      </c>
      <c r="M89" s="15">
        <f t="shared" si="58"/>
        <v>7.0000000000000007E-2</v>
      </c>
      <c r="N89" s="3">
        <f t="shared" si="59"/>
        <v>93.692852711156249</v>
      </c>
      <c r="O89" s="3">
        <f t="shared" si="44"/>
        <v>93.692852711156249</v>
      </c>
      <c r="P89" s="3">
        <f t="shared" si="48"/>
        <v>100.74500291522178</v>
      </c>
      <c r="Q89" s="3">
        <f t="shared" si="49"/>
        <v>42.896901884187663</v>
      </c>
      <c r="R89" s="3">
        <f t="shared" si="50"/>
        <v>71.820952399704723</v>
      </c>
      <c r="S89" s="3">
        <f t="shared" si="45"/>
        <v>1</v>
      </c>
      <c r="T89" s="3">
        <f t="shared" si="51"/>
        <v>28924.050515517058</v>
      </c>
      <c r="U89" s="3">
        <f t="shared" si="52"/>
        <v>0.5</v>
      </c>
      <c r="V89" s="3">
        <f t="shared" si="53"/>
        <v>0</v>
      </c>
      <c r="W89" s="3">
        <f t="shared" si="54"/>
        <v>33729.42697601625</v>
      </c>
      <c r="X89" s="3">
        <f t="shared" si="46"/>
        <v>21448.45094209383</v>
      </c>
      <c r="AI89" s="3"/>
      <c r="AJ89" s="3"/>
      <c r="AK89" s="15">
        <f t="shared" si="36"/>
        <v>7</v>
      </c>
      <c r="AL89" s="11">
        <f t="shared" si="41"/>
        <v>480</v>
      </c>
      <c r="AM89" s="11" t="b">
        <f t="shared" si="35"/>
        <v>0</v>
      </c>
      <c r="AN89" s="11">
        <f t="shared" si="37"/>
        <v>36000</v>
      </c>
      <c r="AO89" s="11">
        <f t="shared" si="38"/>
        <v>0</v>
      </c>
      <c r="AP89" s="11">
        <f t="shared" si="39"/>
        <v>0.92269661173896245</v>
      </c>
      <c r="AQ89" s="11">
        <f t="shared" si="42"/>
        <v>0</v>
      </c>
      <c r="AT89" s="3"/>
      <c r="AU89" s="17"/>
      <c r="AV89" s="19"/>
      <c r="AW89" s="17"/>
      <c r="AX89" s="17">
        <f t="shared" si="40"/>
        <v>80</v>
      </c>
      <c r="AY89" s="17">
        <f t="shared" si="60"/>
        <v>8</v>
      </c>
      <c r="AZ89" s="17">
        <v>92.269661173896239</v>
      </c>
      <c r="BA89" s="17"/>
      <c r="BB89" s="17">
        <v>36</v>
      </c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</row>
    <row r="90" spans="8:86" x14ac:dyDescent="0.15">
      <c r="H90" s="3">
        <f t="shared" si="55"/>
        <v>7.8000000000000055E-2</v>
      </c>
      <c r="I90" s="3">
        <f t="shared" si="56"/>
        <v>360</v>
      </c>
      <c r="J90" s="14">
        <f t="shared" si="57"/>
        <v>500</v>
      </c>
      <c r="K90" s="3">
        <f t="shared" si="47"/>
        <v>0</v>
      </c>
      <c r="L90" s="3">
        <f t="shared" si="43"/>
        <v>500</v>
      </c>
      <c r="M90" s="15">
        <f t="shared" si="58"/>
        <v>7.0000000000000007E-2</v>
      </c>
      <c r="N90" s="3">
        <f t="shared" si="59"/>
        <v>93.612508126390921</v>
      </c>
      <c r="O90" s="3">
        <f t="shared" si="44"/>
        <v>93.612508126390921</v>
      </c>
      <c r="P90" s="3">
        <f t="shared" si="48"/>
        <v>100.65861088859239</v>
      </c>
      <c r="Q90" s="3">
        <f t="shared" si="49"/>
        <v>42.839053783156622</v>
      </c>
      <c r="R90" s="3">
        <f t="shared" si="50"/>
        <v>71.748832335874511</v>
      </c>
      <c r="S90" s="3">
        <f t="shared" si="45"/>
        <v>1</v>
      </c>
      <c r="T90" s="3">
        <f t="shared" si="51"/>
        <v>28909.778552717886</v>
      </c>
      <c r="U90" s="3">
        <f t="shared" si="52"/>
        <v>0.5</v>
      </c>
      <c r="V90" s="3">
        <f t="shared" si="53"/>
        <v>0</v>
      </c>
      <c r="W90" s="3">
        <f t="shared" si="54"/>
        <v>33700.502925500732</v>
      </c>
      <c r="X90" s="3">
        <f t="shared" si="46"/>
        <v>21419.526891578313</v>
      </c>
      <c r="AI90" s="3"/>
      <c r="AJ90" s="3"/>
      <c r="AK90" s="15">
        <f t="shared" si="36"/>
        <v>7</v>
      </c>
      <c r="AL90" s="11">
        <f t="shared" si="41"/>
        <v>486</v>
      </c>
      <c r="AM90" s="11" t="b">
        <f t="shared" si="35"/>
        <v>0</v>
      </c>
      <c r="AN90" s="11">
        <f t="shared" si="37"/>
        <v>36000</v>
      </c>
      <c r="AO90" s="11">
        <f t="shared" si="38"/>
        <v>0</v>
      </c>
      <c r="AP90" s="11">
        <f t="shared" si="39"/>
        <v>0.92379892655377727</v>
      </c>
      <c r="AQ90" s="11">
        <f t="shared" si="42"/>
        <v>0</v>
      </c>
      <c r="AT90" s="3"/>
      <c r="AU90" s="17"/>
      <c r="AV90" s="19"/>
      <c r="AW90" s="17"/>
      <c r="AX90" s="17">
        <f t="shared" si="40"/>
        <v>81</v>
      </c>
      <c r="AY90" s="17">
        <f t="shared" si="60"/>
        <v>8.1</v>
      </c>
      <c r="AZ90" s="17">
        <v>92.379892655377731</v>
      </c>
      <c r="BA90" s="17"/>
      <c r="BB90" s="17">
        <v>36</v>
      </c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17"/>
      <c r="BQ90" s="17"/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  <c r="CH90" s="17"/>
    </row>
    <row r="91" spans="8:86" x14ac:dyDescent="0.15">
      <c r="H91" s="3">
        <f t="shared" si="55"/>
        <v>7.9000000000000056E-2</v>
      </c>
      <c r="I91" s="3">
        <f t="shared" si="56"/>
        <v>360</v>
      </c>
      <c r="J91" s="14">
        <f t="shared" si="57"/>
        <v>500</v>
      </c>
      <c r="K91" s="3">
        <f t="shared" si="47"/>
        <v>0</v>
      </c>
      <c r="L91" s="3">
        <f t="shared" si="43"/>
        <v>500</v>
      </c>
      <c r="M91" s="15">
        <f t="shared" si="58"/>
        <v>7.0000000000000007E-2</v>
      </c>
      <c r="N91" s="3">
        <f t="shared" si="59"/>
        <v>93.532203185966708</v>
      </c>
      <c r="O91" s="3">
        <f t="shared" si="44"/>
        <v>93.532203185966708</v>
      </c>
      <c r="P91" s="3">
        <f t="shared" si="48"/>
        <v>100.57226149028679</v>
      </c>
      <c r="Q91" s="3">
        <f t="shared" si="49"/>
        <v>42.78123422605119</v>
      </c>
      <c r="R91" s="3">
        <f t="shared" si="50"/>
        <v>71.676747858168994</v>
      </c>
      <c r="S91" s="3">
        <f t="shared" si="45"/>
        <v>1</v>
      </c>
      <c r="T91" s="3">
        <f t="shared" si="51"/>
        <v>28895.5136321178</v>
      </c>
      <c r="U91" s="3">
        <f t="shared" si="52"/>
        <v>0.5</v>
      </c>
      <c r="V91" s="3">
        <f t="shared" si="53"/>
        <v>0</v>
      </c>
      <c r="W91" s="3">
        <f t="shared" si="54"/>
        <v>33671.593146948013</v>
      </c>
      <c r="X91" s="3">
        <f t="shared" si="46"/>
        <v>21390.617113025593</v>
      </c>
      <c r="AI91" s="3"/>
      <c r="AJ91" s="3"/>
      <c r="AK91" s="15">
        <f t="shared" si="36"/>
        <v>7</v>
      </c>
      <c r="AL91" s="11">
        <f t="shared" si="41"/>
        <v>492</v>
      </c>
      <c r="AM91" s="11" t="b">
        <f t="shared" si="35"/>
        <v>0</v>
      </c>
      <c r="AN91" s="11">
        <f t="shared" si="37"/>
        <v>36000</v>
      </c>
      <c r="AO91" s="11">
        <f t="shared" si="38"/>
        <v>0</v>
      </c>
      <c r="AP91" s="11">
        <f t="shared" si="39"/>
        <v>0.92490124136859209</v>
      </c>
      <c r="AQ91" s="11">
        <f t="shared" si="42"/>
        <v>0</v>
      </c>
      <c r="AT91" s="3"/>
      <c r="AU91" s="17"/>
      <c r="AV91" s="19"/>
      <c r="AW91" s="17"/>
      <c r="AX91" s="17">
        <f t="shared" si="40"/>
        <v>82</v>
      </c>
      <c r="AY91" s="17">
        <f t="shared" si="60"/>
        <v>8.1999999999999993</v>
      </c>
      <c r="AZ91" s="17">
        <v>92.490124136859208</v>
      </c>
      <c r="BA91" s="17"/>
      <c r="BB91" s="17">
        <v>36</v>
      </c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</row>
    <row r="92" spans="8:86" x14ac:dyDescent="0.15">
      <c r="H92" s="3">
        <f t="shared" si="55"/>
        <v>8.0000000000000057E-2</v>
      </c>
      <c r="I92" s="3">
        <f t="shared" si="56"/>
        <v>360</v>
      </c>
      <c r="J92" s="14">
        <f t="shared" si="57"/>
        <v>500</v>
      </c>
      <c r="K92" s="3">
        <f t="shared" si="47"/>
        <v>0</v>
      </c>
      <c r="L92" s="3">
        <f t="shared" si="43"/>
        <v>500</v>
      </c>
      <c r="M92" s="15">
        <f t="shared" si="58"/>
        <v>7.0000000000000007E-2</v>
      </c>
      <c r="N92" s="3">
        <f t="shared" si="59"/>
        <v>93.451937870321927</v>
      </c>
      <c r="O92" s="3">
        <f t="shared" si="44"/>
        <v>93.451937870321927</v>
      </c>
      <c r="P92" s="3">
        <f t="shared" si="48"/>
        <v>100.48595469927089</v>
      </c>
      <c r="Q92" s="3">
        <f t="shared" si="49"/>
        <v>42.723443198786953</v>
      </c>
      <c r="R92" s="3">
        <f t="shared" si="50"/>
        <v>71.604698949028915</v>
      </c>
      <c r="S92" s="3">
        <f t="shared" si="45"/>
        <v>1</v>
      </c>
      <c r="T92" s="3">
        <f t="shared" si="51"/>
        <v>28881.25575024197</v>
      </c>
      <c r="U92" s="3">
        <f t="shared" si="52"/>
        <v>0.5</v>
      </c>
      <c r="V92" s="3">
        <f t="shared" si="53"/>
        <v>0</v>
      </c>
      <c r="W92" s="3">
        <f t="shared" si="54"/>
        <v>33642.697633315896</v>
      </c>
      <c r="X92" s="3">
        <f t="shared" si="46"/>
        <v>21361.721599393477</v>
      </c>
      <c r="AI92" s="3"/>
      <c r="AJ92" s="3"/>
      <c r="AK92" s="15">
        <f t="shared" si="36"/>
        <v>7</v>
      </c>
      <c r="AL92" s="11">
        <f t="shared" si="41"/>
        <v>498</v>
      </c>
      <c r="AM92" s="11" t="b">
        <f t="shared" si="35"/>
        <v>0</v>
      </c>
      <c r="AN92" s="11">
        <f t="shared" si="37"/>
        <v>36000</v>
      </c>
      <c r="AO92" s="11">
        <f t="shared" si="38"/>
        <v>0</v>
      </c>
      <c r="AP92" s="11">
        <f t="shared" si="39"/>
        <v>0.92600355618340691</v>
      </c>
      <c r="AQ92" s="11">
        <f t="shared" si="42"/>
        <v>0</v>
      </c>
      <c r="AT92" s="3"/>
      <c r="AU92" s="17"/>
      <c r="AV92" s="19"/>
      <c r="AW92" s="17"/>
      <c r="AX92" s="17">
        <f t="shared" si="40"/>
        <v>83</v>
      </c>
      <c r="AY92" s="17">
        <f t="shared" si="60"/>
        <v>8.3000000000000007</v>
      </c>
      <c r="AZ92" s="17">
        <v>92.600355618340686</v>
      </c>
      <c r="BA92" s="17"/>
      <c r="BB92" s="17">
        <v>36</v>
      </c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</row>
    <row r="93" spans="8:86" x14ac:dyDescent="0.15">
      <c r="H93" s="3">
        <f t="shared" si="55"/>
        <v>8.1000000000000058E-2</v>
      </c>
      <c r="I93" s="3">
        <f t="shared" si="56"/>
        <v>360</v>
      </c>
      <c r="J93" s="14">
        <f t="shared" si="57"/>
        <v>500</v>
      </c>
      <c r="K93" s="3">
        <f t="shared" si="47"/>
        <v>0</v>
      </c>
      <c r="L93" s="3">
        <f t="shared" si="43"/>
        <v>500</v>
      </c>
      <c r="M93" s="15">
        <f t="shared" si="58"/>
        <v>7.0000000000000007E-2</v>
      </c>
      <c r="N93" s="3">
        <f t="shared" si="59"/>
        <v>93.371712159904604</v>
      </c>
      <c r="O93" s="3">
        <f t="shared" si="44"/>
        <v>93.371712159904604</v>
      </c>
      <c r="P93" s="3">
        <f t="shared" si="48"/>
        <v>100.39969049452108</v>
      </c>
      <c r="Q93" s="3">
        <f t="shared" si="49"/>
        <v>42.665680687286468</v>
      </c>
      <c r="R93" s="3">
        <f t="shared" si="50"/>
        <v>71.532685590903782</v>
      </c>
      <c r="S93" s="3">
        <f t="shared" si="45"/>
        <v>1</v>
      </c>
      <c r="T93" s="3">
        <f t="shared" si="51"/>
        <v>28867.004903617308</v>
      </c>
      <c r="U93" s="3">
        <f t="shared" si="52"/>
        <v>0.5</v>
      </c>
      <c r="V93" s="3">
        <f t="shared" si="53"/>
        <v>0</v>
      </c>
      <c r="W93" s="3">
        <f t="shared" si="54"/>
        <v>33613.816377565658</v>
      </c>
      <c r="X93" s="3">
        <f t="shared" si="46"/>
        <v>21332.840343643235</v>
      </c>
      <c r="AI93" s="3"/>
      <c r="AJ93" s="3"/>
      <c r="AK93" s="15">
        <f t="shared" si="36"/>
        <v>7</v>
      </c>
      <c r="AL93" s="11">
        <f t="shared" si="41"/>
        <v>504</v>
      </c>
      <c r="AM93" s="11" t="b">
        <f t="shared" si="35"/>
        <v>0</v>
      </c>
      <c r="AN93" s="11">
        <f t="shared" si="37"/>
        <v>36000</v>
      </c>
      <c r="AO93" s="11">
        <f t="shared" si="38"/>
        <v>0</v>
      </c>
      <c r="AP93" s="11">
        <f t="shared" si="39"/>
        <v>0.92710587099822184</v>
      </c>
      <c r="AQ93" s="11">
        <f t="shared" si="42"/>
        <v>0</v>
      </c>
      <c r="AT93" s="3"/>
      <c r="AU93" s="17"/>
      <c r="AV93" s="19"/>
      <c r="AW93" s="17"/>
      <c r="AX93" s="17">
        <f t="shared" si="40"/>
        <v>84</v>
      </c>
      <c r="AY93" s="17">
        <f t="shared" si="60"/>
        <v>8.4</v>
      </c>
      <c r="AZ93" s="17">
        <v>92.710587099822177</v>
      </c>
      <c r="BA93" s="17"/>
      <c r="BB93" s="17">
        <v>36</v>
      </c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7"/>
      <c r="BR93" s="17"/>
      <c r="BS93" s="17"/>
      <c r="BT93" s="17"/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7"/>
    </row>
    <row r="94" spans="8:86" x14ac:dyDescent="0.15">
      <c r="H94" s="3">
        <f t="shared" si="55"/>
        <v>8.2000000000000059E-2</v>
      </c>
      <c r="I94" s="3">
        <f t="shared" si="56"/>
        <v>360</v>
      </c>
      <c r="J94" s="14">
        <f t="shared" si="57"/>
        <v>500</v>
      </c>
      <c r="K94" s="3">
        <f t="shared" si="47"/>
        <v>0</v>
      </c>
      <c r="L94" s="3">
        <f t="shared" si="43"/>
        <v>500</v>
      </c>
      <c r="M94" s="15">
        <f t="shared" si="58"/>
        <v>7.0000000000000007E-2</v>
      </c>
      <c r="N94" s="3">
        <f t="shared" si="59"/>
        <v>93.291526035172339</v>
      </c>
      <c r="O94" s="3">
        <f t="shared" si="44"/>
        <v>93.291526035172339</v>
      </c>
      <c r="P94" s="3">
        <f t="shared" si="48"/>
        <v>100.31346885502403</v>
      </c>
      <c r="Q94" s="3">
        <f t="shared" si="49"/>
        <v>42.607946677479234</v>
      </c>
      <c r="R94" s="3">
        <f t="shared" si="50"/>
        <v>71.46070776625163</v>
      </c>
      <c r="S94" s="3">
        <f t="shared" si="45"/>
        <v>1</v>
      </c>
      <c r="T94" s="3">
        <f t="shared" si="51"/>
        <v>28852.761088772397</v>
      </c>
      <c r="U94" s="3">
        <f t="shared" si="52"/>
        <v>0.5</v>
      </c>
      <c r="V94" s="3">
        <f t="shared" si="53"/>
        <v>0</v>
      </c>
      <c r="W94" s="3">
        <f t="shared" si="54"/>
        <v>33584.949372662042</v>
      </c>
      <c r="X94" s="3">
        <f t="shared" si="46"/>
        <v>21303.973338739615</v>
      </c>
      <c r="AI94" s="3"/>
      <c r="AJ94" s="3"/>
      <c r="AK94" s="15">
        <f t="shared" si="36"/>
        <v>7</v>
      </c>
      <c r="AL94" s="11">
        <f t="shared" si="41"/>
        <v>510</v>
      </c>
      <c r="AM94" s="11" t="b">
        <f t="shared" si="35"/>
        <v>0</v>
      </c>
      <c r="AN94" s="11">
        <f t="shared" si="37"/>
        <v>36000</v>
      </c>
      <c r="AO94" s="11">
        <f t="shared" si="38"/>
        <v>0</v>
      </c>
      <c r="AP94" s="11">
        <f t="shared" si="39"/>
        <v>0.92820818581303666</v>
      </c>
      <c r="AQ94" s="11">
        <f t="shared" si="42"/>
        <v>0</v>
      </c>
      <c r="AT94" s="3"/>
      <c r="AU94" s="17"/>
      <c r="AV94" s="19"/>
      <c r="AW94" s="17"/>
      <c r="AX94" s="17">
        <f t="shared" si="40"/>
        <v>85</v>
      </c>
      <c r="AY94" s="17">
        <f t="shared" si="60"/>
        <v>8.5</v>
      </c>
      <c r="AZ94" s="17">
        <v>92.820818581303669</v>
      </c>
      <c r="BA94" s="17"/>
      <c r="BB94" s="17">
        <v>36</v>
      </c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</row>
    <row r="95" spans="8:86" x14ac:dyDescent="0.15">
      <c r="H95" s="3">
        <f t="shared" si="55"/>
        <v>8.300000000000006E-2</v>
      </c>
      <c r="I95" s="3">
        <f t="shared" si="56"/>
        <v>360</v>
      </c>
      <c r="J95" s="14">
        <f t="shared" si="57"/>
        <v>500</v>
      </c>
      <c r="K95" s="3">
        <f t="shared" si="47"/>
        <v>0</v>
      </c>
      <c r="L95" s="3">
        <f t="shared" si="43"/>
        <v>500</v>
      </c>
      <c r="M95" s="15">
        <f t="shared" si="58"/>
        <v>7.0000000000000007E-2</v>
      </c>
      <c r="N95" s="3">
        <f t="shared" si="59"/>
        <v>93.211379476592413</v>
      </c>
      <c r="O95" s="3">
        <f t="shared" si="44"/>
        <v>93.211379476592413</v>
      </c>
      <c r="P95" s="3">
        <f t="shared" si="48"/>
        <v>100.2272897597768</v>
      </c>
      <c r="Q95" s="3">
        <f t="shared" si="49"/>
        <v>42.550241155301684</v>
      </c>
      <c r="R95" s="3">
        <f t="shared" si="50"/>
        <v>71.388765457539236</v>
      </c>
      <c r="S95" s="3">
        <f t="shared" si="45"/>
        <v>1</v>
      </c>
      <c r="T95" s="3">
        <f t="shared" si="51"/>
        <v>28838.524302237554</v>
      </c>
      <c r="U95" s="3">
        <f t="shared" si="52"/>
        <v>0.5</v>
      </c>
      <c r="V95" s="3">
        <f t="shared" si="53"/>
        <v>0</v>
      </c>
      <c r="W95" s="3">
        <f t="shared" si="54"/>
        <v>33556.096611573266</v>
      </c>
      <c r="X95" s="3">
        <f t="shared" si="46"/>
        <v>21275.120577650843</v>
      </c>
      <c r="AI95" s="3"/>
      <c r="AJ95" s="3"/>
      <c r="AK95" s="15">
        <f t="shared" si="36"/>
        <v>7</v>
      </c>
      <c r="AL95" s="11">
        <f t="shared" si="41"/>
        <v>516</v>
      </c>
      <c r="AM95" s="11" t="b">
        <f t="shared" si="35"/>
        <v>0</v>
      </c>
      <c r="AN95" s="11">
        <f t="shared" si="37"/>
        <v>36000</v>
      </c>
      <c r="AO95" s="11">
        <f t="shared" si="38"/>
        <v>0</v>
      </c>
      <c r="AP95" s="11">
        <f t="shared" si="39"/>
        <v>0.92931050062785148</v>
      </c>
      <c r="AQ95" s="11">
        <f t="shared" si="42"/>
        <v>0</v>
      </c>
      <c r="AT95" s="3"/>
      <c r="AU95" s="17"/>
      <c r="AV95" s="19"/>
      <c r="AW95" s="17"/>
      <c r="AX95" s="17">
        <f t="shared" si="40"/>
        <v>86</v>
      </c>
      <c r="AY95" s="17">
        <f t="shared" si="60"/>
        <v>8.6</v>
      </c>
      <c r="AZ95" s="17">
        <v>92.931050062785147</v>
      </c>
      <c r="BA95" s="17"/>
      <c r="BB95" s="17">
        <v>36</v>
      </c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7"/>
    </row>
    <row r="96" spans="8:86" x14ac:dyDescent="0.15">
      <c r="H96" s="3">
        <f t="shared" si="55"/>
        <v>8.4000000000000061E-2</v>
      </c>
      <c r="I96" s="3">
        <f t="shared" si="56"/>
        <v>360</v>
      </c>
      <c r="J96" s="14">
        <f t="shared" si="57"/>
        <v>500</v>
      </c>
      <c r="K96" s="3">
        <f t="shared" si="47"/>
        <v>0</v>
      </c>
      <c r="L96" s="3">
        <f t="shared" si="43"/>
        <v>500</v>
      </c>
      <c r="M96" s="15">
        <f t="shared" si="58"/>
        <v>7.0000000000000007E-2</v>
      </c>
      <c r="N96" s="3">
        <f t="shared" si="59"/>
        <v>93.131272464641754</v>
      </c>
      <c r="O96" s="3">
        <f t="shared" si="44"/>
        <v>93.131272464641754</v>
      </c>
      <c r="P96" s="3">
        <f t="shared" si="48"/>
        <v>100.14115318778684</v>
      </c>
      <c r="Q96" s="3">
        <f t="shared" si="49"/>
        <v>42.492564106697209</v>
      </c>
      <c r="R96" s="3">
        <f t="shared" si="50"/>
        <v>71.316858647242029</v>
      </c>
      <c r="S96" s="3">
        <f t="shared" si="45"/>
        <v>1</v>
      </c>
      <c r="T96" s="3">
        <f t="shared" si="51"/>
        <v>28824.294540544815</v>
      </c>
      <c r="U96" s="3">
        <f t="shared" si="52"/>
        <v>0.5</v>
      </c>
      <c r="V96" s="3">
        <f t="shared" si="53"/>
        <v>0</v>
      </c>
      <c r="W96" s="3">
        <f t="shared" si="54"/>
        <v>33527.258087271031</v>
      </c>
      <c r="X96" s="3">
        <f t="shared" si="46"/>
        <v>21246.282053348605</v>
      </c>
      <c r="AI96" s="3"/>
      <c r="AJ96" s="3"/>
      <c r="AK96" s="15">
        <f t="shared" si="36"/>
        <v>7</v>
      </c>
      <c r="AL96" s="11">
        <f t="shared" si="41"/>
        <v>522</v>
      </c>
      <c r="AM96" s="11" t="b">
        <f t="shared" si="35"/>
        <v>0</v>
      </c>
      <c r="AN96" s="11">
        <f t="shared" si="37"/>
        <v>36000</v>
      </c>
      <c r="AO96" s="11">
        <f t="shared" si="38"/>
        <v>0</v>
      </c>
      <c r="AP96" s="11">
        <f t="shared" si="39"/>
        <v>0.9304128154426663</v>
      </c>
      <c r="AQ96" s="11">
        <f t="shared" si="42"/>
        <v>0</v>
      </c>
      <c r="AT96" s="3"/>
      <c r="AU96" s="17"/>
      <c r="AV96" s="19"/>
      <c r="AW96" s="17"/>
      <c r="AX96" s="17">
        <f t="shared" si="40"/>
        <v>87</v>
      </c>
      <c r="AY96" s="17">
        <f t="shared" si="60"/>
        <v>8.6999999999999993</v>
      </c>
      <c r="AZ96" s="17">
        <v>93.041281544266624</v>
      </c>
      <c r="BA96" s="17"/>
      <c r="BB96" s="17">
        <v>36</v>
      </c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7"/>
    </row>
    <row r="97" spans="8:86" x14ac:dyDescent="0.15">
      <c r="H97" s="3">
        <f t="shared" si="55"/>
        <v>8.5000000000000062E-2</v>
      </c>
      <c r="I97" s="3">
        <f t="shared" si="56"/>
        <v>360</v>
      </c>
      <c r="J97" s="14">
        <f t="shared" si="57"/>
        <v>500</v>
      </c>
      <c r="K97" s="3">
        <f t="shared" si="47"/>
        <v>0</v>
      </c>
      <c r="L97" s="3">
        <f t="shared" si="43"/>
        <v>500</v>
      </c>
      <c r="M97" s="15">
        <f t="shared" si="58"/>
        <v>7.0000000000000007E-2</v>
      </c>
      <c r="N97" s="3">
        <f t="shared" si="59"/>
        <v>93.051204979806911</v>
      </c>
      <c r="O97" s="3">
        <f t="shared" si="44"/>
        <v>93.051204979806911</v>
      </c>
      <c r="P97" s="3">
        <f t="shared" si="48"/>
        <v>100.05505911807195</v>
      </c>
      <c r="Q97" s="3">
        <f t="shared" si="49"/>
        <v>42.434915517616119</v>
      </c>
      <c r="R97" s="3">
        <f t="shared" si="50"/>
        <v>71.244987317844036</v>
      </c>
      <c r="S97" s="3">
        <f t="shared" si="45"/>
        <v>1</v>
      </c>
      <c r="T97" s="3">
        <f t="shared" si="51"/>
        <v>28810.071800227917</v>
      </c>
      <c r="U97" s="3">
        <f t="shared" si="52"/>
        <v>0.5</v>
      </c>
      <c r="V97" s="3">
        <f t="shared" si="53"/>
        <v>0</v>
      </c>
      <c r="W97" s="3">
        <f t="shared" si="54"/>
        <v>33498.433792730488</v>
      </c>
      <c r="X97" s="3">
        <f t="shared" si="46"/>
        <v>21217.457758808061</v>
      </c>
      <c r="AI97" s="3"/>
      <c r="AJ97" s="3"/>
      <c r="AK97" s="15">
        <f t="shared" si="36"/>
        <v>7</v>
      </c>
      <c r="AL97" s="11">
        <f t="shared" si="41"/>
        <v>528</v>
      </c>
      <c r="AM97" s="11" t="b">
        <f t="shared" si="35"/>
        <v>0</v>
      </c>
      <c r="AN97" s="11">
        <f t="shared" si="37"/>
        <v>36000</v>
      </c>
      <c r="AO97" s="11">
        <f t="shared" si="38"/>
        <v>0</v>
      </c>
      <c r="AP97" s="11">
        <f t="shared" si="39"/>
        <v>0.93151513025748112</v>
      </c>
      <c r="AQ97" s="11">
        <f t="shared" si="42"/>
        <v>0</v>
      </c>
      <c r="AT97" s="3"/>
      <c r="AU97" s="17"/>
      <c r="AV97" s="19"/>
      <c r="AW97" s="17"/>
      <c r="AX97" s="17">
        <f t="shared" si="40"/>
        <v>88</v>
      </c>
      <c r="AY97" s="17">
        <f t="shared" si="60"/>
        <v>8.8000000000000007</v>
      </c>
      <c r="AZ97" s="17">
        <v>93.151513025748116</v>
      </c>
      <c r="BA97" s="17"/>
      <c r="BB97" s="17">
        <v>36</v>
      </c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7"/>
    </row>
    <row r="98" spans="8:86" x14ac:dyDescent="0.15">
      <c r="H98" s="3">
        <f t="shared" si="55"/>
        <v>8.6000000000000063E-2</v>
      </c>
      <c r="I98" s="3">
        <f t="shared" si="56"/>
        <v>360</v>
      </c>
      <c r="J98" s="14">
        <f t="shared" si="57"/>
        <v>500</v>
      </c>
      <c r="K98" s="3">
        <f t="shared" si="47"/>
        <v>0</v>
      </c>
      <c r="L98" s="3">
        <f t="shared" si="43"/>
        <v>500</v>
      </c>
      <c r="M98" s="15">
        <f t="shared" si="58"/>
        <v>7.0000000000000007E-2</v>
      </c>
      <c r="N98" s="3">
        <f t="shared" si="59"/>
        <v>92.971177002584042</v>
      </c>
      <c r="O98" s="3">
        <f t="shared" si="44"/>
        <v>92.971177002584042</v>
      </c>
      <c r="P98" s="3">
        <f t="shared" si="48"/>
        <v>99.969007529660274</v>
      </c>
      <c r="Q98" s="3">
        <f t="shared" si="49"/>
        <v>42.377295374015667</v>
      </c>
      <c r="R98" s="3">
        <f t="shared" si="50"/>
        <v>71.173151451837967</v>
      </c>
      <c r="S98" s="3">
        <f t="shared" si="45"/>
        <v>1</v>
      </c>
      <c r="T98" s="3">
        <f t="shared" si="51"/>
        <v>28795.856077822304</v>
      </c>
      <c r="U98" s="3">
        <f t="shared" si="52"/>
        <v>0.5</v>
      </c>
      <c r="V98" s="3">
        <f t="shared" si="53"/>
        <v>0</v>
      </c>
      <c r="W98" s="3">
        <f t="shared" si="54"/>
        <v>33469.623720930256</v>
      </c>
      <c r="X98" s="3">
        <f t="shared" si="46"/>
        <v>21188.647687007833</v>
      </c>
      <c r="AI98" s="3"/>
      <c r="AJ98" s="3"/>
      <c r="AK98" s="15">
        <f t="shared" si="36"/>
        <v>7</v>
      </c>
      <c r="AL98" s="11">
        <f t="shared" si="41"/>
        <v>534</v>
      </c>
      <c r="AM98" s="11" t="b">
        <f t="shared" si="35"/>
        <v>0</v>
      </c>
      <c r="AN98" s="11">
        <f t="shared" si="37"/>
        <v>36000</v>
      </c>
      <c r="AO98" s="11">
        <f t="shared" si="38"/>
        <v>0</v>
      </c>
      <c r="AP98" s="11">
        <f t="shared" si="39"/>
        <v>0.93261744507229605</v>
      </c>
      <c r="AQ98" s="11">
        <f t="shared" si="42"/>
        <v>0</v>
      </c>
      <c r="AT98" s="3"/>
      <c r="AU98" s="17"/>
      <c r="AV98" s="19"/>
      <c r="AW98" s="17"/>
      <c r="AX98" s="17">
        <f t="shared" si="40"/>
        <v>89</v>
      </c>
      <c r="AY98" s="17">
        <f t="shared" si="60"/>
        <v>8.9</v>
      </c>
      <c r="AZ98" s="17">
        <v>93.261744507229608</v>
      </c>
      <c r="BA98" s="17"/>
      <c r="BB98" s="17">
        <v>36</v>
      </c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</row>
    <row r="99" spans="8:86" x14ac:dyDescent="0.15">
      <c r="H99" s="3">
        <f t="shared" si="55"/>
        <v>8.7000000000000063E-2</v>
      </c>
      <c r="I99" s="3">
        <f t="shared" si="56"/>
        <v>360</v>
      </c>
      <c r="J99" s="14">
        <f t="shared" si="57"/>
        <v>500</v>
      </c>
      <c r="K99" s="3">
        <f t="shared" si="47"/>
        <v>0</v>
      </c>
      <c r="L99" s="3">
        <f t="shared" si="43"/>
        <v>500</v>
      </c>
      <c r="M99" s="15">
        <f t="shared" si="58"/>
        <v>7.0000000000000007E-2</v>
      </c>
      <c r="N99" s="3">
        <f t="shared" si="59"/>
        <v>92.891188513478994</v>
      </c>
      <c r="O99" s="3">
        <f t="shared" si="44"/>
        <v>92.891188513478994</v>
      </c>
      <c r="P99" s="3">
        <f t="shared" si="48"/>
        <v>99.882998401590328</v>
      </c>
      <c r="Q99" s="3">
        <f t="shared" si="49"/>
        <v>42.319703661860025</v>
      </c>
      <c r="R99" s="3">
        <f t="shared" si="50"/>
        <v>71.101351031725173</v>
      </c>
      <c r="S99" s="3">
        <f t="shared" si="45"/>
        <v>1</v>
      </c>
      <c r="T99" s="3">
        <f t="shared" si="51"/>
        <v>28781.64736986515</v>
      </c>
      <c r="U99" s="3">
        <f t="shared" si="52"/>
        <v>0.5</v>
      </c>
      <c r="V99" s="3">
        <f t="shared" si="53"/>
        <v>0</v>
      </c>
      <c r="W99" s="3">
        <f t="shared" si="54"/>
        <v>33440.827864852436</v>
      </c>
      <c r="X99" s="3">
        <f t="shared" si="46"/>
        <v>21159.851830930013</v>
      </c>
      <c r="AI99" s="3"/>
      <c r="AJ99" s="3"/>
      <c r="AK99" s="15">
        <f t="shared" si="36"/>
        <v>7</v>
      </c>
      <c r="AL99" s="11">
        <f t="shared" si="41"/>
        <v>540</v>
      </c>
      <c r="AM99" s="11" t="b">
        <f t="shared" si="35"/>
        <v>0</v>
      </c>
      <c r="AN99" s="11">
        <f t="shared" si="37"/>
        <v>36000</v>
      </c>
      <c r="AO99" s="11">
        <f t="shared" si="38"/>
        <v>0</v>
      </c>
      <c r="AP99" s="11">
        <f t="shared" si="39"/>
        <v>0.93371975988711087</v>
      </c>
      <c r="AQ99" s="11">
        <f t="shared" si="42"/>
        <v>0</v>
      </c>
      <c r="AT99" s="3"/>
      <c r="AU99" s="17"/>
      <c r="AV99" s="19"/>
      <c r="AW99" s="17"/>
      <c r="AX99" s="17">
        <f t="shared" si="40"/>
        <v>90</v>
      </c>
      <c r="AY99" s="17">
        <f t="shared" si="60"/>
        <v>9</v>
      </c>
      <c r="AZ99" s="17">
        <v>93.371975988711085</v>
      </c>
      <c r="BA99" s="17"/>
      <c r="BB99" s="17">
        <v>36</v>
      </c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</row>
    <row r="100" spans="8:86" x14ac:dyDescent="0.15">
      <c r="H100" s="3">
        <f t="shared" si="55"/>
        <v>8.8000000000000064E-2</v>
      </c>
      <c r="I100" s="3">
        <f t="shared" si="56"/>
        <v>360</v>
      </c>
      <c r="J100" s="14">
        <f t="shared" si="57"/>
        <v>500</v>
      </c>
      <c r="K100" s="3">
        <f t="shared" si="47"/>
        <v>0</v>
      </c>
      <c r="L100" s="3">
        <f t="shared" si="43"/>
        <v>500</v>
      </c>
      <c r="M100" s="15">
        <f t="shared" si="58"/>
        <v>7.0000000000000007E-2</v>
      </c>
      <c r="N100" s="3">
        <f t="shared" si="59"/>
        <v>92.81123949300715</v>
      </c>
      <c r="O100" s="3">
        <f t="shared" si="44"/>
        <v>92.81123949300715</v>
      </c>
      <c r="P100" s="3">
        <f t="shared" si="48"/>
        <v>99.797031712910922</v>
      </c>
      <c r="Q100" s="3">
        <f t="shared" si="49"/>
        <v>42.262140367120296</v>
      </c>
      <c r="R100" s="3">
        <f t="shared" si="50"/>
        <v>71.029586040015602</v>
      </c>
      <c r="S100" s="3">
        <f t="shared" si="45"/>
        <v>1</v>
      </c>
      <c r="T100" s="3">
        <f t="shared" si="51"/>
        <v>28767.445672895312</v>
      </c>
      <c r="U100" s="3">
        <f t="shared" si="52"/>
        <v>0.5</v>
      </c>
      <c r="V100" s="3">
        <f t="shared" si="53"/>
        <v>0</v>
      </c>
      <c r="W100" s="3">
        <f t="shared" si="54"/>
        <v>33412.046217482573</v>
      </c>
      <c r="X100" s="3">
        <f t="shared" si="46"/>
        <v>21131.070183560147</v>
      </c>
      <c r="AI100" s="3"/>
      <c r="AJ100" s="3"/>
      <c r="AK100" s="15">
        <f t="shared" si="36"/>
        <v>7</v>
      </c>
      <c r="AL100" s="11">
        <f t="shared" si="41"/>
        <v>546</v>
      </c>
      <c r="AM100" s="11" t="b">
        <f t="shared" si="35"/>
        <v>0</v>
      </c>
      <c r="AN100" s="11">
        <f t="shared" si="37"/>
        <v>36000</v>
      </c>
      <c r="AO100" s="11">
        <f t="shared" si="38"/>
        <v>0</v>
      </c>
      <c r="AP100" s="11">
        <f t="shared" si="39"/>
        <v>0.93482207470192569</v>
      </c>
      <c r="AQ100" s="11">
        <f t="shared" si="42"/>
        <v>0</v>
      </c>
      <c r="AT100" s="3"/>
      <c r="AU100" s="17"/>
      <c r="AV100" s="19"/>
      <c r="AW100" s="17"/>
      <c r="AX100" s="17">
        <f t="shared" si="40"/>
        <v>91</v>
      </c>
      <c r="AY100" s="17">
        <f t="shared" si="60"/>
        <v>9.1</v>
      </c>
      <c r="AZ100" s="17">
        <v>93.482207470192563</v>
      </c>
      <c r="BA100" s="17"/>
      <c r="BB100" s="17">
        <v>36</v>
      </c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</row>
    <row r="101" spans="8:86" x14ac:dyDescent="0.15">
      <c r="H101" s="3">
        <f t="shared" si="55"/>
        <v>8.9000000000000065E-2</v>
      </c>
      <c r="I101" s="3">
        <f t="shared" si="56"/>
        <v>360</v>
      </c>
      <c r="J101" s="14">
        <f t="shared" si="57"/>
        <v>500</v>
      </c>
      <c r="K101" s="3">
        <f t="shared" si="47"/>
        <v>0</v>
      </c>
      <c r="L101" s="3">
        <f t="shared" si="43"/>
        <v>500</v>
      </c>
      <c r="M101" s="15">
        <f t="shared" si="58"/>
        <v>7.0000000000000007E-2</v>
      </c>
      <c r="N101" s="3">
        <f t="shared" si="59"/>
        <v>92.731329921693558</v>
      </c>
      <c r="O101" s="3">
        <f t="shared" si="44"/>
        <v>92.731329921693558</v>
      </c>
      <c r="P101" s="3">
        <f t="shared" si="48"/>
        <v>99.711107442681254</v>
      </c>
      <c r="Q101" s="3">
        <f t="shared" si="49"/>
        <v>42.2046054757745</v>
      </c>
      <c r="R101" s="3">
        <f t="shared" si="50"/>
        <v>70.957856459227884</v>
      </c>
      <c r="S101" s="3">
        <f t="shared" si="45"/>
        <v>1</v>
      </c>
      <c r="T101" s="3">
        <f t="shared" si="51"/>
        <v>28753.250983453378</v>
      </c>
      <c r="U101" s="3">
        <f t="shared" si="52"/>
        <v>0.5</v>
      </c>
      <c r="V101" s="3">
        <f t="shared" si="53"/>
        <v>0</v>
      </c>
      <c r="W101" s="3">
        <f t="shared" si="54"/>
        <v>33383.278771809681</v>
      </c>
      <c r="X101" s="3">
        <f t="shared" si="46"/>
        <v>21102.30273788725</v>
      </c>
      <c r="AI101" s="3"/>
      <c r="AJ101" s="3"/>
      <c r="AK101" s="15">
        <f t="shared" si="36"/>
        <v>7</v>
      </c>
      <c r="AL101" s="11">
        <f t="shared" si="41"/>
        <v>552</v>
      </c>
      <c r="AM101" s="11" t="b">
        <f t="shared" si="35"/>
        <v>0</v>
      </c>
      <c r="AN101" s="11">
        <f t="shared" si="37"/>
        <v>36000</v>
      </c>
      <c r="AO101" s="11">
        <f t="shared" si="38"/>
        <v>0</v>
      </c>
      <c r="AP101" s="11">
        <f t="shared" si="39"/>
        <v>0.93592438951674051</v>
      </c>
      <c r="AQ101" s="11">
        <f t="shared" si="42"/>
        <v>0</v>
      </c>
      <c r="AT101" s="3"/>
      <c r="AU101" s="17"/>
      <c r="AV101" s="19"/>
      <c r="AW101" s="17"/>
      <c r="AX101" s="17">
        <f t="shared" si="40"/>
        <v>92</v>
      </c>
      <c r="AY101" s="17">
        <f t="shared" si="60"/>
        <v>9.1999999999999993</v>
      </c>
      <c r="AZ101" s="17">
        <v>93.592438951674055</v>
      </c>
      <c r="BA101" s="17"/>
      <c r="BB101" s="17">
        <v>36</v>
      </c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</row>
    <row r="102" spans="8:86" x14ac:dyDescent="0.15">
      <c r="H102" s="3">
        <f t="shared" si="55"/>
        <v>9.0000000000000066E-2</v>
      </c>
      <c r="I102" s="3">
        <f t="shared" si="56"/>
        <v>360</v>
      </c>
      <c r="J102" s="14">
        <f t="shared" si="57"/>
        <v>500</v>
      </c>
      <c r="K102" s="3">
        <f t="shared" si="47"/>
        <v>0</v>
      </c>
      <c r="L102" s="3">
        <f t="shared" si="43"/>
        <v>500</v>
      </c>
      <c r="M102" s="15">
        <f t="shared" si="58"/>
        <v>7.0000000000000007E-2</v>
      </c>
      <c r="N102" s="3">
        <f t="shared" si="59"/>
        <v>92.651459780072841</v>
      </c>
      <c r="O102" s="3">
        <f t="shared" si="44"/>
        <v>92.651459780072841</v>
      </c>
      <c r="P102" s="3">
        <f t="shared" si="48"/>
        <v>99.625225569970809</v>
      </c>
      <c r="Q102" s="3">
        <f t="shared" si="49"/>
        <v>42.147098973807594</v>
      </c>
      <c r="R102" s="3">
        <f t="shared" si="50"/>
        <v>70.886162271889205</v>
      </c>
      <c r="S102" s="3">
        <f t="shared" si="45"/>
        <v>1</v>
      </c>
      <c r="T102" s="3">
        <f t="shared" si="51"/>
        <v>28739.063298081608</v>
      </c>
      <c r="U102" s="3">
        <f t="shared" si="52"/>
        <v>0.5</v>
      </c>
      <c r="V102" s="3">
        <f t="shared" si="53"/>
        <v>0</v>
      </c>
      <c r="W102" s="3">
        <f t="shared" si="54"/>
        <v>33354.525520826224</v>
      </c>
      <c r="X102" s="3">
        <f t="shared" si="46"/>
        <v>21073.549486903798</v>
      </c>
      <c r="AI102" s="3"/>
      <c r="AJ102" s="3"/>
      <c r="AK102" s="15">
        <f t="shared" si="36"/>
        <v>7</v>
      </c>
      <c r="AL102" s="11">
        <f t="shared" si="41"/>
        <v>558</v>
      </c>
      <c r="AM102" s="11" t="b">
        <f t="shared" si="35"/>
        <v>0</v>
      </c>
      <c r="AN102" s="11">
        <f t="shared" si="37"/>
        <v>36000</v>
      </c>
      <c r="AO102" s="11">
        <f t="shared" si="38"/>
        <v>0</v>
      </c>
      <c r="AP102" s="11">
        <f t="shared" si="39"/>
        <v>0.93702670433155533</v>
      </c>
      <c r="AQ102" s="11">
        <f t="shared" si="42"/>
        <v>0</v>
      </c>
      <c r="AT102" s="3"/>
      <c r="AU102" s="17"/>
      <c r="AV102" s="19"/>
      <c r="AW102" s="17"/>
      <c r="AX102" s="17">
        <f t="shared" si="40"/>
        <v>93</v>
      </c>
      <c r="AY102" s="17">
        <f t="shared" si="60"/>
        <v>9.3000000000000007</v>
      </c>
      <c r="AZ102" s="17">
        <v>93.702670433155532</v>
      </c>
      <c r="BA102" s="17"/>
      <c r="BB102" s="17">
        <v>36</v>
      </c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</row>
    <row r="103" spans="8:86" x14ac:dyDescent="0.15">
      <c r="H103" s="3">
        <f t="shared" si="55"/>
        <v>9.1000000000000067E-2</v>
      </c>
      <c r="I103" s="3">
        <f t="shared" si="56"/>
        <v>360</v>
      </c>
      <c r="J103" s="14">
        <f t="shared" si="57"/>
        <v>500</v>
      </c>
      <c r="K103" s="3">
        <f t="shared" si="47"/>
        <v>0</v>
      </c>
      <c r="L103" s="3">
        <f t="shared" si="43"/>
        <v>500</v>
      </c>
      <c r="M103" s="15">
        <f t="shared" si="58"/>
        <v>7.0000000000000007E-2</v>
      </c>
      <c r="N103" s="3">
        <f t="shared" si="59"/>
        <v>92.571629048689289</v>
      </c>
      <c r="O103" s="3">
        <f t="shared" si="44"/>
        <v>92.571629048689289</v>
      </c>
      <c r="P103" s="3">
        <f t="shared" si="48"/>
        <v>99.539386073859461</v>
      </c>
      <c r="Q103" s="3">
        <f t="shared" si="49"/>
        <v>42.089620847211428</v>
      </c>
      <c r="R103" s="3">
        <f t="shared" si="50"/>
        <v>70.814503460535448</v>
      </c>
      <c r="S103" s="3">
        <f t="shared" si="45"/>
        <v>1</v>
      </c>
      <c r="T103" s="3">
        <f t="shared" si="51"/>
        <v>28724.882613324018</v>
      </c>
      <c r="U103" s="3">
        <f t="shared" si="52"/>
        <v>0.5</v>
      </c>
      <c r="V103" s="3">
        <f t="shared" si="53"/>
        <v>0</v>
      </c>
      <c r="W103" s="3">
        <f t="shared" si="54"/>
        <v>33325.786457528142</v>
      </c>
      <c r="X103" s="3">
        <f t="shared" si="46"/>
        <v>21044.810423605715</v>
      </c>
      <c r="AI103" s="3"/>
      <c r="AJ103" s="3"/>
      <c r="AK103" s="15">
        <f t="shared" si="36"/>
        <v>7</v>
      </c>
      <c r="AL103" s="11">
        <f t="shared" si="41"/>
        <v>564</v>
      </c>
      <c r="AM103" s="11" t="b">
        <f t="shared" si="35"/>
        <v>0</v>
      </c>
      <c r="AN103" s="11">
        <f t="shared" si="37"/>
        <v>36000</v>
      </c>
      <c r="AO103" s="11">
        <f t="shared" si="38"/>
        <v>0</v>
      </c>
      <c r="AP103" s="11">
        <f t="shared" si="39"/>
        <v>0.93812901914637026</v>
      </c>
      <c r="AQ103" s="11">
        <f t="shared" si="42"/>
        <v>0</v>
      </c>
      <c r="AT103" s="3"/>
      <c r="AU103" s="17"/>
      <c r="AV103" s="19"/>
      <c r="AW103" s="17"/>
      <c r="AX103" s="17">
        <f t="shared" si="40"/>
        <v>94</v>
      </c>
      <c r="AY103" s="17">
        <f t="shared" si="60"/>
        <v>9.4</v>
      </c>
      <c r="AZ103" s="17">
        <v>93.812901914637024</v>
      </c>
      <c r="BA103" s="17"/>
      <c r="BB103" s="17">
        <v>36</v>
      </c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</row>
    <row r="104" spans="8:86" x14ac:dyDescent="0.15">
      <c r="H104" s="3">
        <f t="shared" si="55"/>
        <v>9.2000000000000068E-2</v>
      </c>
      <c r="I104" s="3">
        <f t="shared" si="56"/>
        <v>360</v>
      </c>
      <c r="J104" s="14">
        <f t="shared" si="57"/>
        <v>500</v>
      </c>
      <c r="K104" s="3">
        <f t="shared" si="47"/>
        <v>0</v>
      </c>
      <c r="L104" s="3">
        <f t="shared" si="43"/>
        <v>500</v>
      </c>
      <c r="M104" s="15">
        <f t="shared" si="58"/>
        <v>7.0000000000000007E-2</v>
      </c>
      <c r="N104" s="3">
        <f t="shared" si="59"/>
        <v>92.491837708096725</v>
      </c>
      <c r="O104" s="3">
        <f t="shared" si="44"/>
        <v>92.491837708096725</v>
      </c>
      <c r="P104" s="3">
        <f t="shared" si="48"/>
        <v>99.453588933437345</v>
      </c>
      <c r="Q104" s="3">
        <f t="shared" si="49"/>
        <v>42.032171081984778</v>
      </c>
      <c r="R104" s="3">
        <f t="shared" si="50"/>
        <v>70.742880007711065</v>
      </c>
      <c r="S104" s="3">
        <f t="shared" si="45"/>
        <v>1</v>
      </c>
      <c r="T104" s="3">
        <f t="shared" si="51"/>
        <v>28710.708925726285</v>
      </c>
      <c r="U104" s="3">
        <f t="shared" si="52"/>
        <v>0.5</v>
      </c>
      <c r="V104" s="3">
        <f t="shared" si="53"/>
        <v>0</v>
      </c>
      <c r="W104" s="3">
        <f t="shared" si="54"/>
        <v>33297.06157491482</v>
      </c>
      <c r="X104" s="3">
        <f t="shared" si="46"/>
        <v>21016.08554099239</v>
      </c>
      <c r="AI104" s="3"/>
      <c r="AJ104" s="3"/>
      <c r="AK104" s="15">
        <f t="shared" si="36"/>
        <v>7</v>
      </c>
      <c r="AL104" s="11">
        <f t="shared" si="41"/>
        <v>570</v>
      </c>
      <c r="AM104" s="11" t="b">
        <f t="shared" si="35"/>
        <v>0</v>
      </c>
      <c r="AN104" s="11">
        <f t="shared" si="37"/>
        <v>36000</v>
      </c>
      <c r="AO104" s="11">
        <f t="shared" si="38"/>
        <v>0</v>
      </c>
      <c r="AP104" s="11">
        <f t="shared" si="39"/>
        <v>0.93923133396118508</v>
      </c>
      <c r="AQ104" s="11">
        <f t="shared" si="42"/>
        <v>0</v>
      </c>
      <c r="AT104" s="3"/>
      <c r="AU104" s="17"/>
      <c r="AV104" s="19"/>
      <c r="AW104" s="17"/>
      <c r="AX104" s="17">
        <f t="shared" si="40"/>
        <v>95</v>
      </c>
      <c r="AY104" s="17">
        <f t="shared" si="60"/>
        <v>9.5</v>
      </c>
      <c r="AZ104" s="17">
        <v>93.923133396118502</v>
      </c>
      <c r="BA104" s="17"/>
      <c r="BB104" s="17">
        <v>36</v>
      </c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</row>
    <row r="105" spans="8:86" x14ac:dyDescent="0.15">
      <c r="H105" s="3">
        <f t="shared" si="55"/>
        <v>9.3000000000000069E-2</v>
      </c>
      <c r="I105" s="3">
        <f t="shared" si="56"/>
        <v>360</v>
      </c>
      <c r="J105" s="14">
        <f t="shared" si="57"/>
        <v>500</v>
      </c>
      <c r="K105" s="3">
        <f t="shared" si="47"/>
        <v>0</v>
      </c>
      <c r="L105" s="3">
        <f t="shared" si="43"/>
        <v>500</v>
      </c>
      <c r="M105" s="15">
        <f t="shared" si="58"/>
        <v>7.0000000000000007E-2</v>
      </c>
      <c r="N105" s="3">
        <f t="shared" si="59"/>
        <v>92.412085738858593</v>
      </c>
      <c r="O105" s="3">
        <f t="shared" si="44"/>
        <v>92.412085738858593</v>
      </c>
      <c r="P105" s="3">
        <f t="shared" si="48"/>
        <v>99.36783412780494</v>
      </c>
      <c r="Q105" s="3">
        <f t="shared" si="49"/>
        <v>41.974749664133327</v>
      </c>
      <c r="R105" s="3">
        <f t="shared" si="50"/>
        <v>70.671291895969134</v>
      </c>
      <c r="S105" s="3">
        <f t="shared" si="45"/>
        <v>1</v>
      </c>
      <c r="T105" s="3">
        <f t="shared" si="51"/>
        <v>28696.542231835807</v>
      </c>
      <c r="U105" s="3">
        <f t="shared" si="52"/>
        <v>0.5</v>
      </c>
      <c r="V105" s="3">
        <f t="shared" si="53"/>
        <v>0</v>
      </c>
      <c r="W105" s="3">
        <f t="shared" si="54"/>
        <v>33268.350865989094</v>
      </c>
      <c r="X105" s="3">
        <f t="shared" si="46"/>
        <v>20987.374832066664</v>
      </c>
      <c r="AI105" s="3"/>
      <c r="AJ105" s="3"/>
      <c r="AK105" s="15">
        <f t="shared" si="36"/>
        <v>7</v>
      </c>
      <c r="AL105" s="11">
        <f t="shared" si="41"/>
        <v>576</v>
      </c>
      <c r="AM105" s="11" t="b">
        <f t="shared" si="35"/>
        <v>0</v>
      </c>
      <c r="AN105" s="11">
        <f t="shared" si="37"/>
        <v>36000</v>
      </c>
      <c r="AO105" s="11">
        <f t="shared" si="38"/>
        <v>0</v>
      </c>
      <c r="AP105" s="11">
        <f t="shared" si="39"/>
        <v>0.9403336487759999</v>
      </c>
      <c r="AQ105" s="11">
        <f t="shared" si="42"/>
        <v>0</v>
      </c>
      <c r="AT105" s="3"/>
      <c r="AU105" s="17"/>
      <c r="AV105" s="19"/>
      <c r="AW105" s="17"/>
      <c r="AX105" s="17">
        <f t="shared" si="40"/>
        <v>96</v>
      </c>
      <c r="AY105" s="17">
        <f t="shared" si="60"/>
        <v>9.6</v>
      </c>
      <c r="AZ105" s="17">
        <v>94.033364877599993</v>
      </c>
      <c r="BA105" s="17"/>
      <c r="BB105" s="17">
        <v>36</v>
      </c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</row>
    <row r="106" spans="8:86" x14ac:dyDescent="0.15">
      <c r="H106" s="3">
        <f t="shared" si="55"/>
        <v>9.400000000000007E-2</v>
      </c>
      <c r="I106" s="3">
        <f t="shared" si="56"/>
        <v>360</v>
      </c>
      <c r="J106" s="14">
        <f t="shared" si="57"/>
        <v>500</v>
      </c>
      <c r="K106" s="3">
        <f t="shared" si="47"/>
        <v>0</v>
      </c>
      <c r="L106" s="3">
        <f t="shared" si="43"/>
        <v>500</v>
      </c>
      <c r="M106" s="15">
        <f t="shared" si="58"/>
        <v>7.0000000000000007E-2</v>
      </c>
      <c r="N106" s="3">
        <f t="shared" si="59"/>
        <v>92.332373121547931</v>
      </c>
      <c r="O106" s="3">
        <f t="shared" si="44"/>
        <v>92.332373121547931</v>
      </c>
      <c r="P106" s="3">
        <f t="shared" si="48"/>
        <v>99.282121636073057</v>
      </c>
      <c r="Q106" s="3">
        <f t="shared" si="49"/>
        <v>41.917356579669658</v>
      </c>
      <c r="R106" s="3">
        <f t="shared" si="50"/>
        <v>70.599739107871358</v>
      </c>
      <c r="S106" s="3">
        <f t="shared" si="45"/>
        <v>1</v>
      </c>
      <c r="T106" s="3">
        <f t="shared" si="51"/>
        <v>28682.382528201699</v>
      </c>
      <c r="U106" s="3">
        <f t="shared" si="52"/>
        <v>0.5</v>
      </c>
      <c r="V106" s="3">
        <f t="shared" si="53"/>
        <v>0</v>
      </c>
      <c r="W106" s="3">
        <f t="shared" si="54"/>
        <v>33239.654323757255</v>
      </c>
      <c r="X106" s="3">
        <f t="shared" si="46"/>
        <v>20958.678289834828</v>
      </c>
      <c r="AI106" s="3"/>
      <c r="AJ106" s="3"/>
      <c r="AK106" s="15">
        <f t="shared" si="36"/>
        <v>7</v>
      </c>
      <c r="AL106" s="11">
        <f t="shared" si="41"/>
        <v>582</v>
      </c>
      <c r="AM106" s="11" t="b">
        <f t="shared" si="35"/>
        <v>0</v>
      </c>
      <c r="AN106" s="11">
        <f t="shared" si="37"/>
        <v>36000</v>
      </c>
      <c r="AO106" s="11">
        <f t="shared" si="38"/>
        <v>0</v>
      </c>
      <c r="AP106" s="11">
        <f t="shared" si="39"/>
        <v>0.94143596359081472</v>
      </c>
      <c r="AQ106" s="11">
        <f t="shared" si="42"/>
        <v>0</v>
      </c>
      <c r="AT106" s="3"/>
      <c r="AU106" s="17"/>
      <c r="AV106" s="19"/>
      <c r="AW106" s="17"/>
      <c r="AX106" s="17">
        <f t="shared" si="40"/>
        <v>97</v>
      </c>
      <c r="AY106" s="17">
        <f t="shared" si="60"/>
        <v>9.6999999999999993</v>
      </c>
      <c r="AZ106" s="17">
        <v>94.143596359081471</v>
      </c>
      <c r="BA106" s="17"/>
      <c r="BB106" s="17">
        <v>36</v>
      </c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</row>
    <row r="107" spans="8:86" x14ac:dyDescent="0.15">
      <c r="H107" s="3">
        <f t="shared" si="55"/>
        <v>9.500000000000007E-2</v>
      </c>
      <c r="I107" s="3">
        <f t="shared" si="56"/>
        <v>360</v>
      </c>
      <c r="J107" s="14">
        <f t="shared" si="57"/>
        <v>500</v>
      </c>
      <c r="K107" s="3">
        <f t="shared" si="47"/>
        <v>0</v>
      </c>
      <c r="L107" s="3">
        <f t="shared" si="43"/>
        <v>500</v>
      </c>
      <c r="M107" s="15">
        <f t="shared" si="58"/>
        <v>7.0000000000000007E-2</v>
      </c>
      <c r="N107" s="3">
        <f t="shared" si="59"/>
        <v>92.252699836747368</v>
      </c>
      <c r="O107" s="3">
        <f t="shared" si="44"/>
        <v>92.252699836747368</v>
      </c>
      <c r="P107" s="3">
        <f t="shared" si="48"/>
        <v>99.196451437362768</v>
      </c>
      <c r="Q107" s="3">
        <f t="shared" si="49"/>
        <v>41.859991814613252</v>
      </c>
      <c r="R107" s="3">
        <f t="shared" si="50"/>
        <v>70.52822162598801</v>
      </c>
      <c r="S107" s="3">
        <f t="shared" si="45"/>
        <v>1</v>
      </c>
      <c r="T107" s="3">
        <f t="shared" si="51"/>
        <v>28668.229811374757</v>
      </c>
      <c r="U107" s="3">
        <f t="shared" si="52"/>
        <v>0.5</v>
      </c>
      <c r="V107" s="3">
        <f t="shared" si="53"/>
        <v>0</v>
      </c>
      <c r="W107" s="3">
        <f t="shared" si="54"/>
        <v>33210.971941229051</v>
      </c>
      <c r="X107" s="3">
        <f t="shared" si="46"/>
        <v>20929.995907306627</v>
      </c>
      <c r="AI107" s="3"/>
      <c r="AJ107" s="3"/>
      <c r="AK107" s="15">
        <f t="shared" si="36"/>
        <v>7</v>
      </c>
      <c r="AL107" s="11">
        <f t="shared" si="41"/>
        <v>588</v>
      </c>
      <c r="AM107" s="11" t="b">
        <f t="shared" si="35"/>
        <v>0</v>
      </c>
      <c r="AN107" s="11">
        <f t="shared" si="37"/>
        <v>36000</v>
      </c>
      <c r="AO107" s="11">
        <f t="shared" si="38"/>
        <v>0</v>
      </c>
      <c r="AP107" s="11">
        <f t="shared" si="39"/>
        <v>0.94253827840562954</v>
      </c>
      <c r="AQ107" s="11">
        <f t="shared" si="42"/>
        <v>0</v>
      </c>
      <c r="AT107" s="3"/>
      <c r="AU107" s="17"/>
      <c r="AV107" s="19"/>
      <c r="AW107" s="17"/>
      <c r="AX107" s="17">
        <f t="shared" si="40"/>
        <v>98</v>
      </c>
      <c r="AY107" s="17">
        <f t="shared" si="60"/>
        <v>9.8000000000000007</v>
      </c>
      <c r="AZ107" s="17">
        <v>94.253827840562948</v>
      </c>
      <c r="BA107" s="17"/>
      <c r="BB107" s="17">
        <v>36</v>
      </c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</row>
    <row r="108" spans="8:86" x14ac:dyDescent="0.15">
      <c r="H108" s="3">
        <f t="shared" si="55"/>
        <v>9.6000000000000071E-2</v>
      </c>
      <c r="I108" s="3">
        <f t="shared" si="56"/>
        <v>360</v>
      </c>
      <c r="J108" s="14">
        <f t="shared" si="57"/>
        <v>500</v>
      </c>
      <c r="K108" s="3">
        <f t="shared" si="47"/>
        <v>0</v>
      </c>
      <c r="L108" s="3">
        <f t="shared" si="43"/>
        <v>500</v>
      </c>
      <c r="M108" s="15">
        <f t="shared" si="58"/>
        <v>7.0000000000000007E-2</v>
      </c>
      <c r="N108" s="3">
        <f t="shared" si="59"/>
        <v>92.173065865049097</v>
      </c>
      <c r="O108" s="3">
        <f t="shared" si="44"/>
        <v>92.173065865049097</v>
      </c>
      <c r="P108" s="3">
        <f t="shared" si="48"/>
        <v>99.110823510805488</v>
      </c>
      <c r="Q108" s="3">
        <f t="shared" si="49"/>
        <v>41.802655354990506</v>
      </c>
      <c r="R108" s="3">
        <f t="shared" si="50"/>
        <v>70.45673943289799</v>
      </c>
      <c r="S108" s="3">
        <f t="shared" si="45"/>
        <v>1</v>
      </c>
      <c r="T108" s="3">
        <f t="shared" si="51"/>
        <v>28654.08407790749</v>
      </c>
      <c r="U108" s="3">
        <f t="shared" si="52"/>
        <v>0.5</v>
      </c>
      <c r="V108" s="3">
        <f t="shared" si="53"/>
        <v>0</v>
      </c>
      <c r="W108" s="3">
        <f t="shared" si="54"/>
        <v>33182.303711417677</v>
      </c>
      <c r="X108" s="3">
        <f t="shared" si="46"/>
        <v>20901.327677495254</v>
      </c>
      <c r="AI108" s="3"/>
      <c r="AJ108" s="3"/>
      <c r="AK108" s="15">
        <f t="shared" si="36"/>
        <v>7</v>
      </c>
      <c r="AL108" s="11">
        <f t="shared" si="41"/>
        <v>594</v>
      </c>
      <c r="AM108" s="11" t="b">
        <f t="shared" si="35"/>
        <v>0</v>
      </c>
      <c r="AN108" s="11">
        <f t="shared" si="37"/>
        <v>36000</v>
      </c>
      <c r="AO108" s="11">
        <f t="shared" si="38"/>
        <v>0</v>
      </c>
      <c r="AP108" s="11">
        <f t="shared" si="39"/>
        <v>0.94364059322044447</v>
      </c>
      <c r="AQ108" s="11">
        <f t="shared" si="42"/>
        <v>0</v>
      </c>
      <c r="AT108" s="3"/>
      <c r="AU108" s="17"/>
      <c r="AV108" s="19"/>
      <c r="AW108" s="17"/>
      <c r="AX108" s="17">
        <f t="shared" si="40"/>
        <v>99</v>
      </c>
      <c r="AY108" s="17">
        <f t="shared" si="60"/>
        <v>9.9</v>
      </c>
      <c r="AZ108" s="17">
        <v>94.36405932204444</v>
      </c>
      <c r="BA108" s="17"/>
      <c r="BB108" s="17">
        <v>36</v>
      </c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</row>
    <row r="109" spans="8:86" x14ac:dyDescent="0.15">
      <c r="H109" s="3">
        <f t="shared" si="55"/>
        <v>9.7000000000000072E-2</v>
      </c>
      <c r="I109" s="3">
        <f t="shared" si="56"/>
        <v>360</v>
      </c>
      <c r="J109" s="14">
        <f t="shared" si="57"/>
        <v>500</v>
      </c>
      <c r="K109" s="3">
        <f t="shared" si="47"/>
        <v>0</v>
      </c>
      <c r="L109" s="3">
        <f t="shared" si="43"/>
        <v>500</v>
      </c>
      <c r="M109" s="15">
        <f t="shared" si="58"/>
        <v>7.0000000000000007E-2</v>
      </c>
      <c r="N109" s="3">
        <f t="shared" si="59"/>
        <v>92.093471187054917</v>
      </c>
      <c r="O109" s="3">
        <f t="shared" si="44"/>
        <v>92.093471187054917</v>
      </c>
      <c r="P109" s="3">
        <f t="shared" si="48"/>
        <v>99.025237835542924</v>
      </c>
      <c r="Q109" s="3">
        <f t="shared" si="49"/>
        <v>41.745347186834692</v>
      </c>
      <c r="R109" s="3">
        <f t="shared" si="50"/>
        <v>70.385292511188808</v>
      </c>
      <c r="S109" s="3">
        <f t="shared" si="45"/>
        <v>1</v>
      </c>
      <c r="T109" s="3">
        <f t="shared" si="51"/>
        <v>28639.945324354117</v>
      </c>
      <c r="U109" s="3">
        <f t="shared" si="52"/>
        <v>0.5</v>
      </c>
      <c r="V109" s="3">
        <f t="shared" si="53"/>
        <v>0</v>
      </c>
      <c r="W109" s="3">
        <f t="shared" si="54"/>
        <v>33153.649627339772</v>
      </c>
      <c r="X109" s="3">
        <f t="shared" si="46"/>
        <v>20872.673593417345</v>
      </c>
      <c r="AI109" s="3"/>
      <c r="AJ109" s="3"/>
      <c r="AK109" s="15">
        <f t="shared" si="36"/>
        <v>7</v>
      </c>
      <c r="AL109" s="11">
        <f t="shared" si="41"/>
        <v>600</v>
      </c>
      <c r="AM109" s="11" t="b">
        <f t="shared" si="35"/>
        <v>0</v>
      </c>
      <c r="AN109" s="11">
        <f t="shared" si="37"/>
        <v>36000</v>
      </c>
      <c r="AO109" s="11">
        <f t="shared" si="38"/>
        <v>0</v>
      </c>
      <c r="AP109" s="11">
        <f t="shared" si="39"/>
        <v>0.94474290803525929</v>
      </c>
      <c r="AQ109" s="11">
        <f t="shared" si="42"/>
        <v>0</v>
      </c>
      <c r="AT109" s="3"/>
      <c r="AU109" s="17"/>
      <c r="AV109" s="19"/>
      <c r="AW109" s="17"/>
      <c r="AX109" s="17">
        <f>IF(AX108&gt;=$AG$14,$AG$14,AX108+1)</f>
        <v>100</v>
      </c>
      <c r="AY109" s="17">
        <f t="shared" si="60"/>
        <v>10</v>
      </c>
      <c r="AZ109" s="17">
        <v>94.474290803525932</v>
      </c>
      <c r="BA109" s="17"/>
      <c r="BB109" s="17">
        <v>36</v>
      </c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</row>
    <row r="110" spans="8:86" x14ac:dyDescent="0.15">
      <c r="H110" s="3">
        <f t="shared" si="55"/>
        <v>9.8000000000000073E-2</v>
      </c>
      <c r="I110" s="3">
        <f t="shared" si="56"/>
        <v>360</v>
      </c>
      <c r="J110" s="14">
        <f t="shared" si="57"/>
        <v>500</v>
      </c>
      <c r="K110" s="3">
        <f t="shared" si="47"/>
        <v>0</v>
      </c>
      <c r="L110" s="3">
        <f t="shared" si="43"/>
        <v>500</v>
      </c>
      <c r="M110" s="15">
        <f t="shared" si="58"/>
        <v>7.0000000000000007E-2</v>
      </c>
      <c r="N110" s="3">
        <f t="shared" si="59"/>
        <v>92.013915783376149</v>
      </c>
      <c r="O110" s="3">
        <f t="shared" si="44"/>
        <v>92.013915783376149</v>
      </c>
      <c r="P110" s="3">
        <f t="shared" si="48"/>
        <v>98.939694390727041</v>
      </c>
      <c r="Q110" s="3">
        <f t="shared" si="49"/>
        <v>41.688067296185984</v>
      </c>
      <c r="R110" s="3">
        <f t="shared" si="50"/>
        <v>70.313880843456516</v>
      </c>
      <c r="S110" s="3">
        <f t="shared" si="45"/>
        <v>1</v>
      </c>
      <c r="T110" s="3">
        <f t="shared" si="51"/>
        <v>28625.813547270529</v>
      </c>
      <c r="U110" s="3">
        <f t="shared" si="52"/>
        <v>0.5</v>
      </c>
      <c r="V110" s="3">
        <f t="shared" si="53"/>
        <v>0</v>
      </c>
      <c r="W110" s="3">
        <f t="shared" si="54"/>
        <v>33125.009682015414</v>
      </c>
      <c r="X110" s="3">
        <f t="shared" si="46"/>
        <v>20844.033648092991</v>
      </c>
      <c r="AI110" s="3"/>
      <c r="AJ110" s="3"/>
      <c r="AK110" s="15">
        <f t="shared" si="36"/>
        <v>7</v>
      </c>
      <c r="AL110" s="11">
        <f t="shared" si="41"/>
        <v>606</v>
      </c>
      <c r="AM110" s="11" t="b">
        <f t="shared" si="35"/>
        <v>0</v>
      </c>
      <c r="AN110" s="11">
        <f t="shared" si="37"/>
        <v>36000</v>
      </c>
      <c r="AO110" s="11">
        <f t="shared" si="38"/>
        <v>0</v>
      </c>
      <c r="AP110" s="11">
        <f t="shared" si="39"/>
        <v>0.94584522285007411</v>
      </c>
      <c r="AQ110" s="11">
        <f t="shared" si="42"/>
        <v>0</v>
      </c>
      <c r="AT110" s="3"/>
      <c r="AU110" s="17"/>
      <c r="AV110" s="19"/>
      <c r="AW110" s="17"/>
      <c r="AX110" s="17">
        <f t="shared" ref="AX110:AX173" si="61">IF(AX109&gt;=$AG$14,$AG$14,AX109+1)</f>
        <v>101</v>
      </c>
      <c r="AY110" s="17">
        <f t="shared" si="60"/>
        <v>10.1</v>
      </c>
      <c r="AZ110" s="17">
        <v>94.584522285007409</v>
      </c>
      <c r="BA110" s="17"/>
      <c r="BB110" s="17">
        <v>36</v>
      </c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</row>
    <row r="111" spans="8:86" x14ac:dyDescent="0.15">
      <c r="H111" s="3">
        <f t="shared" si="55"/>
        <v>9.9000000000000074E-2</v>
      </c>
      <c r="I111" s="3">
        <f t="shared" si="56"/>
        <v>360</v>
      </c>
      <c r="J111" s="14">
        <f t="shared" si="57"/>
        <v>500</v>
      </c>
      <c r="K111" s="3">
        <f t="shared" si="47"/>
        <v>0</v>
      </c>
      <c r="L111" s="3">
        <f t="shared" si="43"/>
        <v>500</v>
      </c>
      <c r="M111" s="15">
        <f t="shared" si="58"/>
        <v>7.0000000000000007E-2</v>
      </c>
      <c r="N111" s="3">
        <f t="shared" si="59"/>
        <v>91.934399634633735</v>
      </c>
      <c r="O111" s="3">
        <f t="shared" si="44"/>
        <v>91.934399634633735</v>
      </c>
      <c r="P111" s="3">
        <f t="shared" si="48"/>
        <v>98.85419315552015</v>
      </c>
      <c r="Q111" s="3">
        <f t="shared" si="49"/>
        <v>41.63081566909144</v>
      </c>
      <c r="R111" s="3">
        <f t="shared" si="50"/>
        <v>70.242504412305792</v>
      </c>
      <c r="S111" s="3">
        <f t="shared" si="45"/>
        <v>1</v>
      </c>
      <c r="T111" s="3">
        <f t="shared" si="51"/>
        <v>28611.688743214356</v>
      </c>
      <c r="U111" s="3">
        <f t="shared" si="52"/>
        <v>0.5</v>
      </c>
      <c r="V111" s="3">
        <f t="shared" si="53"/>
        <v>0</v>
      </c>
      <c r="W111" s="3">
        <f t="shared" si="54"/>
        <v>33096.383868468147</v>
      </c>
      <c r="X111" s="3">
        <f t="shared" si="46"/>
        <v>20815.40783454572</v>
      </c>
      <c r="AI111" s="3"/>
      <c r="AJ111" s="3"/>
      <c r="AK111" s="15">
        <f t="shared" si="36"/>
        <v>7</v>
      </c>
      <c r="AL111" s="11">
        <f t="shared" si="41"/>
        <v>612</v>
      </c>
      <c r="AM111" s="11" t="b">
        <f t="shared" si="35"/>
        <v>0</v>
      </c>
      <c r="AN111" s="11">
        <f t="shared" si="37"/>
        <v>36000</v>
      </c>
      <c r="AO111" s="11">
        <f t="shared" si="38"/>
        <v>0</v>
      </c>
      <c r="AP111" s="11">
        <f t="shared" si="39"/>
        <v>0.94694753766488893</v>
      </c>
      <c r="AQ111" s="11">
        <f t="shared" si="42"/>
        <v>0</v>
      </c>
      <c r="AT111" s="3"/>
      <c r="AU111" s="17"/>
      <c r="AV111" s="19"/>
      <c r="AW111" s="17"/>
      <c r="AX111" s="17">
        <f t="shared" si="61"/>
        <v>102</v>
      </c>
      <c r="AY111" s="17">
        <f t="shared" si="60"/>
        <v>10.199999999999999</v>
      </c>
      <c r="AZ111" s="17">
        <v>94.694753766488887</v>
      </c>
      <c r="BA111" s="17"/>
      <c r="BB111" s="17">
        <v>36</v>
      </c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</row>
    <row r="112" spans="8:86" x14ac:dyDescent="0.15">
      <c r="H112" s="3">
        <f t="shared" si="55"/>
        <v>0.10000000000000007</v>
      </c>
      <c r="I112" s="3">
        <f t="shared" si="56"/>
        <v>360</v>
      </c>
      <c r="J112" s="14">
        <f t="shared" si="57"/>
        <v>500</v>
      </c>
      <c r="K112" s="3">
        <f t="shared" si="47"/>
        <v>0</v>
      </c>
      <c r="L112" s="3">
        <f t="shared" si="43"/>
        <v>500</v>
      </c>
      <c r="M112" s="15">
        <f t="shared" si="58"/>
        <v>7.0000000000000007E-2</v>
      </c>
      <c r="N112" s="3">
        <f t="shared" si="59"/>
        <v>91.854922721458152</v>
      </c>
      <c r="O112" s="3">
        <f t="shared" si="44"/>
        <v>91.854922721458152</v>
      </c>
      <c r="P112" s="3">
        <f t="shared" si="48"/>
        <v>98.768734109094794</v>
      </c>
      <c r="Q112" s="3">
        <f t="shared" si="49"/>
        <v>41.57359229160501</v>
      </c>
      <c r="R112" s="3">
        <f t="shared" si="50"/>
        <v>70.171163200349895</v>
      </c>
      <c r="S112" s="3">
        <f t="shared" si="45"/>
        <v>1</v>
      </c>
      <c r="T112" s="3">
        <f t="shared" si="51"/>
        <v>28597.570908744892</v>
      </c>
      <c r="U112" s="3">
        <f t="shared" si="52"/>
        <v>0.5</v>
      </c>
      <c r="V112" s="3">
        <f t="shared" si="53"/>
        <v>0</v>
      </c>
      <c r="W112" s="3">
        <f t="shared" si="54"/>
        <v>33067.772179724932</v>
      </c>
      <c r="X112" s="3">
        <f t="shared" si="46"/>
        <v>20786.796145802506</v>
      </c>
      <c r="AI112" s="3"/>
      <c r="AJ112" s="3"/>
      <c r="AK112" s="15">
        <f t="shared" si="36"/>
        <v>7</v>
      </c>
      <c r="AL112" s="11">
        <f t="shared" si="41"/>
        <v>618</v>
      </c>
      <c r="AM112" s="11" t="b">
        <f t="shared" si="35"/>
        <v>0</v>
      </c>
      <c r="AN112" s="11">
        <f t="shared" si="37"/>
        <v>36000</v>
      </c>
      <c r="AO112" s="11">
        <f t="shared" si="38"/>
        <v>0</v>
      </c>
      <c r="AP112" s="11">
        <f t="shared" si="39"/>
        <v>0.94804985247970375</v>
      </c>
      <c r="AQ112" s="11">
        <f t="shared" si="42"/>
        <v>0</v>
      </c>
      <c r="AT112" s="3"/>
      <c r="AU112" s="17"/>
      <c r="AV112" s="19"/>
      <c r="AW112" s="17"/>
      <c r="AX112" s="17">
        <f t="shared" si="61"/>
        <v>103</v>
      </c>
      <c r="AY112" s="17">
        <f t="shared" si="60"/>
        <v>10.3</v>
      </c>
      <c r="AZ112" s="17">
        <v>94.804985247970379</v>
      </c>
      <c r="BA112" s="17"/>
      <c r="BB112" s="17">
        <v>36</v>
      </c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</row>
    <row r="113" spans="8:86" x14ac:dyDescent="0.15">
      <c r="H113" s="3">
        <f t="shared" si="55"/>
        <v>0.10100000000000008</v>
      </c>
      <c r="I113" s="3">
        <f t="shared" si="56"/>
        <v>360</v>
      </c>
      <c r="J113" s="14">
        <f t="shared" si="57"/>
        <v>500</v>
      </c>
      <c r="K113" s="3">
        <f t="shared" si="47"/>
        <v>0</v>
      </c>
      <c r="L113" s="3">
        <f t="shared" si="43"/>
        <v>500</v>
      </c>
      <c r="M113" s="15">
        <f t="shared" si="58"/>
        <v>7.0000000000000007E-2</v>
      </c>
      <c r="N113" s="3">
        <f t="shared" si="59"/>
        <v>91.775485024489413</v>
      </c>
      <c r="O113" s="3">
        <f t="shared" si="44"/>
        <v>91.775485024489413</v>
      </c>
      <c r="P113" s="3">
        <f t="shared" si="48"/>
        <v>98.68331723063379</v>
      </c>
      <c r="Q113" s="3">
        <f t="shared" si="49"/>
        <v>41.516397149787522</v>
      </c>
      <c r="R113" s="3">
        <f t="shared" si="50"/>
        <v>70.099857190210656</v>
      </c>
      <c r="S113" s="3">
        <f t="shared" si="45"/>
        <v>1</v>
      </c>
      <c r="T113" s="3">
        <f t="shared" si="51"/>
        <v>28583.460040423135</v>
      </c>
      <c r="U113" s="3">
        <f t="shared" si="52"/>
        <v>0.5</v>
      </c>
      <c r="V113" s="3">
        <f t="shared" si="53"/>
        <v>0</v>
      </c>
      <c r="W113" s="3">
        <f t="shared" si="54"/>
        <v>33039.174608816189</v>
      </c>
      <c r="X113" s="3">
        <f t="shared" si="46"/>
        <v>20758.198574893762</v>
      </c>
      <c r="AI113" s="3"/>
      <c r="AJ113" s="3"/>
      <c r="AK113" s="15">
        <f t="shared" si="36"/>
        <v>7</v>
      </c>
      <c r="AL113" s="11">
        <f t="shared" si="41"/>
        <v>624</v>
      </c>
      <c r="AM113" s="11" t="b">
        <f t="shared" si="35"/>
        <v>0</v>
      </c>
      <c r="AN113" s="11">
        <f t="shared" si="37"/>
        <v>36000</v>
      </c>
      <c r="AO113" s="11">
        <f t="shared" si="38"/>
        <v>0</v>
      </c>
      <c r="AP113" s="11">
        <f t="shared" si="39"/>
        <v>0.94915216729451868</v>
      </c>
      <c r="AQ113" s="11">
        <f t="shared" si="42"/>
        <v>0</v>
      </c>
      <c r="AT113" s="3"/>
      <c r="AU113" s="17"/>
      <c r="AV113" s="19"/>
      <c r="AW113" s="17"/>
      <c r="AX113" s="17">
        <f t="shared" si="61"/>
        <v>104</v>
      </c>
      <c r="AY113" s="17">
        <f t="shared" si="60"/>
        <v>10.4</v>
      </c>
      <c r="AZ113" s="17">
        <v>94.91521672945187</v>
      </c>
      <c r="BA113" s="17"/>
      <c r="BB113" s="17">
        <v>36</v>
      </c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</row>
    <row r="114" spans="8:86" x14ac:dyDescent="0.15">
      <c r="H114" s="3">
        <f t="shared" si="55"/>
        <v>0.10200000000000008</v>
      </c>
      <c r="I114" s="3">
        <f t="shared" si="56"/>
        <v>360</v>
      </c>
      <c r="J114" s="14">
        <f t="shared" si="57"/>
        <v>500</v>
      </c>
      <c r="K114" s="3">
        <f t="shared" si="47"/>
        <v>0</v>
      </c>
      <c r="L114" s="3">
        <f t="shared" si="43"/>
        <v>500</v>
      </c>
      <c r="M114" s="15">
        <f t="shared" si="58"/>
        <v>7.0000000000000007E-2</v>
      </c>
      <c r="N114" s="3">
        <f t="shared" si="59"/>
        <v>91.696086524377137</v>
      </c>
      <c r="O114" s="3">
        <f t="shared" si="44"/>
        <v>91.696086524377137</v>
      </c>
      <c r="P114" s="3">
        <f t="shared" si="48"/>
        <v>98.597942499330259</v>
      </c>
      <c r="Q114" s="3">
        <f t="shared" si="49"/>
        <v>41.459230229706677</v>
      </c>
      <c r="R114" s="3">
        <f t="shared" si="50"/>
        <v>70.028586364518475</v>
      </c>
      <c r="S114" s="3">
        <f t="shared" si="45"/>
        <v>1</v>
      </c>
      <c r="T114" s="3">
        <f t="shared" si="51"/>
        <v>28569.356134811791</v>
      </c>
      <c r="U114" s="3">
        <f t="shared" si="52"/>
        <v>0.5</v>
      </c>
      <c r="V114" s="3">
        <f t="shared" si="53"/>
        <v>0</v>
      </c>
      <c r="W114" s="3">
        <f t="shared" si="54"/>
        <v>33010.591148775769</v>
      </c>
      <c r="X114" s="3">
        <f t="shared" si="46"/>
        <v>20729.615114853339</v>
      </c>
      <c r="AI114" s="3"/>
      <c r="AJ114" s="3"/>
      <c r="AK114" s="15">
        <f t="shared" si="36"/>
        <v>7</v>
      </c>
      <c r="AL114" s="11">
        <f t="shared" si="41"/>
        <v>630</v>
      </c>
      <c r="AM114" s="11" t="b">
        <f t="shared" si="35"/>
        <v>0</v>
      </c>
      <c r="AN114" s="11">
        <f t="shared" si="37"/>
        <v>36000</v>
      </c>
      <c r="AO114" s="11">
        <f t="shared" si="38"/>
        <v>0</v>
      </c>
      <c r="AP114" s="11">
        <f t="shared" si="39"/>
        <v>0.9502544821093335</v>
      </c>
      <c r="AQ114" s="11">
        <f t="shared" si="42"/>
        <v>0</v>
      </c>
      <c r="AT114" s="3"/>
      <c r="AU114" s="17"/>
      <c r="AV114" s="19"/>
      <c r="AW114" s="17"/>
      <c r="AX114" s="17">
        <f t="shared" si="61"/>
        <v>105</v>
      </c>
      <c r="AY114" s="17">
        <f t="shared" si="60"/>
        <v>10.5</v>
      </c>
      <c r="AZ114" s="17">
        <v>95.025448210933348</v>
      </c>
      <c r="BA114" s="17"/>
      <c r="BB114" s="17">
        <v>36</v>
      </c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</row>
    <row r="115" spans="8:86" x14ac:dyDescent="0.15">
      <c r="H115" s="3">
        <f t="shared" si="55"/>
        <v>0.10300000000000008</v>
      </c>
      <c r="I115" s="3">
        <f t="shared" si="56"/>
        <v>360</v>
      </c>
      <c r="J115" s="14">
        <f t="shared" si="57"/>
        <v>500</v>
      </c>
      <c r="K115" s="3">
        <f t="shared" si="47"/>
        <v>0</v>
      </c>
      <c r="L115" s="3">
        <f t="shared" si="43"/>
        <v>500</v>
      </c>
      <c r="M115" s="15">
        <f t="shared" si="58"/>
        <v>7.0000000000000007E-2</v>
      </c>
      <c r="N115" s="3">
        <f t="shared" si="59"/>
        <v>91.616727201780449</v>
      </c>
      <c r="O115" s="3">
        <f t="shared" si="44"/>
        <v>91.616727201780449</v>
      </c>
      <c r="P115" s="3">
        <f t="shared" si="48"/>
        <v>98.51260989438758</v>
      </c>
      <c r="Q115" s="3">
        <f t="shared" si="49"/>
        <v>41.40209151743705</v>
      </c>
      <c r="R115" s="3">
        <f t="shared" si="50"/>
        <v>69.957350705912319</v>
      </c>
      <c r="S115" s="3">
        <f t="shared" si="45"/>
        <v>1</v>
      </c>
      <c r="T115" s="3">
        <f t="shared" si="51"/>
        <v>28555.259188475266</v>
      </c>
      <c r="U115" s="3">
        <f t="shared" si="52"/>
        <v>0.5</v>
      </c>
      <c r="V115" s="3">
        <f t="shared" si="53"/>
        <v>0</v>
      </c>
      <c r="W115" s="3">
        <f t="shared" si="54"/>
        <v>32982.02179264096</v>
      </c>
      <c r="X115" s="3">
        <f t="shared" si="46"/>
        <v>20701.045758718526</v>
      </c>
      <c r="AI115" s="3"/>
      <c r="AJ115" s="3"/>
      <c r="AK115" s="15">
        <f t="shared" si="36"/>
        <v>7</v>
      </c>
      <c r="AL115" s="11">
        <f t="shared" si="41"/>
        <v>636</v>
      </c>
      <c r="AM115" s="11" t="b">
        <f t="shared" si="35"/>
        <v>0</v>
      </c>
      <c r="AN115" s="11">
        <f t="shared" si="37"/>
        <v>36000</v>
      </c>
      <c r="AO115" s="11">
        <f t="shared" si="38"/>
        <v>0</v>
      </c>
      <c r="AP115" s="11">
        <f t="shared" si="39"/>
        <v>0.95135679692414832</v>
      </c>
      <c r="AQ115" s="11">
        <f t="shared" si="42"/>
        <v>0</v>
      </c>
      <c r="AT115" s="3"/>
      <c r="AU115" s="17"/>
      <c r="AV115" s="19"/>
      <c r="AW115" s="17"/>
      <c r="AX115" s="17">
        <f t="shared" si="61"/>
        <v>106</v>
      </c>
      <c r="AY115" s="17">
        <f t="shared" si="60"/>
        <v>10.6</v>
      </c>
      <c r="AZ115" s="17">
        <v>95.135679692414826</v>
      </c>
      <c r="BA115" s="17"/>
      <c r="BB115" s="17">
        <v>36</v>
      </c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</row>
    <row r="116" spans="8:86" x14ac:dyDescent="0.15">
      <c r="H116" s="3">
        <f t="shared" si="55"/>
        <v>0.10400000000000008</v>
      </c>
      <c r="I116" s="3">
        <f t="shared" si="56"/>
        <v>360</v>
      </c>
      <c r="J116" s="14">
        <f t="shared" si="57"/>
        <v>500</v>
      </c>
      <c r="K116" s="3">
        <f t="shared" si="47"/>
        <v>0</v>
      </c>
      <c r="L116" s="3">
        <f t="shared" si="43"/>
        <v>500</v>
      </c>
      <c r="M116" s="15">
        <f t="shared" si="58"/>
        <v>7.0000000000000007E-2</v>
      </c>
      <c r="N116" s="3">
        <f t="shared" si="59"/>
        <v>91.537407037368013</v>
      </c>
      <c r="O116" s="3">
        <f t="shared" si="44"/>
        <v>91.537407037368013</v>
      </c>
      <c r="P116" s="3">
        <f t="shared" si="48"/>
        <v>98.427319395019381</v>
      </c>
      <c r="Q116" s="3">
        <f t="shared" si="49"/>
        <v>41.344980999060098</v>
      </c>
      <c r="R116" s="3">
        <f t="shared" si="50"/>
        <v>69.88615019703974</v>
      </c>
      <c r="S116" s="3">
        <f t="shared" si="45"/>
        <v>1</v>
      </c>
      <c r="T116" s="3">
        <f t="shared" si="51"/>
        <v>28541.169197979641</v>
      </c>
      <c r="U116" s="3">
        <f t="shared" si="52"/>
        <v>0.5</v>
      </c>
      <c r="V116" s="3">
        <f t="shared" si="53"/>
        <v>0</v>
      </c>
      <c r="W116" s="3">
        <f t="shared" si="54"/>
        <v>32953.466533452483</v>
      </c>
      <c r="X116" s="3">
        <f t="shared" si="46"/>
        <v>20672.490499530049</v>
      </c>
      <c r="AI116" s="3"/>
      <c r="AJ116" s="3"/>
      <c r="AK116" s="15">
        <f t="shared" si="36"/>
        <v>7</v>
      </c>
      <c r="AL116" s="11">
        <f t="shared" si="41"/>
        <v>642</v>
      </c>
      <c r="AM116" s="11" t="b">
        <f t="shared" si="35"/>
        <v>0</v>
      </c>
      <c r="AN116" s="11">
        <f t="shared" si="37"/>
        <v>36000</v>
      </c>
      <c r="AO116" s="11">
        <f t="shared" si="38"/>
        <v>0</v>
      </c>
      <c r="AP116" s="11">
        <f t="shared" si="39"/>
        <v>0.95245911173896314</v>
      </c>
      <c r="AQ116" s="11">
        <f t="shared" si="42"/>
        <v>0</v>
      </c>
      <c r="AT116" s="3"/>
      <c r="AU116" s="17"/>
      <c r="AV116" s="19"/>
      <c r="AW116" s="17"/>
      <c r="AX116" s="17">
        <f t="shared" si="61"/>
        <v>107</v>
      </c>
      <c r="AY116" s="17">
        <f t="shared" si="60"/>
        <v>10.7</v>
      </c>
      <c r="AZ116" s="17">
        <v>95.245911173896317</v>
      </c>
      <c r="BA116" s="17"/>
      <c r="BB116" s="17">
        <v>36</v>
      </c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</row>
    <row r="117" spans="8:86" x14ac:dyDescent="0.15">
      <c r="H117" s="3">
        <f t="shared" si="55"/>
        <v>0.10500000000000008</v>
      </c>
      <c r="I117" s="3">
        <f t="shared" si="56"/>
        <v>360</v>
      </c>
      <c r="J117" s="14">
        <f t="shared" si="57"/>
        <v>500</v>
      </c>
      <c r="K117" s="3">
        <f t="shared" si="47"/>
        <v>0</v>
      </c>
      <c r="L117" s="3">
        <f t="shared" si="43"/>
        <v>500</v>
      </c>
      <c r="M117" s="15">
        <f t="shared" si="58"/>
        <v>7.0000000000000007E-2</v>
      </c>
      <c r="N117" s="3">
        <f t="shared" si="59"/>
        <v>91.458126011818052</v>
      </c>
      <c r="O117" s="3">
        <f t="shared" si="44"/>
        <v>91.458126011818052</v>
      </c>
      <c r="P117" s="3">
        <f t="shared" si="48"/>
        <v>98.34207098044952</v>
      </c>
      <c r="Q117" s="3">
        <f t="shared" si="49"/>
        <v>41.28789866066414</v>
      </c>
      <c r="R117" s="3">
        <f t="shared" si="50"/>
        <v>69.81498482055683</v>
      </c>
      <c r="S117" s="3">
        <f t="shared" si="45"/>
        <v>1</v>
      </c>
      <c r="T117" s="3">
        <f t="shared" si="51"/>
        <v>28527.086159892689</v>
      </c>
      <c r="U117" s="3">
        <f t="shared" si="52"/>
        <v>0.5</v>
      </c>
      <c r="V117" s="3">
        <f t="shared" si="53"/>
        <v>0</v>
      </c>
      <c r="W117" s="3">
        <f t="shared" si="54"/>
        <v>32924.925364254501</v>
      </c>
      <c r="X117" s="3">
        <f t="shared" si="46"/>
        <v>20643.949330332071</v>
      </c>
      <c r="AI117" s="3"/>
      <c r="AJ117" s="3"/>
      <c r="AK117" s="15">
        <f t="shared" si="36"/>
        <v>7</v>
      </c>
      <c r="AL117" s="11">
        <f t="shared" si="41"/>
        <v>648</v>
      </c>
      <c r="AM117" s="11" t="b">
        <f t="shared" si="35"/>
        <v>0</v>
      </c>
      <c r="AN117" s="11">
        <f t="shared" si="37"/>
        <v>36000</v>
      </c>
      <c r="AO117" s="11">
        <f t="shared" si="38"/>
        <v>0</v>
      </c>
      <c r="AP117" s="11">
        <f t="shared" si="39"/>
        <v>0.95356142655377796</v>
      </c>
      <c r="AQ117" s="11">
        <f t="shared" si="42"/>
        <v>0</v>
      </c>
      <c r="AT117" s="3"/>
      <c r="AU117" s="17"/>
      <c r="AV117" s="19"/>
      <c r="AW117" s="17"/>
      <c r="AX117" s="17">
        <f t="shared" si="61"/>
        <v>108</v>
      </c>
      <c r="AY117" s="17">
        <f t="shared" si="60"/>
        <v>10.8</v>
      </c>
      <c r="AZ117" s="17">
        <v>95.356142655377795</v>
      </c>
      <c r="BA117" s="17"/>
      <c r="BB117" s="17">
        <v>36</v>
      </c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</row>
    <row r="118" spans="8:86" x14ac:dyDescent="0.15">
      <c r="H118" s="3">
        <f t="shared" si="55"/>
        <v>0.10600000000000008</v>
      </c>
      <c r="I118" s="3">
        <f t="shared" si="56"/>
        <v>360</v>
      </c>
      <c r="J118" s="14">
        <f t="shared" si="57"/>
        <v>500</v>
      </c>
      <c r="K118" s="3">
        <f t="shared" si="47"/>
        <v>0</v>
      </c>
      <c r="L118" s="3">
        <f t="shared" si="43"/>
        <v>500</v>
      </c>
      <c r="M118" s="15">
        <f t="shared" si="58"/>
        <v>7.0000000000000007E-2</v>
      </c>
      <c r="N118" s="3">
        <f t="shared" si="59"/>
        <v>91.378884105818358</v>
      </c>
      <c r="O118" s="3">
        <f t="shared" si="44"/>
        <v>91.378884105818358</v>
      </c>
      <c r="P118" s="3">
        <f t="shared" si="48"/>
        <v>98.256864629912215</v>
      </c>
      <c r="Q118" s="3">
        <f t="shared" si="49"/>
        <v>41.23084448834436</v>
      </c>
      <c r="R118" s="3">
        <f t="shared" si="50"/>
        <v>69.743854559128295</v>
      </c>
      <c r="S118" s="3">
        <f t="shared" si="45"/>
        <v>1</v>
      </c>
      <c r="T118" s="3">
        <f t="shared" si="51"/>
        <v>28513.010070783926</v>
      </c>
      <c r="U118" s="3">
        <f t="shared" si="52"/>
        <v>0.5</v>
      </c>
      <c r="V118" s="3">
        <f t="shared" si="53"/>
        <v>0</v>
      </c>
      <c r="W118" s="3">
        <f t="shared" si="54"/>
        <v>32896.39827809461</v>
      </c>
      <c r="X118" s="3">
        <f t="shared" si="46"/>
        <v>20615.422244172179</v>
      </c>
      <c r="AI118" s="3"/>
      <c r="AJ118" s="3"/>
      <c r="AK118" s="15">
        <f t="shared" si="36"/>
        <v>7</v>
      </c>
      <c r="AL118" s="11">
        <f t="shared" si="41"/>
        <v>654</v>
      </c>
      <c r="AM118" s="11" t="b">
        <f t="shared" si="35"/>
        <v>0</v>
      </c>
      <c r="AN118" s="11">
        <f t="shared" si="37"/>
        <v>36000</v>
      </c>
      <c r="AO118" s="11">
        <f t="shared" si="38"/>
        <v>0</v>
      </c>
      <c r="AP118" s="11">
        <f t="shared" si="39"/>
        <v>0.95466374136859289</v>
      </c>
      <c r="AQ118" s="11">
        <f t="shared" si="42"/>
        <v>0</v>
      </c>
      <c r="AT118" s="3"/>
      <c r="AU118" s="17"/>
      <c r="AV118" s="19"/>
      <c r="AW118" s="17"/>
      <c r="AX118" s="17">
        <f t="shared" si="61"/>
        <v>109</v>
      </c>
      <c r="AY118" s="17">
        <f t="shared" si="60"/>
        <v>10.9</v>
      </c>
      <c r="AZ118" s="17">
        <v>95.466374136859287</v>
      </c>
      <c r="BA118" s="17"/>
      <c r="BB118" s="17">
        <v>36</v>
      </c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</row>
    <row r="119" spans="8:86" x14ac:dyDescent="0.15">
      <c r="H119" s="3">
        <f t="shared" si="55"/>
        <v>0.10700000000000008</v>
      </c>
      <c r="I119" s="3">
        <f t="shared" si="56"/>
        <v>360</v>
      </c>
      <c r="J119" s="14">
        <f t="shared" si="57"/>
        <v>500</v>
      </c>
      <c r="K119" s="3">
        <f t="shared" si="47"/>
        <v>0</v>
      </c>
      <c r="L119" s="3">
        <f t="shared" si="43"/>
        <v>500</v>
      </c>
      <c r="M119" s="15">
        <f t="shared" si="58"/>
        <v>7.0000000000000007E-2</v>
      </c>
      <c r="N119" s="3">
        <f t="shared" si="59"/>
        <v>91.299681300066183</v>
      </c>
      <c r="O119" s="3">
        <f t="shared" si="44"/>
        <v>91.299681300066183</v>
      </c>
      <c r="P119" s="3">
        <f t="shared" si="48"/>
        <v>98.171700322651816</v>
      </c>
      <c r="Q119" s="3">
        <f t="shared" si="49"/>
        <v>41.173818468202796</v>
      </c>
      <c r="R119" s="3">
        <f t="shared" si="50"/>
        <v>69.672759395427306</v>
      </c>
      <c r="S119" s="3">
        <f t="shared" si="45"/>
        <v>1</v>
      </c>
      <c r="T119" s="3">
        <f t="shared" si="51"/>
        <v>28498.94092722451</v>
      </c>
      <c r="U119" s="3">
        <f t="shared" si="52"/>
        <v>0.5</v>
      </c>
      <c r="V119" s="3">
        <f t="shared" si="53"/>
        <v>0</v>
      </c>
      <c r="W119" s="3">
        <f t="shared" si="54"/>
        <v>32867.885268023827</v>
      </c>
      <c r="X119" s="3">
        <f t="shared" si="46"/>
        <v>20586.909234101397</v>
      </c>
      <c r="AI119" s="3"/>
      <c r="AJ119" s="3"/>
      <c r="AK119" s="15">
        <f t="shared" si="36"/>
        <v>7</v>
      </c>
      <c r="AL119" s="11">
        <f t="shared" si="41"/>
        <v>660</v>
      </c>
      <c r="AM119" s="11" t="b">
        <f t="shared" si="35"/>
        <v>0</v>
      </c>
      <c r="AN119" s="11">
        <f t="shared" si="37"/>
        <v>36000</v>
      </c>
      <c r="AO119" s="11">
        <f t="shared" si="38"/>
        <v>0</v>
      </c>
      <c r="AP119" s="11">
        <f t="shared" si="39"/>
        <v>0.95576605618340771</v>
      </c>
      <c r="AQ119" s="11">
        <f t="shared" si="42"/>
        <v>0</v>
      </c>
      <c r="AT119" s="3"/>
      <c r="AU119" s="17"/>
      <c r="AV119" s="19"/>
      <c r="AW119" s="17"/>
      <c r="AX119" s="17">
        <f t="shared" si="61"/>
        <v>110</v>
      </c>
      <c r="AY119" s="17">
        <f t="shared" si="60"/>
        <v>11</v>
      </c>
      <c r="AZ119" s="17">
        <v>95.576605618340764</v>
      </c>
      <c r="BA119" s="17"/>
      <c r="BB119" s="17">
        <v>36</v>
      </c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17"/>
      <c r="BQ119" s="17"/>
      <c r="BR119" s="17"/>
      <c r="BS119" s="17"/>
      <c r="BT119" s="17"/>
      <c r="BU119" s="17"/>
      <c r="BV119" s="17"/>
      <c r="BW119" s="17"/>
      <c r="BX119" s="17"/>
      <c r="BY119" s="17"/>
      <c r="BZ119" s="17"/>
      <c r="CA119" s="17"/>
      <c r="CB119" s="17"/>
      <c r="CC119" s="17"/>
      <c r="CD119" s="17"/>
      <c r="CE119" s="17"/>
      <c r="CF119" s="17"/>
      <c r="CG119" s="17"/>
      <c r="CH119" s="17"/>
    </row>
    <row r="120" spans="8:86" x14ac:dyDescent="0.15">
      <c r="H120" s="3">
        <f t="shared" si="55"/>
        <v>0.10800000000000008</v>
      </c>
      <c r="I120" s="3">
        <f t="shared" si="56"/>
        <v>360</v>
      </c>
      <c r="J120" s="14">
        <f t="shared" si="57"/>
        <v>500</v>
      </c>
      <c r="K120" s="3">
        <f t="shared" si="47"/>
        <v>0</v>
      </c>
      <c r="L120" s="3">
        <f t="shared" si="43"/>
        <v>500</v>
      </c>
      <c r="M120" s="15">
        <f t="shared" si="58"/>
        <v>7.0000000000000007E-2</v>
      </c>
      <c r="N120" s="3">
        <f t="shared" si="59"/>
        <v>91.220517575268346</v>
      </c>
      <c r="O120" s="3">
        <f t="shared" si="44"/>
        <v>91.220517575268346</v>
      </c>
      <c r="P120" s="3">
        <f t="shared" si="48"/>
        <v>98.086578037922962</v>
      </c>
      <c r="Q120" s="3">
        <f t="shared" si="49"/>
        <v>41.116820586348346</v>
      </c>
      <c r="R120" s="3">
        <f t="shared" si="50"/>
        <v>69.601699312135651</v>
      </c>
      <c r="S120" s="3">
        <f t="shared" si="45"/>
        <v>1</v>
      </c>
      <c r="T120" s="3">
        <f t="shared" si="51"/>
        <v>28484.878725787308</v>
      </c>
      <c r="U120" s="3">
        <f t="shared" si="52"/>
        <v>0.5</v>
      </c>
      <c r="V120" s="3">
        <f t="shared" si="53"/>
        <v>0</v>
      </c>
      <c r="W120" s="3">
        <f t="shared" si="54"/>
        <v>32839.386327096603</v>
      </c>
      <c r="X120" s="3">
        <f t="shared" si="46"/>
        <v>20558.410293174173</v>
      </c>
      <c r="AI120" s="3"/>
      <c r="AJ120" s="3"/>
      <c r="AK120" s="15">
        <f t="shared" si="36"/>
        <v>7</v>
      </c>
      <c r="AL120" s="11">
        <f t="shared" si="41"/>
        <v>666</v>
      </c>
      <c r="AM120" s="11" t="b">
        <f t="shared" si="35"/>
        <v>0</v>
      </c>
      <c r="AN120" s="11">
        <f t="shared" si="37"/>
        <v>36000</v>
      </c>
      <c r="AO120" s="11">
        <f t="shared" si="38"/>
        <v>0</v>
      </c>
      <c r="AP120" s="11">
        <f t="shared" si="39"/>
        <v>0.95686837099822253</v>
      </c>
      <c r="AQ120" s="11">
        <f t="shared" si="42"/>
        <v>0</v>
      </c>
      <c r="AT120" s="3"/>
      <c r="AU120" s="17"/>
      <c r="AV120" s="19"/>
      <c r="AW120" s="17"/>
      <c r="AX120" s="17">
        <f t="shared" si="61"/>
        <v>111</v>
      </c>
      <c r="AY120" s="17">
        <f t="shared" si="60"/>
        <v>11.1</v>
      </c>
      <c r="AZ120" s="17">
        <v>95.686837099822256</v>
      </c>
      <c r="BA120" s="17"/>
      <c r="BB120" s="17">
        <v>36</v>
      </c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7"/>
    </row>
    <row r="121" spans="8:86" x14ac:dyDescent="0.15">
      <c r="H121" s="3">
        <f t="shared" si="55"/>
        <v>0.10900000000000008</v>
      </c>
      <c r="I121" s="3">
        <f t="shared" si="56"/>
        <v>360</v>
      </c>
      <c r="J121" s="14">
        <f t="shared" si="57"/>
        <v>500</v>
      </c>
      <c r="K121" s="3">
        <f t="shared" si="47"/>
        <v>0</v>
      </c>
      <c r="L121" s="3">
        <f t="shared" si="43"/>
        <v>500</v>
      </c>
      <c r="M121" s="15">
        <f t="shared" si="58"/>
        <v>7.0000000000000007E-2</v>
      </c>
      <c r="N121" s="3">
        <f t="shared" si="59"/>
        <v>91.141392912141157</v>
      </c>
      <c r="O121" s="3">
        <f t="shared" si="44"/>
        <v>91.141392912141157</v>
      </c>
      <c r="P121" s="3">
        <f t="shared" si="48"/>
        <v>98.001497754990496</v>
      </c>
      <c r="Q121" s="3">
        <f t="shared" si="49"/>
        <v>41.059850828896771</v>
      </c>
      <c r="R121" s="3">
        <f t="shared" si="50"/>
        <v>69.530674291943626</v>
      </c>
      <c r="S121" s="3">
        <f t="shared" si="45"/>
        <v>1</v>
      </c>
      <c r="T121" s="3">
        <f t="shared" si="51"/>
        <v>28470.823463046861</v>
      </c>
      <c r="U121" s="3">
        <f t="shared" si="52"/>
        <v>0.5</v>
      </c>
      <c r="V121" s="3">
        <f t="shared" si="53"/>
        <v>0</v>
      </c>
      <c r="W121" s="3">
        <f t="shared" si="54"/>
        <v>32810.901448370816</v>
      </c>
      <c r="X121" s="3">
        <f t="shared" si="46"/>
        <v>20529.925414448386</v>
      </c>
      <c r="AI121" s="3"/>
      <c r="AJ121" s="3"/>
      <c r="AK121" s="15">
        <f t="shared" si="36"/>
        <v>7</v>
      </c>
      <c r="AL121" s="11">
        <f t="shared" si="41"/>
        <v>672</v>
      </c>
      <c r="AM121" s="11" t="b">
        <f t="shared" si="35"/>
        <v>0</v>
      </c>
      <c r="AN121" s="11">
        <f t="shared" si="37"/>
        <v>36000</v>
      </c>
      <c r="AO121" s="11">
        <f t="shared" si="38"/>
        <v>0</v>
      </c>
      <c r="AP121" s="11">
        <f t="shared" si="39"/>
        <v>0.95797068581303735</v>
      </c>
      <c r="AQ121" s="11">
        <f t="shared" si="42"/>
        <v>0</v>
      </c>
      <c r="AT121" s="3"/>
      <c r="AU121" s="17"/>
      <c r="AV121" s="19"/>
      <c r="AW121" s="17"/>
      <c r="AX121" s="17">
        <f t="shared" si="61"/>
        <v>112</v>
      </c>
      <c r="AY121" s="17">
        <f t="shared" si="60"/>
        <v>11.2</v>
      </c>
      <c r="AZ121" s="17">
        <v>95.797068581303733</v>
      </c>
      <c r="BA121" s="17"/>
      <c r="BB121" s="17">
        <v>36</v>
      </c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17"/>
      <c r="BQ121" s="17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  <c r="CC121" s="17"/>
      <c r="CD121" s="17"/>
      <c r="CE121" s="17"/>
      <c r="CF121" s="17"/>
      <c r="CG121" s="17"/>
      <c r="CH121" s="17"/>
    </row>
    <row r="122" spans="8:86" x14ac:dyDescent="0.15">
      <c r="H122" s="3">
        <f t="shared" si="55"/>
        <v>0.11000000000000008</v>
      </c>
      <c r="I122" s="3">
        <f t="shared" si="56"/>
        <v>360</v>
      </c>
      <c r="J122" s="14">
        <f t="shared" si="57"/>
        <v>500</v>
      </c>
      <c r="K122" s="3">
        <f t="shared" si="47"/>
        <v>0</v>
      </c>
      <c r="L122" s="3">
        <f t="shared" si="43"/>
        <v>500</v>
      </c>
      <c r="M122" s="15">
        <f t="shared" si="58"/>
        <v>7.0000000000000007E-2</v>
      </c>
      <c r="N122" s="3">
        <f t="shared" si="59"/>
        <v>91.062307291410477</v>
      </c>
      <c r="O122" s="3">
        <f t="shared" si="44"/>
        <v>91.062307291410477</v>
      </c>
      <c r="P122" s="3">
        <f t="shared" si="48"/>
        <v>97.916459453129548</v>
      </c>
      <c r="Q122" s="3">
        <f t="shared" si="49"/>
        <v>41.002909181970679</v>
      </c>
      <c r="R122" s="3">
        <f t="shared" si="50"/>
        <v>69.459684317550114</v>
      </c>
      <c r="S122" s="3">
        <f t="shared" si="45"/>
        <v>1</v>
      </c>
      <c r="T122" s="3">
        <f t="shared" si="51"/>
        <v>28456.775135579435</v>
      </c>
      <c r="U122" s="3">
        <f t="shared" si="52"/>
        <v>0.5</v>
      </c>
      <c r="V122" s="3">
        <f t="shared" si="53"/>
        <v>0</v>
      </c>
      <c r="W122" s="3">
        <f t="shared" si="54"/>
        <v>32782.430624907771</v>
      </c>
      <c r="X122" s="3">
        <f t="shared" si="46"/>
        <v>20501.45459098534</v>
      </c>
      <c r="AI122" s="3"/>
      <c r="AJ122" s="3"/>
      <c r="AK122" s="15">
        <f t="shared" si="36"/>
        <v>7</v>
      </c>
      <c r="AL122" s="11">
        <f t="shared" si="41"/>
        <v>678</v>
      </c>
      <c r="AM122" s="11" t="b">
        <f t="shared" si="35"/>
        <v>0</v>
      </c>
      <c r="AN122" s="11">
        <f t="shared" si="37"/>
        <v>36000</v>
      </c>
      <c r="AO122" s="11">
        <f t="shared" si="38"/>
        <v>0</v>
      </c>
      <c r="AP122" s="11">
        <f t="shared" si="39"/>
        <v>0.95907300062785217</v>
      </c>
      <c r="AQ122" s="11">
        <f t="shared" si="42"/>
        <v>0</v>
      </c>
      <c r="AT122" s="3"/>
      <c r="AU122" s="17"/>
      <c r="AV122" s="19"/>
      <c r="AW122" s="17"/>
      <c r="AX122" s="17">
        <f t="shared" si="61"/>
        <v>113</v>
      </c>
      <c r="AY122" s="17">
        <f t="shared" si="60"/>
        <v>11.3</v>
      </c>
      <c r="AZ122" s="17">
        <v>95.907300062785211</v>
      </c>
      <c r="BA122" s="17"/>
      <c r="BB122" s="17">
        <v>36</v>
      </c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17"/>
      <c r="BQ122" s="17"/>
      <c r="BR122" s="17"/>
      <c r="BS122" s="17"/>
      <c r="BT122" s="17"/>
      <c r="BU122" s="17"/>
      <c r="BV122" s="17"/>
      <c r="BW122" s="17"/>
      <c r="BX122" s="17"/>
      <c r="BY122" s="17"/>
      <c r="BZ122" s="17"/>
      <c r="CA122" s="17"/>
      <c r="CB122" s="17"/>
      <c r="CC122" s="17"/>
      <c r="CD122" s="17"/>
      <c r="CE122" s="17"/>
      <c r="CF122" s="17"/>
      <c r="CG122" s="17"/>
      <c r="CH122" s="17"/>
    </row>
    <row r="123" spans="8:86" x14ac:dyDescent="0.15">
      <c r="H123" s="3">
        <f t="shared" si="55"/>
        <v>0.11100000000000008</v>
      </c>
      <c r="I123" s="3">
        <f t="shared" si="56"/>
        <v>360</v>
      </c>
      <c r="J123" s="14">
        <f t="shared" si="57"/>
        <v>500</v>
      </c>
      <c r="K123" s="3">
        <f t="shared" si="47"/>
        <v>0</v>
      </c>
      <c r="L123" s="3">
        <f t="shared" si="43"/>
        <v>500</v>
      </c>
      <c r="M123" s="15">
        <f t="shared" si="58"/>
        <v>7.0000000000000007E-2</v>
      </c>
      <c r="N123" s="3">
        <f t="shared" si="59"/>
        <v>90.983260693811644</v>
      </c>
      <c r="O123" s="3">
        <f t="shared" si="44"/>
        <v>90.983260693811644</v>
      </c>
      <c r="P123" s="3">
        <f t="shared" si="48"/>
        <v>97.831463111625425</v>
      </c>
      <c r="Q123" s="3">
        <f t="shared" si="49"/>
        <v>40.945995631699525</v>
      </c>
      <c r="R123" s="3">
        <f t="shared" si="50"/>
        <v>69.388729371662478</v>
      </c>
      <c r="S123" s="3">
        <f t="shared" si="45"/>
        <v>1</v>
      </c>
      <c r="T123" s="3">
        <f t="shared" si="51"/>
        <v>28442.73373996295</v>
      </c>
      <c r="U123" s="3">
        <f t="shared" si="52"/>
        <v>0.5</v>
      </c>
      <c r="V123" s="3">
        <f t="shared" si="53"/>
        <v>0</v>
      </c>
      <c r="W123" s="3">
        <f t="shared" si="54"/>
        <v>32753.973849772192</v>
      </c>
      <c r="X123" s="3">
        <f t="shared" si="46"/>
        <v>20472.997815849762</v>
      </c>
      <c r="AI123" s="3"/>
      <c r="AJ123" s="3"/>
      <c r="AK123" s="15">
        <f t="shared" si="36"/>
        <v>7</v>
      </c>
      <c r="AL123" s="11">
        <f t="shared" si="41"/>
        <v>684</v>
      </c>
      <c r="AM123" s="11" t="b">
        <f t="shared" si="35"/>
        <v>0</v>
      </c>
      <c r="AN123" s="11">
        <f t="shared" si="37"/>
        <v>36000</v>
      </c>
      <c r="AO123" s="11">
        <f t="shared" si="38"/>
        <v>0</v>
      </c>
      <c r="AP123" s="11">
        <f t="shared" si="39"/>
        <v>0.9601753154426671</v>
      </c>
      <c r="AQ123" s="11">
        <f t="shared" si="42"/>
        <v>0</v>
      </c>
      <c r="AT123" s="3"/>
      <c r="AU123" s="17"/>
      <c r="AV123" s="19"/>
      <c r="AW123" s="17"/>
      <c r="AX123" s="17">
        <f t="shared" si="61"/>
        <v>114</v>
      </c>
      <c r="AY123" s="17">
        <f t="shared" si="60"/>
        <v>11.4</v>
      </c>
      <c r="AZ123" s="17">
        <v>96.017531544266717</v>
      </c>
      <c r="BA123" s="17"/>
      <c r="BB123" s="17">
        <v>36</v>
      </c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17"/>
      <c r="BQ123" s="17"/>
      <c r="BR123" s="17"/>
      <c r="BS123" s="17"/>
      <c r="BT123" s="17"/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7"/>
    </row>
    <row r="124" spans="8:86" x14ac:dyDescent="0.15">
      <c r="H124" s="3">
        <f t="shared" si="55"/>
        <v>0.11200000000000009</v>
      </c>
      <c r="I124" s="3">
        <f t="shared" si="56"/>
        <v>360</v>
      </c>
      <c r="J124" s="14">
        <f t="shared" si="57"/>
        <v>500</v>
      </c>
      <c r="K124" s="3">
        <f t="shared" si="47"/>
        <v>0</v>
      </c>
      <c r="L124" s="3">
        <f t="shared" si="43"/>
        <v>500</v>
      </c>
      <c r="M124" s="15">
        <f t="shared" si="58"/>
        <v>7.0000000000000007E-2</v>
      </c>
      <c r="N124" s="3">
        <f t="shared" si="59"/>
        <v>90.90425310008952</v>
      </c>
      <c r="O124" s="3">
        <f t="shared" si="44"/>
        <v>90.90425310008952</v>
      </c>
      <c r="P124" s="3">
        <f t="shared" si="48"/>
        <v>97.746508709773678</v>
      </c>
      <c r="Q124" s="3">
        <f t="shared" si="49"/>
        <v>40.889110164219595</v>
      </c>
      <c r="R124" s="3">
        <f t="shared" si="50"/>
        <v>69.31780943699664</v>
      </c>
      <c r="S124" s="3">
        <f t="shared" si="45"/>
        <v>1</v>
      </c>
      <c r="T124" s="3">
        <f t="shared" si="51"/>
        <v>28428.699272777041</v>
      </c>
      <c r="U124" s="3">
        <f t="shared" si="52"/>
        <v>0.5</v>
      </c>
      <c r="V124" s="3">
        <f t="shared" si="53"/>
        <v>0</v>
      </c>
      <c r="W124" s="3">
        <f t="shared" si="54"/>
        <v>32725.531116032227</v>
      </c>
      <c r="X124" s="3">
        <f t="shared" si="46"/>
        <v>20444.555082109797</v>
      </c>
      <c r="AI124" s="3"/>
      <c r="AJ124" s="3"/>
      <c r="AK124" s="15">
        <f t="shared" si="36"/>
        <v>7</v>
      </c>
      <c r="AL124" s="11">
        <f t="shared" si="41"/>
        <v>690</v>
      </c>
      <c r="AM124" s="11" t="b">
        <f t="shared" si="35"/>
        <v>0</v>
      </c>
      <c r="AN124" s="11">
        <f t="shared" si="37"/>
        <v>36000</v>
      </c>
      <c r="AO124" s="11">
        <f t="shared" si="38"/>
        <v>0</v>
      </c>
      <c r="AP124" s="11">
        <f t="shared" si="39"/>
        <v>0.96127763025748192</v>
      </c>
      <c r="AQ124" s="11">
        <f t="shared" si="42"/>
        <v>0</v>
      </c>
      <c r="AT124" s="3"/>
      <c r="AU124" s="17"/>
      <c r="AV124" s="19"/>
      <c r="AW124" s="17"/>
      <c r="AX124" s="17">
        <f t="shared" si="61"/>
        <v>115</v>
      </c>
      <c r="AY124" s="17">
        <f t="shared" si="60"/>
        <v>11.5</v>
      </c>
      <c r="AZ124" s="17">
        <v>96.127763025748195</v>
      </c>
      <c r="BA124" s="17"/>
      <c r="BB124" s="17">
        <v>36</v>
      </c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</row>
    <row r="125" spans="8:86" x14ac:dyDescent="0.15">
      <c r="H125" s="3">
        <f t="shared" si="55"/>
        <v>0.11300000000000009</v>
      </c>
      <c r="I125" s="3">
        <f t="shared" si="56"/>
        <v>360</v>
      </c>
      <c r="J125" s="14">
        <f t="shared" si="57"/>
        <v>500</v>
      </c>
      <c r="K125" s="3">
        <f t="shared" si="47"/>
        <v>0</v>
      </c>
      <c r="L125" s="3">
        <f t="shared" si="43"/>
        <v>500</v>
      </c>
      <c r="M125" s="15">
        <f t="shared" si="58"/>
        <v>7.0000000000000007E-2</v>
      </c>
      <c r="N125" s="3">
        <f t="shared" si="59"/>
        <v>90.82528449099847</v>
      </c>
      <c r="O125" s="3">
        <f t="shared" si="44"/>
        <v>90.82528449099847</v>
      </c>
      <c r="P125" s="3">
        <f t="shared" si="48"/>
        <v>97.661596226880079</v>
      </c>
      <c r="Q125" s="3">
        <f t="shared" si="49"/>
        <v>40.832252765674042</v>
      </c>
      <c r="R125" s="3">
        <f t="shared" si="50"/>
        <v>69.24692449627706</v>
      </c>
      <c r="S125" s="3">
        <f t="shared" si="45"/>
        <v>1</v>
      </c>
      <c r="T125" s="3">
        <f t="shared" si="51"/>
        <v>28414.671730603019</v>
      </c>
      <c r="U125" s="3">
        <f t="shared" si="52"/>
        <v>0.5</v>
      </c>
      <c r="V125" s="3">
        <f t="shared" si="53"/>
        <v>0</v>
      </c>
      <c r="W125" s="3">
        <f t="shared" si="54"/>
        <v>32697.102416759448</v>
      </c>
      <c r="X125" s="3">
        <f t="shared" si="46"/>
        <v>20416.126382837021</v>
      </c>
      <c r="AI125" s="3"/>
      <c r="AJ125" s="3"/>
      <c r="AK125" s="15">
        <f t="shared" si="36"/>
        <v>7</v>
      </c>
      <c r="AL125" s="11">
        <f t="shared" si="41"/>
        <v>696</v>
      </c>
      <c r="AM125" s="11" t="b">
        <f t="shared" si="35"/>
        <v>0</v>
      </c>
      <c r="AN125" s="11">
        <f t="shared" si="37"/>
        <v>36000</v>
      </c>
      <c r="AO125" s="11">
        <f t="shared" si="38"/>
        <v>0</v>
      </c>
      <c r="AP125" s="11">
        <f t="shared" si="39"/>
        <v>0.96237994507229674</v>
      </c>
      <c r="AQ125" s="11">
        <f t="shared" si="42"/>
        <v>0</v>
      </c>
      <c r="AT125" s="3"/>
      <c r="AU125" s="17"/>
      <c r="AV125" s="19"/>
      <c r="AW125" s="17"/>
      <c r="AX125" s="17">
        <f t="shared" si="61"/>
        <v>116</v>
      </c>
      <c r="AY125" s="17">
        <f t="shared" si="60"/>
        <v>11.6</v>
      </c>
      <c r="AZ125" s="17">
        <v>96.237994507229672</v>
      </c>
      <c r="BA125" s="17"/>
      <c r="BB125" s="17">
        <v>36</v>
      </c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</row>
    <row r="126" spans="8:86" x14ac:dyDescent="0.15">
      <c r="H126" s="3">
        <f t="shared" si="55"/>
        <v>0.11400000000000009</v>
      </c>
      <c r="I126" s="3">
        <f t="shared" si="56"/>
        <v>360</v>
      </c>
      <c r="J126" s="14">
        <f t="shared" si="57"/>
        <v>500</v>
      </c>
      <c r="K126" s="3">
        <f t="shared" si="47"/>
        <v>0</v>
      </c>
      <c r="L126" s="3">
        <f t="shared" si="43"/>
        <v>500</v>
      </c>
      <c r="M126" s="15">
        <f t="shared" si="58"/>
        <v>7.0000000000000007E-2</v>
      </c>
      <c r="N126" s="3">
        <f t="shared" si="59"/>
        <v>90.746354847302342</v>
      </c>
      <c r="O126" s="3">
        <f t="shared" si="44"/>
        <v>90.746354847302342</v>
      </c>
      <c r="P126" s="3">
        <f t="shared" si="48"/>
        <v>97.576725642260584</v>
      </c>
      <c r="Q126" s="3">
        <f t="shared" si="49"/>
        <v>40.775423422212839</v>
      </c>
      <c r="R126" s="3">
        <f t="shared" si="50"/>
        <v>69.176074532236711</v>
      </c>
      <c r="S126" s="3">
        <f t="shared" si="45"/>
        <v>1</v>
      </c>
      <c r="T126" s="3">
        <f t="shared" si="51"/>
        <v>28400.651110023871</v>
      </c>
      <c r="U126" s="3">
        <f t="shared" si="52"/>
        <v>0.5</v>
      </c>
      <c r="V126" s="3">
        <f t="shared" si="53"/>
        <v>0</v>
      </c>
      <c r="W126" s="3">
        <f t="shared" si="54"/>
        <v>32668.687745028845</v>
      </c>
      <c r="X126" s="3">
        <f t="shared" si="46"/>
        <v>20387.711711106418</v>
      </c>
      <c r="AI126" s="3"/>
      <c r="AJ126" s="3"/>
      <c r="AK126" s="15">
        <f t="shared" si="36"/>
        <v>7</v>
      </c>
      <c r="AL126" s="11">
        <f t="shared" si="41"/>
        <v>702</v>
      </c>
      <c r="AM126" s="11" t="b">
        <f t="shared" si="35"/>
        <v>0</v>
      </c>
      <c r="AN126" s="11">
        <f t="shared" si="37"/>
        <v>36000</v>
      </c>
      <c r="AO126" s="11">
        <f t="shared" si="38"/>
        <v>0</v>
      </c>
      <c r="AP126" s="11">
        <f t="shared" si="39"/>
        <v>0.96348225988711156</v>
      </c>
      <c r="AQ126" s="11">
        <f t="shared" si="42"/>
        <v>0</v>
      </c>
      <c r="AT126" s="3"/>
      <c r="AU126" s="17"/>
      <c r="AV126" s="19"/>
      <c r="AW126" s="17"/>
      <c r="AX126" s="17">
        <f t="shared" si="61"/>
        <v>117</v>
      </c>
      <c r="AY126" s="17">
        <f t="shared" si="60"/>
        <v>11.7</v>
      </c>
      <c r="AZ126" s="17">
        <v>96.34822598871115</v>
      </c>
      <c r="BA126" s="17"/>
      <c r="BB126" s="17">
        <v>36</v>
      </c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7"/>
      <c r="BR126" s="17"/>
      <c r="BS126" s="17"/>
      <c r="BT126" s="17"/>
      <c r="BU126" s="17"/>
      <c r="BV126" s="17"/>
      <c r="BW126" s="17"/>
      <c r="BX126" s="17"/>
      <c r="BY126" s="17"/>
      <c r="BZ126" s="17"/>
      <c r="CA126" s="17"/>
      <c r="CB126" s="17"/>
      <c r="CC126" s="17"/>
      <c r="CD126" s="17"/>
      <c r="CE126" s="17"/>
      <c r="CF126" s="17"/>
      <c r="CG126" s="17"/>
      <c r="CH126" s="17"/>
    </row>
    <row r="127" spans="8:86" x14ac:dyDescent="0.15">
      <c r="H127" s="3">
        <f t="shared" si="55"/>
        <v>0.11500000000000009</v>
      </c>
      <c r="I127" s="3">
        <f t="shared" si="56"/>
        <v>360</v>
      </c>
      <c r="J127" s="14">
        <f t="shared" si="57"/>
        <v>500</v>
      </c>
      <c r="K127" s="3">
        <f t="shared" si="47"/>
        <v>0</v>
      </c>
      <c r="L127" s="3">
        <f t="shared" si="43"/>
        <v>500</v>
      </c>
      <c r="M127" s="15">
        <f t="shared" si="58"/>
        <v>7.0000000000000007E-2</v>
      </c>
      <c r="N127" s="3">
        <f t="shared" si="59"/>
        <v>90.667464149774503</v>
      </c>
      <c r="O127" s="3">
        <f t="shared" si="44"/>
        <v>90.667464149774503</v>
      </c>
      <c r="P127" s="3">
        <f t="shared" si="48"/>
        <v>97.491896935241414</v>
      </c>
      <c r="Q127" s="3">
        <f t="shared" si="49"/>
        <v>40.718622119992787</v>
      </c>
      <c r="R127" s="3">
        <f t="shared" si="50"/>
        <v>69.105259527617108</v>
      </c>
      <c r="S127" s="3">
        <f t="shared" si="45"/>
        <v>1</v>
      </c>
      <c r="T127" s="3">
        <f t="shared" si="51"/>
        <v>28386.637407624312</v>
      </c>
      <c r="U127" s="3">
        <f t="shared" si="52"/>
        <v>0.5</v>
      </c>
      <c r="V127" s="3">
        <f t="shared" si="53"/>
        <v>0</v>
      </c>
      <c r="W127" s="3">
        <f t="shared" si="54"/>
        <v>32640.287093918821</v>
      </c>
      <c r="X127" s="3">
        <f t="shared" si="46"/>
        <v>20359.311059996395</v>
      </c>
      <c r="AI127" s="3"/>
      <c r="AJ127" s="3"/>
      <c r="AK127" s="15">
        <f t="shared" si="36"/>
        <v>7</v>
      </c>
      <c r="AL127" s="11">
        <f t="shared" si="41"/>
        <v>708</v>
      </c>
      <c r="AM127" s="11" t="b">
        <f t="shared" si="35"/>
        <v>0</v>
      </c>
      <c r="AN127" s="11">
        <f t="shared" si="37"/>
        <v>36000</v>
      </c>
      <c r="AO127" s="11">
        <f t="shared" si="38"/>
        <v>0</v>
      </c>
      <c r="AP127" s="11">
        <f t="shared" si="39"/>
        <v>0.96458457470192638</v>
      </c>
      <c r="AQ127" s="11">
        <f t="shared" si="42"/>
        <v>0</v>
      </c>
      <c r="AT127" s="3"/>
      <c r="AU127" s="17"/>
      <c r="AV127" s="19"/>
      <c r="AW127" s="17"/>
      <c r="AX127" s="17">
        <f t="shared" si="61"/>
        <v>118</v>
      </c>
      <c r="AY127" s="17">
        <f t="shared" si="60"/>
        <v>11.8</v>
      </c>
      <c r="AZ127" s="17">
        <v>96.458457470192641</v>
      </c>
      <c r="BA127" s="17"/>
      <c r="BB127" s="17">
        <v>36</v>
      </c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  <c r="BW127" s="17"/>
      <c r="BX127" s="17"/>
      <c r="BY127" s="17"/>
      <c r="BZ127" s="17"/>
      <c r="CA127" s="17"/>
      <c r="CB127" s="17"/>
      <c r="CC127" s="17"/>
      <c r="CD127" s="17"/>
      <c r="CE127" s="17"/>
      <c r="CF127" s="17"/>
      <c r="CG127" s="17"/>
      <c r="CH127" s="17"/>
    </row>
    <row r="128" spans="8:86" x14ac:dyDescent="0.15">
      <c r="H128" s="3">
        <f t="shared" si="55"/>
        <v>0.11600000000000009</v>
      </c>
      <c r="I128" s="3">
        <f t="shared" si="56"/>
        <v>360</v>
      </c>
      <c r="J128" s="14">
        <f t="shared" si="57"/>
        <v>500</v>
      </c>
      <c r="K128" s="3">
        <f t="shared" si="47"/>
        <v>0</v>
      </c>
      <c r="L128" s="3">
        <f t="shared" si="43"/>
        <v>500</v>
      </c>
      <c r="M128" s="15">
        <f t="shared" si="58"/>
        <v>7.0000000000000007E-2</v>
      </c>
      <c r="N128" s="3">
        <f t="shared" si="59"/>
        <v>90.58861237919777</v>
      </c>
      <c r="O128" s="3">
        <f t="shared" si="44"/>
        <v>90.58861237919777</v>
      </c>
      <c r="P128" s="3">
        <f t="shared" si="48"/>
        <v>97.407110085158905</v>
      </c>
      <c r="Q128" s="3">
        <f t="shared" si="49"/>
        <v>40.661848845177538</v>
      </c>
      <c r="R128" s="3">
        <f t="shared" si="50"/>
        <v>69.034479465168218</v>
      </c>
      <c r="S128" s="3">
        <f t="shared" si="45"/>
        <v>1</v>
      </c>
      <c r="T128" s="3">
        <f t="shared" si="51"/>
        <v>28372.630619990683</v>
      </c>
      <c r="U128" s="3">
        <f t="shared" si="52"/>
        <v>0.5</v>
      </c>
      <c r="V128" s="3">
        <f t="shared" si="53"/>
        <v>0</v>
      </c>
      <c r="W128" s="3">
        <f t="shared" si="54"/>
        <v>32611.900456511197</v>
      </c>
      <c r="X128" s="3">
        <f t="shared" si="46"/>
        <v>20330.924422588771</v>
      </c>
      <c r="AI128" s="3"/>
      <c r="AJ128" s="3"/>
      <c r="AK128" s="15">
        <f t="shared" si="36"/>
        <v>7</v>
      </c>
      <c r="AL128" s="11">
        <f t="shared" si="41"/>
        <v>714</v>
      </c>
      <c r="AM128" s="11" t="b">
        <f t="shared" si="35"/>
        <v>0</v>
      </c>
      <c r="AN128" s="11">
        <f t="shared" si="37"/>
        <v>36000</v>
      </c>
      <c r="AO128" s="11">
        <f t="shared" si="38"/>
        <v>0</v>
      </c>
      <c r="AP128" s="11">
        <f t="shared" si="39"/>
        <v>0.9656868895167412</v>
      </c>
      <c r="AQ128" s="11">
        <f t="shared" si="42"/>
        <v>0</v>
      </c>
      <c r="AT128" s="3"/>
      <c r="AU128" s="17"/>
      <c r="AV128" s="19"/>
      <c r="AW128" s="17"/>
      <c r="AX128" s="17">
        <f t="shared" si="61"/>
        <v>119</v>
      </c>
      <c r="AY128" s="17">
        <f t="shared" si="60"/>
        <v>11.9</v>
      </c>
      <c r="AZ128" s="17">
        <v>96.568688951674119</v>
      </c>
      <c r="BA128" s="17"/>
      <c r="BB128" s="17">
        <v>36</v>
      </c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7"/>
    </row>
    <row r="129" spans="8:86" x14ac:dyDescent="0.15">
      <c r="H129" s="3">
        <f t="shared" si="55"/>
        <v>0.11700000000000009</v>
      </c>
      <c r="I129" s="3">
        <f t="shared" si="56"/>
        <v>360</v>
      </c>
      <c r="J129" s="14">
        <f t="shared" si="57"/>
        <v>500</v>
      </c>
      <c r="K129" s="3">
        <f t="shared" si="47"/>
        <v>0</v>
      </c>
      <c r="L129" s="3">
        <f t="shared" si="43"/>
        <v>500</v>
      </c>
      <c r="M129" s="15">
        <f t="shared" si="58"/>
        <v>7.0000000000000007E-2</v>
      </c>
      <c r="N129" s="3">
        <f t="shared" si="59"/>
        <v>90.509799516364467</v>
      </c>
      <c r="O129" s="3">
        <f t="shared" si="44"/>
        <v>90.509799516364467</v>
      </c>
      <c r="P129" s="3">
        <f t="shared" si="48"/>
        <v>97.322365071359641</v>
      </c>
      <c r="Q129" s="3">
        <f t="shared" si="49"/>
        <v>40.605103583937563</v>
      </c>
      <c r="R129" s="3">
        <f t="shared" si="50"/>
        <v>68.963734327648609</v>
      </c>
      <c r="S129" s="3">
        <f t="shared" si="45"/>
        <v>1</v>
      </c>
      <c r="T129" s="3">
        <f t="shared" si="51"/>
        <v>28358.630743711041</v>
      </c>
      <c r="U129" s="3">
        <f t="shared" si="52"/>
        <v>0.5</v>
      </c>
      <c r="V129" s="3">
        <f t="shared" si="53"/>
        <v>0</v>
      </c>
      <c r="W129" s="3">
        <f t="shared" si="54"/>
        <v>32583.527825891208</v>
      </c>
      <c r="X129" s="3">
        <f t="shared" si="46"/>
        <v>20302.551791968781</v>
      </c>
      <c r="AI129" s="3"/>
      <c r="AJ129" s="3"/>
      <c r="AK129" s="15">
        <f t="shared" si="36"/>
        <v>1</v>
      </c>
      <c r="AL129" s="11">
        <f t="shared" si="41"/>
        <v>720</v>
      </c>
      <c r="AM129" s="11" t="b">
        <f t="shared" si="35"/>
        <v>1</v>
      </c>
      <c r="AN129" s="11">
        <f t="shared" si="37"/>
        <v>36000</v>
      </c>
      <c r="AO129" s="11">
        <f t="shared" si="38"/>
        <v>0</v>
      </c>
      <c r="AP129" s="11">
        <f t="shared" si="39"/>
        <v>0.96678920433155613</v>
      </c>
      <c r="AQ129" s="11">
        <f t="shared" si="42"/>
        <v>0</v>
      </c>
      <c r="AT129" s="3"/>
      <c r="AU129" s="17"/>
      <c r="AV129" s="19"/>
      <c r="AW129" s="17"/>
      <c r="AX129" s="17">
        <f t="shared" si="61"/>
        <v>120</v>
      </c>
      <c r="AY129" s="17">
        <f t="shared" si="60"/>
        <v>12</v>
      </c>
      <c r="AZ129" s="17">
        <v>96.678920433155611</v>
      </c>
      <c r="BA129" s="17"/>
      <c r="BB129" s="17">
        <v>36</v>
      </c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  <c r="BW129" s="17"/>
      <c r="BX129" s="17"/>
      <c r="BY129" s="17"/>
      <c r="BZ129" s="17"/>
      <c r="CA129" s="17"/>
      <c r="CB129" s="17"/>
      <c r="CC129" s="17"/>
      <c r="CD129" s="17"/>
      <c r="CE129" s="17"/>
      <c r="CF129" s="17"/>
      <c r="CG129" s="17"/>
      <c r="CH129" s="17"/>
    </row>
    <row r="130" spans="8:86" x14ac:dyDescent="0.15">
      <c r="H130" s="3">
        <f t="shared" si="55"/>
        <v>0.11800000000000009</v>
      </c>
      <c r="I130" s="3">
        <f t="shared" si="56"/>
        <v>360</v>
      </c>
      <c r="J130" s="14">
        <f t="shared" si="57"/>
        <v>500</v>
      </c>
      <c r="K130" s="3">
        <f t="shared" si="47"/>
        <v>0</v>
      </c>
      <c r="L130" s="3">
        <f t="shared" si="43"/>
        <v>500</v>
      </c>
      <c r="M130" s="15">
        <f t="shared" si="58"/>
        <v>7.0000000000000007E-2</v>
      </c>
      <c r="N130" s="3">
        <f t="shared" si="59"/>
        <v>90.431025542076384</v>
      </c>
      <c r="O130" s="3">
        <f t="shared" si="44"/>
        <v>90.431025542076384</v>
      </c>
      <c r="P130" s="3">
        <f t="shared" si="48"/>
        <v>97.237661873200423</v>
      </c>
      <c r="Q130" s="3">
        <f t="shared" si="49"/>
        <v>40.548386322450142</v>
      </c>
      <c r="R130" s="3">
        <f t="shared" si="50"/>
        <v>68.893024097825275</v>
      </c>
      <c r="S130" s="3">
        <f t="shared" si="45"/>
        <v>1</v>
      </c>
      <c r="T130" s="3">
        <f t="shared" si="51"/>
        <v>28344.63777537514</v>
      </c>
      <c r="U130" s="3">
        <f t="shared" si="52"/>
        <v>0.5</v>
      </c>
      <c r="V130" s="3">
        <f t="shared" si="53"/>
        <v>0</v>
      </c>
      <c r="W130" s="3">
        <f t="shared" si="54"/>
        <v>32555.169195147497</v>
      </c>
      <c r="X130" s="3">
        <f t="shared" si="46"/>
        <v>20274.19316122507</v>
      </c>
      <c r="AI130" s="3"/>
      <c r="AJ130" s="3"/>
      <c r="AK130" s="15">
        <f t="shared" si="36"/>
        <v>1</v>
      </c>
      <c r="AL130" s="11">
        <f t="shared" si="41"/>
        <v>726</v>
      </c>
      <c r="AM130" s="11" t="b">
        <f t="shared" si="35"/>
        <v>1</v>
      </c>
      <c r="AN130" s="11">
        <f t="shared" si="37"/>
        <v>36000</v>
      </c>
      <c r="AO130" s="11">
        <f t="shared" si="38"/>
        <v>0</v>
      </c>
      <c r="AP130" s="11">
        <f t="shared" si="39"/>
        <v>0.92967269196689162</v>
      </c>
      <c r="AQ130" s="11">
        <f t="shared" si="42"/>
        <v>0</v>
      </c>
      <c r="AT130" s="3"/>
      <c r="AU130" s="17"/>
      <c r="AV130" s="19"/>
      <c r="AW130" s="17"/>
      <c r="AX130" s="17">
        <f t="shared" si="61"/>
        <v>121</v>
      </c>
      <c r="AY130" s="17">
        <f t="shared" si="60"/>
        <v>12.1</v>
      </c>
      <c r="AZ130" s="17">
        <v>92.967269196689159</v>
      </c>
      <c r="BA130" s="17"/>
      <c r="BB130" s="17">
        <v>36</v>
      </c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7"/>
    </row>
    <row r="131" spans="8:86" x14ac:dyDescent="0.15">
      <c r="H131" s="3">
        <f t="shared" si="55"/>
        <v>0.11900000000000009</v>
      </c>
      <c r="I131" s="3">
        <f t="shared" si="56"/>
        <v>360</v>
      </c>
      <c r="J131" s="14">
        <f t="shared" si="57"/>
        <v>500</v>
      </c>
      <c r="K131" s="3">
        <f t="shared" si="47"/>
        <v>0</v>
      </c>
      <c r="L131" s="3">
        <f t="shared" si="43"/>
        <v>500</v>
      </c>
      <c r="M131" s="15">
        <f t="shared" si="58"/>
        <v>7.0000000000000007E-2</v>
      </c>
      <c r="N131" s="3">
        <f t="shared" si="59"/>
        <v>90.352290437144788</v>
      </c>
      <c r="O131" s="3">
        <f t="shared" si="44"/>
        <v>90.352290437144788</v>
      </c>
      <c r="P131" s="3">
        <f t="shared" si="48"/>
        <v>97.15300047004817</v>
      </c>
      <c r="Q131" s="3">
        <f t="shared" si="49"/>
        <v>40.49169704689939</v>
      </c>
      <c r="R131" s="3">
        <f t="shared" si="50"/>
        <v>68.82234875847378</v>
      </c>
      <c r="S131" s="3">
        <f t="shared" si="45"/>
        <v>1</v>
      </c>
      <c r="T131" s="3">
        <f t="shared" si="51"/>
        <v>28330.651711574392</v>
      </c>
      <c r="U131" s="3">
        <f t="shared" si="52"/>
        <v>0.5</v>
      </c>
      <c r="V131" s="3">
        <f t="shared" si="53"/>
        <v>0</v>
      </c>
      <c r="W131" s="3">
        <f t="shared" si="54"/>
        <v>32526.824557372125</v>
      </c>
      <c r="X131" s="3">
        <f t="shared" si="46"/>
        <v>20245.848523449695</v>
      </c>
      <c r="AI131" s="3"/>
      <c r="AJ131" s="3"/>
      <c r="AK131" s="15">
        <f t="shared" si="36"/>
        <v>1</v>
      </c>
      <c r="AL131" s="11">
        <f t="shared" si="41"/>
        <v>732</v>
      </c>
      <c r="AM131" s="11" t="b">
        <f t="shared" si="35"/>
        <v>1</v>
      </c>
      <c r="AN131" s="11">
        <f t="shared" si="37"/>
        <v>36000</v>
      </c>
      <c r="AO131" s="11">
        <f t="shared" si="38"/>
        <v>0</v>
      </c>
      <c r="AP131" s="11">
        <f t="shared" si="39"/>
        <v>0.89402345867941846</v>
      </c>
      <c r="AQ131" s="11">
        <f t="shared" si="42"/>
        <v>0</v>
      </c>
      <c r="AT131" s="3"/>
      <c r="AU131" s="17"/>
      <c r="AV131" s="19"/>
      <c r="AW131" s="17"/>
      <c r="AX131" s="17">
        <f t="shared" si="61"/>
        <v>122</v>
      </c>
      <c r="AY131" s="17">
        <f t="shared" si="60"/>
        <v>12.2</v>
      </c>
      <c r="AZ131" s="17">
        <v>89.402345867941847</v>
      </c>
      <c r="BA131" s="17"/>
      <c r="BB131" s="17">
        <v>36</v>
      </c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  <c r="BW131" s="17"/>
      <c r="BX131" s="17"/>
      <c r="BY131" s="17"/>
      <c r="BZ131" s="17"/>
      <c r="CA131" s="17"/>
      <c r="CB131" s="17"/>
      <c r="CC131" s="17"/>
      <c r="CD131" s="17"/>
      <c r="CE131" s="17"/>
      <c r="CF131" s="17"/>
      <c r="CG131" s="17"/>
      <c r="CH131" s="17"/>
    </row>
    <row r="132" spans="8:86" x14ac:dyDescent="0.15">
      <c r="H132" s="3">
        <f t="shared" si="55"/>
        <v>0.12000000000000009</v>
      </c>
      <c r="I132" s="3">
        <f t="shared" si="56"/>
        <v>360</v>
      </c>
      <c r="J132" s="14">
        <f t="shared" si="57"/>
        <v>500</v>
      </c>
      <c r="K132" s="3">
        <f t="shared" si="47"/>
        <v>0</v>
      </c>
      <c r="L132" s="3">
        <f t="shared" si="43"/>
        <v>500</v>
      </c>
      <c r="M132" s="15">
        <f t="shared" si="58"/>
        <v>7.0000000000000007E-2</v>
      </c>
      <c r="N132" s="3">
        <f t="shared" si="59"/>
        <v>90.273594182390426</v>
      </c>
      <c r="O132" s="3">
        <f t="shared" si="44"/>
        <v>90.273594182390426</v>
      </c>
      <c r="P132" s="3">
        <f t="shared" si="48"/>
        <v>97.068380841280032</v>
      </c>
      <c r="Q132" s="3">
        <f t="shared" si="49"/>
        <v>40.435035743476242</v>
      </c>
      <c r="R132" s="3">
        <f t="shared" si="50"/>
        <v>68.75170829237814</v>
      </c>
      <c r="S132" s="3">
        <f t="shared" si="45"/>
        <v>1</v>
      </c>
      <c r="T132" s="3">
        <f t="shared" si="51"/>
        <v>28316.672548901894</v>
      </c>
      <c r="U132" s="3">
        <f t="shared" si="52"/>
        <v>0.5</v>
      </c>
      <c r="V132" s="3">
        <f t="shared" si="53"/>
        <v>0</v>
      </c>
      <c r="W132" s="3">
        <f t="shared" si="54"/>
        <v>32498.493905660554</v>
      </c>
      <c r="X132" s="3">
        <f t="shared" si="46"/>
        <v>20217.51787173812</v>
      </c>
      <c r="AI132" s="3"/>
      <c r="AJ132" s="3"/>
      <c r="AK132" s="15">
        <f t="shared" si="36"/>
        <v>1</v>
      </c>
      <c r="AL132" s="11">
        <f t="shared" si="41"/>
        <v>738</v>
      </c>
      <c r="AM132" s="11" t="b">
        <f t="shared" si="35"/>
        <v>1</v>
      </c>
      <c r="AN132" s="11">
        <f t="shared" si="37"/>
        <v>36000</v>
      </c>
      <c r="AO132" s="11">
        <f t="shared" si="38"/>
        <v>0</v>
      </c>
      <c r="AP132" s="11">
        <f t="shared" si="39"/>
        <v>0.85978350042314189</v>
      </c>
      <c r="AQ132" s="11">
        <f t="shared" si="42"/>
        <v>0</v>
      </c>
      <c r="AT132" s="3"/>
      <c r="AU132" s="17"/>
      <c r="AV132" s="19"/>
      <c r="AW132" s="17"/>
      <c r="AX132" s="17">
        <f t="shared" si="61"/>
        <v>123</v>
      </c>
      <c r="AY132" s="17">
        <f t="shared" si="60"/>
        <v>12.3</v>
      </c>
      <c r="AZ132" s="17">
        <v>85.97835004231419</v>
      </c>
      <c r="BA132" s="17"/>
      <c r="BB132" s="17">
        <v>36</v>
      </c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7"/>
    </row>
    <row r="133" spans="8:86" x14ac:dyDescent="0.15">
      <c r="H133" s="3">
        <f t="shared" si="55"/>
        <v>0.12100000000000009</v>
      </c>
      <c r="I133" s="3">
        <f t="shared" si="56"/>
        <v>360</v>
      </c>
      <c r="J133" s="14">
        <f t="shared" si="57"/>
        <v>500</v>
      </c>
      <c r="K133" s="3">
        <f t="shared" si="47"/>
        <v>0</v>
      </c>
      <c r="L133" s="3">
        <f t="shared" si="43"/>
        <v>500</v>
      </c>
      <c r="M133" s="15">
        <f t="shared" si="58"/>
        <v>7.0000000000000007E-2</v>
      </c>
      <c r="N133" s="3">
        <f t="shared" si="59"/>
        <v>90.194936758643479</v>
      </c>
      <c r="O133" s="3">
        <f t="shared" si="44"/>
        <v>90.194936758643479</v>
      </c>
      <c r="P133" s="3">
        <f t="shared" si="48"/>
        <v>96.983802966283321</v>
      </c>
      <c r="Q133" s="3">
        <f t="shared" si="49"/>
        <v>40.378402398378434</v>
      </c>
      <c r="R133" s="3">
        <f t="shared" si="50"/>
        <v>68.681102682330874</v>
      </c>
      <c r="S133" s="3">
        <f t="shared" si="45"/>
        <v>1</v>
      </c>
      <c r="T133" s="3">
        <f t="shared" si="51"/>
        <v>28302.700283952443</v>
      </c>
      <c r="U133" s="3">
        <f t="shared" si="52"/>
        <v>0.5</v>
      </c>
      <c r="V133" s="3">
        <f t="shared" si="53"/>
        <v>0</v>
      </c>
      <c r="W133" s="3">
        <f t="shared" si="54"/>
        <v>32470.177233111652</v>
      </c>
      <c r="X133" s="3">
        <f t="shared" si="46"/>
        <v>20189.201199189218</v>
      </c>
      <c r="AI133" s="3"/>
      <c r="AJ133" s="3"/>
      <c r="AK133" s="15">
        <f t="shared" si="36"/>
        <v>1</v>
      </c>
      <c r="AL133" s="11">
        <f t="shared" si="41"/>
        <v>744</v>
      </c>
      <c r="AM133" s="11" t="b">
        <f t="shared" si="35"/>
        <v>1</v>
      </c>
      <c r="AN133" s="11">
        <f t="shared" si="37"/>
        <v>36000</v>
      </c>
      <c r="AO133" s="11">
        <f t="shared" si="38"/>
        <v>0</v>
      </c>
      <c r="AP133" s="11">
        <f t="shared" si="39"/>
        <v>0.82689710615099554</v>
      </c>
      <c r="AQ133" s="11">
        <f t="shared" si="42"/>
        <v>0</v>
      </c>
      <c r="AT133" s="3"/>
      <c r="AU133" s="17"/>
      <c r="AV133" s="19"/>
      <c r="AW133" s="17"/>
      <c r="AX133" s="17">
        <f t="shared" si="61"/>
        <v>124</v>
      </c>
      <c r="AY133" s="17">
        <f t="shared" si="60"/>
        <v>12.4</v>
      </c>
      <c r="AZ133" s="17">
        <v>82.689710615099557</v>
      </c>
      <c r="BA133" s="17"/>
      <c r="BB133" s="17">
        <v>36</v>
      </c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  <c r="BW133" s="17"/>
      <c r="BX133" s="17"/>
      <c r="BY133" s="17"/>
      <c r="BZ133" s="17"/>
      <c r="CA133" s="17"/>
      <c r="CB133" s="17"/>
      <c r="CC133" s="17"/>
      <c r="CD133" s="17"/>
      <c r="CE133" s="17"/>
      <c r="CF133" s="17"/>
      <c r="CG133" s="17"/>
      <c r="CH133" s="17"/>
    </row>
    <row r="134" spans="8:86" x14ac:dyDescent="0.15">
      <c r="H134" s="3">
        <f t="shared" si="55"/>
        <v>0.12200000000000009</v>
      </c>
      <c r="I134" s="3">
        <f t="shared" si="56"/>
        <v>360</v>
      </c>
      <c r="J134" s="14">
        <f t="shared" si="57"/>
        <v>500</v>
      </c>
      <c r="K134" s="3">
        <f t="shared" si="47"/>
        <v>0</v>
      </c>
      <c r="L134" s="3">
        <f t="shared" si="43"/>
        <v>500</v>
      </c>
      <c r="M134" s="15">
        <f t="shared" si="58"/>
        <v>7.0000000000000007E-2</v>
      </c>
      <c r="N134" s="3">
        <f t="shared" si="59"/>
        <v>90.116318146743609</v>
      </c>
      <c r="O134" s="3">
        <f t="shared" si="44"/>
        <v>90.116318146743609</v>
      </c>
      <c r="P134" s="3">
        <f t="shared" si="48"/>
        <v>96.899266824455495</v>
      </c>
      <c r="Q134" s="3">
        <f t="shared" si="49"/>
        <v>40.32179699781053</v>
      </c>
      <c r="R134" s="3">
        <f t="shared" si="50"/>
        <v>68.610531911133009</v>
      </c>
      <c r="S134" s="3">
        <f t="shared" si="45"/>
        <v>1</v>
      </c>
      <c r="T134" s="3">
        <f t="shared" si="51"/>
        <v>28288.734913322482</v>
      </c>
      <c r="U134" s="3">
        <f t="shared" si="52"/>
        <v>0.5</v>
      </c>
      <c r="V134" s="3">
        <f t="shared" si="53"/>
        <v>0</v>
      </c>
      <c r="W134" s="3">
        <f t="shared" si="54"/>
        <v>32441.8745328277</v>
      </c>
      <c r="X134" s="3">
        <f t="shared" si="46"/>
        <v>20160.898498905266</v>
      </c>
      <c r="AI134" s="3"/>
      <c r="AJ134" s="3"/>
      <c r="AK134" s="15">
        <f t="shared" si="36"/>
        <v>1</v>
      </c>
      <c r="AL134" s="11">
        <f t="shared" si="41"/>
        <v>750</v>
      </c>
      <c r="AM134" s="11" t="b">
        <f t="shared" si="35"/>
        <v>1</v>
      </c>
      <c r="AN134" s="11">
        <f t="shared" si="37"/>
        <v>36000</v>
      </c>
      <c r="AO134" s="11">
        <f t="shared" si="38"/>
        <v>0</v>
      </c>
      <c r="AP134" s="11">
        <f t="shared" si="39"/>
        <v>0.79531076716868099</v>
      </c>
      <c r="AQ134" s="11">
        <f t="shared" si="42"/>
        <v>0</v>
      </c>
      <c r="AT134" s="3"/>
      <c r="AU134" s="17"/>
      <c r="AV134" s="19"/>
      <c r="AW134" s="17"/>
      <c r="AX134" s="17">
        <f t="shared" si="61"/>
        <v>125</v>
      </c>
      <c r="AY134" s="17">
        <f t="shared" si="60"/>
        <v>12.5</v>
      </c>
      <c r="AZ134" s="17">
        <v>79.5310767168681</v>
      </c>
      <c r="BA134" s="17"/>
      <c r="BB134" s="17">
        <v>36</v>
      </c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7"/>
    </row>
    <row r="135" spans="8:86" x14ac:dyDescent="0.15">
      <c r="H135" s="3">
        <f t="shared" si="55"/>
        <v>0.1230000000000001</v>
      </c>
      <c r="I135" s="3">
        <f t="shared" si="56"/>
        <v>360</v>
      </c>
      <c r="J135" s="14">
        <f t="shared" si="57"/>
        <v>500</v>
      </c>
      <c r="K135" s="3">
        <f t="shared" si="47"/>
        <v>0</v>
      </c>
      <c r="L135" s="3">
        <f t="shared" si="43"/>
        <v>500</v>
      </c>
      <c r="M135" s="15">
        <f t="shared" si="58"/>
        <v>7.0000000000000007E-2</v>
      </c>
      <c r="N135" s="3">
        <f t="shared" si="59"/>
        <v>90.037738327539941</v>
      </c>
      <c r="O135" s="3">
        <f t="shared" si="44"/>
        <v>90.037738327539941</v>
      </c>
      <c r="P135" s="3">
        <f t="shared" si="48"/>
        <v>96.814772395204244</v>
      </c>
      <c r="Q135" s="3">
        <f t="shared" si="49"/>
        <v>40.265219527983888</v>
      </c>
      <c r="R135" s="3">
        <f t="shared" si="50"/>
        <v>68.539995961594059</v>
      </c>
      <c r="S135" s="3">
        <f t="shared" si="45"/>
        <v>1</v>
      </c>
      <c r="T135" s="3">
        <f t="shared" si="51"/>
        <v>28274.776433610179</v>
      </c>
      <c r="U135" s="3">
        <f t="shared" si="52"/>
        <v>0.5</v>
      </c>
      <c r="V135" s="3">
        <f t="shared" si="53"/>
        <v>0</v>
      </c>
      <c r="W135" s="3">
        <f t="shared" si="54"/>
        <v>32413.58579791438</v>
      </c>
      <c r="X135" s="3">
        <f t="shared" si="46"/>
        <v>20132.609763991943</v>
      </c>
      <c r="AI135" s="3"/>
      <c r="AJ135" s="3"/>
      <c r="AK135" s="15">
        <f t="shared" si="36"/>
        <v>1</v>
      </c>
      <c r="AL135" s="11">
        <f t="shared" si="41"/>
        <v>756</v>
      </c>
      <c r="AM135" s="11" t="b">
        <f t="shared" si="35"/>
        <v>1</v>
      </c>
      <c r="AN135" s="11">
        <f t="shared" si="37"/>
        <v>36000</v>
      </c>
      <c r="AO135" s="11">
        <f t="shared" si="38"/>
        <v>0</v>
      </c>
      <c r="AP135" s="11">
        <f t="shared" si="39"/>
        <v>0.76497309007190339</v>
      </c>
      <c r="AQ135" s="11">
        <f t="shared" si="42"/>
        <v>0</v>
      </c>
      <c r="AT135" s="3"/>
      <c r="AU135" s="17"/>
      <c r="AV135" s="19"/>
      <c r="AW135" s="17"/>
      <c r="AX135" s="17">
        <f t="shared" si="61"/>
        <v>126</v>
      </c>
      <c r="AY135" s="17">
        <f t="shared" si="60"/>
        <v>12.6</v>
      </c>
      <c r="AZ135" s="17">
        <v>76.497309007190339</v>
      </c>
      <c r="BA135" s="17"/>
      <c r="BB135" s="17">
        <v>36</v>
      </c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</row>
    <row r="136" spans="8:86" x14ac:dyDescent="0.15">
      <c r="H136" s="3">
        <f t="shared" si="55"/>
        <v>0.1240000000000001</v>
      </c>
      <c r="I136" s="3">
        <f t="shared" si="56"/>
        <v>360</v>
      </c>
      <c r="J136" s="14">
        <f t="shared" si="57"/>
        <v>500</v>
      </c>
      <c r="K136" s="3">
        <f t="shared" si="47"/>
        <v>0</v>
      </c>
      <c r="L136" s="3">
        <f t="shared" si="43"/>
        <v>500</v>
      </c>
      <c r="M136" s="15">
        <f t="shared" si="58"/>
        <v>7.0000000000000007E-2</v>
      </c>
      <c r="N136" s="3">
        <f t="shared" si="59"/>
        <v>89.959197281891036</v>
      </c>
      <c r="O136" s="3">
        <f t="shared" si="44"/>
        <v>89.959197281891036</v>
      </c>
      <c r="P136" s="3">
        <f t="shared" si="48"/>
        <v>96.730319657947362</v>
      </c>
      <c r="Q136" s="3">
        <f t="shared" si="49"/>
        <v>40.208669975116671</v>
      </c>
      <c r="R136" s="3">
        <f t="shared" si="50"/>
        <v>68.46949481653202</v>
      </c>
      <c r="S136" s="3">
        <f t="shared" si="45"/>
        <v>1</v>
      </c>
      <c r="T136" s="3">
        <f t="shared" si="51"/>
        <v>28260.824841415346</v>
      </c>
      <c r="U136" s="3">
        <f t="shared" si="52"/>
        <v>0.5</v>
      </c>
      <c r="V136" s="3">
        <f t="shared" si="53"/>
        <v>0</v>
      </c>
      <c r="W136" s="3">
        <f t="shared" si="54"/>
        <v>32385.311021480775</v>
      </c>
      <c r="X136" s="3">
        <f t="shared" si="46"/>
        <v>20104.334987558334</v>
      </c>
      <c r="AI136" s="3"/>
      <c r="AJ136" s="3"/>
      <c r="AK136" s="15">
        <f t="shared" si="36"/>
        <v>1</v>
      </c>
      <c r="AL136" s="11">
        <f t="shared" si="41"/>
        <v>762</v>
      </c>
      <c r="AM136" s="11" t="b">
        <f t="shared" si="35"/>
        <v>1</v>
      </c>
      <c r="AN136" s="11">
        <f t="shared" si="37"/>
        <v>36000</v>
      </c>
      <c r="AO136" s="11">
        <f t="shared" si="38"/>
        <v>0</v>
      </c>
      <c r="AP136" s="11">
        <f t="shared" si="39"/>
        <v>0.73583471312534854</v>
      </c>
      <c r="AQ136" s="11">
        <f t="shared" si="42"/>
        <v>0</v>
      </c>
      <c r="AT136" s="3"/>
      <c r="AU136" s="17"/>
      <c r="AV136" s="19"/>
      <c r="AW136" s="17"/>
      <c r="AX136" s="17">
        <f t="shared" si="61"/>
        <v>127</v>
      </c>
      <c r="AY136" s="17">
        <f t="shared" si="60"/>
        <v>12.7</v>
      </c>
      <c r="AZ136" s="17">
        <v>73.583471312534854</v>
      </c>
      <c r="BA136" s="17"/>
      <c r="BB136" s="17">
        <v>36</v>
      </c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</row>
    <row r="137" spans="8:86" x14ac:dyDescent="0.15">
      <c r="H137" s="3">
        <f t="shared" si="55"/>
        <v>0.12500000000000008</v>
      </c>
      <c r="I137" s="3">
        <f t="shared" si="56"/>
        <v>360</v>
      </c>
      <c r="J137" s="14">
        <f t="shared" si="57"/>
        <v>500</v>
      </c>
      <c r="K137" s="3">
        <f t="shared" si="47"/>
        <v>0</v>
      </c>
      <c r="L137" s="3">
        <f t="shared" si="43"/>
        <v>500</v>
      </c>
      <c r="M137" s="15">
        <f t="shared" si="58"/>
        <v>7.0000000000000007E-2</v>
      </c>
      <c r="N137" s="3">
        <f t="shared" si="59"/>
        <v>89.880694990664892</v>
      </c>
      <c r="O137" s="3">
        <f t="shared" si="44"/>
        <v>89.880694990664892</v>
      </c>
      <c r="P137" s="3">
        <f t="shared" si="48"/>
        <v>96.645908592112789</v>
      </c>
      <c r="Q137" s="3">
        <f t="shared" si="49"/>
        <v>40.152148325433835</v>
      </c>
      <c r="R137" s="3">
        <f t="shared" si="50"/>
        <v>68.399028458773316</v>
      </c>
      <c r="S137" s="3">
        <f t="shared" si="45"/>
        <v>1</v>
      </c>
      <c r="T137" s="3">
        <f t="shared" si="51"/>
        <v>28246.880133339477</v>
      </c>
      <c r="U137" s="3">
        <f t="shared" si="52"/>
        <v>0.5</v>
      </c>
      <c r="V137" s="3">
        <f t="shared" si="53"/>
        <v>0</v>
      </c>
      <c r="W137" s="3">
        <f t="shared" si="54"/>
        <v>32357.05019663936</v>
      </c>
      <c r="X137" s="3">
        <f t="shared" si="46"/>
        <v>20076.074162716919</v>
      </c>
      <c r="AI137" s="3"/>
      <c r="AJ137" s="3"/>
      <c r="AK137" s="15">
        <f t="shared" si="36"/>
        <v>1</v>
      </c>
      <c r="AL137" s="11">
        <f t="shared" si="41"/>
        <v>768</v>
      </c>
      <c r="AM137" s="11" t="b">
        <f t="shared" ref="AM137:AM200" si="62">OR(AND(AL137&gt;=$AC$5,AL137&lt;=$AD$5),AND(AL137&gt;=$AC$6,AL137&lt;=$AD$6),AND(AL137&gt;=$AC$7,AL137&lt;=$AD$7),AND(AL137&gt;=$AC$8,AL137&lt;=$AD$8),AND(AL137&gt;=$AC$9,AL137&lt;=$AD$9),AND(AL137&gt;=$AC$10,AL137&lt;=$AD$10),AND(AL137&gt;=$AC$11,AL137&lt;=$AD$11),AND($AD$11&lt;$AC$11,OR(AL137&lt;$AD$11,AL137&gt;$AC$11)))</f>
        <v>1</v>
      </c>
      <c r="AN137" s="11">
        <f t="shared" si="37"/>
        <v>36000</v>
      </c>
      <c r="AO137" s="11">
        <f t="shared" si="38"/>
        <v>0</v>
      </c>
      <c r="AP137" s="11">
        <f t="shared" si="39"/>
        <v>0.70784822594734054</v>
      </c>
      <c r="AQ137" s="11">
        <f t="shared" si="42"/>
        <v>0</v>
      </c>
      <c r="AT137" s="3"/>
      <c r="AU137" s="17"/>
      <c r="AV137" s="19"/>
      <c r="AW137" s="17"/>
      <c r="AX137" s="17">
        <f t="shared" si="61"/>
        <v>128</v>
      </c>
      <c r="AY137" s="17">
        <f t="shared" si="60"/>
        <v>12.8</v>
      </c>
      <c r="AZ137" s="17">
        <v>70.784822594734052</v>
      </c>
      <c r="BA137" s="17"/>
      <c r="BB137" s="17">
        <v>36</v>
      </c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  <c r="BW137" s="17"/>
      <c r="BX137" s="17"/>
      <c r="BY137" s="17"/>
      <c r="BZ137" s="17"/>
      <c r="CA137" s="17"/>
      <c r="CB137" s="17"/>
      <c r="CC137" s="17"/>
      <c r="CD137" s="17"/>
      <c r="CE137" s="17"/>
      <c r="CF137" s="17"/>
      <c r="CG137" s="17"/>
      <c r="CH137" s="17"/>
    </row>
    <row r="138" spans="8:86" x14ac:dyDescent="0.15">
      <c r="H138" s="3">
        <f t="shared" si="55"/>
        <v>0.12600000000000008</v>
      </c>
      <c r="I138" s="3">
        <f t="shared" si="56"/>
        <v>360</v>
      </c>
      <c r="J138" s="14">
        <f t="shared" si="57"/>
        <v>500</v>
      </c>
      <c r="K138" s="3">
        <f t="shared" si="47"/>
        <v>0</v>
      </c>
      <c r="L138" s="3">
        <f t="shared" si="43"/>
        <v>500</v>
      </c>
      <c r="M138" s="15">
        <f t="shared" si="58"/>
        <v>7.0000000000000007E-2</v>
      </c>
      <c r="N138" s="3">
        <f t="shared" si="59"/>
        <v>89.802231434738957</v>
      </c>
      <c r="O138" s="3">
        <f t="shared" si="44"/>
        <v>89.802231434738957</v>
      </c>
      <c r="P138" s="3">
        <f t="shared" si="48"/>
        <v>96.56153917713867</v>
      </c>
      <c r="Q138" s="3">
        <f t="shared" si="49"/>
        <v>40.095654565167159</v>
      </c>
      <c r="R138" s="3">
        <f t="shared" si="50"/>
        <v>68.328596871152911</v>
      </c>
      <c r="S138" s="3">
        <f t="shared" si="45"/>
        <v>1</v>
      </c>
      <c r="T138" s="3">
        <f t="shared" si="51"/>
        <v>28232.942305985755</v>
      </c>
      <c r="U138" s="3">
        <f t="shared" si="52"/>
        <v>0.5</v>
      </c>
      <c r="V138" s="3">
        <f t="shared" si="53"/>
        <v>0</v>
      </c>
      <c r="W138" s="3">
        <f t="shared" si="54"/>
        <v>32328.803316506026</v>
      </c>
      <c r="X138" s="3">
        <f t="shared" si="46"/>
        <v>20047.827282583581</v>
      </c>
      <c r="AI138" s="3"/>
      <c r="AJ138" s="3"/>
      <c r="AK138" s="15">
        <f t="shared" ref="AK138:AK201" si="63">1+INT(MOD(AL138/60/24-0.5,7))</f>
        <v>1</v>
      </c>
      <c r="AL138" s="11">
        <f t="shared" si="41"/>
        <v>774</v>
      </c>
      <c r="AM138" s="11" t="b">
        <f t="shared" si="62"/>
        <v>1</v>
      </c>
      <c r="AN138" s="11">
        <f t="shared" ref="AN138:AN201" si="64">IF(AND(AM138,NOT(AM139)),$AB$26,AN137+($AB$28-IF(AND(AM137,AM138),CHOOSE(AK138,$AG$5,$AG$6,$AG$7,$AG$8,$AG$9,$AG$10,$AG$11)*$AA$22/$AA$24,0))*$AB$15)</f>
        <v>36000</v>
      </c>
      <c r="AO138" s="11">
        <f t="shared" ref="AO138:AO201" si="65">IF(AND(AM138,NOT(AM139)),$AB$27,AO137+($AB$29-IF(AND(AM137,AM138),CHOOSE(AK138,$AG$5,$AG$6,$AG$7,$AG$8,$AG$9,$AG$10,$AG$11)*$AA$23/$AA$24,0))*$AB$15)</f>
        <v>0</v>
      </c>
      <c r="AP138" s="11">
        <f t="shared" ref="AP138:AP201" si="66">IF(AN137&lt;=0,0,(AP137*AN137-(IF(AND(AM137,AM138),CHOOSE(AK138,$AI$5,$AI$6,$AI$7,$AI$8,$AI$9,$AI$10,$AI$11),$AA$37))*AP137*$AB$15+$AA$34*(AQ137-AP137)*$AB$15+$AA$33*$AB$15)/AN137)</f>
        <v>0.68096809236950173</v>
      </c>
      <c r="AQ138" s="11">
        <f t="shared" si="42"/>
        <v>0</v>
      </c>
      <c r="AT138" s="3"/>
      <c r="AU138" s="17"/>
      <c r="AV138" s="19"/>
      <c r="AW138" s="17"/>
      <c r="AX138" s="17">
        <f t="shared" si="61"/>
        <v>129</v>
      </c>
      <c r="AY138" s="17">
        <f t="shared" si="60"/>
        <v>12.9</v>
      </c>
      <c r="AZ138" s="17">
        <v>68.096809236950179</v>
      </c>
      <c r="BA138" s="17"/>
      <c r="BB138" s="17">
        <v>36</v>
      </c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7"/>
    </row>
    <row r="139" spans="8:86" x14ac:dyDescent="0.15">
      <c r="H139" s="3">
        <f t="shared" si="55"/>
        <v>0.12700000000000009</v>
      </c>
      <c r="I139" s="3">
        <f t="shared" si="56"/>
        <v>360</v>
      </c>
      <c r="J139" s="14">
        <f t="shared" si="57"/>
        <v>500</v>
      </c>
      <c r="K139" s="3">
        <f t="shared" si="47"/>
        <v>0</v>
      </c>
      <c r="L139" s="3">
        <f t="shared" si="43"/>
        <v>500</v>
      </c>
      <c r="M139" s="15">
        <f t="shared" si="58"/>
        <v>7.0000000000000007E-2</v>
      </c>
      <c r="N139" s="3">
        <f t="shared" si="59"/>
        <v>89.723806595000113</v>
      </c>
      <c r="O139" s="3">
        <f t="shared" si="44"/>
        <v>89.723806595000113</v>
      </c>
      <c r="P139" s="3">
        <f t="shared" si="48"/>
        <v>96.477211392473251</v>
      </c>
      <c r="Q139" s="3">
        <f t="shared" si="49"/>
        <v>40.039188680555192</v>
      </c>
      <c r="R139" s="3">
        <f t="shared" si="50"/>
        <v>68.258200036514225</v>
      </c>
      <c r="S139" s="3">
        <f t="shared" si="45"/>
        <v>1</v>
      </c>
      <c r="T139" s="3">
        <f t="shared" si="51"/>
        <v>28219.011355959028</v>
      </c>
      <c r="U139" s="3">
        <f t="shared" si="52"/>
        <v>0.5</v>
      </c>
      <c r="V139" s="3">
        <f t="shared" si="53"/>
        <v>0</v>
      </c>
      <c r="W139" s="3">
        <f t="shared" si="54"/>
        <v>32300.570374200041</v>
      </c>
      <c r="X139" s="3">
        <f t="shared" si="46"/>
        <v>20019.594340277596</v>
      </c>
      <c r="AI139" s="3"/>
      <c r="AJ139" s="3"/>
      <c r="AK139" s="15">
        <f t="shared" si="63"/>
        <v>1</v>
      </c>
      <c r="AL139" s="11">
        <f t="shared" ref="AL139:AL202" si="67">AL138+$AB$15</f>
        <v>780</v>
      </c>
      <c r="AM139" s="11" t="b">
        <f t="shared" si="62"/>
        <v>1</v>
      </c>
      <c r="AN139" s="11">
        <f t="shared" si="64"/>
        <v>36000</v>
      </c>
      <c r="AO139" s="11">
        <f t="shared" si="65"/>
        <v>0</v>
      </c>
      <c r="AP139" s="11">
        <f t="shared" si="66"/>
        <v>0.65515057634590323</v>
      </c>
      <c r="AQ139" s="11">
        <f t="shared" ref="AQ139:AQ202" si="68">IF(AO138&lt;=0,0,(AQ138*AO138-$AA$34*(AQ138-AP138)*$AB$15)/AO138)</f>
        <v>0</v>
      </c>
      <c r="AT139" s="3"/>
      <c r="AU139" s="17"/>
      <c r="AV139" s="19"/>
      <c r="AW139" s="17"/>
      <c r="AX139" s="17">
        <f t="shared" si="61"/>
        <v>130</v>
      </c>
      <c r="AY139" s="17">
        <f t="shared" si="60"/>
        <v>13</v>
      </c>
      <c r="AZ139" s="17">
        <v>65.51505763459032</v>
      </c>
      <c r="BA139" s="17"/>
      <c r="BB139" s="17">
        <v>36</v>
      </c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  <c r="CC139" s="17"/>
      <c r="CD139" s="17"/>
      <c r="CE139" s="17"/>
      <c r="CF139" s="17"/>
      <c r="CG139" s="17"/>
      <c r="CH139" s="17"/>
    </row>
    <row r="140" spans="8:86" x14ac:dyDescent="0.15">
      <c r="H140" s="3">
        <f t="shared" si="55"/>
        <v>0.12800000000000009</v>
      </c>
      <c r="I140" s="3">
        <f t="shared" si="56"/>
        <v>360</v>
      </c>
      <c r="J140" s="14">
        <f t="shared" si="57"/>
        <v>500</v>
      </c>
      <c r="K140" s="3">
        <f t="shared" si="47"/>
        <v>0</v>
      </c>
      <c r="L140" s="3">
        <f t="shared" ref="L140:L203" si="69">$L$8*$L$6/I140</f>
        <v>500</v>
      </c>
      <c r="M140" s="15">
        <f t="shared" si="58"/>
        <v>7.0000000000000007E-2</v>
      </c>
      <c r="N140" s="3">
        <f t="shared" si="59"/>
        <v>89.645420452344666</v>
      </c>
      <c r="O140" s="3">
        <f t="shared" ref="O140:O203" si="70">N140*S140</f>
        <v>89.645420452344666</v>
      </c>
      <c r="P140" s="3">
        <f t="shared" si="48"/>
        <v>96.392925217574913</v>
      </c>
      <c r="Q140" s="3">
        <f t="shared" si="49"/>
        <v>39.982750657843276</v>
      </c>
      <c r="R140" s="3">
        <f t="shared" si="50"/>
        <v>68.187837937709091</v>
      </c>
      <c r="S140" s="3">
        <f t="shared" ref="S140:S203" si="71">IF($F$10=0,0,IF($F$10=1,1,(N140-L140-1/$I$5+((L140-N140+1/$I$5)^2+4*N140/$I$5)^0.5)/2/N140))</f>
        <v>1</v>
      </c>
      <c r="T140" s="3">
        <f t="shared" si="51"/>
        <v>28205.087279865817</v>
      </c>
      <c r="U140" s="3">
        <f t="shared" si="52"/>
        <v>0.5</v>
      </c>
      <c r="V140" s="3">
        <f t="shared" si="53"/>
        <v>0</v>
      </c>
      <c r="W140" s="3">
        <f t="shared" si="54"/>
        <v>32272.351362844081</v>
      </c>
      <c r="X140" s="3">
        <f t="shared" ref="X140:X203" si="72">IF($F$19,W140-W141+X141,J140*Q140)</f>
        <v>19991.375328921637</v>
      </c>
      <c r="AI140" s="3"/>
      <c r="AJ140" s="3"/>
      <c r="AK140" s="15">
        <f t="shared" si="63"/>
        <v>1</v>
      </c>
      <c r="AL140" s="11">
        <f t="shared" si="67"/>
        <v>786</v>
      </c>
      <c r="AM140" s="11" t="b">
        <f t="shared" si="62"/>
        <v>1</v>
      </c>
      <c r="AN140" s="11">
        <f t="shared" si="64"/>
        <v>36000</v>
      </c>
      <c r="AO140" s="11">
        <f t="shared" si="65"/>
        <v>0</v>
      </c>
      <c r="AP140" s="11">
        <f t="shared" si="66"/>
        <v>0.63035367079115212</v>
      </c>
      <c r="AQ140" s="11">
        <f t="shared" si="68"/>
        <v>0</v>
      </c>
      <c r="AT140" s="3"/>
      <c r="AU140" s="17"/>
      <c r="AV140" s="19"/>
      <c r="AW140" s="17"/>
      <c r="AX140" s="17">
        <f t="shared" si="61"/>
        <v>131</v>
      </c>
      <c r="AY140" s="17">
        <f t="shared" si="60"/>
        <v>13.1</v>
      </c>
      <c r="AZ140" s="17">
        <v>63.035367079115211</v>
      </c>
      <c r="BA140" s="17"/>
      <c r="BB140" s="17">
        <v>36</v>
      </c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  <c r="BW140" s="17"/>
      <c r="BX140" s="17"/>
      <c r="BY140" s="17"/>
      <c r="BZ140" s="17"/>
      <c r="CA140" s="17"/>
      <c r="CB140" s="17"/>
      <c r="CC140" s="17"/>
      <c r="CD140" s="17"/>
      <c r="CE140" s="17"/>
      <c r="CF140" s="17"/>
      <c r="CG140" s="17"/>
      <c r="CH140" s="17"/>
    </row>
    <row r="141" spans="8:86" x14ac:dyDescent="0.15">
      <c r="H141" s="3">
        <f t="shared" si="55"/>
        <v>0.12900000000000009</v>
      </c>
      <c r="I141" s="3">
        <f t="shared" si="56"/>
        <v>360</v>
      </c>
      <c r="J141" s="14">
        <f t="shared" si="57"/>
        <v>500</v>
      </c>
      <c r="K141" s="3">
        <f t="shared" ref="K141:K204" si="73">2*$F$6*$I$6*H141+$F$6*$I$7</f>
        <v>0</v>
      </c>
      <c r="L141" s="3">
        <f t="shared" si="69"/>
        <v>500</v>
      </c>
      <c r="M141" s="15">
        <f t="shared" si="58"/>
        <v>7.0000000000000007E-2</v>
      </c>
      <c r="N141" s="3">
        <f t="shared" si="59"/>
        <v>89.567072987678387</v>
      </c>
      <c r="O141" s="3">
        <f t="shared" si="70"/>
        <v>89.567072987678387</v>
      </c>
      <c r="P141" s="3">
        <f t="shared" ref="P141:P204" si="74">O141/(1-M141)</f>
        <v>96.308680631912253</v>
      </c>
      <c r="Q141" s="3">
        <f t="shared" ref="Q141:Q204" si="75">IF($F$19,IF($F$20,0,X141/J141),(Q140*J140-T140*$I$4)/J141)</f>
        <v>39.926340483283546</v>
      </c>
      <c r="R141" s="3">
        <f t="shared" ref="R141:R204" si="76">IF($F$19,P141,(1-U141)*P141+U141*Q141)</f>
        <v>68.117510557597896</v>
      </c>
      <c r="S141" s="3">
        <f t="shared" si="71"/>
        <v>1</v>
      </c>
      <c r="T141" s="3">
        <f t="shared" ref="T141:T204" si="77">IF($F$19,0,$F$8*(P141-Q141))+R141*K141*(1-$F$11)</f>
        <v>28191.170074314352</v>
      </c>
      <c r="U141" s="3">
        <f t="shared" ref="U141:U204" si="78">IF($F$8=0,0,IF(V141=0,0.5,IF(ISERROR(EXP(V141)),0,1/V141-1/(EXP(V141)-1))))</f>
        <v>0.5</v>
      </c>
      <c r="V141" s="3">
        <f t="shared" ref="V141:V204" si="79">K141*(1-$F$11)/$F$8</f>
        <v>0</v>
      </c>
      <c r="W141" s="3">
        <f t="shared" ref="W141:W204" si="80">(I141+$L$5)*N141</f>
        <v>32244.146275564221</v>
      </c>
      <c r="X141" s="3">
        <f t="shared" si="72"/>
        <v>19963.170241641772</v>
      </c>
      <c r="AI141" s="3"/>
      <c r="AJ141" s="3"/>
      <c r="AK141" s="15">
        <f t="shared" si="63"/>
        <v>1</v>
      </c>
      <c r="AL141" s="11">
        <f t="shared" si="67"/>
        <v>792</v>
      </c>
      <c r="AM141" s="11" t="b">
        <f t="shared" si="62"/>
        <v>1</v>
      </c>
      <c r="AN141" s="11">
        <f t="shared" si="64"/>
        <v>36000</v>
      </c>
      <c r="AO141" s="11">
        <f t="shared" si="65"/>
        <v>0</v>
      </c>
      <c r="AP141" s="11">
        <f t="shared" si="66"/>
        <v>0.60653702923163044</v>
      </c>
      <c r="AQ141" s="11">
        <f t="shared" si="68"/>
        <v>0</v>
      </c>
      <c r="AT141" s="3"/>
      <c r="AU141" s="17"/>
      <c r="AV141" s="19"/>
      <c r="AW141" s="17"/>
      <c r="AX141" s="17">
        <f t="shared" si="61"/>
        <v>132</v>
      </c>
      <c r="AY141" s="17">
        <f t="shared" si="60"/>
        <v>13.2</v>
      </c>
      <c r="AZ141" s="17">
        <v>60.653702923163046</v>
      </c>
      <c r="BA141" s="17"/>
      <c r="BB141" s="17">
        <v>36</v>
      </c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7"/>
      <c r="CF141" s="17"/>
      <c r="CG141" s="17"/>
      <c r="CH141" s="17"/>
    </row>
    <row r="142" spans="8:86" x14ac:dyDescent="0.15">
      <c r="H142" s="3">
        <f t="shared" ref="H142:H205" si="81">H141+$I$4</f>
        <v>0.13000000000000009</v>
      </c>
      <c r="I142" s="3">
        <f t="shared" ref="I142:I205" si="82">$I$12-$F$6*($I$6*H142^2+$I$7*H142)</f>
        <v>360</v>
      </c>
      <c r="J142" s="14">
        <f t="shared" ref="J142:J205" si="83">$J$12-$F$6*($I$6*H142^2+$I$7*H142)</f>
        <v>500</v>
      </c>
      <c r="K142" s="3">
        <f t="shared" si="73"/>
        <v>0</v>
      </c>
      <c r="L142" s="3">
        <f t="shared" si="69"/>
        <v>500</v>
      </c>
      <c r="M142" s="15">
        <f t="shared" ref="M142:M205" si="84">$M$12*L142/$L$12</f>
        <v>7.0000000000000007E-2</v>
      </c>
      <c r="N142" s="3">
        <f t="shared" ref="N142:N205" si="85">(N141*I141+P141*$L$5-T141*$I$4)/(I142+$L$5/(1-M142))</f>
        <v>89.488764181916409</v>
      </c>
      <c r="O142" s="3">
        <f t="shared" si="70"/>
        <v>89.488764181916409</v>
      </c>
      <c r="P142" s="3">
        <f t="shared" si="74"/>
        <v>96.224477614963888</v>
      </c>
      <c r="Q142" s="3">
        <f t="shared" si="75"/>
        <v>39.869958143134916</v>
      </c>
      <c r="R142" s="3">
        <f t="shared" si="76"/>
        <v>68.047217879049398</v>
      </c>
      <c r="S142" s="3">
        <f t="shared" si="71"/>
        <v>1</v>
      </c>
      <c r="T142" s="3">
        <f t="shared" si="77"/>
        <v>28177.259735914486</v>
      </c>
      <c r="U142" s="3">
        <f t="shared" si="78"/>
        <v>0.5</v>
      </c>
      <c r="V142" s="3">
        <f t="shared" si="79"/>
        <v>0</v>
      </c>
      <c r="W142" s="3">
        <f t="shared" si="80"/>
        <v>32215.955105489906</v>
      </c>
      <c r="X142" s="3">
        <f t="shared" si="72"/>
        <v>19934.979071567457</v>
      </c>
      <c r="AI142" s="3"/>
      <c r="AJ142" s="3"/>
      <c r="AK142" s="15">
        <f t="shared" si="63"/>
        <v>1</v>
      </c>
      <c r="AL142" s="11">
        <f t="shared" si="67"/>
        <v>798</v>
      </c>
      <c r="AM142" s="11" t="b">
        <f t="shared" si="62"/>
        <v>1</v>
      </c>
      <c r="AN142" s="11">
        <f t="shared" si="64"/>
        <v>36000</v>
      </c>
      <c r="AO142" s="11">
        <f t="shared" si="65"/>
        <v>0</v>
      </c>
      <c r="AP142" s="11">
        <f t="shared" si="66"/>
        <v>0.58366190015867869</v>
      </c>
      <c r="AQ142" s="11">
        <f t="shared" si="68"/>
        <v>0</v>
      </c>
      <c r="AT142" s="3"/>
      <c r="AU142" s="17"/>
      <c r="AV142" s="19"/>
      <c r="AW142" s="17"/>
      <c r="AX142" s="17">
        <f t="shared" si="61"/>
        <v>133</v>
      </c>
      <c r="AY142" s="17">
        <f t="shared" si="60"/>
        <v>13.3</v>
      </c>
      <c r="AZ142" s="17">
        <v>58.366190015867872</v>
      </c>
      <c r="BA142" s="17"/>
      <c r="BB142" s="17">
        <v>36</v>
      </c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7"/>
    </row>
    <row r="143" spans="8:86" x14ac:dyDescent="0.15">
      <c r="H143" s="3">
        <f t="shared" si="81"/>
        <v>0.13100000000000009</v>
      </c>
      <c r="I143" s="3">
        <f t="shared" si="82"/>
        <v>360</v>
      </c>
      <c r="J143" s="14">
        <f t="shared" si="83"/>
        <v>500</v>
      </c>
      <c r="K143" s="3">
        <f t="shared" si="73"/>
        <v>0</v>
      </c>
      <c r="L143" s="3">
        <f t="shared" si="69"/>
        <v>500</v>
      </c>
      <c r="M143" s="15">
        <f t="shared" si="84"/>
        <v>7.0000000000000007E-2</v>
      </c>
      <c r="N143" s="3">
        <f t="shared" si="85"/>
        <v>89.410494015983303</v>
      </c>
      <c r="O143" s="3">
        <f t="shared" si="70"/>
        <v>89.410494015983303</v>
      </c>
      <c r="P143" s="3">
        <f t="shared" si="74"/>
        <v>96.140316146218609</v>
      </c>
      <c r="Q143" s="3">
        <f t="shared" si="75"/>
        <v>39.813603623663084</v>
      </c>
      <c r="R143" s="3">
        <f t="shared" si="76"/>
        <v>67.97695988494084</v>
      </c>
      <c r="S143" s="3">
        <f t="shared" si="71"/>
        <v>1</v>
      </c>
      <c r="T143" s="3">
        <f t="shared" si="77"/>
        <v>28163.356261277764</v>
      </c>
      <c r="U143" s="3">
        <f t="shared" si="78"/>
        <v>0.5</v>
      </c>
      <c r="V143" s="3">
        <f t="shared" si="79"/>
        <v>0</v>
      </c>
      <c r="W143" s="3">
        <f t="shared" si="80"/>
        <v>32187.77784575399</v>
      </c>
      <c r="X143" s="3">
        <f t="shared" si="72"/>
        <v>19906.801811831541</v>
      </c>
      <c r="AI143" s="3"/>
      <c r="AJ143" s="3"/>
      <c r="AK143" s="15">
        <f t="shared" si="63"/>
        <v>1</v>
      </c>
      <c r="AL143" s="11">
        <f t="shared" si="67"/>
        <v>804</v>
      </c>
      <c r="AM143" s="11" t="b">
        <f t="shared" si="62"/>
        <v>1</v>
      </c>
      <c r="AN143" s="11">
        <f t="shared" si="64"/>
        <v>36000</v>
      </c>
      <c r="AO143" s="11">
        <f t="shared" si="65"/>
        <v>0</v>
      </c>
      <c r="AP143" s="11">
        <f t="shared" si="66"/>
        <v>0.56169106397690771</v>
      </c>
      <c r="AQ143" s="11">
        <f t="shared" si="68"/>
        <v>0</v>
      </c>
      <c r="AT143" s="3"/>
      <c r="AU143" s="17"/>
      <c r="AV143" s="19"/>
      <c r="AW143" s="17"/>
      <c r="AX143" s="17">
        <f t="shared" si="61"/>
        <v>134</v>
      </c>
      <c r="AY143" s="17">
        <f t="shared" si="60"/>
        <v>13.4</v>
      </c>
      <c r="AZ143" s="17">
        <v>56.169106397690769</v>
      </c>
      <c r="BA143" s="17"/>
      <c r="BB143" s="17">
        <v>36</v>
      </c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  <c r="BW143" s="17"/>
      <c r="BX143" s="17"/>
      <c r="BY143" s="17"/>
      <c r="BZ143" s="17"/>
      <c r="CA143" s="17"/>
      <c r="CB143" s="17"/>
      <c r="CC143" s="17"/>
      <c r="CD143" s="17"/>
      <c r="CE143" s="17"/>
      <c r="CF143" s="17"/>
      <c r="CG143" s="17"/>
      <c r="CH143" s="17"/>
    </row>
    <row r="144" spans="8:86" x14ac:dyDescent="0.15">
      <c r="H144" s="3">
        <f t="shared" si="81"/>
        <v>0.13200000000000009</v>
      </c>
      <c r="I144" s="3">
        <f t="shared" si="82"/>
        <v>360</v>
      </c>
      <c r="J144" s="14">
        <f t="shared" si="83"/>
        <v>500</v>
      </c>
      <c r="K144" s="3">
        <f t="shared" si="73"/>
        <v>0</v>
      </c>
      <c r="L144" s="3">
        <f t="shared" si="69"/>
        <v>500</v>
      </c>
      <c r="M144" s="15">
        <f t="shared" si="84"/>
        <v>7.0000000000000007E-2</v>
      </c>
      <c r="N144" s="3">
        <f t="shared" si="85"/>
        <v>89.332262470813092</v>
      </c>
      <c r="O144" s="3">
        <f t="shared" si="70"/>
        <v>89.332262470813092</v>
      </c>
      <c r="P144" s="3">
        <f t="shared" si="74"/>
        <v>96.056196205175368</v>
      </c>
      <c r="Q144" s="3">
        <f t="shared" si="75"/>
        <v>39.757276911140529</v>
      </c>
      <c r="R144" s="3">
        <f t="shared" si="76"/>
        <v>67.906736558157945</v>
      </c>
      <c r="S144" s="3">
        <f t="shared" si="71"/>
        <v>1</v>
      </c>
      <c r="T144" s="3">
        <f t="shared" si="77"/>
        <v>28149.459647017418</v>
      </c>
      <c r="U144" s="3">
        <f t="shared" si="78"/>
        <v>0.5</v>
      </c>
      <c r="V144" s="3">
        <f t="shared" si="79"/>
        <v>0</v>
      </c>
      <c r="W144" s="3">
        <f t="shared" si="80"/>
        <v>32159.614489492713</v>
      </c>
      <c r="X144" s="3">
        <f t="shared" si="72"/>
        <v>19878.638455570264</v>
      </c>
      <c r="AI144" s="3"/>
      <c r="AJ144" s="3"/>
      <c r="AK144" s="15">
        <f t="shared" si="63"/>
        <v>1</v>
      </c>
      <c r="AL144" s="11">
        <f t="shared" si="67"/>
        <v>810</v>
      </c>
      <c r="AM144" s="11" t="b">
        <f t="shared" si="62"/>
        <v>1</v>
      </c>
      <c r="AN144" s="11">
        <f t="shared" si="64"/>
        <v>36000</v>
      </c>
      <c r="AO144" s="11">
        <f t="shared" si="65"/>
        <v>0</v>
      </c>
      <c r="AP144" s="11">
        <f t="shared" si="66"/>
        <v>0.54058877244505377</v>
      </c>
      <c r="AQ144" s="11">
        <f t="shared" si="68"/>
        <v>0</v>
      </c>
      <c r="AT144" s="3"/>
      <c r="AU144" s="17"/>
      <c r="AV144" s="19"/>
      <c r="AW144" s="17"/>
      <c r="AX144" s="17">
        <f t="shared" si="61"/>
        <v>135</v>
      </c>
      <c r="AY144" s="17">
        <f t="shared" si="60"/>
        <v>13.5</v>
      </c>
      <c r="AZ144" s="17">
        <v>54.058877244505375</v>
      </c>
      <c r="BA144" s="17"/>
      <c r="BB144" s="17">
        <v>36</v>
      </c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  <c r="BW144" s="17"/>
      <c r="BX144" s="17"/>
      <c r="BY144" s="17"/>
      <c r="BZ144" s="17"/>
      <c r="CA144" s="17"/>
      <c r="CB144" s="17"/>
      <c r="CC144" s="17"/>
      <c r="CD144" s="17"/>
      <c r="CE144" s="17"/>
      <c r="CF144" s="17"/>
      <c r="CG144" s="17"/>
      <c r="CH144" s="17"/>
    </row>
    <row r="145" spans="8:86" x14ac:dyDescent="0.15">
      <c r="H145" s="3">
        <f t="shared" si="81"/>
        <v>0.13300000000000009</v>
      </c>
      <c r="I145" s="3">
        <f t="shared" si="82"/>
        <v>360</v>
      </c>
      <c r="J145" s="14">
        <f t="shared" si="83"/>
        <v>500</v>
      </c>
      <c r="K145" s="3">
        <f t="shared" si="73"/>
        <v>0</v>
      </c>
      <c r="L145" s="3">
        <f t="shared" si="69"/>
        <v>500</v>
      </c>
      <c r="M145" s="15">
        <f t="shared" si="84"/>
        <v>7.0000000000000007E-2</v>
      </c>
      <c r="N145" s="3">
        <f t="shared" si="85"/>
        <v>89.254069527349145</v>
      </c>
      <c r="O145" s="3">
        <f t="shared" si="70"/>
        <v>89.254069527349145</v>
      </c>
      <c r="P145" s="3">
        <f t="shared" si="74"/>
        <v>95.972117771343179</v>
      </c>
      <c r="Q145" s="3">
        <f t="shared" si="75"/>
        <v>39.700977991846493</v>
      </c>
      <c r="R145" s="3">
        <f t="shared" si="76"/>
        <v>67.836547881594839</v>
      </c>
      <c r="S145" s="3">
        <f t="shared" si="71"/>
        <v>1</v>
      </c>
      <c r="T145" s="3">
        <f t="shared" si="77"/>
        <v>28135.569889748342</v>
      </c>
      <c r="U145" s="3">
        <f t="shared" si="78"/>
        <v>0.5</v>
      </c>
      <c r="V145" s="3">
        <f t="shared" si="79"/>
        <v>0</v>
      </c>
      <c r="W145" s="3">
        <f t="shared" si="80"/>
        <v>32131.465029845691</v>
      </c>
      <c r="X145" s="3">
        <f t="shared" si="72"/>
        <v>19850.488995923246</v>
      </c>
      <c r="AI145" s="3"/>
      <c r="AJ145" s="3"/>
      <c r="AK145" s="15">
        <f t="shared" si="63"/>
        <v>1</v>
      </c>
      <c r="AL145" s="11">
        <f t="shared" si="67"/>
        <v>816</v>
      </c>
      <c r="AM145" s="11" t="b">
        <f t="shared" si="62"/>
        <v>1</v>
      </c>
      <c r="AN145" s="11">
        <f t="shared" si="64"/>
        <v>36000</v>
      </c>
      <c r="AO145" s="11">
        <f t="shared" si="65"/>
        <v>0</v>
      </c>
      <c r="AP145" s="11">
        <f t="shared" si="66"/>
        <v>0.52032069051083873</v>
      </c>
      <c r="AQ145" s="11">
        <f t="shared" si="68"/>
        <v>0</v>
      </c>
      <c r="AT145" s="3"/>
      <c r="AU145" s="17"/>
      <c r="AV145" s="19"/>
      <c r="AW145" s="17"/>
      <c r="AX145" s="17">
        <f t="shared" si="61"/>
        <v>136</v>
      </c>
      <c r="AY145" s="17">
        <f t="shared" si="60"/>
        <v>13.6</v>
      </c>
      <c r="AZ145" s="17">
        <v>52.032069051083873</v>
      </c>
      <c r="BA145" s="17"/>
      <c r="BB145" s="17">
        <v>36</v>
      </c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</row>
    <row r="146" spans="8:86" x14ac:dyDescent="0.15">
      <c r="H146" s="3">
        <f t="shared" si="81"/>
        <v>0.13400000000000009</v>
      </c>
      <c r="I146" s="3">
        <f t="shared" si="82"/>
        <v>360</v>
      </c>
      <c r="J146" s="14">
        <f t="shared" si="83"/>
        <v>500</v>
      </c>
      <c r="K146" s="3">
        <f t="shared" si="73"/>
        <v>0</v>
      </c>
      <c r="L146" s="3">
        <f t="shared" si="69"/>
        <v>500</v>
      </c>
      <c r="M146" s="15">
        <f t="shared" si="84"/>
        <v>7.0000000000000007E-2</v>
      </c>
      <c r="N146" s="3">
        <f t="shared" si="85"/>
        <v>89.175915166544286</v>
      </c>
      <c r="O146" s="3">
        <f t="shared" si="70"/>
        <v>89.175915166544286</v>
      </c>
      <c r="P146" s="3">
        <f t="shared" si="74"/>
        <v>95.888080824241172</v>
      </c>
      <c r="Q146" s="3">
        <f t="shared" si="75"/>
        <v>39.644706852066996</v>
      </c>
      <c r="R146" s="3">
        <f t="shared" si="76"/>
        <v>67.766393838154087</v>
      </c>
      <c r="S146" s="3">
        <f t="shared" si="71"/>
        <v>1</v>
      </c>
      <c r="T146" s="3">
        <f t="shared" si="77"/>
        <v>28121.686986087087</v>
      </c>
      <c r="U146" s="3">
        <f t="shared" si="78"/>
        <v>0.5</v>
      </c>
      <c r="V146" s="3">
        <f t="shared" si="79"/>
        <v>0</v>
      </c>
      <c r="W146" s="3">
        <f t="shared" si="80"/>
        <v>32103.329459955941</v>
      </c>
      <c r="X146" s="3">
        <f t="shared" si="72"/>
        <v>19822.353426033496</v>
      </c>
      <c r="AI146" s="3"/>
      <c r="AJ146" s="3"/>
      <c r="AK146" s="15">
        <f t="shared" si="63"/>
        <v>1</v>
      </c>
      <c r="AL146" s="11">
        <f t="shared" si="67"/>
        <v>822</v>
      </c>
      <c r="AM146" s="11" t="b">
        <f t="shared" si="62"/>
        <v>1</v>
      </c>
      <c r="AN146" s="11">
        <f t="shared" si="64"/>
        <v>36000</v>
      </c>
      <c r="AO146" s="11">
        <f t="shared" si="65"/>
        <v>0</v>
      </c>
      <c r="AP146" s="11">
        <f t="shared" si="66"/>
        <v>0.5008538404451971</v>
      </c>
      <c r="AQ146" s="11">
        <f t="shared" si="68"/>
        <v>0</v>
      </c>
      <c r="AT146" s="3"/>
      <c r="AU146" s="17"/>
      <c r="AV146" s="19"/>
      <c r="AW146" s="17"/>
      <c r="AX146" s="17">
        <f t="shared" si="61"/>
        <v>137</v>
      </c>
      <c r="AY146" s="17">
        <f t="shared" si="60"/>
        <v>13.7</v>
      </c>
      <c r="AZ146" s="17">
        <v>50.085384044519706</v>
      </c>
      <c r="BA146" s="17"/>
      <c r="BB146" s="17">
        <v>36</v>
      </c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7"/>
      <c r="CD146" s="17"/>
      <c r="CE146" s="17"/>
      <c r="CF146" s="17"/>
      <c r="CG146" s="17"/>
      <c r="CH146" s="17"/>
    </row>
    <row r="147" spans="8:86" x14ac:dyDescent="0.15">
      <c r="H147" s="3">
        <f t="shared" si="81"/>
        <v>0.13500000000000009</v>
      </c>
      <c r="I147" s="3">
        <f t="shared" si="82"/>
        <v>360</v>
      </c>
      <c r="J147" s="14">
        <f t="shared" si="83"/>
        <v>500</v>
      </c>
      <c r="K147" s="3">
        <f t="shared" si="73"/>
        <v>0</v>
      </c>
      <c r="L147" s="3">
        <f t="shared" si="69"/>
        <v>500</v>
      </c>
      <c r="M147" s="15">
        <f t="shared" si="84"/>
        <v>7.0000000000000007E-2</v>
      </c>
      <c r="N147" s="3">
        <f t="shared" si="85"/>
        <v>89.0977993693607</v>
      </c>
      <c r="O147" s="3">
        <f t="shared" si="70"/>
        <v>89.0977993693607</v>
      </c>
      <c r="P147" s="3">
        <f t="shared" si="74"/>
        <v>95.804085343398611</v>
      </c>
      <c r="Q147" s="3">
        <f t="shared" si="75"/>
        <v>39.588463478094816</v>
      </c>
      <c r="R147" s="3">
        <f t="shared" si="76"/>
        <v>67.69627441074671</v>
      </c>
      <c r="S147" s="3">
        <f t="shared" si="71"/>
        <v>1</v>
      </c>
      <c r="T147" s="3">
        <f t="shared" si="77"/>
        <v>28107.810932651897</v>
      </c>
      <c r="U147" s="3">
        <f t="shared" si="78"/>
        <v>0.5</v>
      </c>
      <c r="V147" s="3">
        <f t="shared" si="79"/>
        <v>0</v>
      </c>
      <c r="W147" s="3">
        <f t="shared" si="80"/>
        <v>32075.20777296985</v>
      </c>
      <c r="X147" s="3">
        <f t="shared" si="72"/>
        <v>19794.231739047409</v>
      </c>
      <c r="AI147" s="3"/>
      <c r="AJ147" s="3"/>
      <c r="AK147" s="15">
        <f t="shared" si="63"/>
        <v>1</v>
      </c>
      <c r="AL147" s="11">
        <f t="shared" si="67"/>
        <v>828</v>
      </c>
      <c r="AM147" s="11" t="b">
        <f t="shared" si="62"/>
        <v>1</v>
      </c>
      <c r="AN147" s="11">
        <f t="shared" si="64"/>
        <v>36000</v>
      </c>
      <c r="AO147" s="11">
        <f t="shared" si="65"/>
        <v>0</v>
      </c>
      <c r="AP147" s="11">
        <f t="shared" si="66"/>
        <v>0.48215654818497389</v>
      </c>
      <c r="AQ147" s="11">
        <f t="shared" si="68"/>
        <v>0</v>
      </c>
      <c r="AT147" s="3"/>
      <c r="AU147" s="17"/>
      <c r="AV147" s="19"/>
      <c r="AW147" s="17"/>
      <c r="AX147" s="17">
        <f t="shared" si="61"/>
        <v>138</v>
      </c>
      <c r="AY147" s="17">
        <f t="shared" si="60"/>
        <v>13.8</v>
      </c>
      <c r="AZ147" s="17">
        <v>48.215654818497391</v>
      </c>
      <c r="BA147" s="17"/>
      <c r="BB147" s="17">
        <v>36</v>
      </c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7"/>
      <c r="CC147" s="17"/>
      <c r="CD147" s="17"/>
      <c r="CE147" s="17"/>
      <c r="CF147" s="17"/>
      <c r="CG147" s="17"/>
      <c r="CH147" s="17"/>
    </row>
    <row r="148" spans="8:86" x14ac:dyDescent="0.15">
      <c r="H148" s="3">
        <f t="shared" si="81"/>
        <v>0.13600000000000009</v>
      </c>
      <c r="I148" s="3">
        <f t="shared" si="82"/>
        <v>360</v>
      </c>
      <c r="J148" s="14">
        <f t="shared" si="83"/>
        <v>500</v>
      </c>
      <c r="K148" s="3">
        <f t="shared" si="73"/>
        <v>0</v>
      </c>
      <c r="L148" s="3">
        <f t="shared" si="69"/>
        <v>500</v>
      </c>
      <c r="M148" s="15">
        <f t="shared" si="84"/>
        <v>7.0000000000000007E-2</v>
      </c>
      <c r="N148" s="3">
        <f t="shared" si="85"/>
        <v>89.019722116769998</v>
      </c>
      <c r="O148" s="3">
        <f t="shared" si="70"/>
        <v>89.019722116769998</v>
      </c>
      <c r="P148" s="3">
        <f t="shared" si="74"/>
        <v>95.720131308354837</v>
      </c>
      <c r="Q148" s="3">
        <f t="shared" si="75"/>
        <v>39.532247856229517</v>
      </c>
      <c r="R148" s="3">
        <f t="shared" si="76"/>
        <v>67.62618958229217</v>
      </c>
      <c r="S148" s="3">
        <f t="shared" si="71"/>
        <v>1</v>
      </c>
      <c r="T148" s="3">
        <f t="shared" si="77"/>
        <v>28093.941726062661</v>
      </c>
      <c r="U148" s="3">
        <f t="shared" si="78"/>
        <v>0.5</v>
      </c>
      <c r="V148" s="3">
        <f t="shared" si="79"/>
        <v>0</v>
      </c>
      <c r="W148" s="3">
        <f t="shared" si="80"/>
        <v>32047.099962037199</v>
      </c>
      <c r="X148" s="3">
        <f t="shared" si="72"/>
        <v>19766.123928114757</v>
      </c>
      <c r="AI148" s="3"/>
      <c r="AJ148" s="3"/>
      <c r="AK148" s="15">
        <f t="shared" si="63"/>
        <v>1</v>
      </c>
      <c r="AL148" s="11">
        <f t="shared" si="67"/>
        <v>834</v>
      </c>
      <c r="AM148" s="11" t="b">
        <f t="shared" si="62"/>
        <v>1</v>
      </c>
      <c r="AN148" s="11">
        <f t="shared" si="64"/>
        <v>36000</v>
      </c>
      <c r="AO148" s="11">
        <f t="shared" si="65"/>
        <v>0</v>
      </c>
      <c r="AP148" s="11">
        <f t="shared" si="66"/>
        <v>0.46419839179678568</v>
      </c>
      <c r="AQ148" s="11">
        <f t="shared" si="68"/>
        <v>0</v>
      </c>
      <c r="AT148" s="3"/>
      <c r="AU148" s="17"/>
      <c r="AV148" s="19"/>
      <c r="AW148" s="17"/>
      <c r="AX148" s="17">
        <f t="shared" si="61"/>
        <v>139</v>
      </c>
      <c r="AY148" s="17">
        <f t="shared" ref="AY148:AY211" si="86">IF(ISNUMBER(AX148),IF(ROUND((AX148)*$AG$15*$AB$15,0) &lt;= 10080, ROUND((AX148)*$AG$15,0)*$AB$15/60, 168),168)</f>
        <v>13.9</v>
      </c>
      <c r="AZ148" s="17">
        <v>46.419839179678569</v>
      </c>
      <c r="BA148" s="17"/>
      <c r="BB148" s="17">
        <v>36</v>
      </c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  <c r="CC148" s="17"/>
      <c r="CD148" s="17"/>
      <c r="CE148" s="17"/>
      <c r="CF148" s="17"/>
      <c r="CG148" s="17"/>
      <c r="CH148" s="17"/>
    </row>
    <row r="149" spans="8:86" x14ac:dyDescent="0.15">
      <c r="H149" s="3">
        <f t="shared" si="81"/>
        <v>0.13700000000000009</v>
      </c>
      <c r="I149" s="3">
        <f t="shared" si="82"/>
        <v>360</v>
      </c>
      <c r="J149" s="14">
        <f t="shared" si="83"/>
        <v>500</v>
      </c>
      <c r="K149" s="3">
        <f t="shared" si="73"/>
        <v>0</v>
      </c>
      <c r="L149" s="3">
        <f t="shared" si="69"/>
        <v>500</v>
      </c>
      <c r="M149" s="15">
        <f t="shared" si="84"/>
        <v>7.0000000000000007E-2</v>
      </c>
      <c r="N149" s="3">
        <f t="shared" si="85"/>
        <v>88.941683389753152</v>
      </c>
      <c r="O149" s="3">
        <f t="shared" si="70"/>
        <v>88.941683389753152</v>
      </c>
      <c r="P149" s="3">
        <f t="shared" si="74"/>
        <v>95.636218698659306</v>
      </c>
      <c r="Q149" s="3">
        <f t="shared" si="75"/>
        <v>39.476059972777385</v>
      </c>
      <c r="R149" s="3">
        <f t="shared" si="76"/>
        <v>67.556139335718342</v>
      </c>
      <c r="S149" s="3">
        <f t="shared" si="71"/>
        <v>1</v>
      </c>
      <c r="T149" s="3">
        <f t="shared" si="77"/>
        <v>28080.07936294096</v>
      </c>
      <c r="U149" s="3">
        <f t="shared" si="78"/>
        <v>0.5</v>
      </c>
      <c r="V149" s="3">
        <f t="shared" si="79"/>
        <v>0</v>
      </c>
      <c r="W149" s="3">
        <f t="shared" si="80"/>
        <v>32019.006020311135</v>
      </c>
      <c r="X149" s="3">
        <f t="shared" si="72"/>
        <v>19738.029986388694</v>
      </c>
      <c r="AI149" s="3"/>
      <c r="AJ149" s="3"/>
      <c r="AK149" s="15">
        <f t="shared" si="63"/>
        <v>1</v>
      </c>
      <c r="AL149" s="11">
        <f t="shared" si="67"/>
        <v>840</v>
      </c>
      <c r="AM149" s="11" t="b">
        <f t="shared" si="62"/>
        <v>1</v>
      </c>
      <c r="AN149" s="11">
        <f t="shared" si="64"/>
        <v>36000</v>
      </c>
      <c r="AO149" s="11">
        <f t="shared" si="65"/>
        <v>0</v>
      </c>
      <c r="AP149" s="11">
        <f t="shared" si="66"/>
        <v>0.44695015197819421</v>
      </c>
      <c r="AQ149" s="11">
        <f t="shared" si="68"/>
        <v>0</v>
      </c>
      <c r="AT149" s="3"/>
      <c r="AU149" s="17"/>
      <c r="AV149" s="19"/>
      <c r="AW149" s="17"/>
      <c r="AX149" s="17">
        <f t="shared" si="61"/>
        <v>140</v>
      </c>
      <c r="AY149" s="17">
        <f t="shared" si="86"/>
        <v>14</v>
      </c>
      <c r="AZ149" s="17">
        <v>44.695015197819423</v>
      </c>
      <c r="BA149" s="17"/>
      <c r="BB149" s="17">
        <v>36</v>
      </c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17"/>
      <c r="BQ149" s="17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  <c r="CC149" s="17"/>
      <c r="CD149" s="17"/>
      <c r="CE149" s="17"/>
      <c r="CF149" s="17"/>
      <c r="CG149" s="17"/>
      <c r="CH149" s="17"/>
    </row>
    <row r="150" spans="8:86" x14ac:dyDescent="0.15">
      <c r="H150" s="3">
        <f t="shared" si="81"/>
        <v>0.13800000000000009</v>
      </c>
      <c r="I150" s="3">
        <f t="shared" si="82"/>
        <v>360</v>
      </c>
      <c r="J150" s="14">
        <f t="shared" si="83"/>
        <v>500</v>
      </c>
      <c r="K150" s="3">
        <f t="shared" si="73"/>
        <v>0</v>
      </c>
      <c r="L150" s="3">
        <f t="shared" si="69"/>
        <v>500</v>
      </c>
      <c r="M150" s="15">
        <f t="shared" si="84"/>
        <v>7.0000000000000007E-2</v>
      </c>
      <c r="N150" s="3">
        <f t="shared" si="85"/>
        <v>88.863683169300529</v>
      </c>
      <c r="O150" s="3">
        <f t="shared" si="70"/>
        <v>88.863683169300529</v>
      </c>
      <c r="P150" s="3">
        <f t="shared" si="74"/>
        <v>95.552347493871537</v>
      </c>
      <c r="Q150" s="3">
        <f t="shared" si="75"/>
        <v>39.419899814051504</v>
      </c>
      <c r="R150" s="3">
        <f t="shared" si="76"/>
        <v>67.486123653961528</v>
      </c>
      <c r="S150" s="3">
        <f t="shared" si="71"/>
        <v>1</v>
      </c>
      <c r="T150" s="3">
        <f t="shared" si="77"/>
        <v>28066.223839910017</v>
      </c>
      <c r="U150" s="3">
        <f t="shared" si="78"/>
        <v>0.5</v>
      </c>
      <c r="V150" s="3">
        <f t="shared" si="79"/>
        <v>0</v>
      </c>
      <c r="W150" s="3">
        <f t="shared" si="80"/>
        <v>31990.925940948189</v>
      </c>
      <c r="X150" s="3">
        <f t="shared" si="72"/>
        <v>19709.949907025752</v>
      </c>
      <c r="AI150" s="3"/>
      <c r="AJ150" s="3"/>
      <c r="AK150" s="15">
        <f t="shared" si="63"/>
        <v>1</v>
      </c>
      <c r="AL150" s="11">
        <f t="shared" si="67"/>
        <v>846</v>
      </c>
      <c r="AM150" s="11" t="b">
        <f t="shared" si="62"/>
        <v>1</v>
      </c>
      <c r="AN150" s="11">
        <f t="shared" si="64"/>
        <v>36000</v>
      </c>
      <c r="AO150" s="11">
        <f t="shared" si="65"/>
        <v>0</v>
      </c>
      <c r="AP150" s="11">
        <f t="shared" si="66"/>
        <v>0.43038376451565252</v>
      </c>
      <c r="AQ150" s="11">
        <f t="shared" si="68"/>
        <v>0</v>
      </c>
      <c r="AT150" s="3"/>
      <c r="AU150" s="17"/>
      <c r="AV150" s="19"/>
      <c r="AW150" s="17"/>
      <c r="AX150" s="17">
        <f t="shared" si="61"/>
        <v>141</v>
      </c>
      <c r="AY150" s="17">
        <f t="shared" si="86"/>
        <v>14.1</v>
      </c>
      <c r="AZ150" s="17">
        <v>43.038376451565256</v>
      </c>
      <c r="BA150" s="17"/>
      <c r="BB150" s="17">
        <v>36</v>
      </c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17"/>
      <c r="CF150" s="17"/>
      <c r="CG150" s="17"/>
      <c r="CH150" s="17"/>
    </row>
    <row r="151" spans="8:86" x14ac:dyDescent="0.15">
      <c r="H151" s="3">
        <f t="shared" si="81"/>
        <v>0.1390000000000001</v>
      </c>
      <c r="I151" s="3">
        <f t="shared" si="82"/>
        <v>360</v>
      </c>
      <c r="J151" s="14">
        <f t="shared" si="83"/>
        <v>500</v>
      </c>
      <c r="K151" s="3">
        <f t="shared" si="73"/>
        <v>0</v>
      </c>
      <c r="L151" s="3">
        <f t="shared" si="69"/>
        <v>500</v>
      </c>
      <c r="M151" s="15">
        <f t="shared" si="84"/>
        <v>7.0000000000000007E-2</v>
      </c>
      <c r="N151" s="3">
        <f t="shared" si="85"/>
        <v>88.78572143641189</v>
      </c>
      <c r="O151" s="3">
        <f t="shared" si="70"/>
        <v>88.78572143641189</v>
      </c>
      <c r="P151" s="3">
        <f t="shared" si="74"/>
        <v>95.46851767356118</v>
      </c>
      <c r="Q151" s="3">
        <f t="shared" si="75"/>
        <v>39.363767366371682</v>
      </c>
      <c r="R151" s="3">
        <f t="shared" si="76"/>
        <v>67.416142519966428</v>
      </c>
      <c r="S151" s="3">
        <f t="shared" si="71"/>
        <v>1</v>
      </c>
      <c r="T151" s="3">
        <f t="shared" si="77"/>
        <v>28052.375153594749</v>
      </c>
      <c r="U151" s="3">
        <f t="shared" si="78"/>
        <v>0.5</v>
      </c>
      <c r="V151" s="3">
        <f t="shared" si="79"/>
        <v>0</v>
      </c>
      <c r="W151" s="3">
        <f t="shared" si="80"/>
        <v>31962.85971710828</v>
      </c>
      <c r="X151" s="3">
        <f t="shared" si="72"/>
        <v>19681.883683185843</v>
      </c>
      <c r="AI151" s="3"/>
      <c r="AJ151" s="3"/>
      <c r="AK151" s="15">
        <f t="shared" si="63"/>
        <v>1</v>
      </c>
      <c r="AL151" s="11">
        <f t="shared" si="67"/>
        <v>852</v>
      </c>
      <c r="AM151" s="11" t="b">
        <f t="shared" si="62"/>
        <v>1</v>
      </c>
      <c r="AN151" s="11">
        <f t="shared" si="64"/>
        <v>36000</v>
      </c>
      <c r="AO151" s="11">
        <f t="shared" si="65"/>
        <v>0</v>
      </c>
      <c r="AP151" s="11">
        <f t="shared" si="66"/>
        <v>0.41447227462186981</v>
      </c>
      <c r="AQ151" s="11">
        <f t="shared" si="68"/>
        <v>0</v>
      </c>
      <c r="AT151" s="3"/>
      <c r="AU151" s="17"/>
      <c r="AV151" s="19"/>
      <c r="AW151" s="17"/>
      <c r="AX151" s="17">
        <f t="shared" si="61"/>
        <v>142</v>
      </c>
      <c r="AY151" s="17">
        <f t="shared" si="86"/>
        <v>14.2</v>
      </c>
      <c r="AZ151" s="17">
        <v>41.44722746218698</v>
      </c>
      <c r="BA151" s="17"/>
      <c r="BB151" s="17">
        <v>36</v>
      </c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17"/>
      <c r="CF151" s="17"/>
      <c r="CG151" s="17"/>
      <c r="CH151" s="17"/>
    </row>
    <row r="152" spans="8:86" x14ac:dyDescent="0.15">
      <c r="H152" s="3">
        <f t="shared" si="81"/>
        <v>0.1400000000000001</v>
      </c>
      <c r="I152" s="3">
        <f t="shared" si="82"/>
        <v>360</v>
      </c>
      <c r="J152" s="14">
        <f t="shared" si="83"/>
        <v>500</v>
      </c>
      <c r="K152" s="3">
        <f t="shared" si="73"/>
        <v>0</v>
      </c>
      <c r="L152" s="3">
        <f t="shared" si="69"/>
        <v>500</v>
      </c>
      <c r="M152" s="15">
        <f t="shared" si="84"/>
        <v>7.0000000000000007E-2</v>
      </c>
      <c r="N152" s="3">
        <f t="shared" si="85"/>
        <v>88.707798172096346</v>
      </c>
      <c r="O152" s="3">
        <f t="shared" si="70"/>
        <v>88.707798172096346</v>
      </c>
      <c r="P152" s="3">
        <f t="shared" si="74"/>
        <v>95.384729217307907</v>
      </c>
      <c r="Q152" s="3">
        <f t="shared" si="75"/>
        <v>39.307662616064498</v>
      </c>
      <c r="R152" s="3">
        <f t="shared" si="76"/>
        <v>67.346195916686199</v>
      </c>
      <c r="S152" s="3">
        <f t="shared" si="71"/>
        <v>1</v>
      </c>
      <c r="T152" s="3">
        <f t="shared" si="77"/>
        <v>28038.533300621704</v>
      </c>
      <c r="U152" s="3">
        <f t="shared" si="78"/>
        <v>0.5</v>
      </c>
      <c r="V152" s="3">
        <f t="shared" si="79"/>
        <v>0</v>
      </c>
      <c r="W152" s="3">
        <f t="shared" si="80"/>
        <v>31934.807341954685</v>
      </c>
      <c r="X152" s="3">
        <f t="shared" si="72"/>
        <v>19653.831308032248</v>
      </c>
      <c r="AI152" s="3"/>
      <c r="AJ152" s="3"/>
      <c r="AK152" s="15">
        <f t="shared" si="63"/>
        <v>1</v>
      </c>
      <c r="AL152" s="11">
        <f t="shared" si="67"/>
        <v>858</v>
      </c>
      <c r="AM152" s="11" t="b">
        <f t="shared" si="62"/>
        <v>1</v>
      </c>
      <c r="AN152" s="11">
        <f t="shared" si="64"/>
        <v>36000</v>
      </c>
      <c r="AO152" s="11">
        <f t="shared" si="65"/>
        <v>0</v>
      </c>
      <c r="AP152" s="11">
        <f t="shared" si="66"/>
        <v>0.39918979307829827</v>
      </c>
      <c r="AQ152" s="11">
        <f t="shared" si="68"/>
        <v>0</v>
      </c>
      <c r="AT152" s="3"/>
      <c r="AU152" s="17"/>
      <c r="AV152" s="19"/>
      <c r="AW152" s="17"/>
      <c r="AX152" s="17">
        <f t="shared" si="61"/>
        <v>143</v>
      </c>
      <c r="AY152" s="17">
        <f t="shared" si="86"/>
        <v>14.3</v>
      </c>
      <c r="AZ152" s="17">
        <v>39.918979307829829</v>
      </c>
      <c r="BA152" s="17"/>
      <c r="BB152" s="17">
        <v>36</v>
      </c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17"/>
      <c r="CF152" s="17"/>
      <c r="CG152" s="17"/>
      <c r="CH152" s="17"/>
    </row>
    <row r="153" spans="8:86" x14ac:dyDescent="0.15">
      <c r="H153" s="3">
        <f t="shared" si="81"/>
        <v>0.1410000000000001</v>
      </c>
      <c r="I153" s="3">
        <f t="shared" si="82"/>
        <v>360</v>
      </c>
      <c r="J153" s="14">
        <f t="shared" si="83"/>
        <v>500</v>
      </c>
      <c r="K153" s="3">
        <f t="shared" si="73"/>
        <v>0</v>
      </c>
      <c r="L153" s="3">
        <f t="shared" si="69"/>
        <v>500</v>
      </c>
      <c r="M153" s="15">
        <f t="shared" si="84"/>
        <v>7.0000000000000007E-2</v>
      </c>
      <c r="N153" s="3">
        <f t="shared" si="85"/>
        <v>88.629913357372388</v>
      </c>
      <c r="O153" s="3">
        <f t="shared" si="70"/>
        <v>88.629913357372388</v>
      </c>
      <c r="P153" s="3">
        <f t="shared" si="74"/>
        <v>95.300982104701504</v>
      </c>
      <c r="Q153" s="3">
        <f t="shared" si="75"/>
        <v>39.25158554946325</v>
      </c>
      <c r="R153" s="3">
        <f t="shared" si="76"/>
        <v>67.276283827082381</v>
      </c>
      <c r="S153" s="3">
        <f t="shared" si="71"/>
        <v>1</v>
      </c>
      <c r="T153" s="3">
        <f t="shared" si="77"/>
        <v>28024.698277619125</v>
      </c>
      <c r="U153" s="3">
        <f t="shared" si="78"/>
        <v>0.5</v>
      </c>
      <c r="V153" s="3">
        <f t="shared" si="79"/>
        <v>0</v>
      </c>
      <c r="W153" s="3">
        <f t="shared" si="80"/>
        <v>31906.768808654058</v>
      </c>
      <c r="X153" s="3">
        <f t="shared" si="72"/>
        <v>19625.792774731624</v>
      </c>
      <c r="AI153" s="3"/>
      <c r="AJ153" s="3"/>
      <c r="AK153" s="15">
        <f t="shared" si="63"/>
        <v>1</v>
      </c>
      <c r="AL153" s="11">
        <f t="shared" si="67"/>
        <v>864</v>
      </c>
      <c r="AM153" s="11" t="b">
        <f t="shared" si="62"/>
        <v>1</v>
      </c>
      <c r="AN153" s="11">
        <f t="shared" si="64"/>
        <v>36000</v>
      </c>
      <c r="AO153" s="11">
        <f t="shared" si="65"/>
        <v>0</v>
      </c>
      <c r="AP153" s="11">
        <f t="shared" si="66"/>
        <v>0.38451145411138193</v>
      </c>
      <c r="AQ153" s="11">
        <f t="shared" si="68"/>
        <v>0</v>
      </c>
      <c r="AT153" s="3"/>
      <c r="AU153" s="17"/>
      <c r="AV153" s="19"/>
      <c r="AW153" s="17"/>
      <c r="AX153" s="17">
        <f t="shared" si="61"/>
        <v>144</v>
      </c>
      <c r="AY153" s="17">
        <f t="shared" si="86"/>
        <v>14.4</v>
      </c>
      <c r="AZ153" s="17">
        <v>38.451145411138192</v>
      </c>
      <c r="BA153" s="17"/>
      <c r="BB153" s="17">
        <v>36</v>
      </c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17"/>
      <c r="CF153" s="17"/>
      <c r="CG153" s="17"/>
      <c r="CH153" s="17"/>
    </row>
    <row r="154" spans="8:86" x14ac:dyDescent="0.15">
      <c r="H154" s="3">
        <f t="shared" si="81"/>
        <v>0.1420000000000001</v>
      </c>
      <c r="I154" s="3">
        <f t="shared" si="82"/>
        <v>360</v>
      </c>
      <c r="J154" s="14">
        <f t="shared" si="83"/>
        <v>500</v>
      </c>
      <c r="K154" s="3">
        <f t="shared" si="73"/>
        <v>0</v>
      </c>
      <c r="L154" s="3">
        <f t="shared" si="69"/>
        <v>500</v>
      </c>
      <c r="M154" s="15">
        <f t="shared" si="84"/>
        <v>7.0000000000000007E-2</v>
      </c>
      <c r="N154" s="3">
        <f t="shared" si="85"/>
        <v>88.552066973267884</v>
      </c>
      <c r="O154" s="3">
        <f t="shared" si="70"/>
        <v>88.552066973267884</v>
      </c>
      <c r="P154" s="3">
        <f t="shared" si="74"/>
        <v>95.21727631534182</v>
      </c>
      <c r="Q154" s="3">
        <f t="shared" si="75"/>
        <v>39.195536152908012</v>
      </c>
      <c r="R154" s="3">
        <f t="shared" si="76"/>
        <v>67.206406234124913</v>
      </c>
      <c r="S154" s="3">
        <f t="shared" si="71"/>
        <v>1</v>
      </c>
      <c r="T154" s="3">
        <f t="shared" si="77"/>
        <v>28010.870081216905</v>
      </c>
      <c r="U154" s="3">
        <f t="shared" si="78"/>
        <v>0.5</v>
      </c>
      <c r="V154" s="3">
        <f t="shared" si="79"/>
        <v>0</v>
      </c>
      <c r="W154" s="3">
        <f t="shared" si="80"/>
        <v>31878.744110376439</v>
      </c>
      <c r="X154" s="3">
        <f t="shared" si="72"/>
        <v>19597.768076454005</v>
      </c>
      <c r="AI154" s="3"/>
      <c r="AJ154" s="3"/>
      <c r="AK154" s="15">
        <f t="shared" si="63"/>
        <v>1</v>
      </c>
      <c r="AL154" s="11">
        <f t="shared" si="67"/>
        <v>870</v>
      </c>
      <c r="AM154" s="11" t="b">
        <f t="shared" si="62"/>
        <v>1</v>
      </c>
      <c r="AN154" s="11">
        <f t="shared" si="64"/>
        <v>36000</v>
      </c>
      <c r="AO154" s="11">
        <f t="shared" si="65"/>
        <v>0</v>
      </c>
      <c r="AP154" s="11">
        <f t="shared" si="66"/>
        <v>0.37041337493402982</v>
      </c>
      <c r="AQ154" s="11">
        <f t="shared" si="68"/>
        <v>0</v>
      </c>
      <c r="AT154" s="3"/>
      <c r="AU154" s="17"/>
      <c r="AV154" s="19"/>
      <c r="AW154" s="17"/>
      <c r="AX154" s="17">
        <f t="shared" si="61"/>
        <v>145</v>
      </c>
      <c r="AY154" s="17">
        <f t="shared" si="86"/>
        <v>14.5</v>
      </c>
      <c r="AZ154" s="17">
        <v>37.041337493402985</v>
      </c>
      <c r="BA154" s="17"/>
      <c r="BB154" s="17">
        <v>36</v>
      </c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17"/>
      <c r="CF154" s="17"/>
      <c r="CG154" s="17"/>
      <c r="CH154" s="17"/>
    </row>
    <row r="155" spans="8:86" x14ac:dyDescent="0.15">
      <c r="H155" s="3">
        <f t="shared" si="81"/>
        <v>0.1430000000000001</v>
      </c>
      <c r="I155" s="3">
        <f t="shared" si="82"/>
        <v>360</v>
      </c>
      <c r="J155" s="14">
        <f t="shared" si="83"/>
        <v>500</v>
      </c>
      <c r="K155" s="3">
        <f t="shared" si="73"/>
        <v>0</v>
      </c>
      <c r="L155" s="3">
        <f t="shared" si="69"/>
        <v>500</v>
      </c>
      <c r="M155" s="15">
        <f t="shared" si="84"/>
        <v>7.0000000000000007E-2</v>
      </c>
      <c r="N155" s="3">
        <f t="shared" si="85"/>
        <v>88.474259000820069</v>
      </c>
      <c r="O155" s="3">
        <f t="shared" si="70"/>
        <v>88.474259000820069</v>
      </c>
      <c r="P155" s="3">
        <f t="shared" si="74"/>
        <v>95.133611828838795</v>
      </c>
      <c r="Q155" s="3">
        <f t="shared" si="75"/>
        <v>39.139514412745577</v>
      </c>
      <c r="R155" s="3">
        <f t="shared" si="76"/>
        <v>67.136563120792189</v>
      </c>
      <c r="S155" s="3">
        <f t="shared" si="71"/>
        <v>1</v>
      </c>
      <c r="T155" s="3">
        <f t="shared" si="77"/>
        <v>27997.048708046608</v>
      </c>
      <c r="U155" s="3">
        <f t="shared" si="78"/>
        <v>0.5</v>
      </c>
      <c r="V155" s="3">
        <f t="shared" si="79"/>
        <v>0</v>
      </c>
      <c r="W155" s="3">
        <f t="shared" si="80"/>
        <v>31850.733240295223</v>
      </c>
      <c r="X155" s="3">
        <f t="shared" si="72"/>
        <v>19569.757206372789</v>
      </c>
      <c r="AI155" s="3"/>
      <c r="AJ155" s="3"/>
      <c r="AK155" s="15">
        <f t="shared" si="63"/>
        <v>1</v>
      </c>
      <c r="AL155" s="11">
        <f t="shared" si="67"/>
        <v>876</v>
      </c>
      <c r="AM155" s="11" t="b">
        <f t="shared" si="62"/>
        <v>1</v>
      </c>
      <c r="AN155" s="11">
        <f t="shared" si="64"/>
        <v>36000</v>
      </c>
      <c r="AO155" s="11">
        <f t="shared" si="65"/>
        <v>0</v>
      </c>
      <c r="AP155" s="11">
        <f t="shared" si="66"/>
        <v>0.35687261688648325</v>
      </c>
      <c r="AQ155" s="11">
        <f t="shared" si="68"/>
        <v>0</v>
      </c>
      <c r="AT155" s="3"/>
      <c r="AU155" s="17"/>
      <c r="AV155" s="19"/>
      <c r="AW155" s="17"/>
      <c r="AX155" s="17">
        <f t="shared" si="61"/>
        <v>146</v>
      </c>
      <c r="AY155" s="17">
        <f t="shared" si="86"/>
        <v>14.6</v>
      </c>
      <c r="AZ155" s="17">
        <v>35.687261688648327</v>
      </c>
      <c r="BA155" s="17"/>
      <c r="BB155" s="17">
        <v>36</v>
      </c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17"/>
      <c r="CF155" s="17"/>
      <c r="CG155" s="17"/>
      <c r="CH155" s="17"/>
    </row>
    <row r="156" spans="8:86" x14ac:dyDescent="0.15">
      <c r="H156" s="3">
        <f t="shared" si="81"/>
        <v>0.1440000000000001</v>
      </c>
      <c r="I156" s="3">
        <f t="shared" si="82"/>
        <v>360</v>
      </c>
      <c r="J156" s="14">
        <f t="shared" si="83"/>
        <v>500</v>
      </c>
      <c r="K156" s="3">
        <f t="shared" si="73"/>
        <v>0</v>
      </c>
      <c r="L156" s="3">
        <f t="shared" si="69"/>
        <v>500</v>
      </c>
      <c r="M156" s="15">
        <f t="shared" si="84"/>
        <v>7.0000000000000007E-2</v>
      </c>
      <c r="N156" s="3">
        <f t="shared" si="85"/>
        <v>88.396489421075486</v>
      </c>
      <c r="O156" s="3">
        <f t="shared" si="70"/>
        <v>88.396489421075486</v>
      </c>
      <c r="P156" s="3">
        <f t="shared" si="74"/>
        <v>95.049988624812357</v>
      </c>
      <c r="Q156" s="3">
        <f t="shared" si="75"/>
        <v>39.083520315329487</v>
      </c>
      <c r="R156" s="3">
        <f t="shared" si="76"/>
        <v>67.066754470070919</v>
      </c>
      <c r="S156" s="3">
        <f t="shared" si="71"/>
        <v>1</v>
      </c>
      <c r="T156" s="3">
        <f t="shared" si="77"/>
        <v>27983.234154741436</v>
      </c>
      <c r="U156" s="3">
        <f t="shared" si="78"/>
        <v>0.5</v>
      </c>
      <c r="V156" s="3">
        <f t="shared" si="79"/>
        <v>0</v>
      </c>
      <c r="W156" s="3">
        <f t="shared" si="80"/>
        <v>31822.736191587173</v>
      </c>
      <c r="X156" s="3">
        <f t="shared" si="72"/>
        <v>19541.760157664743</v>
      </c>
      <c r="AI156" s="3"/>
      <c r="AJ156" s="3"/>
      <c r="AK156" s="15">
        <f t="shared" si="63"/>
        <v>1</v>
      </c>
      <c r="AL156" s="11">
        <f t="shared" si="67"/>
        <v>882</v>
      </c>
      <c r="AM156" s="11" t="b">
        <f t="shared" si="62"/>
        <v>1</v>
      </c>
      <c r="AN156" s="11">
        <f t="shared" si="64"/>
        <v>36000</v>
      </c>
      <c r="AO156" s="11">
        <f t="shared" si="65"/>
        <v>0</v>
      </c>
      <c r="AP156" s="11">
        <f t="shared" si="66"/>
        <v>0.34386714811335106</v>
      </c>
      <c r="AQ156" s="11">
        <f t="shared" si="68"/>
        <v>0</v>
      </c>
      <c r="AT156" s="3"/>
      <c r="AU156" s="17"/>
      <c r="AV156" s="19"/>
      <c r="AW156" s="17"/>
      <c r="AX156" s="17">
        <f t="shared" si="61"/>
        <v>147</v>
      </c>
      <c r="AY156" s="17">
        <f t="shared" si="86"/>
        <v>14.7</v>
      </c>
      <c r="AZ156" s="17">
        <v>34.386714811335104</v>
      </c>
      <c r="BA156" s="17"/>
      <c r="BB156" s="17">
        <v>36</v>
      </c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17"/>
      <c r="CF156" s="17"/>
      <c r="CG156" s="17"/>
      <c r="CH156" s="17"/>
    </row>
    <row r="157" spans="8:86" x14ac:dyDescent="0.15">
      <c r="H157" s="3">
        <f t="shared" si="81"/>
        <v>0.1450000000000001</v>
      </c>
      <c r="I157" s="3">
        <f t="shared" si="82"/>
        <v>360</v>
      </c>
      <c r="J157" s="14">
        <f t="shared" si="83"/>
        <v>500</v>
      </c>
      <c r="K157" s="3">
        <f t="shared" si="73"/>
        <v>0</v>
      </c>
      <c r="L157" s="3">
        <f t="shared" si="69"/>
        <v>500</v>
      </c>
      <c r="M157" s="15">
        <f t="shared" si="84"/>
        <v>7.0000000000000007E-2</v>
      </c>
      <c r="N157" s="3">
        <f t="shared" si="85"/>
        <v>88.318758215090085</v>
      </c>
      <c r="O157" s="3">
        <f t="shared" si="70"/>
        <v>88.318758215090085</v>
      </c>
      <c r="P157" s="3">
        <f t="shared" si="74"/>
        <v>94.966406682892568</v>
      </c>
      <c r="Q157" s="3">
        <f t="shared" si="75"/>
        <v>39.027553847020002</v>
      </c>
      <c r="R157" s="3">
        <f t="shared" si="76"/>
        <v>66.996980264956278</v>
      </c>
      <c r="S157" s="3">
        <f t="shared" si="71"/>
        <v>1</v>
      </c>
      <c r="T157" s="3">
        <f t="shared" si="77"/>
        <v>27969.426417936284</v>
      </c>
      <c r="U157" s="3">
        <f t="shared" si="78"/>
        <v>0.5</v>
      </c>
      <c r="V157" s="3">
        <f t="shared" si="79"/>
        <v>0</v>
      </c>
      <c r="W157" s="3">
        <f t="shared" si="80"/>
        <v>31794.752957432429</v>
      </c>
      <c r="X157" s="3">
        <f t="shared" si="72"/>
        <v>19513.776923510002</v>
      </c>
      <c r="AI157" s="3"/>
      <c r="AJ157" s="3"/>
      <c r="AK157" s="15">
        <f t="shared" si="63"/>
        <v>1</v>
      </c>
      <c r="AL157" s="11">
        <f t="shared" si="67"/>
        <v>888</v>
      </c>
      <c r="AM157" s="11" t="b">
        <f t="shared" si="62"/>
        <v>1</v>
      </c>
      <c r="AN157" s="11">
        <f t="shared" si="64"/>
        <v>36000</v>
      </c>
      <c r="AO157" s="11">
        <f t="shared" si="65"/>
        <v>0</v>
      </c>
      <c r="AP157" s="11">
        <f t="shared" si="66"/>
        <v>0.3313758077160856</v>
      </c>
      <c r="AQ157" s="11">
        <f t="shared" si="68"/>
        <v>0</v>
      </c>
      <c r="AT157" s="3"/>
      <c r="AU157" s="17"/>
      <c r="AV157" s="19"/>
      <c r="AW157" s="17"/>
      <c r="AX157" s="17">
        <f t="shared" si="61"/>
        <v>148</v>
      </c>
      <c r="AY157" s="17">
        <f t="shared" si="86"/>
        <v>14.8</v>
      </c>
      <c r="AZ157" s="17">
        <v>33.137580771608562</v>
      </c>
      <c r="BA157" s="17"/>
      <c r="BB157" s="17">
        <v>36</v>
      </c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17"/>
      <c r="CG157" s="17"/>
      <c r="CH157" s="17"/>
    </row>
    <row r="158" spans="8:86" x14ac:dyDescent="0.15">
      <c r="H158" s="3">
        <f t="shared" si="81"/>
        <v>0.1460000000000001</v>
      </c>
      <c r="I158" s="3">
        <f t="shared" si="82"/>
        <v>360</v>
      </c>
      <c r="J158" s="14">
        <f t="shared" si="83"/>
        <v>500</v>
      </c>
      <c r="K158" s="3">
        <f t="shared" si="73"/>
        <v>0</v>
      </c>
      <c r="L158" s="3">
        <f t="shared" si="69"/>
        <v>500</v>
      </c>
      <c r="M158" s="15">
        <f t="shared" si="84"/>
        <v>7.0000000000000007E-2</v>
      </c>
      <c r="N158" s="3">
        <f t="shared" si="85"/>
        <v>88.241065363929138</v>
      </c>
      <c r="O158" s="3">
        <f t="shared" si="70"/>
        <v>88.241065363929138</v>
      </c>
      <c r="P158" s="3">
        <f t="shared" si="74"/>
        <v>94.882865982719508</v>
      </c>
      <c r="Q158" s="3">
        <f t="shared" si="75"/>
        <v>38.971614994184129</v>
      </c>
      <c r="R158" s="3">
        <f t="shared" si="76"/>
        <v>66.927240488451815</v>
      </c>
      <c r="S158" s="3">
        <f t="shared" si="71"/>
        <v>1</v>
      </c>
      <c r="T158" s="3">
        <f t="shared" si="77"/>
        <v>27955.62549426769</v>
      </c>
      <c r="U158" s="3">
        <f t="shared" si="78"/>
        <v>0.5</v>
      </c>
      <c r="V158" s="3">
        <f t="shared" si="79"/>
        <v>0</v>
      </c>
      <c r="W158" s="3">
        <f t="shared" si="80"/>
        <v>31766.783531014491</v>
      </c>
      <c r="X158" s="3">
        <f t="shared" si="72"/>
        <v>19485.807497092064</v>
      </c>
      <c r="AI158" s="3"/>
      <c r="AJ158" s="3"/>
      <c r="AK158" s="15">
        <f t="shared" si="63"/>
        <v>1</v>
      </c>
      <c r="AL158" s="11">
        <f t="shared" si="67"/>
        <v>894</v>
      </c>
      <c r="AM158" s="11" t="b">
        <f t="shared" si="62"/>
        <v>1</v>
      </c>
      <c r="AN158" s="11">
        <f t="shared" si="64"/>
        <v>36000</v>
      </c>
      <c r="AO158" s="11">
        <f t="shared" si="65"/>
        <v>0</v>
      </c>
      <c r="AP158" s="11">
        <f t="shared" si="66"/>
        <v>0.31937827132257213</v>
      </c>
      <c r="AQ158" s="11">
        <f t="shared" si="68"/>
        <v>0</v>
      </c>
      <c r="AT158" s="3"/>
      <c r="AU158" s="17"/>
      <c r="AV158" s="19"/>
      <c r="AW158" s="17"/>
      <c r="AX158" s="17">
        <f t="shared" si="61"/>
        <v>149</v>
      </c>
      <c r="AY158" s="17">
        <f t="shared" si="86"/>
        <v>14.9</v>
      </c>
      <c r="AZ158" s="17">
        <v>31.937827132257212</v>
      </c>
      <c r="BA158" s="17"/>
      <c r="BB158" s="17">
        <v>36</v>
      </c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17"/>
      <c r="CF158" s="17"/>
      <c r="CG158" s="17"/>
      <c r="CH158" s="17"/>
    </row>
    <row r="159" spans="8:86" x14ac:dyDescent="0.15">
      <c r="H159" s="3">
        <f t="shared" si="81"/>
        <v>0.1470000000000001</v>
      </c>
      <c r="I159" s="3">
        <f t="shared" si="82"/>
        <v>360</v>
      </c>
      <c r="J159" s="14">
        <f t="shared" si="83"/>
        <v>500</v>
      </c>
      <c r="K159" s="3">
        <f t="shared" si="73"/>
        <v>0</v>
      </c>
      <c r="L159" s="3">
        <f t="shared" si="69"/>
        <v>500</v>
      </c>
      <c r="M159" s="15">
        <f t="shared" si="84"/>
        <v>7.0000000000000007E-2</v>
      </c>
      <c r="N159" s="3">
        <f t="shared" si="85"/>
        <v>88.163410848667283</v>
      </c>
      <c r="O159" s="3">
        <f t="shared" si="70"/>
        <v>88.163410848667283</v>
      </c>
      <c r="P159" s="3">
        <f t="shared" si="74"/>
        <v>94.799366503943318</v>
      </c>
      <c r="Q159" s="3">
        <f t="shared" si="75"/>
        <v>38.915703743195593</v>
      </c>
      <c r="R159" s="3">
        <f t="shared" si="76"/>
        <v>66.857535123569448</v>
      </c>
      <c r="S159" s="3">
        <f t="shared" si="71"/>
        <v>1</v>
      </c>
      <c r="T159" s="3">
        <f t="shared" si="77"/>
        <v>27941.831380373864</v>
      </c>
      <c r="U159" s="3">
        <f t="shared" si="78"/>
        <v>0.5</v>
      </c>
      <c r="V159" s="3">
        <f t="shared" si="79"/>
        <v>0</v>
      </c>
      <c r="W159" s="3">
        <f t="shared" si="80"/>
        <v>31738.827905520222</v>
      </c>
      <c r="X159" s="3">
        <f t="shared" si="72"/>
        <v>19457.851871597795</v>
      </c>
      <c r="AI159" s="3"/>
      <c r="AJ159" s="3"/>
      <c r="AK159" s="15">
        <f t="shared" si="63"/>
        <v>1</v>
      </c>
      <c r="AL159" s="11">
        <f t="shared" si="67"/>
        <v>900</v>
      </c>
      <c r="AM159" s="11" t="b">
        <f t="shared" si="62"/>
        <v>1</v>
      </c>
      <c r="AN159" s="11">
        <f t="shared" si="64"/>
        <v>36000</v>
      </c>
      <c r="AO159" s="11">
        <f t="shared" si="65"/>
        <v>0</v>
      </c>
      <c r="AP159" s="11">
        <f t="shared" si="66"/>
        <v>0.30785501801781145</v>
      </c>
      <c r="AQ159" s="11">
        <f t="shared" si="68"/>
        <v>0</v>
      </c>
      <c r="AT159" s="3"/>
      <c r="AU159" s="17"/>
      <c r="AV159" s="19"/>
      <c r="AW159" s="17"/>
      <c r="AX159" s="17">
        <f t="shared" si="61"/>
        <v>150</v>
      </c>
      <c r="AY159" s="17">
        <f t="shared" si="86"/>
        <v>15</v>
      </c>
      <c r="AZ159" s="17">
        <v>30.785501801781145</v>
      </c>
      <c r="BA159" s="17"/>
      <c r="BB159" s="17">
        <v>36</v>
      </c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17"/>
      <c r="CG159" s="17"/>
      <c r="CH159" s="17"/>
    </row>
    <row r="160" spans="8:86" x14ac:dyDescent="0.15">
      <c r="H160" s="3">
        <f t="shared" si="81"/>
        <v>0.1480000000000001</v>
      </c>
      <c r="I160" s="3">
        <f t="shared" si="82"/>
        <v>360</v>
      </c>
      <c r="J160" s="14">
        <f t="shared" si="83"/>
        <v>500</v>
      </c>
      <c r="K160" s="3">
        <f t="shared" si="73"/>
        <v>0</v>
      </c>
      <c r="L160" s="3">
        <f t="shared" si="69"/>
        <v>500</v>
      </c>
      <c r="M160" s="15">
        <f t="shared" si="84"/>
        <v>7.0000000000000007E-2</v>
      </c>
      <c r="N160" s="3">
        <f t="shared" si="85"/>
        <v>88.085794650388465</v>
      </c>
      <c r="O160" s="3">
        <f t="shared" si="70"/>
        <v>88.085794650388465</v>
      </c>
      <c r="P160" s="3">
        <f t="shared" si="74"/>
        <v>94.715908226224158</v>
      </c>
      <c r="Q160" s="3">
        <f t="shared" si="75"/>
        <v>38.859820080434844</v>
      </c>
      <c r="R160" s="3">
        <f t="shared" si="76"/>
        <v>66.787864153329508</v>
      </c>
      <c r="S160" s="3">
        <f t="shared" si="71"/>
        <v>1</v>
      </c>
      <c r="T160" s="3">
        <f t="shared" si="77"/>
        <v>27928.044072894656</v>
      </c>
      <c r="U160" s="3">
        <f t="shared" si="78"/>
        <v>0.5</v>
      </c>
      <c r="V160" s="3">
        <f t="shared" si="79"/>
        <v>0</v>
      </c>
      <c r="W160" s="3">
        <f t="shared" si="80"/>
        <v>31710.886074139846</v>
      </c>
      <c r="X160" s="3">
        <f t="shared" si="72"/>
        <v>19429.910040217423</v>
      </c>
      <c r="AI160" s="3"/>
      <c r="AJ160" s="3"/>
      <c r="AK160" s="15">
        <f t="shared" si="63"/>
        <v>1</v>
      </c>
      <c r="AL160" s="11">
        <f t="shared" si="67"/>
        <v>906</v>
      </c>
      <c r="AM160" s="11" t="b">
        <f t="shared" si="62"/>
        <v>1</v>
      </c>
      <c r="AN160" s="11">
        <f t="shared" si="64"/>
        <v>36000</v>
      </c>
      <c r="AO160" s="11">
        <f t="shared" si="65"/>
        <v>0</v>
      </c>
      <c r="AP160" s="11">
        <f t="shared" si="66"/>
        <v>0.29678729858188879</v>
      </c>
      <c r="AQ160" s="11">
        <f t="shared" si="68"/>
        <v>0</v>
      </c>
      <c r="AT160" s="3"/>
      <c r="AU160" s="17"/>
      <c r="AV160" s="19"/>
      <c r="AW160" s="17"/>
      <c r="AX160" s="17">
        <f t="shared" si="61"/>
        <v>151</v>
      </c>
      <c r="AY160" s="17">
        <f t="shared" si="86"/>
        <v>15.1</v>
      </c>
      <c r="AZ160" s="17">
        <v>29.678729858188881</v>
      </c>
      <c r="BA160" s="17"/>
      <c r="BB160" s="17">
        <v>36</v>
      </c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17"/>
      <c r="CF160" s="17"/>
      <c r="CG160" s="17"/>
      <c r="CH160" s="17"/>
    </row>
    <row r="161" spans="8:86" x14ac:dyDescent="0.15">
      <c r="H161" s="3">
        <f t="shared" si="81"/>
        <v>0.1490000000000001</v>
      </c>
      <c r="I161" s="3">
        <f t="shared" si="82"/>
        <v>360</v>
      </c>
      <c r="J161" s="14">
        <f t="shared" si="83"/>
        <v>500</v>
      </c>
      <c r="K161" s="3">
        <f t="shared" si="73"/>
        <v>0</v>
      </c>
      <c r="L161" s="3">
        <f t="shared" si="69"/>
        <v>500</v>
      </c>
      <c r="M161" s="15">
        <f t="shared" si="84"/>
        <v>7.0000000000000007E-2</v>
      </c>
      <c r="N161" s="3">
        <f t="shared" si="85"/>
        <v>88.00821675018598</v>
      </c>
      <c r="O161" s="3">
        <f t="shared" si="70"/>
        <v>88.00821675018598</v>
      </c>
      <c r="P161" s="3">
        <f t="shared" si="74"/>
        <v>94.63249112923225</v>
      </c>
      <c r="Q161" s="3">
        <f t="shared" si="75"/>
        <v>38.803963992289056</v>
      </c>
      <c r="R161" s="3">
        <f t="shared" si="76"/>
        <v>66.718227560760653</v>
      </c>
      <c r="S161" s="3">
        <f t="shared" si="71"/>
        <v>1</v>
      </c>
      <c r="T161" s="3">
        <f t="shared" si="77"/>
        <v>27914.263568471597</v>
      </c>
      <c r="U161" s="3">
        <f t="shared" si="78"/>
        <v>0.5</v>
      </c>
      <c r="V161" s="3">
        <f t="shared" si="79"/>
        <v>0</v>
      </c>
      <c r="W161" s="3">
        <f t="shared" si="80"/>
        <v>31682.958030066951</v>
      </c>
      <c r="X161" s="3">
        <f t="shared" si="72"/>
        <v>19401.981996144528</v>
      </c>
      <c r="AI161" s="3"/>
      <c r="AJ161" s="3"/>
      <c r="AK161" s="15">
        <f t="shared" si="63"/>
        <v>1</v>
      </c>
      <c r="AL161" s="11">
        <f t="shared" si="67"/>
        <v>912</v>
      </c>
      <c r="AM161" s="11" t="b">
        <f t="shared" si="62"/>
        <v>1</v>
      </c>
      <c r="AN161" s="11">
        <f t="shared" si="64"/>
        <v>36000</v>
      </c>
      <c r="AO161" s="11">
        <f t="shared" si="65"/>
        <v>0</v>
      </c>
      <c r="AP161" s="11">
        <f t="shared" si="66"/>
        <v>0.28615710498355029</v>
      </c>
      <c r="AQ161" s="11">
        <f t="shared" si="68"/>
        <v>0</v>
      </c>
      <c r="AT161" s="3"/>
      <c r="AU161" s="17"/>
      <c r="AV161" s="19"/>
      <c r="AW161" s="17"/>
      <c r="AX161" s="17">
        <f t="shared" si="61"/>
        <v>152</v>
      </c>
      <c r="AY161" s="17">
        <f t="shared" si="86"/>
        <v>15.2</v>
      </c>
      <c r="AZ161" s="17">
        <v>28.615710498355028</v>
      </c>
      <c r="BA161" s="17"/>
      <c r="BB161" s="17">
        <v>36</v>
      </c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</row>
    <row r="162" spans="8:86" x14ac:dyDescent="0.15">
      <c r="H162" s="3">
        <f t="shared" si="81"/>
        <v>0.15000000000000011</v>
      </c>
      <c r="I162" s="3">
        <f t="shared" si="82"/>
        <v>360</v>
      </c>
      <c r="J162" s="14">
        <f t="shared" si="83"/>
        <v>500</v>
      </c>
      <c r="K162" s="3">
        <f t="shared" si="73"/>
        <v>0</v>
      </c>
      <c r="L162" s="3">
        <f t="shared" si="69"/>
        <v>500</v>
      </c>
      <c r="M162" s="15">
        <f t="shared" si="84"/>
        <v>7.0000000000000007E-2</v>
      </c>
      <c r="N162" s="3">
        <f t="shared" si="85"/>
        <v>87.930677129162433</v>
      </c>
      <c r="O162" s="3">
        <f t="shared" si="70"/>
        <v>87.930677129162433</v>
      </c>
      <c r="P162" s="3">
        <f t="shared" si="74"/>
        <v>94.54911519264779</v>
      </c>
      <c r="Q162" s="3">
        <f t="shared" si="75"/>
        <v>38.74813546515211</v>
      </c>
      <c r="R162" s="3">
        <f t="shared" si="76"/>
        <v>66.648625328899954</v>
      </c>
      <c r="S162" s="3">
        <f t="shared" si="71"/>
        <v>1</v>
      </c>
      <c r="T162" s="3">
        <f t="shared" si="77"/>
        <v>27900.48986374784</v>
      </c>
      <c r="U162" s="3">
        <f t="shared" si="78"/>
        <v>0.5</v>
      </c>
      <c r="V162" s="3">
        <f t="shared" si="79"/>
        <v>0</v>
      </c>
      <c r="W162" s="3">
        <f t="shared" si="80"/>
        <v>31655.043766498475</v>
      </c>
      <c r="X162" s="3">
        <f t="shared" si="72"/>
        <v>19374.067732576055</v>
      </c>
      <c r="AI162" s="3"/>
      <c r="AJ162" s="3"/>
      <c r="AK162" s="15">
        <f t="shared" si="63"/>
        <v>1</v>
      </c>
      <c r="AL162" s="11">
        <f t="shared" si="67"/>
        <v>918</v>
      </c>
      <c r="AM162" s="11" t="b">
        <f t="shared" si="62"/>
        <v>1</v>
      </c>
      <c r="AN162" s="11">
        <f t="shared" si="64"/>
        <v>36000</v>
      </c>
      <c r="AO162" s="11">
        <f t="shared" si="65"/>
        <v>0</v>
      </c>
      <c r="AP162" s="11">
        <f t="shared" si="66"/>
        <v>0.27594714107975027</v>
      </c>
      <c r="AQ162" s="11">
        <f t="shared" si="68"/>
        <v>0</v>
      </c>
      <c r="AT162" s="3"/>
      <c r="AU162" s="17"/>
      <c r="AV162" s="19"/>
      <c r="AW162" s="17"/>
      <c r="AX162" s="17">
        <f t="shared" si="61"/>
        <v>153</v>
      </c>
      <c r="AY162" s="17">
        <f t="shared" si="86"/>
        <v>15.3</v>
      </c>
      <c r="AZ162" s="17">
        <v>27.594714107975026</v>
      </c>
      <c r="BA162" s="17"/>
      <c r="BB162" s="17">
        <v>36</v>
      </c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7"/>
      <c r="CF162" s="17"/>
      <c r="CG162" s="17"/>
      <c r="CH162" s="17"/>
    </row>
    <row r="163" spans="8:86" x14ac:dyDescent="0.15">
      <c r="H163" s="3">
        <f t="shared" si="81"/>
        <v>0.15100000000000011</v>
      </c>
      <c r="I163" s="3">
        <f t="shared" si="82"/>
        <v>360</v>
      </c>
      <c r="J163" s="14">
        <f t="shared" si="83"/>
        <v>500</v>
      </c>
      <c r="K163" s="3">
        <f t="shared" si="73"/>
        <v>0</v>
      </c>
      <c r="L163" s="3">
        <f t="shared" si="69"/>
        <v>500</v>
      </c>
      <c r="M163" s="15">
        <f t="shared" si="84"/>
        <v>7.0000000000000007E-2</v>
      </c>
      <c r="N163" s="3">
        <f t="shared" si="85"/>
        <v>87.853175768429793</v>
      </c>
      <c r="O163" s="3">
        <f t="shared" si="70"/>
        <v>87.853175768429793</v>
      </c>
      <c r="P163" s="3">
        <f t="shared" si="74"/>
        <v>94.46578039616108</v>
      </c>
      <c r="Q163" s="3">
        <f t="shared" si="75"/>
        <v>38.692334485424617</v>
      </c>
      <c r="R163" s="3">
        <f t="shared" si="76"/>
        <v>66.579057440792852</v>
      </c>
      <c r="S163" s="3">
        <f t="shared" si="71"/>
        <v>1</v>
      </c>
      <c r="T163" s="3">
        <f t="shared" si="77"/>
        <v>27886.72295536823</v>
      </c>
      <c r="U163" s="3">
        <f t="shared" si="78"/>
        <v>0.5</v>
      </c>
      <c r="V163" s="3">
        <f t="shared" si="79"/>
        <v>0</v>
      </c>
      <c r="W163" s="3">
        <f t="shared" si="80"/>
        <v>31627.143276634724</v>
      </c>
      <c r="X163" s="3">
        <f t="shared" si="72"/>
        <v>19346.167242712309</v>
      </c>
      <c r="AI163" s="3"/>
      <c r="AJ163" s="3"/>
      <c r="AK163" s="15">
        <f t="shared" si="63"/>
        <v>1</v>
      </c>
      <c r="AL163" s="11">
        <f t="shared" si="67"/>
        <v>924</v>
      </c>
      <c r="AM163" s="11" t="b">
        <f t="shared" si="62"/>
        <v>0</v>
      </c>
      <c r="AN163" s="11">
        <f t="shared" si="64"/>
        <v>36000</v>
      </c>
      <c r="AO163" s="11">
        <f t="shared" si="65"/>
        <v>0</v>
      </c>
      <c r="AP163" s="11">
        <f t="shared" si="66"/>
        <v>0.27704945589456503</v>
      </c>
      <c r="AQ163" s="11">
        <f t="shared" si="68"/>
        <v>0</v>
      </c>
      <c r="AT163" s="3"/>
      <c r="AU163" s="17"/>
      <c r="AV163" s="19"/>
      <c r="AW163" s="17"/>
      <c r="AX163" s="17">
        <f t="shared" si="61"/>
        <v>154</v>
      </c>
      <c r="AY163" s="17">
        <f t="shared" si="86"/>
        <v>15.4</v>
      </c>
      <c r="AZ163" s="17">
        <v>27.704945589456504</v>
      </c>
      <c r="BA163" s="17"/>
      <c r="BB163" s="17">
        <v>36</v>
      </c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17"/>
      <c r="CF163" s="17"/>
      <c r="CG163" s="17"/>
      <c r="CH163" s="17"/>
    </row>
    <row r="164" spans="8:86" x14ac:dyDescent="0.15">
      <c r="H164" s="3">
        <f t="shared" si="81"/>
        <v>0.15200000000000011</v>
      </c>
      <c r="I164" s="3">
        <f t="shared" si="82"/>
        <v>360</v>
      </c>
      <c r="J164" s="14">
        <f t="shared" si="83"/>
        <v>500</v>
      </c>
      <c r="K164" s="3">
        <f t="shared" si="73"/>
        <v>0</v>
      </c>
      <c r="L164" s="3">
        <f t="shared" si="69"/>
        <v>500</v>
      </c>
      <c r="M164" s="15">
        <f t="shared" si="84"/>
        <v>7.0000000000000007E-2</v>
      </c>
      <c r="N164" s="3">
        <f t="shared" si="85"/>
        <v>87.775712649109323</v>
      </c>
      <c r="O164" s="3">
        <f t="shared" si="70"/>
        <v>87.775712649109323</v>
      </c>
      <c r="P164" s="3">
        <f t="shared" si="74"/>
        <v>94.382486719472396</v>
      </c>
      <c r="Q164" s="3">
        <f t="shared" si="75"/>
        <v>38.636561039513879</v>
      </c>
      <c r="R164" s="3">
        <f t="shared" si="76"/>
        <v>66.509523879493145</v>
      </c>
      <c r="S164" s="3">
        <f t="shared" si="71"/>
        <v>1</v>
      </c>
      <c r="T164" s="3">
        <f t="shared" si="77"/>
        <v>27872.96283997926</v>
      </c>
      <c r="U164" s="3">
        <f t="shared" si="78"/>
        <v>0.5</v>
      </c>
      <c r="V164" s="3">
        <f t="shared" si="79"/>
        <v>0</v>
      </c>
      <c r="W164" s="3">
        <f t="shared" si="80"/>
        <v>31599.256553679355</v>
      </c>
      <c r="X164" s="3">
        <f t="shared" si="72"/>
        <v>19318.28051975694</v>
      </c>
      <c r="AI164" s="3"/>
      <c r="AJ164" s="3"/>
      <c r="AK164" s="15">
        <f t="shared" si="63"/>
        <v>1</v>
      </c>
      <c r="AL164" s="11">
        <f t="shared" si="67"/>
        <v>930</v>
      </c>
      <c r="AM164" s="11" t="b">
        <f t="shared" si="62"/>
        <v>0</v>
      </c>
      <c r="AN164" s="11">
        <f t="shared" si="64"/>
        <v>36000</v>
      </c>
      <c r="AO164" s="11">
        <f t="shared" si="65"/>
        <v>0</v>
      </c>
      <c r="AP164" s="11">
        <f t="shared" si="66"/>
        <v>0.27815177070937985</v>
      </c>
      <c r="AQ164" s="11">
        <f t="shared" si="68"/>
        <v>0</v>
      </c>
      <c r="AT164" s="3"/>
      <c r="AU164" s="17"/>
      <c r="AV164" s="19"/>
      <c r="AW164" s="17"/>
      <c r="AX164" s="17">
        <f t="shared" si="61"/>
        <v>155</v>
      </c>
      <c r="AY164" s="17">
        <f t="shared" si="86"/>
        <v>15.5</v>
      </c>
      <c r="AZ164" s="17">
        <v>27.815177070937985</v>
      </c>
      <c r="BA164" s="17"/>
      <c r="BB164" s="17">
        <v>36</v>
      </c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17"/>
      <c r="CF164" s="17"/>
      <c r="CG164" s="17"/>
      <c r="CH164" s="17"/>
    </row>
    <row r="165" spans="8:86" x14ac:dyDescent="0.15">
      <c r="H165" s="3">
        <f t="shared" si="81"/>
        <v>0.15300000000000011</v>
      </c>
      <c r="I165" s="3">
        <f t="shared" si="82"/>
        <v>360</v>
      </c>
      <c r="J165" s="14">
        <f t="shared" si="83"/>
        <v>500</v>
      </c>
      <c r="K165" s="3">
        <f t="shared" si="73"/>
        <v>0</v>
      </c>
      <c r="L165" s="3">
        <f t="shared" si="69"/>
        <v>500</v>
      </c>
      <c r="M165" s="15">
        <f t="shared" si="84"/>
        <v>7.0000000000000007E-2</v>
      </c>
      <c r="N165" s="3">
        <f t="shared" si="85"/>
        <v>87.698287752331609</v>
      </c>
      <c r="O165" s="3">
        <f t="shared" si="70"/>
        <v>87.698287752331609</v>
      </c>
      <c r="P165" s="3">
        <f t="shared" si="74"/>
        <v>94.299234142292065</v>
      </c>
      <c r="Q165" s="3">
        <f t="shared" si="75"/>
        <v>38.580815113833921</v>
      </c>
      <c r="R165" s="3">
        <f t="shared" si="76"/>
        <v>66.440024628062986</v>
      </c>
      <c r="S165" s="3">
        <f t="shared" si="71"/>
        <v>1</v>
      </c>
      <c r="T165" s="3">
        <f t="shared" si="77"/>
        <v>27859.209514229071</v>
      </c>
      <c r="U165" s="3">
        <f t="shared" si="78"/>
        <v>0.5</v>
      </c>
      <c r="V165" s="3">
        <f t="shared" si="79"/>
        <v>0</v>
      </c>
      <c r="W165" s="3">
        <f t="shared" si="80"/>
        <v>31571.383590839378</v>
      </c>
      <c r="X165" s="3">
        <f t="shared" si="72"/>
        <v>19290.407556916962</v>
      </c>
      <c r="AI165" s="3"/>
      <c r="AJ165" s="3"/>
      <c r="AK165" s="15">
        <f t="shared" si="63"/>
        <v>1</v>
      </c>
      <c r="AL165" s="11">
        <f t="shared" si="67"/>
        <v>936</v>
      </c>
      <c r="AM165" s="11" t="b">
        <f t="shared" si="62"/>
        <v>0</v>
      </c>
      <c r="AN165" s="11">
        <f t="shared" si="64"/>
        <v>36000</v>
      </c>
      <c r="AO165" s="11">
        <f t="shared" si="65"/>
        <v>0</v>
      </c>
      <c r="AP165" s="11">
        <f t="shared" si="66"/>
        <v>0.27925408552419462</v>
      </c>
      <c r="AQ165" s="11">
        <f t="shared" si="68"/>
        <v>0</v>
      </c>
      <c r="AT165" s="3"/>
      <c r="AU165" s="17"/>
      <c r="AV165" s="19"/>
      <c r="AW165" s="17"/>
      <c r="AX165" s="17">
        <f t="shared" si="61"/>
        <v>156</v>
      </c>
      <c r="AY165" s="17">
        <f t="shared" si="86"/>
        <v>15.6</v>
      </c>
      <c r="AZ165" s="17">
        <v>27.925408552419462</v>
      </c>
      <c r="BA165" s="17"/>
      <c r="BB165" s="17">
        <v>36</v>
      </c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17"/>
      <c r="CF165" s="17"/>
      <c r="CG165" s="17"/>
      <c r="CH165" s="17"/>
    </row>
    <row r="166" spans="8:86" x14ac:dyDescent="0.15">
      <c r="H166" s="3">
        <f t="shared" si="81"/>
        <v>0.15400000000000011</v>
      </c>
      <c r="I166" s="3">
        <f t="shared" si="82"/>
        <v>360</v>
      </c>
      <c r="J166" s="14">
        <f t="shared" si="83"/>
        <v>500</v>
      </c>
      <c r="K166" s="3">
        <f t="shared" si="73"/>
        <v>0</v>
      </c>
      <c r="L166" s="3">
        <f t="shared" si="69"/>
        <v>500</v>
      </c>
      <c r="M166" s="15">
        <f t="shared" si="84"/>
        <v>7.0000000000000007E-2</v>
      </c>
      <c r="N166" s="3">
        <f t="shared" si="85"/>
        <v>87.620901059236516</v>
      </c>
      <c r="O166" s="3">
        <f t="shared" si="70"/>
        <v>87.620901059236516</v>
      </c>
      <c r="P166" s="3">
        <f t="shared" si="74"/>
        <v>94.216022644340342</v>
      </c>
      <c r="Q166" s="3">
        <f t="shared" si="75"/>
        <v>38.525096694805463</v>
      </c>
      <c r="R166" s="3">
        <f t="shared" si="76"/>
        <v>66.370559669572899</v>
      </c>
      <c r="S166" s="3">
        <f t="shared" si="71"/>
        <v>1</v>
      </c>
      <c r="T166" s="3">
        <f t="shared" si="77"/>
        <v>27845.462974767441</v>
      </c>
      <c r="U166" s="3">
        <f t="shared" si="78"/>
        <v>0.5</v>
      </c>
      <c r="V166" s="3">
        <f t="shared" si="79"/>
        <v>0</v>
      </c>
      <c r="W166" s="3">
        <f t="shared" si="80"/>
        <v>31543.524381325147</v>
      </c>
      <c r="X166" s="3">
        <f t="shared" si="72"/>
        <v>19262.548347402731</v>
      </c>
      <c r="AI166" s="3"/>
      <c r="AJ166" s="3"/>
      <c r="AK166" s="15">
        <f t="shared" si="63"/>
        <v>1</v>
      </c>
      <c r="AL166" s="11">
        <f t="shared" si="67"/>
        <v>942</v>
      </c>
      <c r="AM166" s="11" t="b">
        <f t="shared" si="62"/>
        <v>0</v>
      </c>
      <c r="AN166" s="11">
        <f t="shared" si="64"/>
        <v>36000</v>
      </c>
      <c r="AO166" s="11">
        <f t="shared" si="65"/>
        <v>0</v>
      </c>
      <c r="AP166" s="11">
        <f t="shared" si="66"/>
        <v>0.28035640033900944</v>
      </c>
      <c r="AQ166" s="11">
        <f t="shared" si="68"/>
        <v>0</v>
      </c>
      <c r="AT166" s="3"/>
      <c r="AU166" s="17"/>
      <c r="AV166" s="19"/>
      <c r="AW166" s="17"/>
      <c r="AX166" s="17">
        <f t="shared" si="61"/>
        <v>157</v>
      </c>
      <c r="AY166" s="17">
        <f t="shared" si="86"/>
        <v>15.7</v>
      </c>
      <c r="AZ166" s="17">
        <v>28.035640033900943</v>
      </c>
      <c r="BA166" s="17"/>
      <c r="BB166" s="17">
        <v>36</v>
      </c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17"/>
      <c r="CF166" s="17"/>
      <c r="CG166" s="17"/>
      <c r="CH166" s="17"/>
    </row>
    <row r="167" spans="8:86" x14ac:dyDescent="0.15">
      <c r="H167" s="3">
        <f t="shared" si="81"/>
        <v>0.15500000000000011</v>
      </c>
      <c r="I167" s="3">
        <f t="shared" si="82"/>
        <v>360</v>
      </c>
      <c r="J167" s="14">
        <f t="shared" si="83"/>
        <v>500</v>
      </c>
      <c r="K167" s="3">
        <f t="shared" si="73"/>
        <v>0</v>
      </c>
      <c r="L167" s="3">
        <f t="shared" si="69"/>
        <v>500</v>
      </c>
      <c r="M167" s="15">
        <f t="shared" si="84"/>
        <v>7.0000000000000007E-2</v>
      </c>
      <c r="N167" s="3">
        <f t="shared" si="85"/>
        <v>87.543552550973274</v>
      </c>
      <c r="O167" s="3">
        <f t="shared" si="70"/>
        <v>87.543552550973274</v>
      </c>
      <c r="P167" s="3">
        <f t="shared" si="74"/>
        <v>94.132852205347618</v>
      </c>
      <c r="Q167" s="3">
        <f t="shared" si="75"/>
        <v>38.469405768855928</v>
      </c>
      <c r="R167" s="3">
        <f t="shared" si="76"/>
        <v>66.301128987101777</v>
      </c>
      <c r="S167" s="3">
        <f t="shared" si="71"/>
        <v>1</v>
      </c>
      <c r="T167" s="3">
        <f t="shared" si="77"/>
        <v>27831.723218245847</v>
      </c>
      <c r="U167" s="3">
        <f t="shared" si="78"/>
        <v>0.5</v>
      </c>
      <c r="V167" s="3">
        <f t="shared" si="79"/>
        <v>0</v>
      </c>
      <c r="W167" s="3">
        <f t="shared" si="80"/>
        <v>31515.678918350379</v>
      </c>
      <c r="X167" s="3">
        <f t="shared" si="72"/>
        <v>19234.702884427963</v>
      </c>
      <c r="AI167" s="3"/>
      <c r="AJ167" s="3"/>
      <c r="AK167" s="15">
        <f t="shared" si="63"/>
        <v>1</v>
      </c>
      <c r="AL167" s="11">
        <f t="shared" si="67"/>
        <v>948</v>
      </c>
      <c r="AM167" s="11" t="b">
        <f t="shared" si="62"/>
        <v>0</v>
      </c>
      <c r="AN167" s="11">
        <f t="shared" si="64"/>
        <v>36000</v>
      </c>
      <c r="AO167" s="11">
        <f t="shared" si="65"/>
        <v>0</v>
      </c>
      <c r="AP167" s="11">
        <f t="shared" si="66"/>
        <v>0.2814587151538242</v>
      </c>
      <c r="AQ167" s="11">
        <f t="shared" si="68"/>
        <v>0</v>
      </c>
      <c r="AT167" s="3"/>
      <c r="AU167" s="17"/>
      <c r="AV167" s="19"/>
      <c r="AW167" s="17"/>
      <c r="AX167" s="17">
        <f t="shared" si="61"/>
        <v>158</v>
      </c>
      <c r="AY167" s="17">
        <f t="shared" si="86"/>
        <v>15.8</v>
      </c>
      <c r="AZ167" s="17">
        <v>28.145871515382421</v>
      </c>
      <c r="BA167" s="17"/>
      <c r="BB167" s="17">
        <v>36</v>
      </c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17"/>
      <c r="CF167" s="17"/>
      <c r="CG167" s="17"/>
      <c r="CH167" s="17"/>
    </row>
    <row r="168" spans="8:86" x14ac:dyDescent="0.15">
      <c r="H168" s="3">
        <f t="shared" si="81"/>
        <v>0.15600000000000011</v>
      </c>
      <c r="I168" s="3">
        <f t="shared" si="82"/>
        <v>360</v>
      </c>
      <c r="J168" s="14">
        <f t="shared" si="83"/>
        <v>500</v>
      </c>
      <c r="K168" s="3">
        <f t="shared" si="73"/>
        <v>0</v>
      </c>
      <c r="L168" s="3">
        <f t="shared" si="69"/>
        <v>500</v>
      </c>
      <c r="M168" s="15">
        <f t="shared" si="84"/>
        <v>7.0000000000000007E-2</v>
      </c>
      <c r="N168" s="3">
        <f t="shared" si="85"/>
        <v>87.466242208700365</v>
      </c>
      <c r="O168" s="3">
        <f t="shared" si="70"/>
        <v>87.466242208700365</v>
      </c>
      <c r="P168" s="3">
        <f t="shared" si="74"/>
        <v>94.049722805054159</v>
      </c>
      <c r="Q168" s="3">
        <f t="shared" si="75"/>
        <v>38.413742322419438</v>
      </c>
      <c r="R168" s="3">
        <f t="shared" si="76"/>
        <v>66.231732563736799</v>
      </c>
      <c r="S168" s="3">
        <f t="shared" si="71"/>
        <v>1</v>
      </c>
      <c r="T168" s="3">
        <f t="shared" si="77"/>
        <v>27817.990241317362</v>
      </c>
      <c r="U168" s="3">
        <f t="shared" si="78"/>
        <v>0.5</v>
      </c>
      <c r="V168" s="3">
        <f t="shared" si="79"/>
        <v>0</v>
      </c>
      <c r="W168" s="3">
        <f t="shared" si="80"/>
        <v>31487.84719513213</v>
      </c>
      <c r="X168" s="3">
        <f t="shared" si="72"/>
        <v>19206.871161209718</v>
      </c>
      <c r="AI168" s="3"/>
      <c r="AJ168" s="3"/>
      <c r="AK168" s="15">
        <f t="shared" si="63"/>
        <v>1</v>
      </c>
      <c r="AL168" s="11">
        <f t="shared" si="67"/>
        <v>954</v>
      </c>
      <c r="AM168" s="11" t="b">
        <f t="shared" si="62"/>
        <v>0</v>
      </c>
      <c r="AN168" s="11">
        <f t="shared" si="64"/>
        <v>36000</v>
      </c>
      <c r="AO168" s="11">
        <f t="shared" si="65"/>
        <v>0</v>
      </c>
      <c r="AP168" s="11">
        <f t="shared" si="66"/>
        <v>0.28256102996863902</v>
      </c>
      <c r="AQ168" s="11">
        <f t="shared" si="68"/>
        <v>0</v>
      </c>
      <c r="AT168" s="3"/>
      <c r="AU168" s="17"/>
      <c r="AV168" s="19"/>
      <c r="AW168" s="17"/>
      <c r="AX168" s="17">
        <f t="shared" si="61"/>
        <v>159</v>
      </c>
      <c r="AY168" s="17">
        <f t="shared" si="86"/>
        <v>15.9</v>
      </c>
      <c r="AZ168" s="17">
        <v>28.256102996863902</v>
      </c>
      <c r="BA168" s="17"/>
      <c r="BB168" s="17">
        <v>36</v>
      </c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7"/>
    </row>
    <row r="169" spans="8:86" x14ac:dyDescent="0.15">
      <c r="H169" s="3">
        <f t="shared" si="81"/>
        <v>0.15700000000000011</v>
      </c>
      <c r="I169" s="3">
        <f t="shared" si="82"/>
        <v>360</v>
      </c>
      <c r="J169" s="14">
        <f t="shared" si="83"/>
        <v>500</v>
      </c>
      <c r="K169" s="3">
        <f t="shared" si="73"/>
        <v>0</v>
      </c>
      <c r="L169" s="3">
        <f t="shared" si="69"/>
        <v>500</v>
      </c>
      <c r="M169" s="15">
        <f t="shared" si="84"/>
        <v>7.0000000000000007E-2</v>
      </c>
      <c r="N169" s="3">
        <f t="shared" si="85"/>
        <v>87.388970013585592</v>
      </c>
      <c r="O169" s="3">
        <f t="shared" si="70"/>
        <v>87.388970013585592</v>
      </c>
      <c r="P169" s="3">
        <f t="shared" si="74"/>
        <v>93.966634423210323</v>
      </c>
      <c r="Q169" s="3">
        <f t="shared" si="75"/>
        <v>38.358106341936804</v>
      </c>
      <c r="R169" s="3">
        <f t="shared" si="76"/>
        <v>66.162370382573556</v>
      </c>
      <c r="S169" s="3">
        <f t="shared" si="71"/>
        <v>1</v>
      </c>
      <c r="T169" s="3">
        <f t="shared" si="77"/>
        <v>27804.264040636761</v>
      </c>
      <c r="U169" s="3">
        <f t="shared" si="78"/>
        <v>0.5</v>
      </c>
      <c r="V169" s="3">
        <f t="shared" si="79"/>
        <v>0</v>
      </c>
      <c r="W169" s="3">
        <f t="shared" si="80"/>
        <v>31460.029204890812</v>
      </c>
      <c r="X169" s="3">
        <f t="shared" si="72"/>
        <v>19179.0531709684</v>
      </c>
      <c r="AI169" s="3"/>
      <c r="AJ169" s="3"/>
      <c r="AK169" s="15">
        <f t="shared" si="63"/>
        <v>1</v>
      </c>
      <c r="AL169" s="11">
        <f t="shared" si="67"/>
        <v>960</v>
      </c>
      <c r="AM169" s="11" t="b">
        <f t="shared" si="62"/>
        <v>0</v>
      </c>
      <c r="AN169" s="11">
        <f t="shared" si="64"/>
        <v>36000</v>
      </c>
      <c r="AO169" s="11">
        <f t="shared" si="65"/>
        <v>0</v>
      </c>
      <c r="AP169" s="11">
        <f t="shared" si="66"/>
        <v>0.28366334478345379</v>
      </c>
      <c r="AQ169" s="11">
        <f t="shared" si="68"/>
        <v>0</v>
      </c>
      <c r="AT169" s="3"/>
      <c r="AU169" s="17"/>
      <c r="AV169" s="19"/>
      <c r="AW169" s="17"/>
      <c r="AX169" s="17">
        <f t="shared" si="61"/>
        <v>160</v>
      </c>
      <c r="AY169" s="17">
        <f t="shared" si="86"/>
        <v>16</v>
      </c>
      <c r="AZ169" s="17">
        <v>28.366334478345379</v>
      </c>
      <c r="BA169" s="17"/>
      <c r="BB169" s="17">
        <v>36</v>
      </c>
      <c r="BC169" s="17"/>
      <c r="BD169" s="17"/>
      <c r="BE169" s="17"/>
      <c r="BF169" s="17"/>
      <c r="BG169" s="17"/>
      <c r="BH169" s="17"/>
      <c r="BI169" s="17"/>
      <c r="BJ169" s="17"/>
      <c r="BK169" s="17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7"/>
      <c r="CF169" s="17"/>
      <c r="CG169" s="17"/>
      <c r="CH169" s="17"/>
    </row>
    <row r="170" spans="8:86" x14ac:dyDescent="0.15">
      <c r="H170" s="3">
        <f t="shared" si="81"/>
        <v>0.15800000000000011</v>
      </c>
      <c r="I170" s="3">
        <f t="shared" si="82"/>
        <v>360</v>
      </c>
      <c r="J170" s="14">
        <f t="shared" si="83"/>
        <v>500</v>
      </c>
      <c r="K170" s="3">
        <f t="shared" si="73"/>
        <v>0</v>
      </c>
      <c r="L170" s="3">
        <f t="shared" si="69"/>
        <v>500</v>
      </c>
      <c r="M170" s="15">
        <f t="shared" si="84"/>
        <v>7.0000000000000007E-2</v>
      </c>
      <c r="N170" s="3">
        <f t="shared" si="85"/>
        <v>87.311735946806039</v>
      </c>
      <c r="O170" s="3">
        <f t="shared" si="70"/>
        <v>87.311735946806039</v>
      </c>
      <c r="P170" s="3">
        <f t="shared" si="74"/>
        <v>93.883587039576398</v>
      </c>
      <c r="Q170" s="3">
        <f t="shared" si="75"/>
        <v>38.302497813855524</v>
      </c>
      <c r="R170" s="3">
        <f t="shared" si="76"/>
        <v>66.093042426715954</v>
      </c>
      <c r="S170" s="3">
        <f t="shared" si="71"/>
        <v>1</v>
      </c>
      <c r="T170" s="3">
        <f t="shared" si="77"/>
        <v>27790.544612860438</v>
      </c>
      <c r="U170" s="3">
        <f t="shared" si="78"/>
        <v>0.5</v>
      </c>
      <c r="V170" s="3">
        <f t="shared" si="79"/>
        <v>0</v>
      </c>
      <c r="W170" s="3">
        <f t="shared" si="80"/>
        <v>31432.224940850174</v>
      </c>
      <c r="X170" s="3">
        <f t="shared" si="72"/>
        <v>19151.248906927762</v>
      </c>
      <c r="AI170" s="3"/>
      <c r="AJ170" s="3"/>
      <c r="AK170" s="15">
        <f t="shared" si="63"/>
        <v>1</v>
      </c>
      <c r="AL170" s="11">
        <f t="shared" si="67"/>
        <v>966</v>
      </c>
      <c r="AM170" s="11" t="b">
        <f t="shared" si="62"/>
        <v>0</v>
      </c>
      <c r="AN170" s="11">
        <f t="shared" si="64"/>
        <v>36000</v>
      </c>
      <c r="AO170" s="11">
        <f t="shared" si="65"/>
        <v>0</v>
      </c>
      <c r="AP170" s="11">
        <f t="shared" si="66"/>
        <v>0.28476565959826861</v>
      </c>
      <c r="AQ170" s="11">
        <f t="shared" si="68"/>
        <v>0</v>
      </c>
      <c r="AT170" s="3"/>
      <c r="AU170" s="17"/>
      <c r="AV170" s="19"/>
      <c r="AW170" s="17"/>
      <c r="AX170" s="17">
        <f t="shared" si="61"/>
        <v>161</v>
      </c>
      <c r="AY170" s="17">
        <f t="shared" si="86"/>
        <v>16.100000000000001</v>
      </c>
      <c r="AZ170" s="17">
        <v>28.476565959826861</v>
      </c>
      <c r="BA170" s="17"/>
      <c r="BB170" s="17">
        <v>36</v>
      </c>
      <c r="BC170" s="17"/>
      <c r="BD170" s="17"/>
      <c r="BE170" s="17"/>
      <c r="BF170" s="17"/>
      <c r="BG170" s="17"/>
      <c r="BH170" s="17"/>
      <c r="BI170" s="17"/>
      <c r="BJ170" s="17"/>
      <c r="BK170" s="17"/>
      <c r="BL170" s="17"/>
      <c r="BM170" s="17"/>
      <c r="BN170" s="17"/>
      <c r="BO170" s="17"/>
      <c r="BP170" s="17"/>
      <c r="BQ170" s="17"/>
      <c r="BR170" s="17"/>
      <c r="BS170" s="17"/>
      <c r="BT170" s="17"/>
      <c r="BU170" s="17"/>
      <c r="BV170" s="17"/>
      <c r="BW170" s="17"/>
      <c r="BX170" s="17"/>
      <c r="BY170" s="17"/>
      <c r="BZ170" s="17"/>
      <c r="CA170" s="17"/>
      <c r="CB170" s="17"/>
      <c r="CC170" s="17"/>
      <c r="CD170" s="17"/>
      <c r="CE170" s="17"/>
      <c r="CF170" s="17"/>
      <c r="CG170" s="17"/>
      <c r="CH170" s="17"/>
    </row>
    <row r="171" spans="8:86" x14ac:dyDescent="0.15">
      <c r="H171" s="3">
        <f t="shared" si="81"/>
        <v>0.15900000000000011</v>
      </c>
      <c r="I171" s="3">
        <f t="shared" si="82"/>
        <v>360</v>
      </c>
      <c r="J171" s="14">
        <f t="shared" si="83"/>
        <v>500</v>
      </c>
      <c r="K171" s="3">
        <f t="shared" si="73"/>
        <v>0</v>
      </c>
      <c r="L171" s="3">
        <f t="shared" si="69"/>
        <v>500</v>
      </c>
      <c r="M171" s="15">
        <f t="shared" si="84"/>
        <v>7.0000000000000007E-2</v>
      </c>
      <c r="N171" s="3">
        <f t="shared" si="85"/>
        <v>87.234539989548097</v>
      </c>
      <c r="O171" s="3">
        <f t="shared" si="70"/>
        <v>87.234539989548097</v>
      </c>
      <c r="P171" s="3">
        <f t="shared" si="74"/>
        <v>93.800580633922692</v>
      </c>
      <c r="Q171" s="3">
        <f t="shared" si="75"/>
        <v>38.246916724629799</v>
      </c>
      <c r="R171" s="3">
        <f t="shared" si="76"/>
        <v>66.023748679276252</v>
      </c>
      <c r="S171" s="3">
        <f t="shared" si="71"/>
        <v>1</v>
      </c>
      <c r="T171" s="3">
        <f t="shared" si="77"/>
        <v>27776.831954646448</v>
      </c>
      <c r="U171" s="3">
        <f t="shared" si="78"/>
        <v>0.5</v>
      </c>
      <c r="V171" s="3">
        <f t="shared" si="79"/>
        <v>0</v>
      </c>
      <c r="W171" s="3">
        <f t="shared" si="80"/>
        <v>31404.434396237313</v>
      </c>
      <c r="X171" s="3">
        <f t="shared" si="72"/>
        <v>19123.458362314901</v>
      </c>
      <c r="AI171" s="3"/>
      <c r="AJ171" s="3"/>
      <c r="AK171" s="15">
        <f t="shared" si="63"/>
        <v>1</v>
      </c>
      <c r="AL171" s="11">
        <f t="shared" si="67"/>
        <v>972</v>
      </c>
      <c r="AM171" s="11" t="b">
        <f t="shared" si="62"/>
        <v>0</v>
      </c>
      <c r="AN171" s="11">
        <f t="shared" si="64"/>
        <v>36000</v>
      </c>
      <c r="AO171" s="11">
        <f t="shared" si="65"/>
        <v>0</v>
      </c>
      <c r="AP171" s="11">
        <f t="shared" si="66"/>
        <v>0.28586797441308337</v>
      </c>
      <c r="AQ171" s="11">
        <f t="shared" si="68"/>
        <v>0</v>
      </c>
      <c r="AT171" s="3"/>
      <c r="AU171" s="17"/>
      <c r="AV171" s="19"/>
      <c r="AW171" s="17"/>
      <c r="AX171" s="17">
        <f t="shared" si="61"/>
        <v>162</v>
      </c>
      <c r="AY171" s="17">
        <f t="shared" si="86"/>
        <v>16.2</v>
      </c>
      <c r="AZ171" s="17">
        <v>28.586797441308338</v>
      </c>
      <c r="BA171" s="17"/>
      <c r="BB171" s="17">
        <v>36</v>
      </c>
      <c r="BC171" s="17"/>
      <c r="BD171" s="17"/>
      <c r="BE171" s="17"/>
      <c r="BF171" s="17"/>
      <c r="BG171" s="17"/>
      <c r="BH171" s="17"/>
      <c r="BI171" s="17"/>
      <c r="BJ171" s="17"/>
      <c r="BK171" s="17"/>
      <c r="BL171" s="17"/>
      <c r="BM171" s="17"/>
      <c r="BN171" s="17"/>
      <c r="BO171" s="17"/>
      <c r="BP171" s="17"/>
      <c r="BQ171" s="17"/>
      <c r="BR171" s="17"/>
      <c r="BS171" s="17"/>
      <c r="BT171" s="17"/>
      <c r="BU171" s="17"/>
      <c r="BV171" s="17"/>
      <c r="BW171" s="17"/>
      <c r="BX171" s="17"/>
      <c r="BY171" s="17"/>
      <c r="BZ171" s="17"/>
      <c r="CA171" s="17"/>
      <c r="CB171" s="17"/>
      <c r="CC171" s="17"/>
      <c r="CD171" s="17"/>
      <c r="CE171" s="17"/>
      <c r="CF171" s="17"/>
      <c r="CG171" s="17"/>
      <c r="CH171" s="17"/>
    </row>
    <row r="172" spans="8:86" x14ac:dyDescent="0.15">
      <c r="H172" s="3">
        <f t="shared" si="81"/>
        <v>0.16000000000000011</v>
      </c>
      <c r="I172" s="3">
        <f t="shared" si="82"/>
        <v>360</v>
      </c>
      <c r="J172" s="14">
        <f t="shared" si="83"/>
        <v>500</v>
      </c>
      <c r="K172" s="3">
        <f t="shared" si="73"/>
        <v>0</v>
      </c>
      <c r="L172" s="3">
        <f t="shared" si="69"/>
        <v>500</v>
      </c>
      <c r="M172" s="15">
        <f t="shared" si="84"/>
        <v>7.0000000000000007E-2</v>
      </c>
      <c r="N172" s="3">
        <f t="shared" si="85"/>
        <v>87.157382123007409</v>
      </c>
      <c r="O172" s="3">
        <f t="shared" si="70"/>
        <v>87.157382123007409</v>
      </c>
      <c r="P172" s="3">
        <f t="shared" si="74"/>
        <v>93.717615186029477</v>
      </c>
      <c r="Q172" s="3">
        <f t="shared" si="75"/>
        <v>38.191363060720512</v>
      </c>
      <c r="R172" s="3">
        <f t="shared" si="76"/>
        <v>65.954489123374998</v>
      </c>
      <c r="S172" s="3">
        <f t="shared" si="71"/>
        <v>1</v>
      </c>
      <c r="T172" s="3">
        <f t="shared" si="77"/>
        <v>27763.126062654483</v>
      </c>
      <c r="U172" s="3">
        <f t="shared" si="78"/>
        <v>0.5</v>
      </c>
      <c r="V172" s="3">
        <f t="shared" si="79"/>
        <v>0</v>
      </c>
      <c r="W172" s="3">
        <f t="shared" si="80"/>
        <v>31376.657564282668</v>
      </c>
      <c r="X172" s="3">
        <f t="shared" si="72"/>
        <v>19095.681530360256</v>
      </c>
      <c r="AI172" s="3"/>
      <c r="AJ172" s="3"/>
      <c r="AK172" s="15">
        <f t="shared" si="63"/>
        <v>1</v>
      </c>
      <c r="AL172" s="11">
        <f t="shared" si="67"/>
        <v>978</v>
      </c>
      <c r="AM172" s="11" t="b">
        <f t="shared" si="62"/>
        <v>0</v>
      </c>
      <c r="AN172" s="11">
        <f t="shared" si="64"/>
        <v>36000</v>
      </c>
      <c r="AO172" s="11">
        <f t="shared" si="65"/>
        <v>0</v>
      </c>
      <c r="AP172" s="11">
        <f t="shared" si="66"/>
        <v>0.28697028922789819</v>
      </c>
      <c r="AQ172" s="11">
        <f t="shared" si="68"/>
        <v>0</v>
      </c>
      <c r="AT172" s="3"/>
      <c r="AU172" s="17"/>
      <c r="AV172" s="19"/>
      <c r="AW172" s="17"/>
      <c r="AX172" s="17">
        <f t="shared" si="61"/>
        <v>163</v>
      </c>
      <c r="AY172" s="17">
        <f t="shared" si="86"/>
        <v>16.3</v>
      </c>
      <c r="AZ172" s="17">
        <v>28.697028922789819</v>
      </c>
      <c r="BA172" s="17"/>
      <c r="BB172" s="17">
        <v>36</v>
      </c>
      <c r="BC172" s="17"/>
      <c r="BD172" s="17"/>
      <c r="BE172" s="17"/>
      <c r="BF172" s="17"/>
      <c r="BG172" s="17"/>
      <c r="BH172" s="17"/>
      <c r="BI172" s="17"/>
      <c r="BJ172" s="17"/>
      <c r="BK172" s="17"/>
      <c r="BL172" s="17"/>
      <c r="BM172" s="17"/>
      <c r="BN172" s="17"/>
      <c r="BO172" s="17"/>
      <c r="BP172" s="17"/>
      <c r="BQ172" s="17"/>
      <c r="BR172" s="17"/>
      <c r="BS172" s="17"/>
      <c r="BT172" s="17"/>
      <c r="BU172" s="17"/>
      <c r="BV172" s="17"/>
      <c r="BW172" s="17"/>
      <c r="BX172" s="17"/>
      <c r="BY172" s="17"/>
      <c r="BZ172" s="17"/>
      <c r="CA172" s="17"/>
      <c r="CB172" s="17"/>
      <c r="CC172" s="17"/>
      <c r="CD172" s="17"/>
      <c r="CE172" s="17"/>
      <c r="CF172" s="17"/>
      <c r="CG172" s="17"/>
      <c r="CH172" s="17"/>
    </row>
    <row r="173" spans="8:86" x14ac:dyDescent="0.15">
      <c r="H173" s="3">
        <f t="shared" si="81"/>
        <v>0.16100000000000012</v>
      </c>
      <c r="I173" s="3">
        <f t="shared" si="82"/>
        <v>360</v>
      </c>
      <c r="J173" s="14">
        <f t="shared" si="83"/>
        <v>500</v>
      </c>
      <c r="K173" s="3">
        <f t="shared" si="73"/>
        <v>0</v>
      </c>
      <c r="L173" s="3">
        <f t="shared" si="69"/>
        <v>500</v>
      </c>
      <c r="M173" s="15">
        <f t="shared" si="84"/>
        <v>7.0000000000000007E-2</v>
      </c>
      <c r="N173" s="3">
        <f t="shared" si="85"/>
        <v>87.080262328388926</v>
      </c>
      <c r="O173" s="3">
        <f t="shared" si="70"/>
        <v>87.080262328388926</v>
      </c>
      <c r="P173" s="3">
        <f t="shared" si="74"/>
        <v>93.634690675687025</v>
      </c>
      <c r="Q173" s="3">
        <f t="shared" si="75"/>
        <v>38.135836808595201</v>
      </c>
      <c r="R173" s="3">
        <f t="shared" si="76"/>
        <v>65.88526374214112</v>
      </c>
      <c r="S173" s="3">
        <f t="shared" si="71"/>
        <v>1</v>
      </c>
      <c r="T173" s="3">
        <f t="shared" si="77"/>
        <v>27749.426933545914</v>
      </c>
      <c r="U173" s="3">
        <f t="shared" si="78"/>
        <v>0.5</v>
      </c>
      <c r="V173" s="3">
        <f t="shared" si="79"/>
        <v>0</v>
      </c>
      <c r="W173" s="3">
        <f t="shared" si="80"/>
        <v>31348.894438220013</v>
      </c>
      <c r="X173" s="3">
        <f t="shared" si="72"/>
        <v>19067.918404297601</v>
      </c>
      <c r="AI173" s="3"/>
      <c r="AJ173" s="3"/>
      <c r="AK173" s="15">
        <f t="shared" si="63"/>
        <v>1</v>
      </c>
      <c r="AL173" s="11">
        <f t="shared" si="67"/>
        <v>984</v>
      </c>
      <c r="AM173" s="11" t="b">
        <f t="shared" si="62"/>
        <v>0</v>
      </c>
      <c r="AN173" s="11">
        <f t="shared" si="64"/>
        <v>36000</v>
      </c>
      <c r="AO173" s="11">
        <f t="shared" si="65"/>
        <v>0</v>
      </c>
      <c r="AP173" s="11">
        <f t="shared" si="66"/>
        <v>0.28807260404271295</v>
      </c>
      <c r="AQ173" s="11">
        <f t="shared" si="68"/>
        <v>0</v>
      </c>
      <c r="AT173" s="3"/>
      <c r="AU173" s="17"/>
      <c r="AV173" s="19"/>
      <c r="AW173" s="17"/>
      <c r="AX173" s="17">
        <f t="shared" si="61"/>
        <v>164</v>
      </c>
      <c r="AY173" s="17">
        <f t="shared" si="86"/>
        <v>16.399999999999999</v>
      </c>
      <c r="AZ173" s="17">
        <v>28.807260404271297</v>
      </c>
      <c r="BA173" s="17"/>
      <c r="BB173" s="17">
        <v>36</v>
      </c>
      <c r="BC173" s="17"/>
      <c r="BD173" s="17"/>
      <c r="BE173" s="17"/>
      <c r="BF173" s="17"/>
      <c r="BG173" s="17"/>
      <c r="BH173" s="17"/>
      <c r="BI173" s="17"/>
      <c r="BJ173" s="17"/>
      <c r="BK173" s="17"/>
      <c r="BL173" s="17"/>
      <c r="BM173" s="17"/>
      <c r="BN173" s="17"/>
      <c r="BO173" s="17"/>
      <c r="BP173" s="17"/>
      <c r="BQ173" s="17"/>
      <c r="BR173" s="17"/>
      <c r="BS173" s="17"/>
      <c r="BT173" s="17"/>
      <c r="BU173" s="17"/>
      <c r="BV173" s="17"/>
      <c r="BW173" s="17"/>
      <c r="BX173" s="17"/>
      <c r="BY173" s="17"/>
      <c r="BZ173" s="17"/>
      <c r="CA173" s="17"/>
      <c r="CB173" s="17"/>
      <c r="CC173" s="17"/>
      <c r="CD173" s="17"/>
      <c r="CE173" s="17"/>
      <c r="CF173" s="17"/>
      <c r="CG173" s="17"/>
      <c r="CH173" s="17"/>
    </row>
    <row r="174" spans="8:86" x14ac:dyDescent="0.15">
      <c r="H174" s="3">
        <f t="shared" si="81"/>
        <v>0.16200000000000012</v>
      </c>
      <c r="I174" s="3">
        <f t="shared" si="82"/>
        <v>360</v>
      </c>
      <c r="J174" s="14">
        <f t="shared" si="83"/>
        <v>500</v>
      </c>
      <c r="K174" s="3">
        <f t="shared" si="73"/>
        <v>0</v>
      </c>
      <c r="L174" s="3">
        <f t="shared" si="69"/>
        <v>500</v>
      </c>
      <c r="M174" s="15">
        <f t="shared" si="84"/>
        <v>7.0000000000000007E-2</v>
      </c>
      <c r="N174" s="3">
        <f t="shared" si="85"/>
        <v>87.003180586906851</v>
      </c>
      <c r="O174" s="3">
        <f t="shared" si="70"/>
        <v>87.003180586906851</v>
      </c>
      <c r="P174" s="3">
        <f t="shared" si="74"/>
        <v>93.551807082695547</v>
      </c>
      <c r="Q174" s="3">
        <f t="shared" si="75"/>
        <v>38.080337954728108</v>
      </c>
      <c r="R174" s="3">
        <f t="shared" si="76"/>
        <v>65.81607251871182</v>
      </c>
      <c r="S174" s="3">
        <f t="shared" si="71"/>
        <v>1</v>
      </c>
      <c r="T174" s="3">
        <f t="shared" si="77"/>
        <v>27735.734563983719</v>
      </c>
      <c r="U174" s="3">
        <f t="shared" si="78"/>
        <v>0.5</v>
      </c>
      <c r="V174" s="3">
        <f t="shared" si="79"/>
        <v>0</v>
      </c>
      <c r="W174" s="3">
        <f t="shared" si="80"/>
        <v>31321.145011286466</v>
      </c>
      <c r="X174" s="3">
        <f t="shared" si="72"/>
        <v>19040.168977364054</v>
      </c>
      <c r="AI174" s="3"/>
      <c r="AJ174" s="3"/>
      <c r="AK174" s="15">
        <f t="shared" si="63"/>
        <v>1</v>
      </c>
      <c r="AL174" s="11">
        <f t="shared" si="67"/>
        <v>990</v>
      </c>
      <c r="AM174" s="11" t="b">
        <f t="shared" si="62"/>
        <v>0</v>
      </c>
      <c r="AN174" s="11">
        <f t="shared" si="64"/>
        <v>36000</v>
      </c>
      <c r="AO174" s="11">
        <f t="shared" si="65"/>
        <v>0</v>
      </c>
      <c r="AP174" s="11">
        <f t="shared" si="66"/>
        <v>0.28917491885752777</v>
      </c>
      <c r="AQ174" s="11">
        <f t="shared" si="68"/>
        <v>0</v>
      </c>
      <c r="AT174" s="3"/>
      <c r="AU174" s="17"/>
      <c r="AV174" s="19"/>
      <c r="AW174" s="17"/>
      <c r="AX174" s="17">
        <f t="shared" ref="AX174:AX237" si="87">IF(AX173&gt;=$AG$14,$AG$14,AX173+1)</f>
        <v>165</v>
      </c>
      <c r="AY174" s="17">
        <f t="shared" si="86"/>
        <v>16.5</v>
      </c>
      <c r="AZ174" s="17">
        <v>28.917491885752778</v>
      </c>
      <c r="BA174" s="17"/>
      <c r="BB174" s="17">
        <v>36</v>
      </c>
      <c r="BC174" s="17"/>
      <c r="BD174" s="17"/>
      <c r="BE174" s="17"/>
      <c r="BF174" s="17"/>
      <c r="BG174" s="17"/>
      <c r="BH174" s="17"/>
      <c r="BI174" s="17"/>
      <c r="BJ174" s="17"/>
      <c r="BK174" s="17"/>
      <c r="BL174" s="17"/>
      <c r="BM174" s="17"/>
      <c r="BN174" s="17"/>
      <c r="BO174" s="17"/>
      <c r="BP174" s="17"/>
      <c r="BQ174" s="17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  <c r="CC174" s="17"/>
      <c r="CD174" s="17"/>
      <c r="CE174" s="17"/>
      <c r="CF174" s="17"/>
      <c r="CG174" s="17"/>
      <c r="CH174" s="17"/>
    </row>
    <row r="175" spans="8:86" x14ac:dyDescent="0.15">
      <c r="H175" s="3">
        <f t="shared" si="81"/>
        <v>0.16300000000000012</v>
      </c>
      <c r="I175" s="3">
        <f t="shared" si="82"/>
        <v>360</v>
      </c>
      <c r="J175" s="14">
        <f t="shared" si="83"/>
        <v>500</v>
      </c>
      <c r="K175" s="3">
        <f t="shared" si="73"/>
        <v>0</v>
      </c>
      <c r="L175" s="3">
        <f t="shared" si="69"/>
        <v>500</v>
      </c>
      <c r="M175" s="15">
        <f t="shared" si="84"/>
        <v>7.0000000000000007E-2</v>
      </c>
      <c r="N175" s="3">
        <f t="shared" si="85"/>
        <v>86.926136879784679</v>
      </c>
      <c r="O175" s="3">
        <f t="shared" si="70"/>
        <v>86.926136879784679</v>
      </c>
      <c r="P175" s="3">
        <f t="shared" si="74"/>
        <v>93.468964386865252</v>
      </c>
      <c r="Q175" s="3">
        <f t="shared" si="75"/>
        <v>38.024866485600143</v>
      </c>
      <c r="R175" s="3">
        <f t="shared" si="76"/>
        <v>65.746915436232698</v>
      </c>
      <c r="S175" s="3">
        <f t="shared" si="71"/>
        <v>1</v>
      </c>
      <c r="T175" s="3">
        <f t="shared" si="77"/>
        <v>27722.048950632554</v>
      </c>
      <c r="U175" s="3">
        <f t="shared" si="78"/>
        <v>0.5</v>
      </c>
      <c r="V175" s="3">
        <f t="shared" si="79"/>
        <v>0</v>
      </c>
      <c r="W175" s="3">
        <f t="shared" si="80"/>
        <v>31293.409276722483</v>
      </c>
      <c r="X175" s="3">
        <f t="shared" si="72"/>
        <v>19012.433242800071</v>
      </c>
      <c r="AI175" s="3"/>
      <c r="AJ175" s="3"/>
      <c r="AK175" s="15">
        <f t="shared" si="63"/>
        <v>1</v>
      </c>
      <c r="AL175" s="11">
        <f t="shared" si="67"/>
        <v>996</v>
      </c>
      <c r="AM175" s="11" t="b">
        <f t="shared" si="62"/>
        <v>0</v>
      </c>
      <c r="AN175" s="11">
        <f t="shared" si="64"/>
        <v>36000</v>
      </c>
      <c r="AO175" s="11">
        <f t="shared" si="65"/>
        <v>0</v>
      </c>
      <c r="AP175" s="11">
        <f t="shared" si="66"/>
        <v>0.29027723367234254</v>
      </c>
      <c r="AQ175" s="11">
        <f t="shared" si="68"/>
        <v>0</v>
      </c>
      <c r="AT175" s="3"/>
      <c r="AU175" s="17"/>
      <c r="AV175" s="19"/>
      <c r="AW175" s="17"/>
      <c r="AX175" s="17">
        <f t="shared" si="87"/>
        <v>166</v>
      </c>
      <c r="AY175" s="17">
        <f t="shared" si="86"/>
        <v>16.600000000000001</v>
      </c>
      <c r="AZ175" s="17">
        <v>29.027723367234255</v>
      </c>
      <c r="BA175" s="17"/>
      <c r="BB175" s="17">
        <v>36</v>
      </c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17"/>
      <c r="CG175" s="17"/>
      <c r="CH175" s="17"/>
    </row>
    <row r="176" spans="8:86" x14ac:dyDescent="0.15">
      <c r="H176" s="3">
        <f t="shared" si="81"/>
        <v>0.16400000000000012</v>
      </c>
      <c r="I176" s="3">
        <f t="shared" si="82"/>
        <v>360</v>
      </c>
      <c r="J176" s="14">
        <f t="shared" si="83"/>
        <v>500</v>
      </c>
      <c r="K176" s="3">
        <f t="shared" si="73"/>
        <v>0</v>
      </c>
      <c r="L176" s="3">
        <f t="shared" si="69"/>
        <v>500</v>
      </c>
      <c r="M176" s="15">
        <f t="shared" si="84"/>
        <v>7.0000000000000007E-2</v>
      </c>
      <c r="N176" s="3">
        <f t="shared" si="85"/>
        <v>86.849131188255143</v>
      </c>
      <c r="O176" s="3">
        <f t="shared" si="70"/>
        <v>86.849131188255143</v>
      </c>
      <c r="P176" s="3">
        <f t="shared" si="74"/>
        <v>93.386162568016289</v>
      </c>
      <c r="Q176" s="3">
        <f t="shared" si="75"/>
        <v>37.969422387698877</v>
      </c>
      <c r="R176" s="3">
        <f t="shared" si="76"/>
        <v>65.677792477857579</v>
      </c>
      <c r="S176" s="3">
        <f t="shared" si="71"/>
        <v>1</v>
      </c>
      <c r="T176" s="3">
        <f t="shared" si="77"/>
        <v>27708.370090158707</v>
      </c>
      <c r="U176" s="3">
        <f t="shared" si="78"/>
        <v>0.5</v>
      </c>
      <c r="V176" s="3">
        <f t="shared" si="79"/>
        <v>0</v>
      </c>
      <c r="W176" s="3">
        <f t="shared" si="80"/>
        <v>31265.68722777185</v>
      </c>
      <c r="X176" s="3">
        <f t="shared" si="72"/>
        <v>18984.711193849438</v>
      </c>
      <c r="AI176" s="3"/>
      <c r="AJ176" s="3"/>
      <c r="AK176" s="15">
        <f t="shared" si="63"/>
        <v>1</v>
      </c>
      <c r="AL176" s="11">
        <f t="shared" si="67"/>
        <v>1002</v>
      </c>
      <c r="AM176" s="11" t="b">
        <f t="shared" si="62"/>
        <v>0</v>
      </c>
      <c r="AN176" s="11">
        <f t="shared" si="64"/>
        <v>36000</v>
      </c>
      <c r="AO176" s="11">
        <f t="shared" si="65"/>
        <v>0</v>
      </c>
      <c r="AP176" s="11">
        <f t="shared" si="66"/>
        <v>0.29137954848715736</v>
      </c>
      <c r="AQ176" s="11">
        <f t="shared" si="68"/>
        <v>0</v>
      </c>
      <c r="AT176" s="3"/>
      <c r="AU176" s="17"/>
      <c r="AV176" s="19"/>
      <c r="AW176" s="17"/>
      <c r="AX176" s="17">
        <f t="shared" si="87"/>
        <v>167</v>
      </c>
      <c r="AY176" s="17">
        <f t="shared" si="86"/>
        <v>16.7</v>
      </c>
      <c r="AZ176" s="17">
        <v>29.137954848715736</v>
      </c>
      <c r="BA176" s="17"/>
      <c r="BB176" s="17">
        <v>36</v>
      </c>
      <c r="BC176" s="17"/>
      <c r="BD176" s="17"/>
      <c r="BE176" s="17"/>
      <c r="BF176" s="17"/>
      <c r="BG176" s="17"/>
      <c r="BH176" s="17"/>
      <c r="BI176" s="17"/>
      <c r="BJ176" s="17"/>
      <c r="BK176" s="17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7"/>
      <c r="CF176" s="17"/>
      <c r="CG176" s="17"/>
      <c r="CH176" s="17"/>
    </row>
    <row r="177" spans="8:86" x14ac:dyDescent="0.15">
      <c r="H177" s="3">
        <f t="shared" si="81"/>
        <v>0.16500000000000012</v>
      </c>
      <c r="I177" s="3">
        <f t="shared" si="82"/>
        <v>360</v>
      </c>
      <c r="J177" s="14">
        <f t="shared" si="83"/>
        <v>500</v>
      </c>
      <c r="K177" s="3">
        <f t="shared" si="73"/>
        <v>0</v>
      </c>
      <c r="L177" s="3">
        <f t="shared" si="69"/>
        <v>500</v>
      </c>
      <c r="M177" s="15">
        <f t="shared" si="84"/>
        <v>7.0000000000000007E-2</v>
      </c>
      <c r="N177" s="3">
        <f t="shared" si="85"/>
        <v>86.772163493560257</v>
      </c>
      <c r="O177" s="3">
        <f t="shared" si="70"/>
        <v>86.772163493560257</v>
      </c>
      <c r="P177" s="3">
        <f t="shared" si="74"/>
        <v>93.303401605978777</v>
      </c>
      <c r="Q177" s="3">
        <f t="shared" si="75"/>
        <v>37.914005647518557</v>
      </c>
      <c r="R177" s="3">
        <f t="shared" si="76"/>
        <v>65.608703626748664</v>
      </c>
      <c r="S177" s="3">
        <f t="shared" si="71"/>
        <v>1</v>
      </c>
      <c r="T177" s="3">
        <f t="shared" si="77"/>
        <v>27694.69797923011</v>
      </c>
      <c r="U177" s="3">
        <f t="shared" si="78"/>
        <v>0.5</v>
      </c>
      <c r="V177" s="3">
        <f t="shared" si="79"/>
        <v>0</v>
      </c>
      <c r="W177" s="3">
        <f t="shared" si="80"/>
        <v>31237.978857681694</v>
      </c>
      <c r="X177" s="3">
        <f t="shared" si="72"/>
        <v>18957.002823759278</v>
      </c>
      <c r="AI177" s="3"/>
      <c r="AJ177" s="3"/>
      <c r="AK177" s="15">
        <f t="shared" si="63"/>
        <v>1</v>
      </c>
      <c r="AL177" s="11">
        <f t="shared" si="67"/>
        <v>1008</v>
      </c>
      <c r="AM177" s="11" t="b">
        <f t="shared" si="62"/>
        <v>0</v>
      </c>
      <c r="AN177" s="11">
        <f t="shared" si="64"/>
        <v>36000</v>
      </c>
      <c r="AO177" s="11">
        <f t="shared" si="65"/>
        <v>0</v>
      </c>
      <c r="AP177" s="11">
        <f t="shared" si="66"/>
        <v>0.29248186330197212</v>
      </c>
      <c r="AQ177" s="11">
        <f t="shared" si="68"/>
        <v>0</v>
      </c>
      <c r="AT177" s="3"/>
      <c r="AU177" s="17"/>
      <c r="AV177" s="19"/>
      <c r="AW177" s="17"/>
      <c r="AX177" s="17">
        <f t="shared" si="87"/>
        <v>168</v>
      </c>
      <c r="AY177" s="17">
        <f t="shared" si="86"/>
        <v>16.8</v>
      </c>
      <c r="AZ177" s="17">
        <v>29.248186330197214</v>
      </c>
      <c r="BA177" s="17"/>
      <c r="BB177" s="17">
        <v>36</v>
      </c>
      <c r="BC177" s="17"/>
      <c r="BD177" s="17"/>
      <c r="BE177" s="17"/>
      <c r="BF177" s="17"/>
      <c r="BG177" s="17"/>
      <c r="BH177" s="17"/>
      <c r="BI177" s="17"/>
      <c r="BJ177" s="17"/>
      <c r="BK177" s="17"/>
      <c r="BL177" s="17"/>
      <c r="BM177" s="17"/>
      <c r="BN177" s="17"/>
      <c r="BO177" s="17"/>
      <c r="BP177" s="17"/>
      <c r="BQ177" s="17"/>
      <c r="BR177" s="17"/>
      <c r="BS177" s="17"/>
      <c r="BT177" s="17"/>
      <c r="BU177" s="17"/>
      <c r="BV177" s="17"/>
      <c r="BW177" s="17"/>
      <c r="BX177" s="17"/>
      <c r="BY177" s="17"/>
      <c r="BZ177" s="17"/>
      <c r="CA177" s="17"/>
      <c r="CB177" s="17"/>
      <c r="CC177" s="17"/>
      <c r="CD177" s="17"/>
      <c r="CE177" s="17"/>
      <c r="CF177" s="17"/>
      <c r="CG177" s="17"/>
      <c r="CH177" s="17"/>
    </row>
    <row r="178" spans="8:86" x14ac:dyDescent="0.15">
      <c r="H178" s="3">
        <f t="shared" si="81"/>
        <v>0.16600000000000012</v>
      </c>
      <c r="I178" s="3">
        <f t="shared" si="82"/>
        <v>360</v>
      </c>
      <c r="J178" s="14">
        <f t="shared" si="83"/>
        <v>500</v>
      </c>
      <c r="K178" s="3">
        <f t="shared" si="73"/>
        <v>0</v>
      </c>
      <c r="L178" s="3">
        <f t="shared" si="69"/>
        <v>500</v>
      </c>
      <c r="M178" s="15">
        <f t="shared" si="84"/>
        <v>7.0000000000000007E-2</v>
      </c>
      <c r="N178" s="3">
        <f t="shared" si="85"/>
        <v>86.695233776951284</v>
      </c>
      <c r="O178" s="3">
        <f t="shared" si="70"/>
        <v>86.695233776951284</v>
      </c>
      <c r="P178" s="3">
        <f t="shared" si="74"/>
        <v>93.220681480592788</v>
      </c>
      <c r="Q178" s="3">
        <f t="shared" si="75"/>
        <v>37.858616251560093</v>
      </c>
      <c r="R178" s="3">
        <f t="shared" si="76"/>
        <v>65.539648866076448</v>
      </c>
      <c r="S178" s="3">
        <f t="shared" si="71"/>
        <v>1</v>
      </c>
      <c r="T178" s="3">
        <f t="shared" si="77"/>
        <v>27681.032614516349</v>
      </c>
      <c r="U178" s="3">
        <f t="shared" si="78"/>
        <v>0.5</v>
      </c>
      <c r="V178" s="3">
        <f t="shared" si="79"/>
        <v>0</v>
      </c>
      <c r="W178" s="3">
        <f t="shared" si="80"/>
        <v>31210.284159702464</v>
      </c>
      <c r="X178" s="3">
        <f t="shared" si="72"/>
        <v>18929.308125780048</v>
      </c>
      <c r="AI178" s="3"/>
      <c r="AJ178" s="3"/>
      <c r="AK178" s="15">
        <f t="shared" si="63"/>
        <v>1</v>
      </c>
      <c r="AL178" s="11">
        <f t="shared" si="67"/>
        <v>1014</v>
      </c>
      <c r="AM178" s="11" t="b">
        <f t="shared" si="62"/>
        <v>0</v>
      </c>
      <c r="AN178" s="11">
        <f t="shared" si="64"/>
        <v>36000</v>
      </c>
      <c r="AO178" s="11">
        <f t="shared" si="65"/>
        <v>0</v>
      </c>
      <c r="AP178" s="11">
        <f t="shared" si="66"/>
        <v>0.29358417811678694</v>
      </c>
      <c r="AQ178" s="11">
        <f t="shared" si="68"/>
        <v>0</v>
      </c>
      <c r="AT178" s="3"/>
      <c r="AU178" s="17"/>
      <c r="AV178" s="19"/>
      <c r="AW178" s="17"/>
      <c r="AX178" s="17">
        <f t="shared" si="87"/>
        <v>169</v>
      </c>
      <c r="AY178" s="17">
        <f t="shared" si="86"/>
        <v>16.899999999999999</v>
      </c>
      <c r="AZ178" s="17">
        <v>29.358417811678695</v>
      </c>
      <c r="BA178" s="17"/>
      <c r="BB178" s="17">
        <v>36</v>
      </c>
      <c r="BC178" s="17"/>
      <c r="BD178" s="17"/>
      <c r="BE178" s="17"/>
      <c r="BF178" s="17"/>
      <c r="BG178" s="17"/>
      <c r="BH178" s="17"/>
      <c r="BI178" s="17"/>
      <c r="BJ178" s="17"/>
      <c r="BK178" s="17"/>
      <c r="BL178" s="17"/>
      <c r="BM178" s="17"/>
      <c r="BN178" s="17"/>
      <c r="BO178" s="17"/>
      <c r="BP178" s="17"/>
      <c r="BQ178" s="17"/>
      <c r="BR178" s="17"/>
      <c r="BS178" s="17"/>
      <c r="BT178" s="17"/>
      <c r="BU178" s="17"/>
      <c r="BV178" s="17"/>
      <c r="BW178" s="17"/>
      <c r="BX178" s="17"/>
      <c r="BY178" s="17"/>
      <c r="BZ178" s="17"/>
      <c r="CA178" s="17"/>
      <c r="CB178" s="17"/>
      <c r="CC178" s="17"/>
      <c r="CD178" s="17"/>
      <c r="CE178" s="17"/>
      <c r="CF178" s="17"/>
      <c r="CG178" s="17"/>
      <c r="CH178" s="17"/>
    </row>
    <row r="179" spans="8:86" x14ac:dyDescent="0.15">
      <c r="H179" s="3">
        <f t="shared" si="81"/>
        <v>0.16700000000000012</v>
      </c>
      <c r="I179" s="3">
        <f t="shared" si="82"/>
        <v>360</v>
      </c>
      <c r="J179" s="14">
        <f t="shared" si="83"/>
        <v>500</v>
      </c>
      <c r="K179" s="3">
        <f t="shared" si="73"/>
        <v>0</v>
      </c>
      <c r="L179" s="3">
        <f t="shared" si="69"/>
        <v>500</v>
      </c>
      <c r="M179" s="15">
        <f t="shared" si="84"/>
        <v>7.0000000000000007E-2</v>
      </c>
      <c r="N179" s="3">
        <f t="shared" si="85"/>
        <v>86.61834201968874</v>
      </c>
      <c r="O179" s="3">
        <f t="shared" si="70"/>
        <v>86.61834201968874</v>
      </c>
      <c r="P179" s="3">
        <f t="shared" si="74"/>
        <v>93.138002171708322</v>
      </c>
      <c r="Q179" s="3">
        <f t="shared" si="75"/>
        <v>37.80325418633106</v>
      </c>
      <c r="R179" s="3">
        <f t="shared" si="76"/>
        <v>65.470628179019684</v>
      </c>
      <c r="S179" s="3">
        <f t="shared" si="71"/>
        <v>1</v>
      </c>
      <c r="T179" s="3">
        <f t="shared" si="77"/>
        <v>27667.37399268863</v>
      </c>
      <c r="U179" s="3">
        <f t="shared" si="78"/>
        <v>0.5</v>
      </c>
      <c r="V179" s="3">
        <f t="shared" si="79"/>
        <v>0</v>
      </c>
      <c r="W179" s="3">
        <f t="shared" si="80"/>
        <v>31182.603127087947</v>
      </c>
      <c r="X179" s="3">
        <f t="shared" si="72"/>
        <v>18901.627093165531</v>
      </c>
      <c r="AI179" s="3"/>
      <c r="AJ179" s="3"/>
      <c r="AK179" s="15">
        <f t="shared" si="63"/>
        <v>1</v>
      </c>
      <c r="AL179" s="11">
        <f t="shared" si="67"/>
        <v>1020</v>
      </c>
      <c r="AM179" s="11" t="b">
        <f t="shared" si="62"/>
        <v>0</v>
      </c>
      <c r="AN179" s="11">
        <f t="shared" si="64"/>
        <v>36000</v>
      </c>
      <c r="AO179" s="11">
        <f t="shared" si="65"/>
        <v>0</v>
      </c>
      <c r="AP179" s="11">
        <f t="shared" si="66"/>
        <v>0.29468649293160176</v>
      </c>
      <c r="AQ179" s="11">
        <f t="shared" si="68"/>
        <v>0</v>
      </c>
      <c r="AT179" s="3"/>
      <c r="AU179" s="17"/>
      <c r="AV179" s="19"/>
      <c r="AW179" s="17"/>
      <c r="AX179" s="17">
        <f t="shared" si="87"/>
        <v>170</v>
      </c>
      <c r="AY179" s="17">
        <f t="shared" si="86"/>
        <v>17</v>
      </c>
      <c r="AZ179" s="17">
        <v>29.468649293160176</v>
      </c>
      <c r="BA179" s="17"/>
      <c r="BB179" s="17">
        <v>36</v>
      </c>
      <c r="BC179" s="17"/>
      <c r="BD179" s="17"/>
      <c r="BE179" s="17"/>
      <c r="BF179" s="17"/>
      <c r="BG179" s="17"/>
      <c r="BH179" s="17"/>
      <c r="BI179" s="17"/>
      <c r="BJ179" s="17"/>
      <c r="BK179" s="17"/>
      <c r="BL179" s="17"/>
      <c r="BM179" s="17"/>
      <c r="BN179" s="17"/>
      <c r="BO179" s="17"/>
      <c r="BP179" s="17"/>
      <c r="BQ179" s="17"/>
      <c r="BR179" s="17"/>
      <c r="BS179" s="17"/>
      <c r="BT179" s="17"/>
      <c r="BU179" s="17"/>
      <c r="BV179" s="17"/>
      <c r="BW179" s="17"/>
      <c r="BX179" s="17"/>
      <c r="BY179" s="17"/>
      <c r="BZ179" s="17"/>
      <c r="CA179" s="17"/>
      <c r="CB179" s="17"/>
      <c r="CC179" s="17"/>
      <c r="CD179" s="17"/>
      <c r="CE179" s="17"/>
      <c r="CF179" s="17"/>
      <c r="CG179" s="17"/>
      <c r="CH179" s="17"/>
    </row>
    <row r="180" spans="8:86" x14ac:dyDescent="0.15">
      <c r="H180" s="3">
        <f t="shared" si="81"/>
        <v>0.16800000000000012</v>
      </c>
      <c r="I180" s="3">
        <f t="shared" si="82"/>
        <v>360</v>
      </c>
      <c r="J180" s="14">
        <f t="shared" si="83"/>
        <v>500</v>
      </c>
      <c r="K180" s="3">
        <f t="shared" si="73"/>
        <v>0</v>
      </c>
      <c r="L180" s="3">
        <f t="shared" si="69"/>
        <v>500</v>
      </c>
      <c r="M180" s="15">
        <f t="shared" si="84"/>
        <v>7.0000000000000007E-2</v>
      </c>
      <c r="N180" s="3">
        <f t="shared" si="85"/>
        <v>86.541488203042391</v>
      </c>
      <c r="O180" s="3">
        <f t="shared" si="70"/>
        <v>86.541488203042391</v>
      </c>
      <c r="P180" s="3">
        <f t="shared" si="74"/>
        <v>93.055363659185375</v>
      </c>
      <c r="Q180" s="3">
        <f t="shared" si="75"/>
        <v>37.747919438345683</v>
      </c>
      <c r="R180" s="3">
        <f t="shared" si="76"/>
        <v>65.401641548765525</v>
      </c>
      <c r="S180" s="3">
        <f t="shared" si="71"/>
        <v>1</v>
      </c>
      <c r="T180" s="3">
        <f t="shared" si="77"/>
        <v>27653.722110419847</v>
      </c>
      <c r="U180" s="3">
        <f t="shared" si="78"/>
        <v>0.5</v>
      </c>
      <c r="V180" s="3">
        <f t="shared" si="79"/>
        <v>0</v>
      </c>
      <c r="W180" s="3">
        <f t="shared" si="80"/>
        <v>31154.935753095262</v>
      </c>
      <c r="X180" s="3">
        <f t="shared" si="72"/>
        <v>18873.959719172843</v>
      </c>
      <c r="AI180" s="3"/>
      <c r="AJ180" s="3"/>
      <c r="AK180" s="15">
        <f t="shared" si="63"/>
        <v>1</v>
      </c>
      <c r="AL180" s="11">
        <f t="shared" si="67"/>
        <v>1026</v>
      </c>
      <c r="AM180" s="11" t="b">
        <f t="shared" si="62"/>
        <v>0</v>
      </c>
      <c r="AN180" s="11">
        <f t="shared" si="64"/>
        <v>36000</v>
      </c>
      <c r="AO180" s="11">
        <f t="shared" si="65"/>
        <v>0</v>
      </c>
      <c r="AP180" s="11">
        <f t="shared" si="66"/>
        <v>0.29578880774641653</v>
      </c>
      <c r="AQ180" s="11">
        <f t="shared" si="68"/>
        <v>0</v>
      </c>
      <c r="AT180" s="3"/>
      <c r="AU180" s="17"/>
      <c r="AV180" s="19"/>
      <c r="AW180" s="17"/>
      <c r="AX180" s="17">
        <f t="shared" si="87"/>
        <v>171</v>
      </c>
      <c r="AY180" s="17">
        <f t="shared" si="86"/>
        <v>17.100000000000001</v>
      </c>
      <c r="AZ180" s="17">
        <v>29.578880774641654</v>
      </c>
      <c r="BA180" s="17"/>
      <c r="BB180" s="17">
        <v>36</v>
      </c>
      <c r="BC180" s="17"/>
      <c r="BD180" s="17"/>
      <c r="BE180" s="17"/>
      <c r="BF180" s="17"/>
      <c r="BG180" s="17"/>
      <c r="BH180" s="17"/>
      <c r="BI180" s="17"/>
      <c r="BJ180" s="17"/>
      <c r="BK180" s="17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17"/>
      <c r="CG180" s="17"/>
      <c r="CH180" s="17"/>
    </row>
    <row r="181" spans="8:86" x14ac:dyDescent="0.15">
      <c r="H181" s="3">
        <f t="shared" si="81"/>
        <v>0.16900000000000012</v>
      </c>
      <c r="I181" s="3">
        <f t="shared" si="82"/>
        <v>360</v>
      </c>
      <c r="J181" s="14">
        <f t="shared" si="83"/>
        <v>500</v>
      </c>
      <c r="K181" s="3">
        <f t="shared" si="73"/>
        <v>0</v>
      </c>
      <c r="L181" s="3">
        <f t="shared" si="69"/>
        <v>500</v>
      </c>
      <c r="M181" s="15">
        <f t="shared" si="84"/>
        <v>7.0000000000000007E-2</v>
      </c>
      <c r="N181" s="3">
        <f t="shared" si="85"/>
        <v>86.464672308291227</v>
      </c>
      <c r="O181" s="3">
        <f t="shared" si="70"/>
        <v>86.464672308291227</v>
      </c>
      <c r="P181" s="3">
        <f t="shared" si="74"/>
        <v>92.972765922893799</v>
      </c>
      <c r="Q181" s="3">
        <f t="shared" si="75"/>
        <v>37.692611994124846</v>
      </c>
      <c r="R181" s="3">
        <f t="shared" si="76"/>
        <v>65.332688958509323</v>
      </c>
      <c r="S181" s="3">
        <f t="shared" si="71"/>
        <v>1</v>
      </c>
      <c r="T181" s="3">
        <f t="shared" si="77"/>
        <v>27640.076964384476</v>
      </c>
      <c r="U181" s="3">
        <f t="shared" si="78"/>
        <v>0.5</v>
      </c>
      <c r="V181" s="3">
        <f t="shared" si="79"/>
        <v>0</v>
      </c>
      <c r="W181" s="3">
        <f t="shared" si="80"/>
        <v>31127.282030984843</v>
      </c>
      <c r="X181" s="3">
        <f t="shared" si="72"/>
        <v>18846.305997062424</v>
      </c>
      <c r="AI181" s="3"/>
      <c r="AJ181" s="3"/>
      <c r="AK181" s="15">
        <f t="shared" si="63"/>
        <v>1</v>
      </c>
      <c r="AL181" s="11">
        <f t="shared" si="67"/>
        <v>1032</v>
      </c>
      <c r="AM181" s="11" t="b">
        <f t="shared" si="62"/>
        <v>0</v>
      </c>
      <c r="AN181" s="11">
        <f t="shared" si="64"/>
        <v>36000</v>
      </c>
      <c r="AO181" s="11">
        <f t="shared" si="65"/>
        <v>0</v>
      </c>
      <c r="AP181" s="11">
        <f t="shared" si="66"/>
        <v>0.29689112256123135</v>
      </c>
      <c r="AQ181" s="11">
        <f t="shared" si="68"/>
        <v>0</v>
      </c>
      <c r="AT181" s="3"/>
      <c r="AU181" s="17"/>
      <c r="AV181" s="19"/>
      <c r="AW181" s="17"/>
      <c r="AX181" s="17">
        <f t="shared" si="87"/>
        <v>172</v>
      </c>
      <c r="AY181" s="17">
        <f t="shared" si="86"/>
        <v>17.2</v>
      </c>
      <c r="AZ181" s="17">
        <v>29.689112256123135</v>
      </c>
      <c r="BA181" s="17"/>
      <c r="BB181" s="17">
        <v>36</v>
      </c>
      <c r="BC181" s="17"/>
      <c r="BD181" s="17"/>
      <c r="BE181" s="17"/>
      <c r="BF181" s="17"/>
      <c r="BG181" s="17"/>
      <c r="BH181" s="17"/>
      <c r="BI181" s="17"/>
      <c r="BJ181" s="17"/>
      <c r="BK181" s="17"/>
      <c r="BL181" s="17"/>
      <c r="BM181" s="17"/>
      <c r="BN181" s="17"/>
      <c r="BO181" s="17"/>
      <c r="BP181" s="17"/>
      <c r="BQ181" s="17"/>
      <c r="BR181" s="17"/>
      <c r="BS181" s="17"/>
      <c r="BT181" s="17"/>
      <c r="BU181" s="17"/>
      <c r="BV181" s="17"/>
      <c r="BW181" s="17"/>
      <c r="BX181" s="17"/>
      <c r="BY181" s="17"/>
      <c r="BZ181" s="17"/>
      <c r="CA181" s="17"/>
      <c r="CB181" s="17"/>
      <c r="CC181" s="17"/>
      <c r="CD181" s="17"/>
      <c r="CE181" s="17"/>
      <c r="CF181" s="17"/>
      <c r="CG181" s="17"/>
      <c r="CH181" s="17"/>
    </row>
    <row r="182" spans="8:86" x14ac:dyDescent="0.15">
      <c r="H182" s="3">
        <f t="shared" si="81"/>
        <v>0.17000000000000012</v>
      </c>
      <c r="I182" s="3">
        <f t="shared" si="82"/>
        <v>360</v>
      </c>
      <c r="J182" s="14">
        <f t="shared" si="83"/>
        <v>500</v>
      </c>
      <c r="K182" s="3">
        <f t="shared" si="73"/>
        <v>0</v>
      </c>
      <c r="L182" s="3">
        <f t="shared" si="69"/>
        <v>500</v>
      </c>
      <c r="M182" s="15">
        <f t="shared" si="84"/>
        <v>7.0000000000000007E-2</v>
      </c>
      <c r="N182" s="3">
        <f t="shared" si="85"/>
        <v>86.387894316723504</v>
      </c>
      <c r="O182" s="3">
        <f t="shared" si="70"/>
        <v>86.387894316723504</v>
      </c>
      <c r="P182" s="3">
        <f t="shared" si="74"/>
        <v>92.890208942713457</v>
      </c>
      <c r="Q182" s="3">
        <f t="shared" si="75"/>
        <v>37.637331840196076</v>
      </c>
      <c r="R182" s="3">
        <f t="shared" si="76"/>
        <v>65.26377039145477</v>
      </c>
      <c r="S182" s="3">
        <f t="shared" si="71"/>
        <v>1</v>
      </c>
      <c r="T182" s="3">
        <f t="shared" si="77"/>
        <v>27626.438551258692</v>
      </c>
      <c r="U182" s="3">
        <f t="shared" si="78"/>
        <v>0.5</v>
      </c>
      <c r="V182" s="3">
        <f t="shared" si="79"/>
        <v>0</v>
      </c>
      <c r="W182" s="3">
        <f t="shared" si="80"/>
        <v>31099.641954020462</v>
      </c>
      <c r="X182" s="3">
        <f t="shared" si="72"/>
        <v>18818.665920098039</v>
      </c>
      <c r="AI182" s="3"/>
      <c r="AJ182" s="3"/>
      <c r="AK182" s="15">
        <f t="shared" si="63"/>
        <v>1</v>
      </c>
      <c r="AL182" s="11">
        <f t="shared" si="67"/>
        <v>1038</v>
      </c>
      <c r="AM182" s="11" t="b">
        <f t="shared" si="62"/>
        <v>0</v>
      </c>
      <c r="AN182" s="11">
        <f t="shared" si="64"/>
        <v>36000</v>
      </c>
      <c r="AO182" s="11">
        <f t="shared" si="65"/>
        <v>0</v>
      </c>
      <c r="AP182" s="11">
        <f t="shared" si="66"/>
        <v>0.29799343737604611</v>
      </c>
      <c r="AQ182" s="11">
        <f t="shared" si="68"/>
        <v>0</v>
      </c>
      <c r="AT182" s="3"/>
      <c r="AU182" s="17"/>
      <c r="AV182" s="19"/>
      <c r="AW182" s="17"/>
      <c r="AX182" s="17">
        <f t="shared" si="87"/>
        <v>173</v>
      </c>
      <c r="AY182" s="17">
        <f t="shared" si="86"/>
        <v>17.3</v>
      </c>
      <c r="AZ182" s="17">
        <v>29.799343737604612</v>
      </c>
      <c r="BA182" s="17"/>
      <c r="BB182" s="17">
        <v>36</v>
      </c>
      <c r="BC182" s="17"/>
      <c r="BD182" s="17"/>
      <c r="BE182" s="17"/>
      <c r="BF182" s="17"/>
      <c r="BG182" s="17"/>
      <c r="BH182" s="17"/>
      <c r="BI182" s="17"/>
      <c r="BJ182" s="17"/>
      <c r="BK182" s="17"/>
      <c r="BL182" s="17"/>
      <c r="BM182" s="17"/>
      <c r="BN182" s="17"/>
      <c r="BO182" s="17"/>
      <c r="BP182" s="17"/>
      <c r="BQ182" s="17"/>
      <c r="BR182" s="17"/>
      <c r="BS182" s="17"/>
      <c r="BT182" s="17"/>
      <c r="BU182" s="17"/>
      <c r="BV182" s="17"/>
      <c r="BW182" s="17"/>
      <c r="BX182" s="17"/>
      <c r="BY182" s="17"/>
      <c r="BZ182" s="17"/>
      <c r="CA182" s="17"/>
      <c r="CB182" s="17"/>
      <c r="CC182" s="17"/>
      <c r="CD182" s="17"/>
      <c r="CE182" s="17"/>
      <c r="CF182" s="17"/>
      <c r="CG182" s="17"/>
      <c r="CH182" s="17"/>
    </row>
    <row r="183" spans="8:86" x14ac:dyDescent="0.15">
      <c r="H183" s="3">
        <f t="shared" si="81"/>
        <v>0.17100000000000012</v>
      </c>
      <c r="I183" s="3">
        <f t="shared" si="82"/>
        <v>360</v>
      </c>
      <c r="J183" s="14">
        <f t="shared" si="83"/>
        <v>500</v>
      </c>
      <c r="K183" s="3">
        <f t="shared" si="73"/>
        <v>0</v>
      </c>
      <c r="L183" s="3">
        <f t="shared" si="69"/>
        <v>500</v>
      </c>
      <c r="M183" s="15">
        <f t="shared" si="84"/>
        <v>7.0000000000000007E-2</v>
      </c>
      <c r="N183" s="3">
        <f t="shared" si="85"/>
        <v>86.311154209636683</v>
      </c>
      <c r="O183" s="3">
        <f t="shared" si="70"/>
        <v>86.311154209636683</v>
      </c>
      <c r="P183" s="3">
        <f t="shared" si="74"/>
        <v>92.807692698534069</v>
      </c>
      <c r="Q183" s="3">
        <f t="shared" si="75"/>
        <v>37.582078963093565</v>
      </c>
      <c r="R183" s="3">
        <f t="shared" si="76"/>
        <v>65.194885830813817</v>
      </c>
      <c r="S183" s="3">
        <f t="shared" si="71"/>
        <v>1</v>
      </c>
      <c r="T183" s="3">
        <f t="shared" si="77"/>
        <v>27612.806867720254</v>
      </c>
      <c r="U183" s="3">
        <f t="shared" si="78"/>
        <v>0.5</v>
      </c>
      <c r="V183" s="3">
        <f t="shared" si="79"/>
        <v>0</v>
      </c>
      <c r="W183" s="3">
        <f t="shared" si="80"/>
        <v>31072.015515469207</v>
      </c>
      <c r="X183" s="3">
        <f t="shared" si="72"/>
        <v>18791.039481546781</v>
      </c>
      <c r="AI183" s="3"/>
      <c r="AJ183" s="3"/>
      <c r="AK183" s="15">
        <f t="shared" si="63"/>
        <v>1</v>
      </c>
      <c r="AL183" s="11">
        <f t="shared" si="67"/>
        <v>1044</v>
      </c>
      <c r="AM183" s="11" t="b">
        <f t="shared" si="62"/>
        <v>0</v>
      </c>
      <c r="AN183" s="11">
        <f t="shared" si="64"/>
        <v>36000</v>
      </c>
      <c r="AO183" s="11">
        <f t="shared" si="65"/>
        <v>0</v>
      </c>
      <c r="AP183" s="11">
        <f t="shared" si="66"/>
        <v>0.29909575219086093</v>
      </c>
      <c r="AQ183" s="11">
        <f t="shared" si="68"/>
        <v>0</v>
      </c>
      <c r="AT183" s="3"/>
      <c r="AU183" s="17"/>
      <c r="AV183" s="19"/>
      <c r="AW183" s="17"/>
      <c r="AX183" s="17">
        <f t="shared" si="87"/>
        <v>174</v>
      </c>
      <c r="AY183" s="17">
        <f t="shared" si="86"/>
        <v>17.399999999999999</v>
      </c>
      <c r="AZ183" s="17">
        <v>29.909575219086094</v>
      </c>
      <c r="BA183" s="17"/>
      <c r="BB183" s="17">
        <v>36</v>
      </c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17"/>
      <c r="CG183" s="17"/>
      <c r="CH183" s="17"/>
    </row>
    <row r="184" spans="8:86" x14ac:dyDescent="0.15">
      <c r="H184" s="3">
        <f t="shared" si="81"/>
        <v>0.17200000000000013</v>
      </c>
      <c r="I184" s="3">
        <f t="shared" si="82"/>
        <v>360</v>
      </c>
      <c r="J184" s="14">
        <f t="shared" si="83"/>
        <v>500</v>
      </c>
      <c r="K184" s="3">
        <f t="shared" si="73"/>
        <v>0</v>
      </c>
      <c r="L184" s="3">
        <f t="shared" si="69"/>
        <v>500</v>
      </c>
      <c r="M184" s="15">
        <f t="shared" si="84"/>
        <v>7.0000000000000007E-2</v>
      </c>
      <c r="N184" s="3">
        <f t="shared" si="85"/>
        <v>86.234451968337467</v>
      </c>
      <c r="O184" s="3">
        <f t="shared" si="70"/>
        <v>86.234451968337467</v>
      </c>
      <c r="P184" s="3">
        <f t="shared" si="74"/>
        <v>92.725217170255348</v>
      </c>
      <c r="Q184" s="3">
        <f t="shared" si="75"/>
        <v>37.52685334935812</v>
      </c>
      <c r="R184" s="3">
        <f t="shared" si="76"/>
        <v>65.126035259806741</v>
      </c>
      <c r="S184" s="3">
        <f t="shared" si="71"/>
        <v>1</v>
      </c>
      <c r="T184" s="3">
        <f t="shared" si="77"/>
        <v>27599.181910448613</v>
      </c>
      <c r="U184" s="3">
        <f t="shared" si="78"/>
        <v>0.5</v>
      </c>
      <c r="V184" s="3">
        <f t="shared" si="79"/>
        <v>0</v>
      </c>
      <c r="W184" s="3">
        <f t="shared" si="80"/>
        <v>31044.402708601487</v>
      </c>
      <c r="X184" s="3">
        <f t="shared" si="72"/>
        <v>18763.42667467906</v>
      </c>
      <c r="AI184" s="3"/>
      <c r="AJ184" s="3"/>
      <c r="AK184" s="15">
        <f t="shared" si="63"/>
        <v>1</v>
      </c>
      <c r="AL184" s="11">
        <f t="shared" si="67"/>
        <v>1050</v>
      </c>
      <c r="AM184" s="11" t="b">
        <f t="shared" si="62"/>
        <v>0</v>
      </c>
      <c r="AN184" s="11">
        <f t="shared" si="64"/>
        <v>36000</v>
      </c>
      <c r="AO184" s="11">
        <f t="shared" si="65"/>
        <v>0</v>
      </c>
      <c r="AP184" s="11">
        <f t="shared" si="66"/>
        <v>0.3001980670056757</v>
      </c>
      <c r="AQ184" s="11">
        <f t="shared" si="68"/>
        <v>0</v>
      </c>
      <c r="AT184" s="3"/>
      <c r="AU184" s="17"/>
      <c r="AV184" s="19"/>
      <c r="AW184" s="17"/>
      <c r="AX184" s="17">
        <f t="shared" si="87"/>
        <v>175</v>
      </c>
      <c r="AY184" s="17">
        <f t="shared" si="86"/>
        <v>17.5</v>
      </c>
      <c r="AZ184" s="17">
        <v>30.019806700567571</v>
      </c>
      <c r="BA184" s="17"/>
      <c r="BB184" s="17">
        <v>36</v>
      </c>
      <c r="BC184" s="17"/>
      <c r="BD184" s="17"/>
      <c r="BE184" s="17"/>
      <c r="BF184" s="17"/>
      <c r="BG184" s="17"/>
      <c r="BH184" s="17"/>
      <c r="BI184" s="17"/>
      <c r="BJ184" s="17"/>
      <c r="BK184" s="17"/>
      <c r="BL184" s="17"/>
      <c r="BM184" s="17"/>
      <c r="BN184" s="17"/>
      <c r="BO184" s="17"/>
      <c r="BP184" s="17"/>
      <c r="BQ184" s="17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  <c r="CC184" s="17"/>
      <c r="CD184" s="17"/>
      <c r="CE184" s="17"/>
      <c r="CF184" s="17"/>
      <c r="CG184" s="17"/>
      <c r="CH184" s="17"/>
    </row>
    <row r="185" spans="8:86" x14ac:dyDescent="0.15">
      <c r="H185" s="3">
        <f t="shared" si="81"/>
        <v>0.17300000000000013</v>
      </c>
      <c r="I185" s="3">
        <f t="shared" si="82"/>
        <v>360</v>
      </c>
      <c r="J185" s="14">
        <f t="shared" si="83"/>
        <v>500</v>
      </c>
      <c r="K185" s="3">
        <f t="shared" si="73"/>
        <v>0</v>
      </c>
      <c r="L185" s="3">
        <f t="shared" si="69"/>
        <v>500</v>
      </c>
      <c r="M185" s="15">
        <f t="shared" si="84"/>
        <v>7.0000000000000007E-2</v>
      </c>
      <c r="N185" s="3">
        <f t="shared" si="85"/>
        <v>86.157787574141764</v>
      </c>
      <c r="O185" s="3">
        <f t="shared" si="70"/>
        <v>86.157787574141764</v>
      </c>
      <c r="P185" s="3">
        <f t="shared" si="74"/>
        <v>92.642782337786855</v>
      </c>
      <c r="Q185" s="3">
        <f t="shared" si="75"/>
        <v>37.471654985537221</v>
      </c>
      <c r="R185" s="3">
        <f t="shared" si="76"/>
        <v>65.057218661662034</v>
      </c>
      <c r="S185" s="3">
        <f t="shared" si="71"/>
        <v>1</v>
      </c>
      <c r="T185" s="3">
        <f t="shared" si="77"/>
        <v>27585.563676124817</v>
      </c>
      <c r="U185" s="3">
        <f t="shared" si="78"/>
        <v>0.5</v>
      </c>
      <c r="V185" s="3">
        <f t="shared" si="79"/>
        <v>0</v>
      </c>
      <c r="W185" s="3">
        <f t="shared" si="80"/>
        <v>31016.803526691034</v>
      </c>
      <c r="X185" s="3">
        <f t="shared" si="72"/>
        <v>18735.827492768611</v>
      </c>
      <c r="AI185" s="3"/>
      <c r="AJ185" s="3"/>
      <c r="AK185" s="15">
        <f t="shared" si="63"/>
        <v>1</v>
      </c>
      <c r="AL185" s="11">
        <f t="shared" si="67"/>
        <v>1056</v>
      </c>
      <c r="AM185" s="11" t="b">
        <f t="shared" si="62"/>
        <v>0</v>
      </c>
      <c r="AN185" s="11">
        <f t="shared" si="64"/>
        <v>36000</v>
      </c>
      <c r="AO185" s="11">
        <f t="shared" si="65"/>
        <v>0</v>
      </c>
      <c r="AP185" s="11">
        <f t="shared" si="66"/>
        <v>0.30130038182049051</v>
      </c>
      <c r="AQ185" s="11">
        <f t="shared" si="68"/>
        <v>0</v>
      </c>
      <c r="AT185" s="3"/>
      <c r="AU185" s="17"/>
      <c r="AV185" s="19"/>
      <c r="AW185" s="17"/>
      <c r="AX185" s="17">
        <f t="shared" si="87"/>
        <v>176</v>
      </c>
      <c r="AY185" s="17">
        <f t="shared" si="86"/>
        <v>17.600000000000001</v>
      </c>
      <c r="AZ185" s="17">
        <v>30.130038182049052</v>
      </c>
      <c r="BA185" s="17"/>
      <c r="BB185" s="17">
        <v>36</v>
      </c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7"/>
      <c r="BR185" s="17"/>
      <c r="BS185" s="17"/>
      <c r="BT185" s="17"/>
      <c r="BU185" s="17"/>
      <c r="BV185" s="17"/>
      <c r="BW185" s="17"/>
      <c r="BX185" s="17"/>
      <c r="BY185" s="17"/>
      <c r="BZ185" s="17"/>
      <c r="CA185" s="17"/>
      <c r="CB185" s="17"/>
      <c r="CC185" s="17"/>
      <c r="CD185" s="17"/>
      <c r="CE185" s="17"/>
      <c r="CF185" s="17"/>
      <c r="CG185" s="17"/>
      <c r="CH185" s="17"/>
    </row>
    <row r="186" spans="8:86" x14ac:dyDescent="0.15">
      <c r="H186" s="3">
        <f t="shared" si="81"/>
        <v>0.17400000000000013</v>
      </c>
      <c r="I186" s="3">
        <f t="shared" si="82"/>
        <v>360</v>
      </c>
      <c r="J186" s="14">
        <f t="shared" si="83"/>
        <v>500</v>
      </c>
      <c r="K186" s="3">
        <f t="shared" si="73"/>
        <v>0</v>
      </c>
      <c r="L186" s="3">
        <f t="shared" si="69"/>
        <v>500</v>
      </c>
      <c r="M186" s="15">
        <f t="shared" si="84"/>
        <v>7.0000000000000007E-2</v>
      </c>
      <c r="N186" s="3">
        <f t="shared" si="85"/>
        <v>86.08116100837475</v>
      </c>
      <c r="O186" s="3">
        <f t="shared" si="70"/>
        <v>86.08116100837475</v>
      </c>
      <c r="P186" s="3">
        <f t="shared" si="74"/>
        <v>92.560388181048125</v>
      </c>
      <c r="Q186" s="3">
        <f t="shared" si="75"/>
        <v>37.416483858184968</v>
      </c>
      <c r="R186" s="3">
        <f t="shared" si="76"/>
        <v>64.988436019616543</v>
      </c>
      <c r="S186" s="3">
        <f t="shared" si="71"/>
        <v>1</v>
      </c>
      <c r="T186" s="3">
        <f t="shared" si="77"/>
        <v>27571.952161431578</v>
      </c>
      <c r="U186" s="3">
        <f t="shared" si="78"/>
        <v>0.5</v>
      </c>
      <c r="V186" s="3">
        <f t="shared" si="79"/>
        <v>0</v>
      </c>
      <c r="W186" s="3">
        <f t="shared" si="80"/>
        <v>30989.217963014911</v>
      </c>
      <c r="X186" s="3">
        <f t="shared" si="72"/>
        <v>18708.241929092484</v>
      </c>
      <c r="AI186" s="3"/>
      <c r="AJ186" s="3"/>
      <c r="AK186" s="15">
        <f t="shared" si="63"/>
        <v>1</v>
      </c>
      <c r="AL186" s="11">
        <f t="shared" si="67"/>
        <v>1062</v>
      </c>
      <c r="AM186" s="11" t="b">
        <f t="shared" si="62"/>
        <v>0</v>
      </c>
      <c r="AN186" s="11">
        <f t="shared" si="64"/>
        <v>36000</v>
      </c>
      <c r="AO186" s="11">
        <f t="shared" si="65"/>
        <v>0</v>
      </c>
      <c r="AP186" s="11">
        <f t="shared" si="66"/>
        <v>0.30240269663530528</v>
      </c>
      <c r="AQ186" s="11">
        <f t="shared" si="68"/>
        <v>0</v>
      </c>
      <c r="AT186" s="3"/>
      <c r="AU186" s="17"/>
      <c r="AV186" s="19"/>
      <c r="AW186" s="17"/>
      <c r="AX186" s="17">
        <f t="shared" si="87"/>
        <v>177</v>
      </c>
      <c r="AY186" s="17">
        <f t="shared" si="86"/>
        <v>17.7</v>
      </c>
      <c r="AZ186" s="17">
        <v>30.240269663530526</v>
      </c>
      <c r="BA186" s="17"/>
      <c r="BB186" s="17">
        <v>36</v>
      </c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7"/>
      <c r="BR186" s="17"/>
      <c r="BS186" s="17"/>
      <c r="BT186" s="17"/>
      <c r="BU186" s="17"/>
      <c r="BV186" s="17"/>
      <c r="BW186" s="17"/>
      <c r="BX186" s="17"/>
      <c r="BY186" s="17"/>
      <c r="BZ186" s="17"/>
      <c r="CA186" s="17"/>
      <c r="CB186" s="17"/>
      <c r="CC186" s="17"/>
      <c r="CD186" s="17"/>
      <c r="CE186" s="17"/>
      <c r="CF186" s="17"/>
      <c r="CG186" s="17"/>
      <c r="CH186" s="17"/>
    </row>
    <row r="187" spans="8:86" x14ac:dyDescent="0.15">
      <c r="H187" s="3">
        <f t="shared" si="81"/>
        <v>0.17500000000000013</v>
      </c>
      <c r="I187" s="3">
        <f t="shared" si="82"/>
        <v>360</v>
      </c>
      <c r="J187" s="14">
        <f t="shared" si="83"/>
        <v>500</v>
      </c>
      <c r="K187" s="3">
        <f t="shared" si="73"/>
        <v>0</v>
      </c>
      <c r="L187" s="3">
        <f t="shared" si="69"/>
        <v>500</v>
      </c>
      <c r="M187" s="15">
        <f t="shared" si="84"/>
        <v>7.0000000000000007E-2</v>
      </c>
      <c r="N187" s="3">
        <f t="shared" si="85"/>
        <v>86.004572252370778</v>
      </c>
      <c r="O187" s="3">
        <f t="shared" si="70"/>
        <v>86.004572252370778</v>
      </c>
      <c r="P187" s="3">
        <f t="shared" si="74"/>
        <v>92.478034679968587</v>
      </c>
      <c r="Q187" s="3">
        <f t="shared" si="75"/>
        <v>37.361339953862107</v>
      </c>
      <c r="R187" s="3">
        <f t="shared" si="76"/>
        <v>64.919687316915343</v>
      </c>
      <c r="S187" s="3">
        <f t="shared" si="71"/>
        <v>1</v>
      </c>
      <c r="T187" s="3">
        <f t="shared" si="77"/>
        <v>27558.347363053239</v>
      </c>
      <c r="U187" s="3">
        <f t="shared" si="78"/>
        <v>0.5</v>
      </c>
      <c r="V187" s="3">
        <f t="shared" si="79"/>
        <v>0</v>
      </c>
      <c r="W187" s="3">
        <f t="shared" si="80"/>
        <v>30961.646010853481</v>
      </c>
      <c r="X187" s="3">
        <f t="shared" si="72"/>
        <v>18680.669976931054</v>
      </c>
      <c r="AI187" s="3"/>
      <c r="AJ187" s="3"/>
      <c r="AK187" s="15">
        <f t="shared" si="63"/>
        <v>1</v>
      </c>
      <c r="AL187" s="11">
        <f t="shared" si="67"/>
        <v>1068</v>
      </c>
      <c r="AM187" s="11" t="b">
        <f t="shared" si="62"/>
        <v>0</v>
      </c>
      <c r="AN187" s="11">
        <f t="shared" si="64"/>
        <v>36000</v>
      </c>
      <c r="AO187" s="11">
        <f t="shared" si="65"/>
        <v>0</v>
      </c>
      <c r="AP187" s="11">
        <f t="shared" si="66"/>
        <v>0.3035050114501201</v>
      </c>
      <c r="AQ187" s="11">
        <f t="shared" si="68"/>
        <v>0</v>
      </c>
      <c r="AT187" s="3"/>
      <c r="AU187" s="17"/>
      <c r="AV187" s="19"/>
      <c r="AW187" s="17"/>
      <c r="AX187" s="17">
        <f t="shared" si="87"/>
        <v>178</v>
      </c>
      <c r="AY187" s="17">
        <f t="shared" si="86"/>
        <v>17.8</v>
      </c>
      <c r="AZ187" s="17">
        <v>30.350501145012011</v>
      </c>
      <c r="BA187" s="17"/>
      <c r="BB187" s="17">
        <v>36</v>
      </c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7"/>
      <c r="BR187" s="17"/>
      <c r="BS187" s="17"/>
      <c r="BT187" s="17"/>
      <c r="BU187" s="17"/>
      <c r="BV187" s="17"/>
      <c r="BW187" s="17"/>
      <c r="BX187" s="17"/>
      <c r="BY187" s="17"/>
      <c r="BZ187" s="17"/>
      <c r="CA187" s="17"/>
      <c r="CB187" s="17"/>
      <c r="CC187" s="17"/>
      <c r="CD187" s="17"/>
      <c r="CE187" s="17"/>
      <c r="CF187" s="17"/>
      <c r="CG187" s="17"/>
      <c r="CH187" s="17"/>
    </row>
    <row r="188" spans="8:86" x14ac:dyDescent="0.15">
      <c r="H188" s="3">
        <f t="shared" si="81"/>
        <v>0.17600000000000013</v>
      </c>
      <c r="I188" s="3">
        <f t="shared" si="82"/>
        <v>360</v>
      </c>
      <c r="J188" s="14">
        <f t="shared" si="83"/>
        <v>500</v>
      </c>
      <c r="K188" s="3">
        <f t="shared" si="73"/>
        <v>0</v>
      </c>
      <c r="L188" s="3">
        <f t="shared" si="69"/>
        <v>500</v>
      </c>
      <c r="M188" s="15">
        <f t="shared" si="84"/>
        <v>7.0000000000000007E-2</v>
      </c>
      <c r="N188" s="3">
        <f t="shared" si="85"/>
        <v>85.928021287473413</v>
      </c>
      <c r="O188" s="3">
        <f t="shared" si="70"/>
        <v>85.928021287473413</v>
      </c>
      <c r="P188" s="3">
        <f t="shared" si="74"/>
        <v>92.395721814487544</v>
      </c>
      <c r="Q188" s="3">
        <f t="shared" si="75"/>
        <v>37.306223259135997</v>
      </c>
      <c r="R188" s="3">
        <f t="shared" si="76"/>
        <v>64.850972536811767</v>
      </c>
      <c r="S188" s="3">
        <f t="shared" si="71"/>
        <v>1</v>
      </c>
      <c r="T188" s="3">
        <f t="shared" si="77"/>
        <v>27544.749277675772</v>
      </c>
      <c r="U188" s="3">
        <f t="shared" si="78"/>
        <v>0.5</v>
      </c>
      <c r="V188" s="3">
        <f t="shared" si="79"/>
        <v>0</v>
      </c>
      <c r="W188" s="3">
        <f t="shared" si="80"/>
        <v>30934.087663490427</v>
      </c>
      <c r="X188" s="3">
        <f t="shared" si="72"/>
        <v>18653.111629568</v>
      </c>
      <c r="AI188" s="3"/>
      <c r="AJ188" s="3"/>
      <c r="AK188" s="15">
        <f t="shared" si="63"/>
        <v>1</v>
      </c>
      <c r="AL188" s="11">
        <f t="shared" si="67"/>
        <v>1074</v>
      </c>
      <c r="AM188" s="11" t="b">
        <f t="shared" si="62"/>
        <v>0</v>
      </c>
      <c r="AN188" s="11">
        <f t="shared" si="64"/>
        <v>36000</v>
      </c>
      <c r="AO188" s="11">
        <f t="shared" si="65"/>
        <v>0</v>
      </c>
      <c r="AP188" s="11">
        <f t="shared" si="66"/>
        <v>0.30460732626493486</v>
      </c>
      <c r="AQ188" s="11">
        <f t="shared" si="68"/>
        <v>0</v>
      </c>
      <c r="AT188" s="3"/>
      <c r="AU188" s="17"/>
      <c r="AV188" s="19"/>
      <c r="AW188" s="17"/>
      <c r="AX188" s="17">
        <f t="shared" si="87"/>
        <v>179</v>
      </c>
      <c r="AY188" s="17">
        <f t="shared" si="86"/>
        <v>17.899999999999999</v>
      </c>
      <c r="AZ188" s="17">
        <v>30.460732626493485</v>
      </c>
      <c r="BA188" s="17"/>
      <c r="BB188" s="17">
        <v>36</v>
      </c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7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  <c r="CC188" s="17"/>
      <c r="CD188" s="17"/>
      <c r="CE188" s="17"/>
      <c r="CF188" s="17"/>
      <c r="CG188" s="17"/>
      <c r="CH188" s="17"/>
    </row>
    <row r="189" spans="8:86" x14ac:dyDescent="0.15">
      <c r="H189" s="3">
        <f t="shared" si="81"/>
        <v>0.17700000000000013</v>
      </c>
      <c r="I189" s="3">
        <f t="shared" si="82"/>
        <v>360</v>
      </c>
      <c r="J189" s="14">
        <f t="shared" si="83"/>
        <v>500</v>
      </c>
      <c r="K189" s="3">
        <f t="shared" si="73"/>
        <v>0</v>
      </c>
      <c r="L189" s="3">
        <f t="shared" si="69"/>
        <v>500</v>
      </c>
      <c r="M189" s="15">
        <f t="shared" si="84"/>
        <v>7.0000000000000007E-2</v>
      </c>
      <c r="N189" s="3">
        <f t="shared" si="85"/>
        <v>85.851508095035413</v>
      </c>
      <c r="O189" s="3">
        <f t="shared" si="70"/>
        <v>85.851508095035413</v>
      </c>
      <c r="P189" s="3">
        <f t="shared" si="74"/>
        <v>92.313449564554219</v>
      </c>
      <c r="Q189" s="3">
        <f t="shared" si="75"/>
        <v>37.25113376058065</v>
      </c>
      <c r="R189" s="3">
        <f t="shared" si="76"/>
        <v>64.782291662567431</v>
      </c>
      <c r="S189" s="3">
        <f t="shared" si="71"/>
        <v>1</v>
      </c>
      <c r="T189" s="3">
        <f t="shared" si="77"/>
        <v>27531.157901986786</v>
      </c>
      <c r="U189" s="3">
        <f t="shared" si="78"/>
        <v>0.5</v>
      </c>
      <c r="V189" s="3">
        <f t="shared" si="79"/>
        <v>0</v>
      </c>
      <c r="W189" s="3">
        <f t="shared" si="80"/>
        <v>30906.54291421275</v>
      </c>
      <c r="X189" s="3">
        <f t="shared" si="72"/>
        <v>18625.566880290324</v>
      </c>
      <c r="AI189" s="3"/>
      <c r="AJ189" s="3"/>
      <c r="AK189" s="15">
        <f t="shared" si="63"/>
        <v>1</v>
      </c>
      <c r="AL189" s="11">
        <f t="shared" si="67"/>
        <v>1080</v>
      </c>
      <c r="AM189" s="11" t="b">
        <f t="shared" si="62"/>
        <v>0</v>
      </c>
      <c r="AN189" s="11">
        <f t="shared" si="64"/>
        <v>36000</v>
      </c>
      <c r="AO189" s="11">
        <f t="shared" si="65"/>
        <v>0</v>
      </c>
      <c r="AP189" s="11">
        <f t="shared" si="66"/>
        <v>0.30570964107974968</v>
      </c>
      <c r="AQ189" s="11">
        <f t="shared" si="68"/>
        <v>0</v>
      </c>
      <c r="AT189" s="3"/>
      <c r="AU189" s="17"/>
      <c r="AV189" s="19"/>
      <c r="AW189" s="17"/>
      <c r="AX189" s="17">
        <f t="shared" si="87"/>
        <v>180</v>
      </c>
      <c r="AY189" s="17">
        <f t="shared" si="86"/>
        <v>18</v>
      </c>
      <c r="AZ189" s="17">
        <v>30.570964107974969</v>
      </c>
      <c r="BA189" s="17"/>
      <c r="BB189" s="17">
        <v>36</v>
      </c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7"/>
      <c r="BR189" s="17"/>
      <c r="BS189" s="17"/>
      <c r="BT189" s="17"/>
      <c r="BU189" s="17"/>
      <c r="BV189" s="17"/>
      <c r="BW189" s="17"/>
      <c r="BX189" s="17"/>
      <c r="BY189" s="17"/>
      <c r="BZ189" s="17"/>
      <c r="CA189" s="17"/>
      <c r="CB189" s="17"/>
      <c r="CC189" s="17"/>
      <c r="CD189" s="17"/>
      <c r="CE189" s="17"/>
      <c r="CF189" s="17"/>
      <c r="CG189" s="17"/>
      <c r="CH189" s="17"/>
    </row>
    <row r="190" spans="8:86" x14ac:dyDescent="0.15">
      <c r="H190" s="3">
        <f t="shared" si="81"/>
        <v>0.17800000000000013</v>
      </c>
      <c r="I190" s="3">
        <f t="shared" si="82"/>
        <v>360</v>
      </c>
      <c r="J190" s="14">
        <f t="shared" si="83"/>
        <v>500</v>
      </c>
      <c r="K190" s="3">
        <f t="shared" si="73"/>
        <v>0</v>
      </c>
      <c r="L190" s="3">
        <f t="shared" si="69"/>
        <v>500</v>
      </c>
      <c r="M190" s="15">
        <f t="shared" si="84"/>
        <v>7.0000000000000007E-2</v>
      </c>
      <c r="N190" s="3">
        <f t="shared" si="85"/>
        <v>85.775032656418787</v>
      </c>
      <c r="O190" s="3">
        <f t="shared" si="70"/>
        <v>85.775032656418787</v>
      </c>
      <c r="P190" s="3">
        <f t="shared" si="74"/>
        <v>92.231217910127739</v>
      </c>
      <c r="Q190" s="3">
        <f t="shared" si="75"/>
        <v>37.19607144477667</v>
      </c>
      <c r="R190" s="3">
        <f t="shared" si="76"/>
        <v>64.713644677452208</v>
      </c>
      <c r="S190" s="3">
        <f t="shared" si="71"/>
        <v>1</v>
      </c>
      <c r="T190" s="3">
        <f t="shared" si="77"/>
        <v>27517.573232675535</v>
      </c>
      <c r="U190" s="3">
        <f t="shared" si="78"/>
        <v>0.5</v>
      </c>
      <c r="V190" s="3">
        <f t="shared" si="79"/>
        <v>0</v>
      </c>
      <c r="W190" s="3">
        <f t="shared" si="80"/>
        <v>30879.011756310763</v>
      </c>
      <c r="X190" s="3">
        <f t="shared" si="72"/>
        <v>18598.035722388337</v>
      </c>
      <c r="AI190" s="3"/>
      <c r="AJ190" s="3"/>
      <c r="AK190" s="15">
        <f t="shared" si="63"/>
        <v>1</v>
      </c>
      <c r="AL190" s="11">
        <f t="shared" si="67"/>
        <v>1086</v>
      </c>
      <c r="AM190" s="11" t="b">
        <f t="shared" si="62"/>
        <v>0</v>
      </c>
      <c r="AN190" s="11">
        <f t="shared" si="64"/>
        <v>36000</v>
      </c>
      <c r="AO190" s="11">
        <f t="shared" si="65"/>
        <v>0</v>
      </c>
      <c r="AP190" s="11">
        <f t="shared" si="66"/>
        <v>0.30681195589456445</v>
      </c>
      <c r="AQ190" s="11">
        <f t="shared" si="68"/>
        <v>0</v>
      </c>
      <c r="AT190" s="3"/>
      <c r="AU190" s="17"/>
      <c r="AV190" s="19"/>
      <c r="AW190" s="17"/>
      <c r="AX190" s="17">
        <f t="shared" si="87"/>
        <v>181</v>
      </c>
      <c r="AY190" s="17">
        <f t="shared" si="86"/>
        <v>18.100000000000001</v>
      </c>
      <c r="AZ190" s="17">
        <v>30.681195589456443</v>
      </c>
      <c r="BA190" s="17"/>
      <c r="BB190" s="17">
        <v>36</v>
      </c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17"/>
      <c r="CG190" s="17"/>
      <c r="CH190" s="17"/>
    </row>
    <row r="191" spans="8:86" x14ac:dyDescent="0.15">
      <c r="H191" s="3">
        <f t="shared" si="81"/>
        <v>0.17900000000000013</v>
      </c>
      <c r="I191" s="3">
        <f t="shared" si="82"/>
        <v>360</v>
      </c>
      <c r="J191" s="14">
        <f t="shared" si="83"/>
        <v>500</v>
      </c>
      <c r="K191" s="3">
        <f t="shared" si="73"/>
        <v>0</v>
      </c>
      <c r="L191" s="3">
        <f t="shared" si="69"/>
        <v>500</v>
      </c>
      <c r="M191" s="15">
        <f t="shared" si="84"/>
        <v>7.0000000000000007E-2</v>
      </c>
      <c r="N191" s="3">
        <f t="shared" si="85"/>
        <v>85.698594952994682</v>
      </c>
      <c r="O191" s="3">
        <f t="shared" si="70"/>
        <v>85.698594952994682</v>
      </c>
      <c r="P191" s="3">
        <f t="shared" si="74"/>
        <v>92.149026831177082</v>
      </c>
      <c r="Q191" s="3">
        <f t="shared" si="75"/>
        <v>37.14103629831132</v>
      </c>
      <c r="R191" s="3">
        <f t="shared" si="76"/>
        <v>64.645031564744201</v>
      </c>
      <c r="S191" s="3">
        <f t="shared" si="71"/>
        <v>1</v>
      </c>
      <c r="T191" s="3">
        <f t="shared" si="77"/>
        <v>27503.995266432881</v>
      </c>
      <c r="U191" s="3">
        <f t="shared" si="78"/>
        <v>0.5</v>
      </c>
      <c r="V191" s="3">
        <f t="shared" si="79"/>
        <v>0</v>
      </c>
      <c r="W191" s="3">
        <f t="shared" si="80"/>
        <v>30851.494183078084</v>
      </c>
      <c r="X191" s="3">
        <f t="shared" si="72"/>
        <v>18570.518149155661</v>
      </c>
      <c r="AI191" s="3"/>
      <c r="AJ191" s="3"/>
      <c r="AK191" s="15">
        <f t="shared" si="63"/>
        <v>1</v>
      </c>
      <c r="AL191" s="11">
        <f t="shared" si="67"/>
        <v>1092</v>
      </c>
      <c r="AM191" s="11" t="b">
        <f t="shared" si="62"/>
        <v>0</v>
      </c>
      <c r="AN191" s="11">
        <f t="shared" si="64"/>
        <v>36000</v>
      </c>
      <c r="AO191" s="11">
        <f t="shared" si="65"/>
        <v>0</v>
      </c>
      <c r="AP191" s="11">
        <f t="shared" si="66"/>
        <v>0.30791427070937927</v>
      </c>
      <c r="AQ191" s="11">
        <f t="shared" si="68"/>
        <v>0</v>
      </c>
      <c r="AT191" s="3"/>
      <c r="AU191" s="17"/>
      <c r="AV191" s="19"/>
      <c r="AW191" s="17"/>
      <c r="AX191" s="17">
        <f t="shared" si="87"/>
        <v>182</v>
      </c>
      <c r="AY191" s="17">
        <f t="shared" si="86"/>
        <v>18.2</v>
      </c>
      <c r="AZ191" s="17">
        <v>30.791427070937928</v>
      </c>
      <c r="BA191" s="17"/>
      <c r="BB191" s="17">
        <v>36</v>
      </c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7"/>
      <c r="BR191" s="17"/>
      <c r="BS191" s="17"/>
      <c r="BT191" s="17"/>
      <c r="BU191" s="17"/>
      <c r="BV191" s="17"/>
      <c r="BW191" s="17"/>
      <c r="BX191" s="17"/>
      <c r="BY191" s="17"/>
      <c r="BZ191" s="17"/>
      <c r="CA191" s="17"/>
      <c r="CB191" s="17"/>
      <c r="CC191" s="17"/>
      <c r="CD191" s="17"/>
      <c r="CE191" s="17"/>
      <c r="CF191" s="17"/>
      <c r="CG191" s="17"/>
      <c r="CH191" s="17"/>
    </row>
    <row r="192" spans="8:86" x14ac:dyDescent="0.15">
      <c r="H192" s="3">
        <f t="shared" si="81"/>
        <v>0.18000000000000013</v>
      </c>
      <c r="I192" s="3">
        <f t="shared" si="82"/>
        <v>360</v>
      </c>
      <c r="J192" s="14">
        <f t="shared" si="83"/>
        <v>500</v>
      </c>
      <c r="K192" s="3">
        <f t="shared" si="73"/>
        <v>0</v>
      </c>
      <c r="L192" s="3">
        <f t="shared" si="69"/>
        <v>500</v>
      </c>
      <c r="M192" s="15">
        <f t="shared" si="84"/>
        <v>7.0000000000000007E-2</v>
      </c>
      <c r="N192" s="3">
        <f t="shared" si="85"/>
        <v>85.622194966143468</v>
      </c>
      <c r="O192" s="3">
        <f t="shared" si="70"/>
        <v>85.622194966143468</v>
      </c>
      <c r="P192" s="3">
        <f t="shared" si="74"/>
        <v>92.066876307681156</v>
      </c>
      <c r="Q192" s="3">
        <f t="shared" si="75"/>
        <v>37.086028307778456</v>
      </c>
      <c r="R192" s="3">
        <f t="shared" si="76"/>
        <v>64.576452307729809</v>
      </c>
      <c r="S192" s="3">
        <f t="shared" si="71"/>
        <v>1</v>
      </c>
      <c r="T192" s="3">
        <f t="shared" si="77"/>
        <v>27490.423999951348</v>
      </c>
      <c r="U192" s="3">
        <f t="shared" si="78"/>
        <v>0.5</v>
      </c>
      <c r="V192" s="3">
        <f t="shared" si="79"/>
        <v>0</v>
      </c>
      <c r="W192" s="3">
        <f t="shared" si="80"/>
        <v>30823.990187811647</v>
      </c>
      <c r="X192" s="3">
        <f t="shared" si="72"/>
        <v>18543.014153889228</v>
      </c>
      <c r="AI192" s="3"/>
      <c r="AJ192" s="3"/>
      <c r="AK192" s="15">
        <f t="shared" si="63"/>
        <v>1</v>
      </c>
      <c r="AL192" s="11">
        <f t="shared" si="67"/>
        <v>1098</v>
      </c>
      <c r="AM192" s="11" t="b">
        <f t="shared" si="62"/>
        <v>0</v>
      </c>
      <c r="AN192" s="11">
        <f t="shared" si="64"/>
        <v>36000</v>
      </c>
      <c r="AO192" s="11">
        <f t="shared" si="65"/>
        <v>0</v>
      </c>
      <c r="AP192" s="11">
        <f t="shared" si="66"/>
        <v>0.30901658552419403</v>
      </c>
      <c r="AQ192" s="11">
        <f t="shared" si="68"/>
        <v>0</v>
      </c>
      <c r="AT192" s="3"/>
      <c r="AU192" s="17"/>
      <c r="AV192" s="19"/>
      <c r="AW192" s="17"/>
      <c r="AX192" s="17">
        <f t="shared" si="87"/>
        <v>183</v>
      </c>
      <c r="AY192" s="17">
        <f t="shared" si="86"/>
        <v>18.3</v>
      </c>
      <c r="AZ192" s="17">
        <v>30.901658552419402</v>
      </c>
      <c r="BA192" s="17"/>
      <c r="BB192" s="17">
        <v>36</v>
      </c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</row>
    <row r="193" spans="8:86" x14ac:dyDescent="0.15">
      <c r="H193" s="3">
        <f t="shared" si="81"/>
        <v>0.18100000000000013</v>
      </c>
      <c r="I193" s="3">
        <f t="shared" si="82"/>
        <v>360</v>
      </c>
      <c r="J193" s="14">
        <f t="shared" si="83"/>
        <v>500</v>
      </c>
      <c r="K193" s="3">
        <f t="shared" si="73"/>
        <v>0</v>
      </c>
      <c r="L193" s="3">
        <f t="shared" si="69"/>
        <v>500</v>
      </c>
      <c r="M193" s="15">
        <f t="shared" si="84"/>
        <v>7.0000000000000007E-2</v>
      </c>
      <c r="N193" s="3">
        <f t="shared" si="85"/>
        <v>85.545832677254708</v>
      </c>
      <c r="O193" s="3">
        <f t="shared" si="70"/>
        <v>85.545832677254708</v>
      </c>
      <c r="P193" s="3">
        <f t="shared" si="74"/>
        <v>91.984766319628719</v>
      </c>
      <c r="Q193" s="3">
        <f t="shared" si="75"/>
        <v>37.031047459778549</v>
      </c>
      <c r="R193" s="3">
        <f t="shared" si="76"/>
        <v>64.507906889703634</v>
      </c>
      <c r="S193" s="3">
        <f t="shared" si="71"/>
        <v>1</v>
      </c>
      <c r="T193" s="3">
        <f t="shared" si="77"/>
        <v>27476.859429925084</v>
      </c>
      <c r="U193" s="3">
        <f t="shared" si="78"/>
        <v>0.5</v>
      </c>
      <c r="V193" s="3">
        <f t="shared" si="79"/>
        <v>0</v>
      </c>
      <c r="W193" s="3">
        <f t="shared" si="80"/>
        <v>30796.499763811695</v>
      </c>
      <c r="X193" s="3">
        <f t="shared" si="72"/>
        <v>18515.523729889275</v>
      </c>
      <c r="AI193" s="3"/>
      <c r="AJ193" s="3"/>
      <c r="AK193" s="15">
        <f t="shared" si="63"/>
        <v>1</v>
      </c>
      <c r="AL193" s="11">
        <f t="shared" si="67"/>
        <v>1104</v>
      </c>
      <c r="AM193" s="11" t="b">
        <f t="shared" si="62"/>
        <v>0</v>
      </c>
      <c r="AN193" s="11">
        <f t="shared" si="64"/>
        <v>36000</v>
      </c>
      <c r="AO193" s="11">
        <f t="shared" si="65"/>
        <v>0</v>
      </c>
      <c r="AP193" s="11">
        <f t="shared" si="66"/>
        <v>0.31011890033900885</v>
      </c>
      <c r="AQ193" s="11">
        <f t="shared" si="68"/>
        <v>0</v>
      </c>
      <c r="AT193" s="3"/>
      <c r="AU193" s="17"/>
      <c r="AV193" s="19"/>
      <c r="AW193" s="17"/>
      <c r="AX193" s="17">
        <f t="shared" si="87"/>
        <v>184</v>
      </c>
      <c r="AY193" s="17">
        <f t="shared" si="86"/>
        <v>18.399999999999999</v>
      </c>
      <c r="AZ193" s="17">
        <v>31.011890033900887</v>
      </c>
      <c r="BA193" s="17"/>
      <c r="BB193" s="17">
        <v>36</v>
      </c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7"/>
      <c r="BR193" s="17"/>
      <c r="BS193" s="17"/>
      <c r="BT193" s="17"/>
      <c r="BU193" s="17"/>
      <c r="BV193" s="17"/>
      <c r="BW193" s="17"/>
      <c r="BX193" s="17"/>
      <c r="BY193" s="17"/>
      <c r="BZ193" s="17"/>
      <c r="CA193" s="17"/>
      <c r="CB193" s="17"/>
      <c r="CC193" s="17"/>
      <c r="CD193" s="17"/>
      <c r="CE193" s="17"/>
      <c r="CF193" s="17"/>
      <c r="CG193" s="17"/>
      <c r="CH193" s="17"/>
    </row>
    <row r="194" spans="8:86" x14ac:dyDescent="0.15">
      <c r="H194" s="3">
        <f t="shared" si="81"/>
        <v>0.18200000000000013</v>
      </c>
      <c r="I194" s="3">
        <f t="shared" si="82"/>
        <v>360</v>
      </c>
      <c r="J194" s="14">
        <f t="shared" si="83"/>
        <v>500</v>
      </c>
      <c r="K194" s="3">
        <f t="shared" si="73"/>
        <v>0</v>
      </c>
      <c r="L194" s="3">
        <f t="shared" si="69"/>
        <v>500</v>
      </c>
      <c r="M194" s="15">
        <f t="shared" si="84"/>
        <v>7.0000000000000007E-2</v>
      </c>
      <c r="N194" s="3">
        <f t="shared" si="85"/>
        <v>85.469508067727148</v>
      </c>
      <c r="O194" s="3">
        <f t="shared" si="70"/>
        <v>85.469508067727148</v>
      </c>
      <c r="P194" s="3">
        <f t="shared" si="74"/>
        <v>91.902696847018447</v>
      </c>
      <c r="Q194" s="3">
        <f t="shared" si="75"/>
        <v>36.976093740918699</v>
      </c>
      <c r="R194" s="3">
        <f t="shared" si="76"/>
        <v>64.439395293968573</v>
      </c>
      <c r="S194" s="3">
        <f t="shared" si="71"/>
        <v>1</v>
      </c>
      <c r="T194" s="3">
        <f t="shared" si="77"/>
        <v>27463.301553049874</v>
      </c>
      <c r="U194" s="3">
        <f t="shared" si="78"/>
        <v>0.5</v>
      </c>
      <c r="V194" s="3">
        <f t="shared" si="79"/>
        <v>0</v>
      </c>
      <c r="W194" s="3">
        <f t="shared" si="80"/>
        <v>30769.022904381774</v>
      </c>
      <c r="X194" s="3">
        <f t="shared" si="72"/>
        <v>18488.046870459351</v>
      </c>
      <c r="AI194" s="3"/>
      <c r="AJ194" s="3"/>
      <c r="AK194" s="15">
        <f t="shared" si="63"/>
        <v>1</v>
      </c>
      <c r="AL194" s="11">
        <f t="shared" si="67"/>
        <v>1110</v>
      </c>
      <c r="AM194" s="11" t="b">
        <f t="shared" si="62"/>
        <v>0</v>
      </c>
      <c r="AN194" s="11">
        <f t="shared" si="64"/>
        <v>36000</v>
      </c>
      <c r="AO194" s="11">
        <f t="shared" si="65"/>
        <v>0</v>
      </c>
      <c r="AP194" s="11">
        <f t="shared" si="66"/>
        <v>0.31122121515382362</v>
      </c>
      <c r="AQ194" s="11">
        <f t="shared" si="68"/>
        <v>0</v>
      </c>
      <c r="AT194" s="3"/>
      <c r="AU194" s="17"/>
      <c r="AV194" s="19"/>
      <c r="AW194" s="17"/>
      <c r="AX194" s="17">
        <f t="shared" si="87"/>
        <v>185</v>
      </c>
      <c r="AY194" s="17">
        <f t="shared" si="86"/>
        <v>18.5</v>
      </c>
      <c r="AZ194" s="17">
        <v>31.122121515382361</v>
      </c>
      <c r="BA194" s="17"/>
      <c r="BB194" s="17">
        <v>36</v>
      </c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7"/>
      <c r="BR194" s="17"/>
      <c r="BS194" s="17"/>
      <c r="BT194" s="17"/>
      <c r="BU194" s="17"/>
      <c r="BV194" s="17"/>
      <c r="BW194" s="17"/>
      <c r="BX194" s="17"/>
      <c r="BY194" s="17"/>
      <c r="BZ194" s="17"/>
      <c r="CA194" s="17"/>
      <c r="CB194" s="17"/>
      <c r="CC194" s="17"/>
      <c r="CD194" s="17"/>
      <c r="CE194" s="17"/>
      <c r="CF194" s="17"/>
      <c r="CG194" s="17"/>
      <c r="CH194" s="17"/>
    </row>
    <row r="195" spans="8:86" x14ac:dyDescent="0.15">
      <c r="H195" s="3">
        <f t="shared" si="81"/>
        <v>0.18300000000000013</v>
      </c>
      <c r="I195" s="3">
        <f t="shared" si="82"/>
        <v>360</v>
      </c>
      <c r="J195" s="14">
        <f t="shared" si="83"/>
        <v>500</v>
      </c>
      <c r="K195" s="3">
        <f t="shared" si="73"/>
        <v>0</v>
      </c>
      <c r="L195" s="3">
        <f t="shared" si="69"/>
        <v>500</v>
      </c>
      <c r="M195" s="15">
        <f t="shared" si="84"/>
        <v>7.0000000000000007E-2</v>
      </c>
      <c r="N195" s="3">
        <f t="shared" si="85"/>
        <v>85.393221118968683</v>
      </c>
      <c r="O195" s="3">
        <f t="shared" si="70"/>
        <v>85.393221118968683</v>
      </c>
      <c r="P195" s="3">
        <f t="shared" si="74"/>
        <v>91.820667869858809</v>
      </c>
      <c r="Q195" s="3">
        <f t="shared" si="75"/>
        <v>36.921167137812603</v>
      </c>
      <c r="R195" s="3">
        <f t="shared" si="76"/>
        <v>64.370917503835699</v>
      </c>
      <c r="S195" s="3">
        <f t="shared" si="71"/>
        <v>1</v>
      </c>
      <c r="T195" s="3">
        <f t="shared" si="77"/>
        <v>27449.750366023105</v>
      </c>
      <c r="U195" s="3">
        <f t="shared" si="78"/>
        <v>0.5</v>
      </c>
      <c r="V195" s="3">
        <f t="shared" si="79"/>
        <v>0</v>
      </c>
      <c r="W195" s="3">
        <f t="shared" si="80"/>
        <v>30741.559602828725</v>
      </c>
      <c r="X195" s="3">
        <f t="shared" si="72"/>
        <v>18460.583568906302</v>
      </c>
      <c r="AI195" s="3"/>
      <c r="AJ195" s="3"/>
      <c r="AK195" s="15">
        <f t="shared" si="63"/>
        <v>1</v>
      </c>
      <c r="AL195" s="11">
        <f t="shared" si="67"/>
        <v>1116</v>
      </c>
      <c r="AM195" s="11" t="b">
        <f t="shared" si="62"/>
        <v>0</v>
      </c>
      <c r="AN195" s="11">
        <f t="shared" si="64"/>
        <v>36000</v>
      </c>
      <c r="AO195" s="11">
        <f t="shared" si="65"/>
        <v>0</v>
      </c>
      <c r="AP195" s="11">
        <f t="shared" si="66"/>
        <v>0.31232352996863844</v>
      </c>
      <c r="AQ195" s="11">
        <f t="shared" si="68"/>
        <v>0</v>
      </c>
      <c r="AT195" s="3"/>
      <c r="AU195" s="17"/>
      <c r="AV195" s="19"/>
      <c r="AW195" s="17"/>
      <c r="AX195" s="17">
        <f t="shared" si="87"/>
        <v>186</v>
      </c>
      <c r="AY195" s="17">
        <f t="shared" si="86"/>
        <v>18.600000000000001</v>
      </c>
      <c r="AZ195" s="17">
        <v>31.232352996863845</v>
      </c>
      <c r="BA195" s="17"/>
      <c r="BB195" s="17">
        <v>36</v>
      </c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7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  <c r="CC195" s="17"/>
      <c r="CD195" s="17"/>
      <c r="CE195" s="17"/>
      <c r="CF195" s="17"/>
      <c r="CG195" s="17"/>
      <c r="CH195" s="17"/>
    </row>
    <row r="196" spans="8:86" x14ac:dyDescent="0.15">
      <c r="H196" s="3">
        <f t="shared" si="81"/>
        <v>0.18400000000000014</v>
      </c>
      <c r="I196" s="3">
        <f t="shared" si="82"/>
        <v>360</v>
      </c>
      <c r="J196" s="14">
        <f t="shared" si="83"/>
        <v>500</v>
      </c>
      <c r="K196" s="3">
        <f t="shared" si="73"/>
        <v>0</v>
      </c>
      <c r="L196" s="3">
        <f t="shared" si="69"/>
        <v>500</v>
      </c>
      <c r="M196" s="15">
        <f t="shared" si="84"/>
        <v>7.0000000000000007E-2</v>
      </c>
      <c r="N196" s="3">
        <f t="shared" si="85"/>
        <v>85.316971812396389</v>
      </c>
      <c r="O196" s="3">
        <f t="shared" si="70"/>
        <v>85.316971812396389</v>
      </c>
      <c r="P196" s="3">
        <f t="shared" si="74"/>
        <v>91.738679368168164</v>
      </c>
      <c r="Q196" s="3">
        <f t="shared" si="75"/>
        <v>36.866267637080554</v>
      </c>
      <c r="R196" s="3">
        <f t="shared" si="76"/>
        <v>64.302473502624366</v>
      </c>
      <c r="S196" s="3">
        <f t="shared" si="71"/>
        <v>1</v>
      </c>
      <c r="T196" s="3">
        <f t="shared" si="77"/>
        <v>27436.205865543805</v>
      </c>
      <c r="U196" s="3">
        <f t="shared" si="78"/>
        <v>0.5</v>
      </c>
      <c r="V196" s="3">
        <f t="shared" si="79"/>
        <v>0</v>
      </c>
      <c r="W196" s="3">
        <f t="shared" si="80"/>
        <v>30714.109852462701</v>
      </c>
      <c r="X196" s="3">
        <f t="shared" si="72"/>
        <v>18433.133818540278</v>
      </c>
      <c r="AI196" s="3"/>
      <c r="AJ196" s="3"/>
      <c r="AK196" s="15">
        <f t="shared" si="63"/>
        <v>1</v>
      </c>
      <c r="AL196" s="11">
        <f t="shared" si="67"/>
        <v>1122</v>
      </c>
      <c r="AM196" s="11" t="b">
        <f t="shared" si="62"/>
        <v>0</v>
      </c>
      <c r="AN196" s="11">
        <f t="shared" si="64"/>
        <v>36000</v>
      </c>
      <c r="AO196" s="11">
        <f t="shared" si="65"/>
        <v>0</v>
      </c>
      <c r="AP196" s="11">
        <f t="shared" si="66"/>
        <v>0.3134258447834532</v>
      </c>
      <c r="AQ196" s="11">
        <f t="shared" si="68"/>
        <v>0</v>
      </c>
      <c r="AT196" s="3"/>
      <c r="AU196" s="17"/>
      <c r="AV196" s="19"/>
      <c r="AW196" s="17"/>
      <c r="AX196" s="17">
        <f t="shared" si="87"/>
        <v>187</v>
      </c>
      <c r="AY196" s="17">
        <f t="shared" si="86"/>
        <v>18.7</v>
      </c>
      <c r="AZ196" s="17">
        <v>31.342584478345319</v>
      </c>
      <c r="BA196" s="17"/>
      <c r="BB196" s="17">
        <v>36</v>
      </c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</row>
    <row r="197" spans="8:86" x14ac:dyDescent="0.15">
      <c r="H197" s="3">
        <f t="shared" si="81"/>
        <v>0.18500000000000014</v>
      </c>
      <c r="I197" s="3">
        <f t="shared" si="82"/>
        <v>360</v>
      </c>
      <c r="J197" s="14">
        <f t="shared" si="83"/>
        <v>500</v>
      </c>
      <c r="K197" s="3">
        <f t="shared" si="73"/>
        <v>0</v>
      </c>
      <c r="L197" s="3">
        <f t="shared" si="69"/>
        <v>500</v>
      </c>
      <c r="M197" s="15">
        <f t="shared" si="84"/>
        <v>7.0000000000000007E-2</v>
      </c>
      <c r="N197" s="3">
        <f t="shared" si="85"/>
        <v>85.240760129436552</v>
      </c>
      <c r="O197" s="3">
        <f t="shared" si="70"/>
        <v>85.240760129436552</v>
      </c>
      <c r="P197" s="3">
        <f t="shared" si="74"/>
        <v>91.656731321974789</v>
      </c>
      <c r="Q197" s="3">
        <f t="shared" si="75"/>
        <v>36.811395225349472</v>
      </c>
      <c r="R197" s="3">
        <f t="shared" si="76"/>
        <v>64.23406327366213</v>
      </c>
      <c r="S197" s="3">
        <f t="shared" si="71"/>
        <v>1</v>
      </c>
      <c r="T197" s="3">
        <f t="shared" si="77"/>
        <v>27422.668048312658</v>
      </c>
      <c r="U197" s="3">
        <f t="shared" si="78"/>
        <v>0.5</v>
      </c>
      <c r="V197" s="3">
        <f t="shared" si="79"/>
        <v>0</v>
      </c>
      <c r="W197" s="3">
        <f t="shared" si="80"/>
        <v>30686.673646597159</v>
      </c>
      <c r="X197" s="3">
        <f t="shared" si="72"/>
        <v>18405.697612674736</v>
      </c>
      <c r="AI197" s="3"/>
      <c r="AJ197" s="3"/>
      <c r="AK197" s="15">
        <f t="shared" si="63"/>
        <v>1</v>
      </c>
      <c r="AL197" s="11">
        <f t="shared" si="67"/>
        <v>1128</v>
      </c>
      <c r="AM197" s="11" t="b">
        <f t="shared" si="62"/>
        <v>0</v>
      </c>
      <c r="AN197" s="11">
        <f t="shared" si="64"/>
        <v>36000</v>
      </c>
      <c r="AO197" s="11">
        <f t="shared" si="65"/>
        <v>0</v>
      </c>
      <c r="AP197" s="11">
        <f t="shared" si="66"/>
        <v>0.31452815959826802</v>
      </c>
      <c r="AQ197" s="11">
        <f t="shared" si="68"/>
        <v>0</v>
      </c>
      <c r="AT197" s="3"/>
      <c r="AU197" s="17"/>
      <c r="AV197" s="19"/>
      <c r="AW197" s="17"/>
      <c r="AX197" s="17">
        <f t="shared" si="87"/>
        <v>188</v>
      </c>
      <c r="AY197" s="17">
        <f t="shared" si="86"/>
        <v>18.8</v>
      </c>
      <c r="AZ197" s="17">
        <v>31.4528159598268</v>
      </c>
      <c r="BA197" s="17"/>
      <c r="BB197" s="17">
        <v>36</v>
      </c>
      <c r="BC197" s="17"/>
      <c r="BD197" s="17"/>
      <c r="BE197" s="17"/>
      <c r="BF197" s="17"/>
      <c r="BG197" s="17"/>
      <c r="BH197" s="17"/>
      <c r="BI197" s="17"/>
      <c r="BJ197" s="17"/>
      <c r="BK197" s="17"/>
      <c r="BL197" s="17"/>
      <c r="BM197" s="17"/>
      <c r="BN197" s="17"/>
      <c r="BO197" s="17"/>
      <c r="BP197" s="17"/>
      <c r="BQ197" s="17"/>
      <c r="BR197" s="17"/>
      <c r="BS197" s="17"/>
      <c r="BT197" s="17"/>
      <c r="BU197" s="17"/>
      <c r="BV197" s="17"/>
      <c r="BW197" s="17"/>
      <c r="BX197" s="17"/>
      <c r="BY197" s="17"/>
      <c r="BZ197" s="17"/>
      <c r="CA197" s="17"/>
      <c r="CB197" s="17"/>
      <c r="CC197" s="17"/>
      <c r="CD197" s="17"/>
      <c r="CE197" s="17"/>
      <c r="CF197" s="17"/>
      <c r="CG197" s="17"/>
      <c r="CH197" s="17"/>
    </row>
    <row r="198" spans="8:86" x14ac:dyDescent="0.15">
      <c r="H198" s="3">
        <f t="shared" si="81"/>
        <v>0.18600000000000014</v>
      </c>
      <c r="I198" s="3">
        <f t="shared" si="82"/>
        <v>360</v>
      </c>
      <c r="J198" s="14">
        <f t="shared" si="83"/>
        <v>500</v>
      </c>
      <c r="K198" s="3">
        <f t="shared" si="73"/>
        <v>0</v>
      </c>
      <c r="L198" s="3">
        <f t="shared" si="69"/>
        <v>500</v>
      </c>
      <c r="M198" s="15">
        <f t="shared" si="84"/>
        <v>7.0000000000000007E-2</v>
      </c>
      <c r="N198" s="3">
        <f t="shared" si="85"/>
        <v>85.16458605152458</v>
      </c>
      <c r="O198" s="3">
        <f t="shared" si="70"/>
        <v>85.16458605152458</v>
      </c>
      <c r="P198" s="3">
        <f t="shared" si="74"/>
        <v>91.574823711316753</v>
      </c>
      <c r="Q198" s="3">
        <f t="shared" si="75"/>
        <v>36.756549889252845</v>
      </c>
      <c r="R198" s="3">
        <f t="shared" si="76"/>
        <v>64.165686800284803</v>
      </c>
      <c r="S198" s="3">
        <f t="shared" si="71"/>
        <v>1</v>
      </c>
      <c r="T198" s="3">
        <f t="shared" si="77"/>
        <v>27409.136911031954</v>
      </c>
      <c r="U198" s="3">
        <f t="shared" si="78"/>
        <v>0.5</v>
      </c>
      <c r="V198" s="3">
        <f t="shared" si="79"/>
        <v>0</v>
      </c>
      <c r="W198" s="3">
        <f t="shared" si="80"/>
        <v>30659.250978548847</v>
      </c>
      <c r="X198" s="3">
        <f t="shared" si="72"/>
        <v>18378.274944626424</v>
      </c>
      <c r="AI198" s="3"/>
      <c r="AJ198" s="3"/>
      <c r="AK198" s="15">
        <f t="shared" si="63"/>
        <v>1</v>
      </c>
      <c r="AL198" s="11">
        <f t="shared" si="67"/>
        <v>1134</v>
      </c>
      <c r="AM198" s="11" t="b">
        <f t="shared" si="62"/>
        <v>0</v>
      </c>
      <c r="AN198" s="11">
        <f t="shared" si="64"/>
        <v>36000</v>
      </c>
      <c r="AO198" s="11">
        <f t="shared" si="65"/>
        <v>0</v>
      </c>
      <c r="AP198" s="11">
        <f t="shared" si="66"/>
        <v>0.31563047441308278</v>
      </c>
      <c r="AQ198" s="11">
        <f t="shared" si="68"/>
        <v>0</v>
      </c>
      <c r="AT198" s="3"/>
      <c r="AU198" s="17"/>
      <c r="AV198" s="19"/>
      <c r="AW198" s="17"/>
      <c r="AX198" s="17">
        <f t="shared" si="87"/>
        <v>189</v>
      </c>
      <c r="AY198" s="17">
        <f t="shared" si="86"/>
        <v>18.899999999999999</v>
      </c>
      <c r="AZ198" s="17">
        <v>31.563047441308278</v>
      </c>
      <c r="BA198" s="17"/>
      <c r="BB198" s="17">
        <v>36</v>
      </c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7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  <c r="CC198" s="17"/>
      <c r="CD198" s="17"/>
      <c r="CE198" s="17"/>
      <c r="CF198" s="17"/>
      <c r="CG198" s="17"/>
      <c r="CH198" s="17"/>
    </row>
    <row r="199" spans="8:86" x14ac:dyDescent="0.15">
      <c r="H199" s="3">
        <f t="shared" si="81"/>
        <v>0.18700000000000014</v>
      </c>
      <c r="I199" s="3">
        <f t="shared" si="82"/>
        <v>360</v>
      </c>
      <c r="J199" s="14">
        <f t="shared" si="83"/>
        <v>500</v>
      </c>
      <c r="K199" s="3">
        <f t="shared" si="73"/>
        <v>0</v>
      </c>
      <c r="L199" s="3">
        <f t="shared" si="69"/>
        <v>500</v>
      </c>
      <c r="M199" s="15">
        <f t="shared" si="84"/>
        <v>7.0000000000000007E-2</v>
      </c>
      <c r="N199" s="3">
        <f t="shared" si="85"/>
        <v>85.088449560105047</v>
      </c>
      <c r="O199" s="3">
        <f t="shared" si="70"/>
        <v>85.088449560105047</v>
      </c>
      <c r="P199" s="3">
        <f t="shared" si="74"/>
        <v>91.492956516241989</v>
      </c>
      <c r="Q199" s="3">
        <f t="shared" si="75"/>
        <v>36.701731615430788</v>
      </c>
      <c r="R199" s="3">
        <f t="shared" si="76"/>
        <v>64.097344065836381</v>
      </c>
      <c r="S199" s="3">
        <f t="shared" si="71"/>
        <v>1</v>
      </c>
      <c r="T199" s="3">
        <f t="shared" si="77"/>
        <v>27395.612450405602</v>
      </c>
      <c r="U199" s="3">
        <f t="shared" si="78"/>
        <v>0.5</v>
      </c>
      <c r="V199" s="3">
        <f t="shared" si="79"/>
        <v>0</v>
      </c>
      <c r="W199" s="3">
        <f t="shared" si="80"/>
        <v>30631.841841637815</v>
      </c>
      <c r="X199" s="3">
        <f t="shared" si="72"/>
        <v>18350.865807715392</v>
      </c>
      <c r="AI199" s="3"/>
      <c r="AJ199" s="3"/>
      <c r="AK199" s="15">
        <f t="shared" si="63"/>
        <v>1</v>
      </c>
      <c r="AL199" s="11">
        <f t="shared" si="67"/>
        <v>1140</v>
      </c>
      <c r="AM199" s="11" t="b">
        <f t="shared" si="62"/>
        <v>0</v>
      </c>
      <c r="AN199" s="11">
        <f t="shared" si="64"/>
        <v>36000</v>
      </c>
      <c r="AO199" s="11">
        <f t="shared" si="65"/>
        <v>0</v>
      </c>
      <c r="AP199" s="11">
        <f t="shared" si="66"/>
        <v>0.3167327892278976</v>
      </c>
      <c r="AQ199" s="11">
        <f t="shared" si="68"/>
        <v>0</v>
      </c>
      <c r="AT199" s="3"/>
      <c r="AU199" s="17"/>
      <c r="AV199" s="19"/>
      <c r="AW199" s="17"/>
      <c r="AX199" s="17">
        <f t="shared" si="87"/>
        <v>190</v>
      </c>
      <c r="AY199" s="17">
        <f t="shared" si="86"/>
        <v>19</v>
      </c>
      <c r="AZ199" s="17">
        <v>31.673278922789759</v>
      </c>
      <c r="BA199" s="17"/>
      <c r="BB199" s="17">
        <v>36</v>
      </c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7"/>
      <c r="BR199" s="17"/>
      <c r="BS199" s="17"/>
      <c r="BT199" s="17"/>
      <c r="BU199" s="17"/>
      <c r="BV199" s="17"/>
      <c r="BW199" s="17"/>
      <c r="BX199" s="17"/>
      <c r="BY199" s="17"/>
      <c r="BZ199" s="17"/>
      <c r="CA199" s="17"/>
      <c r="CB199" s="17"/>
      <c r="CC199" s="17"/>
      <c r="CD199" s="17"/>
      <c r="CE199" s="17"/>
      <c r="CF199" s="17"/>
      <c r="CG199" s="17"/>
      <c r="CH199" s="17"/>
    </row>
    <row r="200" spans="8:86" x14ac:dyDescent="0.15">
      <c r="H200" s="3">
        <f t="shared" si="81"/>
        <v>0.18800000000000014</v>
      </c>
      <c r="I200" s="3">
        <f t="shared" si="82"/>
        <v>360</v>
      </c>
      <c r="J200" s="14">
        <f t="shared" si="83"/>
        <v>500</v>
      </c>
      <c r="K200" s="3">
        <f t="shared" si="73"/>
        <v>0</v>
      </c>
      <c r="L200" s="3">
        <f t="shared" si="69"/>
        <v>500</v>
      </c>
      <c r="M200" s="15">
        <f t="shared" si="84"/>
        <v>7.0000000000000007E-2</v>
      </c>
      <c r="N200" s="3">
        <f t="shared" si="85"/>
        <v>85.012350636631695</v>
      </c>
      <c r="O200" s="3">
        <f t="shared" si="70"/>
        <v>85.012350636631695</v>
      </c>
      <c r="P200" s="3">
        <f t="shared" si="74"/>
        <v>91.411129716808276</v>
      </c>
      <c r="Q200" s="3">
        <f t="shared" si="75"/>
        <v>36.646940390529977</v>
      </c>
      <c r="R200" s="3">
        <f t="shared" si="76"/>
        <v>64.029035053669134</v>
      </c>
      <c r="S200" s="3">
        <f t="shared" si="71"/>
        <v>1</v>
      </c>
      <c r="T200" s="3">
        <f t="shared" si="77"/>
        <v>27382.094663139149</v>
      </c>
      <c r="U200" s="3">
        <f t="shared" si="78"/>
        <v>0.5</v>
      </c>
      <c r="V200" s="3">
        <f t="shared" si="79"/>
        <v>0</v>
      </c>
      <c r="W200" s="3">
        <f t="shared" si="80"/>
        <v>30604.446229187412</v>
      </c>
      <c r="X200" s="3">
        <f t="shared" si="72"/>
        <v>18323.470195264988</v>
      </c>
      <c r="AI200" s="3"/>
      <c r="AJ200" s="3"/>
      <c r="AK200" s="15">
        <f t="shared" si="63"/>
        <v>1</v>
      </c>
      <c r="AL200" s="11">
        <f t="shared" si="67"/>
        <v>1146</v>
      </c>
      <c r="AM200" s="11" t="b">
        <f t="shared" si="62"/>
        <v>0</v>
      </c>
      <c r="AN200" s="11">
        <f t="shared" si="64"/>
        <v>36000</v>
      </c>
      <c r="AO200" s="11">
        <f t="shared" si="65"/>
        <v>0</v>
      </c>
      <c r="AP200" s="11">
        <f t="shared" si="66"/>
        <v>0.31783510404271237</v>
      </c>
      <c r="AQ200" s="11">
        <f t="shared" si="68"/>
        <v>0</v>
      </c>
      <c r="AT200" s="3"/>
      <c r="AU200" s="17"/>
      <c r="AV200" s="19"/>
      <c r="AW200" s="17"/>
      <c r="AX200" s="17">
        <f t="shared" si="87"/>
        <v>191</v>
      </c>
      <c r="AY200" s="17">
        <f t="shared" si="86"/>
        <v>19.100000000000001</v>
      </c>
      <c r="AZ200" s="17">
        <v>31.783510404271237</v>
      </c>
      <c r="BA200" s="17"/>
      <c r="BB200" s="17">
        <v>36</v>
      </c>
      <c r="BC200" s="17"/>
      <c r="BD200" s="17"/>
      <c r="BE200" s="17"/>
      <c r="BF200" s="17"/>
      <c r="BG200" s="17"/>
      <c r="BH200" s="17"/>
      <c r="BI200" s="17"/>
      <c r="BJ200" s="17"/>
      <c r="BK200" s="17"/>
      <c r="BL200" s="17"/>
      <c r="BM200" s="17"/>
      <c r="BN200" s="17"/>
      <c r="BO200" s="17"/>
      <c r="BP200" s="17"/>
      <c r="BQ200" s="17"/>
      <c r="BR200" s="17"/>
      <c r="BS200" s="17"/>
      <c r="BT200" s="17"/>
      <c r="BU200" s="17"/>
      <c r="BV200" s="17"/>
      <c r="BW200" s="17"/>
      <c r="BX200" s="17"/>
      <c r="BY200" s="17"/>
      <c r="BZ200" s="17"/>
      <c r="CA200" s="17"/>
      <c r="CB200" s="17"/>
      <c r="CC200" s="17"/>
      <c r="CD200" s="17"/>
      <c r="CE200" s="17"/>
      <c r="CF200" s="17"/>
      <c r="CG200" s="17"/>
      <c r="CH200" s="17"/>
    </row>
    <row r="201" spans="8:86" x14ac:dyDescent="0.15">
      <c r="H201" s="3">
        <f t="shared" si="81"/>
        <v>0.18900000000000014</v>
      </c>
      <c r="I201" s="3">
        <f t="shared" si="82"/>
        <v>360</v>
      </c>
      <c r="J201" s="14">
        <f t="shared" si="83"/>
        <v>500</v>
      </c>
      <c r="K201" s="3">
        <f t="shared" si="73"/>
        <v>0</v>
      </c>
      <c r="L201" s="3">
        <f t="shared" si="69"/>
        <v>500</v>
      </c>
      <c r="M201" s="15">
        <f t="shared" si="84"/>
        <v>7.0000000000000007E-2</v>
      </c>
      <c r="N201" s="3">
        <f t="shared" si="85"/>
        <v>84.936289262567428</v>
      </c>
      <c r="O201" s="3">
        <f t="shared" si="70"/>
        <v>84.936289262567428</v>
      </c>
      <c r="P201" s="3">
        <f t="shared" si="74"/>
        <v>91.329343293083255</v>
      </c>
      <c r="Q201" s="3">
        <f t="shared" si="75"/>
        <v>36.592176201203699</v>
      </c>
      <c r="R201" s="3">
        <f t="shared" si="76"/>
        <v>63.960759747143477</v>
      </c>
      <c r="S201" s="3">
        <f t="shared" si="71"/>
        <v>1</v>
      </c>
      <c r="T201" s="3">
        <f t="shared" si="77"/>
        <v>27368.583545939779</v>
      </c>
      <c r="U201" s="3">
        <f t="shared" si="78"/>
        <v>0.5</v>
      </c>
      <c r="V201" s="3">
        <f t="shared" si="79"/>
        <v>0</v>
      </c>
      <c r="W201" s="3">
        <f t="shared" si="80"/>
        <v>30577.064134524273</v>
      </c>
      <c r="X201" s="3">
        <f t="shared" si="72"/>
        <v>18296.08810060185</v>
      </c>
      <c r="AI201" s="3"/>
      <c r="AJ201" s="3"/>
      <c r="AK201" s="15">
        <f t="shared" si="63"/>
        <v>1</v>
      </c>
      <c r="AL201" s="11">
        <f t="shared" si="67"/>
        <v>1152</v>
      </c>
      <c r="AM201" s="11" t="b">
        <f t="shared" ref="AM201:AM264" si="88">OR(AND(AL201&gt;=$AC$5,AL201&lt;=$AD$5),AND(AL201&gt;=$AC$6,AL201&lt;=$AD$6),AND(AL201&gt;=$AC$7,AL201&lt;=$AD$7),AND(AL201&gt;=$AC$8,AL201&lt;=$AD$8),AND(AL201&gt;=$AC$9,AL201&lt;=$AD$9),AND(AL201&gt;=$AC$10,AL201&lt;=$AD$10),AND(AL201&gt;=$AC$11,AL201&lt;=$AD$11),AND($AD$11&lt;$AC$11,OR(AL201&lt;$AD$11,AL201&gt;$AC$11)))</f>
        <v>0</v>
      </c>
      <c r="AN201" s="11">
        <f t="shared" si="64"/>
        <v>36000</v>
      </c>
      <c r="AO201" s="11">
        <f t="shared" si="65"/>
        <v>0</v>
      </c>
      <c r="AP201" s="11">
        <f t="shared" si="66"/>
        <v>0.31893741885752719</v>
      </c>
      <c r="AQ201" s="11">
        <f t="shared" si="68"/>
        <v>0</v>
      </c>
      <c r="AT201" s="3"/>
      <c r="AU201" s="17"/>
      <c r="AV201" s="19"/>
      <c r="AW201" s="17"/>
      <c r="AX201" s="17">
        <f t="shared" si="87"/>
        <v>192</v>
      </c>
      <c r="AY201" s="17">
        <f t="shared" si="86"/>
        <v>19.2</v>
      </c>
      <c r="AZ201" s="17">
        <v>31.893741885752718</v>
      </c>
      <c r="BA201" s="17"/>
      <c r="BB201" s="17">
        <v>36</v>
      </c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7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  <c r="CC201" s="17"/>
      <c r="CD201" s="17"/>
      <c r="CE201" s="17"/>
      <c r="CF201" s="17"/>
      <c r="CG201" s="17"/>
      <c r="CH201" s="17"/>
    </row>
    <row r="202" spans="8:86" x14ac:dyDescent="0.15">
      <c r="H202" s="3">
        <f t="shared" si="81"/>
        <v>0.19000000000000014</v>
      </c>
      <c r="I202" s="3">
        <f t="shared" si="82"/>
        <v>360</v>
      </c>
      <c r="J202" s="14">
        <f t="shared" si="83"/>
        <v>500</v>
      </c>
      <c r="K202" s="3">
        <f t="shared" si="73"/>
        <v>0</v>
      </c>
      <c r="L202" s="3">
        <f t="shared" si="69"/>
        <v>500</v>
      </c>
      <c r="M202" s="15">
        <f t="shared" si="84"/>
        <v>7.0000000000000007E-2</v>
      </c>
      <c r="N202" s="3">
        <f t="shared" si="85"/>
        <v>84.860265419384262</v>
      </c>
      <c r="O202" s="3">
        <f t="shared" si="70"/>
        <v>84.860265419384262</v>
      </c>
      <c r="P202" s="3">
        <f t="shared" si="74"/>
        <v>91.247597225144375</v>
      </c>
      <c r="Q202" s="3">
        <f t="shared" si="75"/>
        <v>36.53743903411182</v>
      </c>
      <c r="R202" s="3">
        <f t="shared" si="76"/>
        <v>63.892518129628101</v>
      </c>
      <c r="S202" s="3">
        <f t="shared" si="71"/>
        <v>1</v>
      </c>
      <c r="T202" s="3">
        <f t="shared" si="77"/>
        <v>27355.079095516277</v>
      </c>
      <c r="U202" s="3">
        <f t="shared" si="78"/>
        <v>0.5</v>
      </c>
      <c r="V202" s="3">
        <f t="shared" si="79"/>
        <v>0</v>
      </c>
      <c r="W202" s="3">
        <f t="shared" si="80"/>
        <v>30549.695550978333</v>
      </c>
      <c r="X202" s="3">
        <f t="shared" si="72"/>
        <v>18268.71951705591</v>
      </c>
      <c r="AI202" s="3"/>
      <c r="AJ202" s="3"/>
      <c r="AK202" s="15">
        <f t="shared" ref="AK202:AK265" si="89">1+INT(MOD(AL202/60/24-0.5,7))</f>
        <v>1</v>
      </c>
      <c r="AL202" s="11">
        <f t="shared" si="67"/>
        <v>1158</v>
      </c>
      <c r="AM202" s="11" t="b">
        <f t="shared" si="88"/>
        <v>0</v>
      </c>
      <c r="AN202" s="11">
        <f t="shared" ref="AN202:AN265" si="90">IF(AND(AM202,NOT(AM203)),$AB$26,AN201+($AB$28-IF(AND(AM201,AM202),CHOOSE(AK202,$AG$5,$AG$6,$AG$7,$AG$8,$AG$9,$AG$10,$AG$11)*$AA$22/$AA$24,0))*$AB$15)</f>
        <v>36000</v>
      </c>
      <c r="AO202" s="11">
        <f t="shared" ref="AO202:AO265" si="91">IF(AND(AM202,NOT(AM203)),$AB$27,AO201+($AB$29-IF(AND(AM201,AM202),CHOOSE(AK202,$AG$5,$AG$6,$AG$7,$AG$8,$AG$9,$AG$10,$AG$11)*$AA$23/$AA$24,0))*$AB$15)</f>
        <v>0</v>
      </c>
      <c r="AP202" s="11">
        <f t="shared" ref="AP202:AP265" si="92">IF(AN201&lt;=0,0,(AP201*AN201-(IF(AND(AM201,AM202),CHOOSE(AK202,$AI$5,$AI$6,$AI$7,$AI$8,$AI$9,$AI$10,$AI$11),$AA$37))*AP201*$AB$15+$AA$34*(AQ201-AP201)*$AB$15+$AA$33*$AB$15)/AN201)</f>
        <v>0.32003973367234195</v>
      </c>
      <c r="AQ202" s="11">
        <f t="shared" si="68"/>
        <v>0</v>
      </c>
      <c r="AT202" s="3"/>
      <c r="AU202" s="17"/>
      <c r="AV202" s="19"/>
      <c r="AW202" s="17"/>
      <c r="AX202" s="17">
        <f t="shared" si="87"/>
        <v>193</v>
      </c>
      <c r="AY202" s="17">
        <f t="shared" si="86"/>
        <v>19.3</v>
      </c>
      <c r="AZ202" s="17">
        <v>32.003973367234195</v>
      </c>
      <c r="BA202" s="17"/>
      <c r="BB202" s="17">
        <v>36</v>
      </c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7"/>
      <c r="BR202" s="17"/>
      <c r="BS202" s="17"/>
      <c r="BT202" s="17"/>
      <c r="BU202" s="17"/>
      <c r="BV202" s="17"/>
      <c r="BW202" s="17"/>
      <c r="BX202" s="17"/>
      <c r="BY202" s="17"/>
      <c r="BZ202" s="17"/>
      <c r="CA202" s="17"/>
      <c r="CB202" s="17"/>
      <c r="CC202" s="17"/>
      <c r="CD202" s="17"/>
      <c r="CE202" s="17"/>
      <c r="CF202" s="17"/>
      <c r="CG202" s="17"/>
      <c r="CH202" s="17"/>
    </row>
    <row r="203" spans="8:86" x14ac:dyDescent="0.15">
      <c r="H203" s="3">
        <f t="shared" si="81"/>
        <v>0.19100000000000014</v>
      </c>
      <c r="I203" s="3">
        <f t="shared" si="82"/>
        <v>360</v>
      </c>
      <c r="J203" s="14">
        <f t="shared" si="83"/>
        <v>500</v>
      </c>
      <c r="K203" s="3">
        <f t="shared" si="73"/>
        <v>0</v>
      </c>
      <c r="L203" s="3">
        <f t="shared" si="69"/>
        <v>500</v>
      </c>
      <c r="M203" s="15">
        <f t="shared" si="84"/>
        <v>7.0000000000000007E-2</v>
      </c>
      <c r="N203" s="3">
        <f t="shared" si="85"/>
        <v>84.78427908856338</v>
      </c>
      <c r="O203" s="3">
        <f t="shared" si="70"/>
        <v>84.78427908856338</v>
      </c>
      <c r="P203" s="3">
        <f t="shared" si="74"/>
        <v>91.165891493078917</v>
      </c>
      <c r="Q203" s="3">
        <f t="shared" si="75"/>
        <v>36.482728875920785</v>
      </c>
      <c r="R203" s="3">
        <f t="shared" si="76"/>
        <v>63.824310184499851</v>
      </c>
      <c r="S203" s="3">
        <f t="shared" si="71"/>
        <v>1</v>
      </c>
      <c r="T203" s="3">
        <f t="shared" si="77"/>
        <v>27341.581308579065</v>
      </c>
      <c r="U203" s="3">
        <f t="shared" si="78"/>
        <v>0.5</v>
      </c>
      <c r="V203" s="3">
        <f t="shared" si="79"/>
        <v>0</v>
      </c>
      <c r="W203" s="3">
        <f t="shared" si="80"/>
        <v>30522.340471882817</v>
      </c>
      <c r="X203" s="3">
        <f t="shared" si="72"/>
        <v>18241.364437960394</v>
      </c>
      <c r="AI203" s="3"/>
      <c r="AJ203" s="3"/>
      <c r="AK203" s="15">
        <f t="shared" si="89"/>
        <v>1</v>
      </c>
      <c r="AL203" s="11">
        <f t="shared" ref="AL203:AL266" si="93">AL202+$AB$15</f>
        <v>1164</v>
      </c>
      <c r="AM203" s="11" t="b">
        <f t="shared" si="88"/>
        <v>0</v>
      </c>
      <c r="AN203" s="11">
        <f t="shared" si="90"/>
        <v>36000</v>
      </c>
      <c r="AO203" s="11">
        <f t="shared" si="91"/>
        <v>0</v>
      </c>
      <c r="AP203" s="11">
        <f t="shared" si="92"/>
        <v>0.32114204848715677</v>
      </c>
      <c r="AQ203" s="11">
        <f t="shared" ref="AQ203:AQ266" si="94">IF(AO202&lt;=0,0,(AQ202*AO202-$AA$34*(AQ202-AP202)*$AB$15)/AO202)</f>
        <v>0</v>
      </c>
      <c r="AT203" s="3"/>
      <c r="AU203" s="17"/>
      <c r="AV203" s="19"/>
      <c r="AW203" s="17"/>
      <c r="AX203" s="17">
        <f t="shared" si="87"/>
        <v>194</v>
      </c>
      <c r="AY203" s="17">
        <f t="shared" si="86"/>
        <v>19.399999999999999</v>
      </c>
      <c r="AZ203" s="17">
        <v>32.11420484871568</v>
      </c>
      <c r="BA203" s="17"/>
      <c r="BB203" s="17">
        <v>36</v>
      </c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7"/>
      <c r="BR203" s="17"/>
      <c r="BS203" s="17"/>
      <c r="BT203" s="17"/>
      <c r="BU203" s="17"/>
      <c r="BV203" s="17"/>
      <c r="BW203" s="17"/>
      <c r="BX203" s="17"/>
      <c r="BY203" s="17"/>
      <c r="BZ203" s="17"/>
      <c r="CA203" s="17"/>
      <c r="CB203" s="17"/>
      <c r="CC203" s="17"/>
      <c r="CD203" s="17"/>
      <c r="CE203" s="17"/>
      <c r="CF203" s="17"/>
      <c r="CG203" s="17"/>
      <c r="CH203" s="17"/>
    </row>
    <row r="204" spans="8:86" x14ac:dyDescent="0.15">
      <c r="H204" s="3">
        <f t="shared" si="81"/>
        <v>0.19200000000000014</v>
      </c>
      <c r="I204" s="3">
        <f t="shared" si="82"/>
        <v>360</v>
      </c>
      <c r="J204" s="14">
        <f t="shared" si="83"/>
        <v>500</v>
      </c>
      <c r="K204" s="3">
        <f t="shared" si="73"/>
        <v>0</v>
      </c>
      <c r="L204" s="3">
        <f t="shared" ref="L204:L267" si="95">$L$8*$L$6/I204</f>
        <v>500</v>
      </c>
      <c r="M204" s="15">
        <f t="shared" si="84"/>
        <v>7.0000000000000007E-2</v>
      </c>
      <c r="N204" s="3">
        <f t="shared" si="85"/>
        <v>84.708330251595115</v>
      </c>
      <c r="O204" s="3">
        <f t="shared" ref="O204:O267" si="96">N204*S204</f>
        <v>84.708330251595115</v>
      </c>
      <c r="P204" s="3">
        <f t="shared" si="74"/>
        <v>91.084226076983995</v>
      </c>
      <c r="Q204" s="3">
        <f t="shared" si="75"/>
        <v>36.428045713303632</v>
      </c>
      <c r="R204" s="3">
        <f t="shared" si="76"/>
        <v>63.756135895143814</v>
      </c>
      <c r="S204" s="3">
        <f t="shared" ref="S204:S267" si="97">IF($F$10=0,0,IF($F$10=1,1,(N204-L204-1/$I$5+((L204-N204+1/$I$5)^2+4*N204/$I$5)^0.5)/2/N204))</f>
        <v>1</v>
      </c>
      <c r="T204" s="3">
        <f t="shared" si="77"/>
        <v>27328.09018184018</v>
      </c>
      <c r="U204" s="3">
        <f t="shared" si="78"/>
        <v>0.5</v>
      </c>
      <c r="V204" s="3">
        <f t="shared" si="79"/>
        <v>0</v>
      </c>
      <c r="W204" s="3">
        <f t="shared" si="80"/>
        <v>30494.998890574243</v>
      </c>
      <c r="X204" s="3">
        <f t="shared" ref="X204:X267" si="98">IF($F$19,W204-W205+X205,J204*Q204)</f>
        <v>18214.022856651816</v>
      </c>
      <c r="AI204" s="3"/>
      <c r="AJ204" s="3"/>
      <c r="AK204" s="15">
        <f t="shared" si="89"/>
        <v>1</v>
      </c>
      <c r="AL204" s="11">
        <f t="shared" si="93"/>
        <v>1170</v>
      </c>
      <c r="AM204" s="11" t="b">
        <f t="shared" si="88"/>
        <v>0</v>
      </c>
      <c r="AN204" s="11">
        <f t="shared" si="90"/>
        <v>36000</v>
      </c>
      <c r="AO204" s="11">
        <f t="shared" si="91"/>
        <v>0</v>
      </c>
      <c r="AP204" s="11">
        <f t="shared" si="92"/>
        <v>0.32224436330197159</v>
      </c>
      <c r="AQ204" s="11">
        <f t="shared" si="94"/>
        <v>0</v>
      </c>
      <c r="AT204" s="3"/>
      <c r="AU204" s="17"/>
      <c r="AV204" s="19"/>
      <c r="AW204" s="17"/>
      <c r="AX204" s="17">
        <f t="shared" si="87"/>
        <v>195</v>
      </c>
      <c r="AY204" s="17">
        <f t="shared" si="86"/>
        <v>19.5</v>
      </c>
      <c r="AZ204" s="17">
        <v>32.224436330197157</v>
      </c>
      <c r="BA204" s="17"/>
      <c r="BB204" s="17">
        <v>36</v>
      </c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7"/>
      <c r="CF204" s="17"/>
      <c r="CG204" s="17"/>
      <c r="CH204" s="17"/>
    </row>
    <row r="205" spans="8:86" x14ac:dyDescent="0.15">
      <c r="H205" s="3">
        <f t="shared" si="81"/>
        <v>0.19300000000000014</v>
      </c>
      <c r="I205" s="3">
        <f t="shared" si="82"/>
        <v>360</v>
      </c>
      <c r="J205" s="14">
        <f t="shared" si="83"/>
        <v>500</v>
      </c>
      <c r="K205" s="3">
        <f t="shared" ref="K205:K268" si="99">2*$F$6*$I$6*H205+$F$6*$I$7</f>
        <v>0</v>
      </c>
      <c r="L205" s="3">
        <f t="shared" si="95"/>
        <v>500</v>
      </c>
      <c r="M205" s="15">
        <f t="shared" si="84"/>
        <v>7.0000000000000007E-2</v>
      </c>
      <c r="N205" s="3">
        <f t="shared" si="85"/>
        <v>84.632418889978894</v>
      </c>
      <c r="O205" s="3">
        <f t="shared" si="96"/>
        <v>84.632418889978894</v>
      </c>
      <c r="P205" s="3">
        <f t="shared" ref="P205:P268" si="100">O205/(1-M205)</f>
        <v>91.00260095696656</v>
      </c>
      <c r="Q205" s="3">
        <f t="shared" ref="Q205:Q268" si="101">IF($F$19,IF($F$20,0,X205/J205),(Q204*J204-T204*$I$4)/J205)</f>
        <v>36.373389532939953</v>
      </c>
      <c r="R205" s="3">
        <f t="shared" ref="R205:R268" si="102">IF($F$19,P205,(1-U205)*P205+U205*Q205)</f>
        <v>63.687995244953257</v>
      </c>
      <c r="S205" s="3">
        <f t="shared" si="97"/>
        <v>1</v>
      </c>
      <c r="T205" s="3">
        <f t="shared" ref="T205:T268" si="103">IF($F$19,0,$F$8*(P205-Q205))+R205*K205*(1-$F$11)</f>
        <v>27314.605712013305</v>
      </c>
      <c r="U205" s="3">
        <f t="shared" ref="U205:U268" si="104">IF($F$8=0,0,IF(V205=0,0.5,IF(ISERROR(EXP(V205)),0,1/V205-1/(EXP(V205)-1))))</f>
        <v>0.5</v>
      </c>
      <c r="V205" s="3">
        <f t="shared" ref="V205:V268" si="105">K205*(1-$F$11)/$F$8</f>
        <v>0</v>
      </c>
      <c r="W205" s="3">
        <f t="shared" ref="W205:W268" si="106">(I205+$L$5)*N205</f>
        <v>30467.670800392403</v>
      </c>
      <c r="X205" s="3">
        <f t="shared" si="98"/>
        <v>18186.694766469976</v>
      </c>
      <c r="AI205" s="3"/>
      <c r="AJ205" s="3"/>
      <c r="AK205" s="15">
        <f t="shared" si="89"/>
        <v>1</v>
      </c>
      <c r="AL205" s="11">
        <f t="shared" si="93"/>
        <v>1176</v>
      </c>
      <c r="AM205" s="11" t="b">
        <f t="shared" si="88"/>
        <v>0</v>
      </c>
      <c r="AN205" s="11">
        <f t="shared" si="90"/>
        <v>36000</v>
      </c>
      <c r="AO205" s="11">
        <f t="shared" si="91"/>
        <v>0</v>
      </c>
      <c r="AP205" s="11">
        <f t="shared" si="92"/>
        <v>0.32334667811678636</v>
      </c>
      <c r="AQ205" s="11">
        <f t="shared" si="94"/>
        <v>0</v>
      </c>
      <c r="AT205" s="3"/>
      <c r="AU205" s="17"/>
      <c r="AV205" s="19"/>
      <c r="AW205" s="17"/>
      <c r="AX205" s="17">
        <f t="shared" si="87"/>
        <v>196</v>
      </c>
      <c r="AY205" s="17">
        <f t="shared" si="86"/>
        <v>19.600000000000001</v>
      </c>
      <c r="AZ205" s="17">
        <v>32.334667811678635</v>
      </c>
      <c r="BA205" s="17"/>
      <c r="BB205" s="17">
        <v>36</v>
      </c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7"/>
      <c r="BR205" s="17"/>
      <c r="BS205" s="17"/>
      <c r="BT205" s="17"/>
      <c r="BU205" s="17"/>
      <c r="BV205" s="17"/>
      <c r="BW205" s="17"/>
      <c r="BX205" s="17"/>
      <c r="BY205" s="17"/>
      <c r="BZ205" s="17"/>
      <c r="CA205" s="17"/>
      <c r="CB205" s="17"/>
      <c r="CC205" s="17"/>
      <c r="CD205" s="17"/>
      <c r="CE205" s="17"/>
      <c r="CF205" s="17"/>
      <c r="CG205" s="17"/>
      <c r="CH205" s="17"/>
    </row>
    <row r="206" spans="8:86" x14ac:dyDescent="0.15">
      <c r="H206" s="3">
        <f t="shared" ref="H206:H269" si="107">H205+$I$4</f>
        <v>0.19400000000000014</v>
      </c>
      <c r="I206" s="3">
        <f t="shared" ref="I206:I269" si="108">$I$12-$F$6*($I$6*H206^2+$I$7*H206)</f>
        <v>360</v>
      </c>
      <c r="J206" s="14">
        <f t="shared" ref="J206:J269" si="109">$J$12-$F$6*($I$6*H206^2+$I$7*H206)</f>
        <v>500</v>
      </c>
      <c r="K206" s="3">
        <f t="shared" si="99"/>
        <v>0</v>
      </c>
      <c r="L206" s="3">
        <f t="shared" si="95"/>
        <v>500</v>
      </c>
      <c r="M206" s="15">
        <f t="shared" ref="M206:M269" si="110">$M$12*L206/$L$12</f>
        <v>7.0000000000000007E-2</v>
      </c>
      <c r="N206" s="3">
        <f t="shared" ref="N206:N269" si="111">(N205*I205+P205*$L$5-T205*$I$4)/(I206+$L$5/(1-M206))</f>
        <v>84.556544985223297</v>
      </c>
      <c r="O206" s="3">
        <f t="shared" si="96"/>
        <v>84.556544985223297</v>
      </c>
      <c r="P206" s="3">
        <f t="shared" si="100"/>
        <v>90.921016113143338</v>
      </c>
      <c r="Q206" s="3">
        <f t="shared" si="101"/>
        <v>36.318760321515924</v>
      </c>
      <c r="R206" s="3">
        <f t="shared" si="102"/>
        <v>63.619888217329631</v>
      </c>
      <c r="S206" s="3">
        <f t="shared" si="97"/>
        <v>1</v>
      </c>
      <c r="T206" s="3">
        <f t="shared" si="103"/>
        <v>27301.127895813708</v>
      </c>
      <c r="U206" s="3">
        <f t="shared" si="104"/>
        <v>0.5</v>
      </c>
      <c r="V206" s="3">
        <f t="shared" si="105"/>
        <v>0</v>
      </c>
      <c r="W206" s="3">
        <f t="shared" si="106"/>
        <v>30440.356194680386</v>
      </c>
      <c r="X206" s="3">
        <f t="shared" si="98"/>
        <v>18159.380160757963</v>
      </c>
      <c r="AI206" s="3"/>
      <c r="AJ206" s="3"/>
      <c r="AK206" s="15">
        <f t="shared" si="89"/>
        <v>1</v>
      </c>
      <c r="AL206" s="11">
        <f t="shared" si="93"/>
        <v>1182</v>
      </c>
      <c r="AM206" s="11" t="b">
        <f t="shared" si="88"/>
        <v>0</v>
      </c>
      <c r="AN206" s="11">
        <f t="shared" si="90"/>
        <v>36000</v>
      </c>
      <c r="AO206" s="11">
        <f t="shared" si="91"/>
        <v>0</v>
      </c>
      <c r="AP206" s="11">
        <f t="shared" si="92"/>
        <v>0.32444899293160118</v>
      </c>
      <c r="AQ206" s="11">
        <f t="shared" si="94"/>
        <v>0</v>
      </c>
      <c r="AT206" s="3"/>
      <c r="AU206" s="17"/>
      <c r="AV206" s="19"/>
      <c r="AW206" s="17"/>
      <c r="AX206" s="17">
        <f t="shared" si="87"/>
        <v>197</v>
      </c>
      <c r="AY206" s="17">
        <f t="shared" si="86"/>
        <v>19.7</v>
      </c>
      <c r="AZ206" s="17">
        <v>32.44489929316012</v>
      </c>
      <c r="BA206" s="17"/>
      <c r="BB206" s="17">
        <v>36</v>
      </c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7"/>
      <c r="BR206" s="17"/>
      <c r="BS206" s="17"/>
      <c r="BT206" s="17"/>
      <c r="BU206" s="17"/>
      <c r="BV206" s="17"/>
      <c r="BW206" s="17"/>
      <c r="BX206" s="17"/>
      <c r="BY206" s="17"/>
      <c r="BZ206" s="17"/>
      <c r="CA206" s="17"/>
      <c r="CB206" s="17"/>
      <c r="CC206" s="17"/>
      <c r="CD206" s="17"/>
      <c r="CE206" s="17"/>
      <c r="CF206" s="17"/>
      <c r="CG206" s="17"/>
      <c r="CH206" s="17"/>
    </row>
    <row r="207" spans="8:86" x14ac:dyDescent="0.15">
      <c r="H207" s="3">
        <f t="shared" si="107"/>
        <v>0.19500000000000015</v>
      </c>
      <c r="I207" s="3">
        <f t="shared" si="108"/>
        <v>360</v>
      </c>
      <c r="J207" s="14">
        <f t="shared" si="109"/>
        <v>500</v>
      </c>
      <c r="K207" s="3">
        <f t="shared" si="99"/>
        <v>0</v>
      </c>
      <c r="L207" s="3">
        <f t="shared" si="95"/>
        <v>500</v>
      </c>
      <c r="M207" s="15">
        <f t="shared" si="110"/>
        <v>7.0000000000000007E-2</v>
      </c>
      <c r="N207" s="3">
        <f t="shared" si="111"/>
        <v>84.480708518846029</v>
      </c>
      <c r="O207" s="3">
        <f t="shared" si="96"/>
        <v>84.480708518846029</v>
      </c>
      <c r="P207" s="3">
        <f t="shared" si="100"/>
        <v>90.839471525640903</v>
      </c>
      <c r="Q207" s="3">
        <f t="shared" si="101"/>
        <v>36.264158065724295</v>
      </c>
      <c r="R207" s="3">
        <f t="shared" si="102"/>
        <v>63.551814795682603</v>
      </c>
      <c r="S207" s="3">
        <f t="shared" si="97"/>
        <v>1</v>
      </c>
      <c r="T207" s="3">
        <f t="shared" si="103"/>
        <v>27287.656729958304</v>
      </c>
      <c r="U207" s="3">
        <f t="shared" si="104"/>
        <v>0.5</v>
      </c>
      <c r="V207" s="3">
        <f t="shared" si="105"/>
        <v>0</v>
      </c>
      <c r="W207" s="3">
        <f t="shared" si="106"/>
        <v>30413.055066784571</v>
      </c>
      <c r="X207" s="3">
        <f t="shared" si="98"/>
        <v>18132.079032862148</v>
      </c>
      <c r="AI207" s="3"/>
      <c r="AJ207" s="3"/>
      <c r="AK207" s="15">
        <f t="shared" si="89"/>
        <v>1</v>
      </c>
      <c r="AL207" s="11">
        <f t="shared" si="93"/>
        <v>1188</v>
      </c>
      <c r="AM207" s="11" t="b">
        <f t="shared" si="88"/>
        <v>0</v>
      </c>
      <c r="AN207" s="11">
        <f t="shared" si="90"/>
        <v>36000</v>
      </c>
      <c r="AO207" s="11">
        <f t="shared" si="91"/>
        <v>0</v>
      </c>
      <c r="AP207" s="11">
        <f t="shared" si="92"/>
        <v>0.32555130774641594</v>
      </c>
      <c r="AQ207" s="11">
        <f t="shared" si="94"/>
        <v>0</v>
      </c>
      <c r="AT207" s="3"/>
      <c r="AU207" s="17"/>
      <c r="AV207" s="19"/>
      <c r="AW207" s="17"/>
      <c r="AX207" s="17">
        <f t="shared" si="87"/>
        <v>198</v>
      </c>
      <c r="AY207" s="17">
        <f t="shared" si="86"/>
        <v>19.8</v>
      </c>
      <c r="AZ207" s="17">
        <v>32.555130774641597</v>
      </c>
      <c r="BA207" s="17"/>
      <c r="BB207" s="17">
        <v>36</v>
      </c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7"/>
      <c r="BR207" s="17"/>
      <c r="BS207" s="17"/>
      <c r="BT207" s="17"/>
      <c r="BU207" s="17"/>
      <c r="BV207" s="17"/>
      <c r="BW207" s="17"/>
      <c r="BX207" s="17"/>
      <c r="BY207" s="17"/>
      <c r="BZ207" s="17"/>
      <c r="CA207" s="17"/>
      <c r="CB207" s="17"/>
      <c r="CC207" s="17"/>
      <c r="CD207" s="17"/>
      <c r="CE207" s="17"/>
      <c r="CF207" s="17"/>
      <c r="CG207" s="17"/>
      <c r="CH207" s="17"/>
    </row>
    <row r="208" spans="8:86" x14ac:dyDescent="0.15">
      <c r="H208" s="3">
        <f t="shared" si="107"/>
        <v>0.19600000000000015</v>
      </c>
      <c r="I208" s="3">
        <f t="shared" si="108"/>
        <v>360</v>
      </c>
      <c r="J208" s="14">
        <f t="shared" si="109"/>
        <v>500</v>
      </c>
      <c r="K208" s="3">
        <f t="shared" si="99"/>
        <v>0</v>
      </c>
      <c r="L208" s="3">
        <f t="shared" si="95"/>
        <v>500</v>
      </c>
      <c r="M208" s="15">
        <f t="shared" si="110"/>
        <v>7.0000000000000007E-2</v>
      </c>
      <c r="N208" s="3">
        <f t="shared" si="111"/>
        <v>84.40490947237393</v>
      </c>
      <c r="O208" s="3">
        <f t="shared" si="96"/>
        <v>84.40490947237393</v>
      </c>
      <c r="P208" s="3">
        <f t="shared" si="100"/>
        <v>90.757967174595635</v>
      </c>
      <c r="Q208" s="3">
        <f t="shared" si="101"/>
        <v>36.209582752264382</v>
      </c>
      <c r="R208" s="3">
        <f t="shared" si="102"/>
        <v>63.483774963430008</v>
      </c>
      <c r="S208" s="3">
        <f t="shared" si="97"/>
        <v>1</v>
      </c>
      <c r="T208" s="3">
        <f t="shared" si="103"/>
        <v>27274.192211165628</v>
      </c>
      <c r="U208" s="3">
        <f t="shared" si="104"/>
        <v>0.5</v>
      </c>
      <c r="V208" s="3">
        <f t="shared" si="105"/>
        <v>0</v>
      </c>
      <c r="W208" s="3">
        <f t="shared" si="106"/>
        <v>30385.767410054614</v>
      </c>
      <c r="X208" s="3">
        <f t="shared" si="98"/>
        <v>18104.791376132191</v>
      </c>
      <c r="AI208" s="3"/>
      <c r="AJ208" s="3"/>
      <c r="AK208" s="15">
        <f t="shared" si="89"/>
        <v>1</v>
      </c>
      <c r="AL208" s="11">
        <f t="shared" si="93"/>
        <v>1194</v>
      </c>
      <c r="AM208" s="11" t="b">
        <f t="shared" si="88"/>
        <v>0</v>
      </c>
      <c r="AN208" s="11">
        <f t="shared" si="90"/>
        <v>36000</v>
      </c>
      <c r="AO208" s="11">
        <f t="shared" si="91"/>
        <v>0</v>
      </c>
      <c r="AP208" s="11">
        <f t="shared" si="92"/>
        <v>0.32665362256123076</v>
      </c>
      <c r="AQ208" s="11">
        <f t="shared" si="94"/>
        <v>0</v>
      </c>
      <c r="AT208" s="3"/>
      <c r="AU208" s="17"/>
      <c r="AV208" s="19"/>
      <c r="AW208" s="17"/>
      <c r="AX208" s="17">
        <f t="shared" si="87"/>
        <v>199</v>
      </c>
      <c r="AY208" s="17">
        <f t="shared" si="86"/>
        <v>19.899999999999999</v>
      </c>
      <c r="AZ208" s="17">
        <v>32.665362256123075</v>
      </c>
      <c r="BA208" s="17"/>
      <c r="BB208" s="17">
        <v>36</v>
      </c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7"/>
      <c r="BR208" s="17"/>
      <c r="BS208" s="17"/>
      <c r="BT208" s="17"/>
      <c r="BU208" s="17"/>
      <c r="BV208" s="17"/>
      <c r="BW208" s="17"/>
      <c r="BX208" s="17"/>
      <c r="BY208" s="17"/>
      <c r="BZ208" s="17"/>
      <c r="CA208" s="17"/>
      <c r="CB208" s="17"/>
      <c r="CC208" s="17"/>
      <c r="CD208" s="17"/>
      <c r="CE208" s="17"/>
      <c r="CF208" s="17"/>
      <c r="CG208" s="17"/>
      <c r="CH208" s="17"/>
    </row>
    <row r="209" spans="8:86" x14ac:dyDescent="0.15">
      <c r="H209" s="3">
        <f t="shared" si="107"/>
        <v>0.19700000000000015</v>
      </c>
      <c r="I209" s="3">
        <f t="shared" si="108"/>
        <v>360</v>
      </c>
      <c r="J209" s="14">
        <f t="shared" si="109"/>
        <v>500</v>
      </c>
      <c r="K209" s="3">
        <f t="shared" si="99"/>
        <v>0</v>
      </c>
      <c r="L209" s="3">
        <f t="shared" si="95"/>
        <v>500</v>
      </c>
      <c r="M209" s="15">
        <f t="shared" si="110"/>
        <v>7.0000000000000007E-2</v>
      </c>
      <c r="N209" s="3">
        <f t="shared" si="111"/>
        <v>84.329147827342908</v>
      </c>
      <c r="O209" s="3">
        <f t="shared" si="96"/>
        <v>84.329147827342908</v>
      </c>
      <c r="P209" s="3">
        <f t="shared" si="100"/>
        <v>90.676503040153676</v>
      </c>
      <c r="Q209" s="3">
        <f t="shared" si="101"/>
        <v>36.155034367842049</v>
      </c>
      <c r="R209" s="3">
        <f t="shared" si="102"/>
        <v>63.415768703997863</v>
      </c>
      <c r="S209" s="3">
        <f t="shared" si="97"/>
        <v>1</v>
      </c>
      <c r="T209" s="3">
        <f t="shared" si="103"/>
        <v>27260.734336155812</v>
      </c>
      <c r="U209" s="3">
        <f t="shared" si="104"/>
        <v>0.5</v>
      </c>
      <c r="V209" s="3">
        <f t="shared" si="105"/>
        <v>0</v>
      </c>
      <c r="W209" s="3">
        <f t="shared" si="106"/>
        <v>30358.493217843446</v>
      </c>
      <c r="X209" s="3">
        <f t="shared" si="98"/>
        <v>18077.517183921023</v>
      </c>
      <c r="AI209" s="3"/>
      <c r="AJ209" s="3"/>
      <c r="AK209" s="15">
        <f t="shared" si="89"/>
        <v>1</v>
      </c>
      <c r="AL209" s="11">
        <f t="shared" si="93"/>
        <v>1200</v>
      </c>
      <c r="AM209" s="11" t="b">
        <f t="shared" si="88"/>
        <v>0</v>
      </c>
      <c r="AN209" s="11">
        <f t="shared" si="90"/>
        <v>36000</v>
      </c>
      <c r="AO209" s="11">
        <f t="shared" si="91"/>
        <v>0</v>
      </c>
      <c r="AP209" s="11">
        <f t="shared" si="92"/>
        <v>0.32775593737604553</v>
      </c>
      <c r="AQ209" s="11">
        <f t="shared" si="94"/>
        <v>0</v>
      </c>
      <c r="AT209" s="3"/>
      <c r="AU209" s="17"/>
      <c r="AV209" s="19"/>
      <c r="AW209" s="17"/>
      <c r="AX209" s="17">
        <f t="shared" si="87"/>
        <v>200</v>
      </c>
      <c r="AY209" s="17">
        <f t="shared" si="86"/>
        <v>20</v>
      </c>
      <c r="AZ209" s="17">
        <v>32.775593737604552</v>
      </c>
      <c r="BA209" s="17"/>
      <c r="BB209" s="17">
        <v>36</v>
      </c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7"/>
      <c r="BR209" s="17"/>
      <c r="BS209" s="17"/>
      <c r="BT209" s="17"/>
      <c r="BU209" s="17"/>
      <c r="BV209" s="17"/>
      <c r="BW209" s="17"/>
      <c r="BX209" s="17"/>
      <c r="BY209" s="17"/>
      <c r="BZ209" s="17"/>
      <c r="CA209" s="17"/>
      <c r="CB209" s="17"/>
      <c r="CC209" s="17"/>
      <c r="CD209" s="17"/>
      <c r="CE209" s="17"/>
      <c r="CF209" s="17"/>
      <c r="CG209" s="17"/>
      <c r="CH209" s="17"/>
    </row>
    <row r="210" spans="8:86" x14ac:dyDescent="0.15">
      <c r="H210" s="3">
        <f t="shared" si="107"/>
        <v>0.19800000000000015</v>
      </c>
      <c r="I210" s="3">
        <f t="shared" si="108"/>
        <v>360</v>
      </c>
      <c r="J210" s="14">
        <f t="shared" si="109"/>
        <v>500</v>
      </c>
      <c r="K210" s="3">
        <f t="shared" si="99"/>
        <v>0</v>
      </c>
      <c r="L210" s="3">
        <f t="shared" si="95"/>
        <v>500</v>
      </c>
      <c r="M210" s="15">
        <f t="shared" si="110"/>
        <v>7.0000000000000007E-2</v>
      </c>
      <c r="N210" s="3">
        <f t="shared" si="111"/>
        <v>84.253423565298036</v>
      </c>
      <c r="O210" s="3">
        <f t="shared" si="96"/>
        <v>84.253423565298036</v>
      </c>
      <c r="P210" s="3">
        <f t="shared" si="100"/>
        <v>90.595079102471018</v>
      </c>
      <c r="Q210" s="3">
        <f t="shared" si="101"/>
        <v>36.100512899169736</v>
      </c>
      <c r="R210" s="3">
        <f t="shared" si="102"/>
        <v>63.347796000820381</v>
      </c>
      <c r="S210" s="3">
        <f t="shared" si="97"/>
        <v>1</v>
      </c>
      <c r="T210" s="3">
        <f t="shared" si="103"/>
        <v>27247.283101650642</v>
      </c>
      <c r="U210" s="3">
        <f t="shared" si="104"/>
        <v>0.5</v>
      </c>
      <c r="V210" s="3">
        <f t="shared" si="105"/>
        <v>0</v>
      </c>
      <c r="W210" s="3">
        <f t="shared" si="106"/>
        <v>30331.232483507294</v>
      </c>
      <c r="X210" s="3">
        <f t="shared" si="98"/>
        <v>18050.256449584867</v>
      </c>
      <c r="AI210" s="3"/>
      <c r="AJ210" s="3"/>
      <c r="AK210" s="15">
        <f t="shared" si="89"/>
        <v>1</v>
      </c>
      <c r="AL210" s="11">
        <f t="shared" si="93"/>
        <v>1206</v>
      </c>
      <c r="AM210" s="11" t="b">
        <f t="shared" si="88"/>
        <v>0</v>
      </c>
      <c r="AN210" s="11">
        <f t="shared" si="90"/>
        <v>36000</v>
      </c>
      <c r="AO210" s="11">
        <f t="shared" si="91"/>
        <v>0</v>
      </c>
      <c r="AP210" s="11">
        <f t="shared" si="92"/>
        <v>0.32885825219086035</v>
      </c>
      <c r="AQ210" s="11">
        <f t="shared" si="94"/>
        <v>0</v>
      </c>
      <c r="AT210" s="3"/>
      <c r="AU210" s="17"/>
      <c r="AV210" s="19"/>
      <c r="AW210" s="17"/>
      <c r="AX210" s="17">
        <f t="shared" si="87"/>
        <v>201</v>
      </c>
      <c r="AY210" s="17">
        <f t="shared" si="86"/>
        <v>20.100000000000001</v>
      </c>
      <c r="AZ210" s="17">
        <v>32.885825219086037</v>
      </c>
      <c r="BA210" s="17"/>
      <c r="BB210" s="17">
        <v>36</v>
      </c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7"/>
      <c r="BR210" s="17"/>
      <c r="BS210" s="17"/>
      <c r="BT210" s="17"/>
      <c r="BU210" s="17"/>
      <c r="BV210" s="17"/>
      <c r="BW210" s="17"/>
      <c r="BX210" s="17"/>
      <c r="BY210" s="17"/>
      <c r="BZ210" s="17"/>
      <c r="CA210" s="17"/>
      <c r="CB210" s="17"/>
      <c r="CC210" s="17"/>
      <c r="CD210" s="17"/>
      <c r="CE210" s="17"/>
      <c r="CF210" s="17"/>
      <c r="CG210" s="17"/>
      <c r="CH210" s="17"/>
    </row>
    <row r="211" spans="8:86" x14ac:dyDescent="0.15">
      <c r="H211" s="3">
        <f t="shared" si="107"/>
        <v>0.19900000000000015</v>
      </c>
      <c r="I211" s="3">
        <f t="shared" si="108"/>
        <v>360</v>
      </c>
      <c r="J211" s="14">
        <f t="shared" si="109"/>
        <v>500</v>
      </c>
      <c r="K211" s="3">
        <f t="shared" si="99"/>
        <v>0</v>
      </c>
      <c r="L211" s="3">
        <f t="shared" si="95"/>
        <v>500</v>
      </c>
      <c r="M211" s="15">
        <f t="shared" si="110"/>
        <v>7.0000000000000007E-2</v>
      </c>
      <c r="N211" s="3">
        <f t="shared" si="111"/>
        <v>84.177736667793454</v>
      </c>
      <c r="O211" s="3">
        <f t="shared" si="96"/>
        <v>84.177736667793454</v>
      </c>
      <c r="P211" s="3">
        <f t="shared" si="100"/>
        <v>90.513695341713401</v>
      </c>
      <c r="Q211" s="3">
        <f t="shared" si="101"/>
        <v>36.046018332966433</v>
      </c>
      <c r="R211" s="3">
        <f t="shared" si="102"/>
        <v>63.279856837339921</v>
      </c>
      <c r="S211" s="3">
        <f t="shared" si="97"/>
        <v>1</v>
      </c>
      <c r="T211" s="3">
        <f t="shared" si="103"/>
        <v>27233.838504373485</v>
      </c>
      <c r="U211" s="3">
        <f t="shared" si="104"/>
        <v>0.5</v>
      </c>
      <c r="V211" s="3">
        <f t="shared" si="105"/>
        <v>0</v>
      </c>
      <c r="W211" s="3">
        <f t="shared" si="106"/>
        <v>30303.985200405645</v>
      </c>
      <c r="X211" s="3">
        <f t="shared" si="98"/>
        <v>18023.009166483218</v>
      </c>
      <c r="AI211" s="3"/>
      <c r="AJ211" s="3"/>
      <c r="AK211" s="15">
        <f t="shared" si="89"/>
        <v>1</v>
      </c>
      <c r="AL211" s="11">
        <f t="shared" si="93"/>
        <v>1212</v>
      </c>
      <c r="AM211" s="11" t="b">
        <f t="shared" si="88"/>
        <v>0</v>
      </c>
      <c r="AN211" s="11">
        <f t="shared" si="90"/>
        <v>36000</v>
      </c>
      <c r="AO211" s="11">
        <f t="shared" si="91"/>
        <v>0</v>
      </c>
      <c r="AP211" s="11">
        <f t="shared" si="92"/>
        <v>0.32996056700567511</v>
      </c>
      <c r="AQ211" s="11">
        <f t="shared" si="94"/>
        <v>0</v>
      </c>
      <c r="AT211" s="3"/>
      <c r="AU211" s="17"/>
      <c r="AV211" s="19"/>
      <c r="AW211" s="17"/>
      <c r="AX211" s="17">
        <f t="shared" si="87"/>
        <v>202</v>
      </c>
      <c r="AY211" s="17">
        <f t="shared" si="86"/>
        <v>20.2</v>
      </c>
      <c r="AZ211" s="17">
        <v>32.996056700567507</v>
      </c>
      <c r="BA211" s="17"/>
      <c r="BB211" s="17">
        <v>36</v>
      </c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  <c r="BW211" s="17"/>
      <c r="BX211" s="17"/>
      <c r="BY211" s="17"/>
      <c r="BZ211" s="17"/>
      <c r="CA211" s="17"/>
      <c r="CB211" s="17"/>
      <c r="CC211" s="17"/>
      <c r="CD211" s="17"/>
      <c r="CE211" s="17"/>
      <c r="CF211" s="17"/>
      <c r="CG211" s="17"/>
      <c r="CH211" s="17"/>
    </row>
    <row r="212" spans="8:86" x14ac:dyDescent="0.15">
      <c r="H212" s="3">
        <f t="shared" si="107"/>
        <v>0.20000000000000015</v>
      </c>
      <c r="I212" s="3">
        <f t="shared" si="108"/>
        <v>360</v>
      </c>
      <c r="J212" s="14">
        <f t="shared" si="109"/>
        <v>500</v>
      </c>
      <c r="K212" s="3">
        <f t="shared" si="99"/>
        <v>0</v>
      </c>
      <c r="L212" s="3">
        <f t="shared" si="95"/>
        <v>500</v>
      </c>
      <c r="M212" s="15">
        <f t="shared" si="110"/>
        <v>7.0000000000000007E-2</v>
      </c>
      <c r="N212" s="3">
        <f t="shared" si="111"/>
        <v>84.102087116392426</v>
      </c>
      <c r="O212" s="3">
        <f t="shared" si="96"/>
        <v>84.102087116392426</v>
      </c>
      <c r="P212" s="3">
        <f t="shared" si="100"/>
        <v>90.432351738056383</v>
      </c>
      <c r="Q212" s="3">
        <f t="shared" si="101"/>
        <v>35.991550655957688</v>
      </c>
      <c r="R212" s="3">
        <f t="shared" si="102"/>
        <v>63.211951197007039</v>
      </c>
      <c r="S212" s="3">
        <f t="shared" si="97"/>
        <v>1</v>
      </c>
      <c r="T212" s="3">
        <f t="shared" si="103"/>
        <v>27220.400541049348</v>
      </c>
      <c r="U212" s="3">
        <f t="shared" si="104"/>
        <v>0.5</v>
      </c>
      <c r="V212" s="3">
        <f t="shared" si="105"/>
        <v>0</v>
      </c>
      <c r="W212" s="3">
        <f t="shared" si="106"/>
        <v>30276.751361901272</v>
      </c>
      <c r="X212" s="3">
        <f t="shared" si="98"/>
        <v>17995.775327978845</v>
      </c>
      <c r="AI212" s="3"/>
      <c r="AJ212" s="3"/>
      <c r="AK212" s="15">
        <f t="shared" si="89"/>
        <v>1</v>
      </c>
      <c r="AL212" s="11">
        <f t="shared" si="93"/>
        <v>1218</v>
      </c>
      <c r="AM212" s="11" t="b">
        <f t="shared" si="88"/>
        <v>0</v>
      </c>
      <c r="AN212" s="11">
        <f t="shared" si="90"/>
        <v>36000</v>
      </c>
      <c r="AO212" s="11">
        <f t="shared" si="91"/>
        <v>0</v>
      </c>
      <c r="AP212" s="11">
        <f t="shared" si="92"/>
        <v>0.33106288182048993</v>
      </c>
      <c r="AQ212" s="11">
        <f t="shared" si="94"/>
        <v>0</v>
      </c>
      <c r="AT212" s="3"/>
      <c r="AU212" s="17"/>
      <c r="AV212" s="19"/>
      <c r="AW212" s="17"/>
      <c r="AX212" s="17">
        <f t="shared" si="87"/>
        <v>203</v>
      </c>
      <c r="AY212" s="17">
        <f t="shared" ref="AY212:AY275" si="112">IF(ISNUMBER(AX212),IF(ROUND((AX212)*$AG$15*$AB$15,0) &lt;= 10080, ROUND((AX212)*$AG$15,0)*$AB$15/60, 168),168)</f>
        <v>20.3</v>
      </c>
      <c r="AZ212" s="17">
        <v>33.106288182048992</v>
      </c>
      <c r="BA212" s="17"/>
      <c r="BB212" s="17">
        <v>36</v>
      </c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  <c r="CC212" s="17"/>
      <c r="CD212" s="17"/>
      <c r="CE212" s="17"/>
      <c r="CF212" s="17"/>
      <c r="CG212" s="17"/>
      <c r="CH212" s="17"/>
    </row>
    <row r="213" spans="8:86" x14ac:dyDescent="0.15">
      <c r="H213" s="3">
        <f t="shared" si="107"/>
        <v>0.20100000000000015</v>
      </c>
      <c r="I213" s="3">
        <f t="shared" si="108"/>
        <v>360</v>
      </c>
      <c r="J213" s="14">
        <f t="shared" si="109"/>
        <v>500</v>
      </c>
      <c r="K213" s="3">
        <f t="shared" si="99"/>
        <v>0</v>
      </c>
      <c r="L213" s="3">
        <f t="shared" si="95"/>
        <v>500</v>
      </c>
      <c r="M213" s="15">
        <f t="shared" si="110"/>
        <v>7.0000000000000007E-2</v>
      </c>
      <c r="N213" s="3">
        <f t="shared" si="111"/>
        <v>84.026474892667281</v>
      </c>
      <c r="O213" s="3">
        <f t="shared" si="96"/>
        <v>84.026474892667281</v>
      </c>
      <c r="P213" s="3">
        <f t="shared" si="100"/>
        <v>90.351048271685258</v>
      </c>
      <c r="Q213" s="3">
        <f t="shared" si="101"/>
        <v>35.937109854875594</v>
      </c>
      <c r="R213" s="3">
        <f t="shared" si="102"/>
        <v>63.144079063280429</v>
      </c>
      <c r="S213" s="3">
        <f t="shared" si="97"/>
        <v>1</v>
      </c>
      <c r="T213" s="3">
        <f t="shared" si="103"/>
        <v>27206.969208404833</v>
      </c>
      <c r="U213" s="3">
        <f t="shared" si="104"/>
        <v>0.5</v>
      </c>
      <c r="V213" s="3">
        <f t="shared" si="105"/>
        <v>0</v>
      </c>
      <c r="W213" s="3">
        <f t="shared" si="106"/>
        <v>30249.530961360222</v>
      </c>
      <c r="X213" s="3">
        <f t="shared" si="98"/>
        <v>17968.554927437795</v>
      </c>
      <c r="AI213" s="3"/>
      <c r="AJ213" s="3"/>
      <c r="AK213" s="15">
        <f t="shared" si="89"/>
        <v>1</v>
      </c>
      <c r="AL213" s="11">
        <f t="shared" si="93"/>
        <v>1224</v>
      </c>
      <c r="AM213" s="11" t="b">
        <f t="shared" si="88"/>
        <v>0</v>
      </c>
      <c r="AN213" s="11">
        <f t="shared" si="90"/>
        <v>36000</v>
      </c>
      <c r="AO213" s="11">
        <f t="shared" si="91"/>
        <v>0</v>
      </c>
      <c r="AP213" s="11">
        <f t="shared" si="92"/>
        <v>0.33216519663530469</v>
      </c>
      <c r="AQ213" s="11">
        <f t="shared" si="94"/>
        <v>0</v>
      </c>
      <c r="AT213" s="3"/>
      <c r="AU213" s="17"/>
      <c r="AV213" s="19"/>
      <c r="AW213" s="17"/>
      <c r="AX213" s="17">
        <f t="shared" si="87"/>
        <v>204</v>
      </c>
      <c r="AY213" s="17">
        <f t="shared" si="112"/>
        <v>20.399999999999999</v>
      </c>
      <c r="AZ213" s="17">
        <v>33.21651966353047</v>
      </c>
      <c r="BA213" s="17"/>
      <c r="BB213" s="17">
        <v>36</v>
      </c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7"/>
      <c r="BR213" s="17"/>
      <c r="BS213" s="17"/>
      <c r="BT213" s="17"/>
      <c r="BU213" s="17"/>
      <c r="BV213" s="17"/>
      <c r="BW213" s="17"/>
      <c r="BX213" s="17"/>
      <c r="BY213" s="17"/>
      <c r="BZ213" s="17"/>
      <c r="CA213" s="17"/>
      <c r="CB213" s="17"/>
      <c r="CC213" s="17"/>
      <c r="CD213" s="17"/>
      <c r="CE213" s="17"/>
      <c r="CF213" s="17"/>
      <c r="CG213" s="17"/>
      <c r="CH213" s="17"/>
    </row>
    <row r="214" spans="8:86" x14ac:dyDescent="0.15">
      <c r="H214" s="3">
        <f t="shared" si="107"/>
        <v>0.20200000000000015</v>
      </c>
      <c r="I214" s="3">
        <f t="shared" si="108"/>
        <v>360</v>
      </c>
      <c r="J214" s="14">
        <f t="shared" si="109"/>
        <v>500</v>
      </c>
      <c r="K214" s="3">
        <f t="shared" si="99"/>
        <v>0</v>
      </c>
      <c r="L214" s="3">
        <f t="shared" si="95"/>
        <v>500</v>
      </c>
      <c r="M214" s="15">
        <f t="shared" si="110"/>
        <v>7.0000000000000007E-2</v>
      </c>
      <c r="N214" s="3">
        <f t="shared" si="111"/>
        <v>83.950899978199487</v>
      </c>
      <c r="O214" s="3">
        <f t="shared" si="96"/>
        <v>83.950899978199487</v>
      </c>
      <c r="P214" s="3">
        <f t="shared" si="100"/>
        <v>90.269784922795154</v>
      </c>
      <c r="Q214" s="3">
        <f t="shared" si="101"/>
        <v>35.882695916458779</v>
      </c>
      <c r="R214" s="3">
        <f t="shared" si="102"/>
        <v>63.07624041962697</v>
      </c>
      <c r="S214" s="3">
        <f t="shared" si="97"/>
        <v>1</v>
      </c>
      <c r="T214" s="3">
        <f t="shared" si="103"/>
        <v>27193.544503168188</v>
      </c>
      <c r="U214" s="3">
        <f t="shared" si="104"/>
        <v>0.5</v>
      </c>
      <c r="V214" s="3">
        <f t="shared" si="105"/>
        <v>0</v>
      </c>
      <c r="W214" s="3">
        <f t="shared" si="106"/>
        <v>30222.323992151814</v>
      </c>
      <c r="X214" s="3">
        <f t="shared" si="98"/>
        <v>17941.347958229391</v>
      </c>
      <c r="AI214" s="3"/>
      <c r="AJ214" s="3"/>
      <c r="AK214" s="15">
        <f t="shared" si="89"/>
        <v>1</v>
      </c>
      <c r="AL214" s="11">
        <f t="shared" si="93"/>
        <v>1230</v>
      </c>
      <c r="AM214" s="11" t="b">
        <f t="shared" si="88"/>
        <v>0</v>
      </c>
      <c r="AN214" s="11">
        <f t="shared" si="90"/>
        <v>36000</v>
      </c>
      <c r="AO214" s="11">
        <f t="shared" si="91"/>
        <v>0</v>
      </c>
      <c r="AP214" s="11">
        <f t="shared" si="92"/>
        <v>0.33326751145011951</v>
      </c>
      <c r="AQ214" s="11">
        <f t="shared" si="94"/>
        <v>0</v>
      </c>
      <c r="AT214" s="3"/>
      <c r="AU214" s="17"/>
      <c r="AV214" s="19"/>
      <c r="AW214" s="17"/>
      <c r="AX214" s="17">
        <f t="shared" si="87"/>
        <v>205</v>
      </c>
      <c r="AY214" s="17">
        <f t="shared" si="112"/>
        <v>20.5</v>
      </c>
      <c r="AZ214" s="17">
        <v>33.326751145011954</v>
      </c>
      <c r="BA214" s="17"/>
      <c r="BB214" s="17">
        <v>36</v>
      </c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7"/>
      <c r="BR214" s="17"/>
      <c r="BS214" s="17"/>
      <c r="BT214" s="17"/>
      <c r="BU214" s="17"/>
      <c r="BV214" s="17"/>
      <c r="BW214" s="17"/>
      <c r="BX214" s="17"/>
      <c r="BY214" s="17"/>
      <c r="BZ214" s="17"/>
      <c r="CA214" s="17"/>
      <c r="CB214" s="17"/>
      <c r="CC214" s="17"/>
      <c r="CD214" s="17"/>
      <c r="CE214" s="17"/>
      <c r="CF214" s="17"/>
      <c r="CG214" s="17"/>
      <c r="CH214" s="17"/>
    </row>
    <row r="215" spans="8:86" x14ac:dyDescent="0.15">
      <c r="H215" s="3">
        <f t="shared" si="107"/>
        <v>0.20300000000000015</v>
      </c>
      <c r="I215" s="3">
        <f t="shared" si="108"/>
        <v>360</v>
      </c>
      <c r="J215" s="14">
        <f t="shared" si="109"/>
        <v>500</v>
      </c>
      <c r="K215" s="3">
        <f t="shared" si="99"/>
        <v>0</v>
      </c>
      <c r="L215" s="3">
        <f t="shared" si="95"/>
        <v>500</v>
      </c>
      <c r="M215" s="15">
        <f t="shared" si="110"/>
        <v>7.0000000000000007E-2</v>
      </c>
      <c r="N215" s="3">
        <f t="shared" si="111"/>
        <v>83.875362354579579</v>
      </c>
      <c r="O215" s="3">
        <f t="shared" si="96"/>
        <v>83.875362354579579</v>
      </c>
      <c r="P215" s="3">
        <f t="shared" si="100"/>
        <v>90.188561671590946</v>
      </c>
      <c r="Q215" s="3">
        <f t="shared" si="101"/>
        <v>35.828308827452446</v>
      </c>
      <c r="R215" s="3">
        <f t="shared" si="102"/>
        <v>63.008435249521696</v>
      </c>
      <c r="S215" s="3">
        <f t="shared" si="97"/>
        <v>1</v>
      </c>
      <c r="T215" s="3">
        <f t="shared" si="103"/>
        <v>27180.12642206925</v>
      </c>
      <c r="U215" s="3">
        <f t="shared" si="104"/>
        <v>0.5</v>
      </c>
      <c r="V215" s="3">
        <f t="shared" si="105"/>
        <v>0</v>
      </c>
      <c r="W215" s="3">
        <f t="shared" si="106"/>
        <v>30195.130447648648</v>
      </c>
      <c r="X215" s="3">
        <f t="shared" si="98"/>
        <v>17914.154413726224</v>
      </c>
      <c r="AI215" s="3"/>
      <c r="AJ215" s="3"/>
      <c r="AK215" s="15">
        <f t="shared" si="89"/>
        <v>1</v>
      </c>
      <c r="AL215" s="11">
        <f t="shared" si="93"/>
        <v>1236</v>
      </c>
      <c r="AM215" s="11" t="b">
        <f t="shared" si="88"/>
        <v>0</v>
      </c>
      <c r="AN215" s="11">
        <f t="shared" si="90"/>
        <v>36000</v>
      </c>
      <c r="AO215" s="11">
        <f t="shared" si="91"/>
        <v>0</v>
      </c>
      <c r="AP215" s="11">
        <f t="shared" si="92"/>
        <v>0.33436982626493428</v>
      </c>
      <c r="AQ215" s="11">
        <f t="shared" si="94"/>
        <v>0</v>
      </c>
      <c r="AT215" s="3"/>
      <c r="AU215" s="17"/>
      <c r="AV215" s="19"/>
      <c r="AW215" s="17"/>
      <c r="AX215" s="17">
        <f t="shared" si="87"/>
        <v>206</v>
      </c>
      <c r="AY215" s="17">
        <f t="shared" si="112"/>
        <v>20.6</v>
      </c>
      <c r="AZ215" s="17">
        <v>33.436982626493425</v>
      </c>
      <c r="BA215" s="17"/>
      <c r="BB215" s="17">
        <v>36</v>
      </c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7"/>
      <c r="BR215" s="17"/>
      <c r="BS215" s="17"/>
      <c r="BT215" s="17"/>
      <c r="BU215" s="17"/>
      <c r="BV215" s="17"/>
      <c r="BW215" s="17"/>
      <c r="BX215" s="17"/>
      <c r="BY215" s="17"/>
      <c r="BZ215" s="17"/>
      <c r="CA215" s="17"/>
      <c r="CB215" s="17"/>
      <c r="CC215" s="17"/>
      <c r="CD215" s="17"/>
      <c r="CE215" s="17"/>
      <c r="CF215" s="17"/>
      <c r="CG215" s="17"/>
      <c r="CH215" s="17"/>
    </row>
    <row r="216" spans="8:86" x14ac:dyDescent="0.15">
      <c r="H216" s="3">
        <f t="shared" si="107"/>
        <v>0.20400000000000015</v>
      </c>
      <c r="I216" s="3">
        <f t="shared" si="108"/>
        <v>360</v>
      </c>
      <c r="J216" s="14">
        <f t="shared" si="109"/>
        <v>500</v>
      </c>
      <c r="K216" s="3">
        <f t="shared" si="99"/>
        <v>0</v>
      </c>
      <c r="L216" s="3">
        <f t="shared" si="95"/>
        <v>500</v>
      </c>
      <c r="M216" s="15">
        <f t="shared" si="110"/>
        <v>7.0000000000000007E-2</v>
      </c>
      <c r="N216" s="3">
        <f t="shared" si="111"/>
        <v>83.799862003407156</v>
      </c>
      <c r="O216" s="3">
        <f t="shared" si="96"/>
        <v>83.799862003407156</v>
      </c>
      <c r="P216" s="3">
        <f t="shared" si="100"/>
        <v>90.107378498287275</v>
      </c>
      <c r="Q216" s="3">
        <f t="shared" si="101"/>
        <v>35.773948574608305</v>
      </c>
      <c r="R216" s="3">
        <f t="shared" si="102"/>
        <v>62.940663536447786</v>
      </c>
      <c r="S216" s="3">
        <f t="shared" si="97"/>
        <v>1</v>
      </c>
      <c r="T216" s="3">
        <f t="shared" si="103"/>
        <v>27166.714961839487</v>
      </c>
      <c r="U216" s="3">
        <f t="shared" si="104"/>
        <v>0.5</v>
      </c>
      <c r="V216" s="3">
        <f t="shared" si="105"/>
        <v>0</v>
      </c>
      <c r="W216" s="3">
        <f t="shared" si="106"/>
        <v>30167.950321226577</v>
      </c>
      <c r="X216" s="3">
        <f t="shared" si="98"/>
        <v>17886.974287304154</v>
      </c>
      <c r="AI216" s="3"/>
      <c r="AJ216" s="3"/>
      <c r="AK216" s="15">
        <f t="shared" si="89"/>
        <v>1</v>
      </c>
      <c r="AL216" s="11">
        <f t="shared" si="93"/>
        <v>1242</v>
      </c>
      <c r="AM216" s="11" t="b">
        <f t="shared" si="88"/>
        <v>0</v>
      </c>
      <c r="AN216" s="11">
        <f t="shared" si="90"/>
        <v>36000</v>
      </c>
      <c r="AO216" s="11">
        <f t="shared" si="91"/>
        <v>0</v>
      </c>
      <c r="AP216" s="11">
        <f t="shared" si="92"/>
        <v>0.3354721410797491</v>
      </c>
      <c r="AQ216" s="11">
        <f t="shared" si="94"/>
        <v>0</v>
      </c>
      <c r="AT216" s="3"/>
      <c r="AU216" s="17"/>
      <c r="AV216" s="19"/>
      <c r="AW216" s="17"/>
      <c r="AX216" s="17">
        <f t="shared" si="87"/>
        <v>207</v>
      </c>
      <c r="AY216" s="17">
        <f t="shared" si="112"/>
        <v>20.7</v>
      </c>
      <c r="AZ216" s="17">
        <v>33.547214107974909</v>
      </c>
      <c r="BA216" s="17"/>
      <c r="BB216" s="17">
        <v>36</v>
      </c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7"/>
      <c r="BR216" s="17"/>
      <c r="BS216" s="17"/>
      <c r="BT216" s="17"/>
      <c r="BU216" s="17"/>
      <c r="BV216" s="17"/>
      <c r="BW216" s="17"/>
      <c r="BX216" s="17"/>
      <c r="BY216" s="17"/>
      <c r="BZ216" s="17"/>
      <c r="CA216" s="17"/>
      <c r="CB216" s="17"/>
      <c r="CC216" s="17"/>
      <c r="CD216" s="17"/>
      <c r="CE216" s="17"/>
      <c r="CF216" s="17"/>
      <c r="CG216" s="17"/>
      <c r="CH216" s="17"/>
    </row>
    <row r="217" spans="8:86" x14ac:dyDescent="0.15">
      <c r="H217" s="3">
        <f t="shared" si="107"/>
        <v>0.20500000000000015</v>
      </c>
      <c r="I217" s="3">
        <f t="shared" si="108"/>
        <v>360</v>
      </c>
      <c r="J217" s="14">
        <f t="shared" si="109"/>
        <v>500</v>
      </c>
      <c r="K217" s="3">
        <f t="shared" si="99"/>
        <v>0</v>
      </c>
      <c r="L217" s="3">
        <f t="shared" si="95"/>
        <v>500</v>
      </c>
      <c r="M217" s="15">
        <f t="shared" si="110"/>
        <v>7.0000000000000007E-2</v>
      </c>
      <c r="N217" s="3">
        <f t="shared" si="111"/>
        <v>83.724398906290929</v>
      </c>
      <c r="O217" s="3">
        <f t="shared" si="96"/>
        <v>83.724398906290929</v>
      </c>
      <c r="P217" s="3">
        <f t="shared" si="100"/>
        <v>90.026235383108528</v>
      </c>
      <c r="Q217" s="3">
        <f t="shared" si="101"/>
        <v>35.719615144684624</v>
      </c>
      <c r="R217" s="3">
        <f t="shared" si="102"/>
        <v>62.872925263896576</v>
      </c>
      <c r="S217" s="3">
        <f t="shared" si="97"/>
        <v>1</v>
      </c>
      <c r="T217" s="3">
        <f t="shared" si="103"/>
        <v>27153.31011921195</v>
      </c>
      <c r="U217" s="3">
        <f t="shared" si="104"/>
        <v>0.5</v>
      </c>
      <c r="V217" s="3">
        <f t="shared" si="105"/>
        <v>0</v>
      </c>
      <c r="W217" s="3">
        <f t="shared" si="106"/>
        <v>30140.783606264733</v>
      </c>
      <c r="X217" s="3">
        <f t="shared" si="98"/>
        <v>17859.807572342314</v>
      </c>
      <c r="AI217" s="3"/>
      <c r="AJ217" s="3"/>
      <c r="AK217" s="15">
        <f t="shared" si="89"/>
        <v>1</v>
      </c>
      <c r="AL217" s="11">
        <f t="shared" si="93"/>
        <v>1248</v>
      </c>
      <c r="AM217" s="11" t="b">
        <f t="shared" si="88"/>
        <v>0</v>
      </c>
      <c r="AN217" s="11">
        <f t="shared" si="90"/>
        <v>36000</v>
      </c>
      <c r="AO217" s="11">
        <f t="shared" si="91"/>
        <v>0</v>
      </c>
      <c r="AP217" s="11">
        <f t="shared" si="92"/>
        <v>0.33657445589456386</v>
      </c>
      <c r="AQ217" s="11">
        <f t="shared" si="94"/>
        <v>0</v>
      </c>
      <c r="AT217" s="3"/>
      <c r="AU217" s="17"/>
      <c r="AV217" s="19"/>
      <c r="AW217" s="17"/>
      <c r="AX217" s="17">
        <f t="shared" si="87"/>
        <v>208</v>
      </c>
      <c r="AY217" s="17">
        <f t="shared" si="112"/>
        <v>20.8</v>
      </c>
      <c r="AZ217" s="17">
        <v>33.657445589456387</v>
      </c>
      <c r="BA217" s="17"/>
      <c r="BB217" s="17">
        <v>36</v>
      </c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7"/>
      <c r="BR217" s="17"/>
      <c r="BS217" s="17"/>
      <c r="BT217" s="17"/>
      <c r="BU217" s="17"/>
      <c r="BV217" s="17"/>
      <c r="BW217" s="17"/>
      <c r="BX217" s="17"/>
      <c r="BY217" s="17"/>
      <c r="BZ217" s="17"/>
      <c r="CA217" s="17"/>
      <c r="CB217" s="17"/>
      <c r="CC217" s="17"/>
      <c r="CD217" s="17"/>
      <c r="CE217" s="17"/>
      <c r="CF217" s="17"/>
      <c r="CG217" s="17"/>
      <c r="CH217" s="17"/>
    </row>
    <row r="218" spans="8:86" x14ac:dyDescent="0.15">
      <c r="H218" s="3">
        <f t="shared" si="107"/>
        <v>0.20600000000000016</v>
      </c>
      <c r="I218" s="3">
        <f t="shared" si="108"/>
        <v>360</v>
      </c>
      <c r="J218" s="14">
        <f t="shared" si="109"/>
        <v>500</v>
      </c>
      <c r="K218" s="3">
        <f t="shared" si="99"/>
        <v>0</v>
      </c>
      <c r="L218" s="3">
        <f t="shared" si="95"/>
        <v>500</v>
      </c>
      <c r="M218" s="15">
        <f t="shared" si="110"/>
        <v>7.0000000000000007E-2</v>
      </c>
      <c r="N218" s="3">
        <f t="shared" si="111"/>
        <v>83.648973044848674</v>
      </c>
      <c r="O218" s="3">
        <f t="shared" si="96"/>
        <v>83.648973044848674</v>
      </c>
      <c r="P218" s="3">
        <f t="shared" si="100"/>
        <v>89.945132306288897</v>
      </c>
      <c r="Q218" s="3">
        <f t="shared" si="101"/>
        <v>35.665308524446203</v>
      </c>
      <c r="R218" s="3">
        <f t="shared" si="102"/>
        <v>62.80522041536755</v>
      </c>
      <c r="S218" s="3">
        <f t="shared" si="97"/>
        <v>1</v>
      </c>
      <c r="T218" s="3">
        <f t="shared" si="103"/>
        <v>27139.911890921347</v>
      </c>
      <c r="U218" s="3">
        <f t="shared" si="104"/>
        <v>0.5</v>
      </c>
      <c r="V218" s="3">
        <f t="shared" si="105"/>
        <v>0</v>
      </c>
      <c r="W218" s="3">
        <f t="shared" si="106"/>
        <v>30113.630296145522</v>
      </c>
      <c r="X218" s="3">
        <f t="shared" si="98"/>
        <v>17832.654262223103</v>
      </c>
      <c r="AI218" s="3"/>
      <c r="AJ218" s="3"/>
      <c r="AK218" s="15">
        <f t="shared" si="89"/>
        <v>1</v>
      </c>
      <c r="AL218" s="11">
        <f t="shared" si="93"/>
        <v>1254</v>
      </c>
      <c r="AM218" s="11" t="b">
        <f t="shared" si="88"/>
        <v>0</v>
      </c>
      <c r="AN218" s="11">
        <f t="shared" si="90"/>
        <v>36000</v>
      </c>
      <c r="AO218" s="11">
        <f t="shared" si="91"/>
        <v>0</v>
      </c>
      <c r="AP218" s="11">
        <f t="shared" si="92"/>
        <v>0.33767677070937868</v>
      </c>
      <c r="AQ218" s="11">
        <f t="shared" si="94"/>
        <v>0</v>
      </c>
      <c r="AT218" s="3"/>
      <c r="AU218" s="17"/>
      <c r="AV218" s="19"/>
      <c r="AW218" s="17"/>
      <c r="AX218" s="17">
        <f t="shared" si="87"/>
        <v>209</v>
      </c>
      <c r="AY218" s="17">
        <f t="shared" si="112"/>
        <v>20.9</v>
      </c>
      <c r="AZ218" s="17">
        <v>33.767677070937872</v>
      </c>
      <c r="BA218" s="17"/>
      <c r="BB218" s="17">
        <v>36</v>
      </c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  <c r="BW218" s="17"/>
      <c r="BX218" s="17"/>
      <c r="BY218" s="17"/>
      <c r="BZ218" s="17"/>
      <c r="CA218" s="17"/>
      <c r="CB218" s="17"/>
      <c r="CC218" s="17"/>
      <c r="CD218" s="17"/>
      <c r="CE218" s="17"/>
      <c r="CF218" s="17"/>
      <c r="CG218" s="17"/>
      <c r="CH218" s="17"/>
    </row>
    <row r="219" spans="8:86" x14ac:dyDescent="0.15">
      <c r="H219" s="3">
        <f t="shared" si="107"/>
        <v>0.20700000000000016</v>
      </c>
      <c r="I219" s="3">
        <f t="shared" si="108"/>
        <v>360</v>
      </c>
      <c r="J219" s="14">
        <f t="shared" si="109"/>
        <v>500</v>
      </c>
      <c r="K219" s="3">
        <f t="shared" si="99"/>
        <v>0</v>
      </c>
      <c r="L219" s="3">
        <f t="shared" si="95"/>
        <v>500</v>
      </c>
      <c r="M219" s="15">
        <f t="shared" si="110"/>
        <v>7.0000000000000007E-2</v>
      </c>
      <c r="N219" s="3">
        <f t="shared" si="111"/>
        <v>83.573584400707219</v>
      </c>
      <c r="O219" s="3">
        <f t="shared" si="96"/>
        <v>83.573584400707219</v>
      </c>
      <c r="P219" s="3">
        <f t="shared" si="100"/>
        <v>89.864069248072283</v>
      </c>
      <c r="Q219" s="3">
        <f t="shared" si="101"/>
        <v>35.611028700664363</v>
      </c>
      <c r="R219" s="3">
        <f t="shared" si="102"/>
        <v>62.737548974368323</v>
      </c>
      <c r="S219" s="3">
        <f t="shared" si="97"/>
        <v>1</v>
      </c>
      <c r="T219" s="3">
        <f t="shared" si="103"/>
        <v>27126.520273703962</v>
      </c>
      <c r="U219" s="3">
        <f t="shared" si="104"/>
        <v>0.5</v>
      </c>
      <c r="V219" s="3">
        <f t="shared" si="105"/>
        <v>0</v>
      </c>
      <c r="W219" s="3">
        <f t="shared" si="106"/>
        <v>30086.490384254597</v>
      </c>
      <c r="X219" s="3">
        <f t="shared" si="98"/>
        <v>17805.514350332181</v>
      </c>
      <c r="AI219" s="3"/>
      <c r="AJ219" s="3"/>
      <c r="AK219" s="15">
        <f t="shared" si="89"/>
        <v>1</v>
      </c>
      <c r="AL219" s="11">
        <f t="shared" si="93"/>
        <v>1260</v>
      </c>
      <c r="AM219" s="11" t="b">
        <f t="shared" si="88"/>
        <v>0</v>
      </c>
      <c r="AN219" s="11">
        <f t="shared" si="90"/>
        <v>36000</v>
      </c>
      <c r="AO219" s="11">
        <f t="shared" si="91"/>
        <v>0</v>
      </c>
      <c r="AP219" s="11">
        <f t="shared" si="92"/>
        <v>0.33877908552419345</v>
      </c>
      <c r="AQ219" s="11">
        <f t="shared" si="94"/>
        <v>0</v>
      </c>
      <c r="AT219" s="3"/>
      <c r="AU219" s="17"/>
      <c r="AV219" s="19"/>
      <c r="AW219" s="17"/>
      <c r="AX219" s="17">
        <f t="shared" si="87"/>
        <v>210</v>
      </c>
      <c r="AY219" s="17">
        <f t="shared" si="112"/>
        <v>21</v>
      </c>
      <c r="AZ219" s="17">
        <v>33.877908552419342</v>
      </c>
      <c r="BA219" s="17"/>
      <c r="BB219" s="17">
        <v>36</v>
      </c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7"/>
      <c r="BR219" s="17"/>
      <c r="BS219" s="17"/>
      <c r="BT219" s="17"/>
      <c r="BU219" s="17"/>
      <c r="BV219" s="17"/>
      <c r="BW219" s="17"/>
      <c r="BX219" s="17"/>
      <c r="BY219" s="17"/>
      <c r="BZ219" s="17"/>
      <c r="CA219" s="17"/>
      <c r="CB219" s="17"/>
      <c r="CC219" s="17"/>
      <c r="CD219" s="17"/>
      <c r="CE219" s="17"/>
      <c r="CF219" s="17"/>
      <c r="CG219" s="17"/>
      <c r="CH219" s="17"/>
    </row>
    <row r="220" spans="8:86" x14ac:dyDescent="0.15">
      <c r="H220" s="3">
        <f t="shared" si="107"/>
        <v>0.20800000000000016</v>
      </c>
      <c r="I220" s="3">
        <f t="shared" si="108"/>
        <v>360</v>
      </c>
      <c r="J220" s="14">
        <f t="shared" si="109"/>
        <v>500</v>
      </c>
      <c r="K220" s="3">
        <f t="shared" si="99"/>
        <v>0</v>
      </c>
      <c r="L220" s="3">
        <f t="shared" si="95"/>
        <v>500</v>
      </c>
      <c r="M220" s="15">
        <f t="shared" si="110"/>
        <v>7.0000000000000007E-2</v>
      </c>
      <c r="N220" s="3">
        <f t="shared" si="111"/>
        <v>83.498232955502473</v>
      </c>
      <c r="O220" s="3">
        <f t="shared" si="96"/>
        <v>83.498232955502473</v>
      </c>
      <c r="P220" s="3">
        <f t="shared" si="100"/>
        <v>89.783046188712348</v>
      </c>
      <c r="Q220" s="3">
        <f t="shared" si="101"/>
        <v>35.556775660116955</v>
      </c>
      <c r="R220" s="3">
        <f t="shared" si="102"/>
        <v>62.669910924414651</v>
      </c>
      <c r="S220" s="3">
        <f t="shared" si="97"/>
        <v>1</v>
      </c>
      <c r="T220" s="3">
        <f t="shared" si="103"/>
        <v>27113.135264297696</v>
      </c>
      <c r="U220" s="3">
        <f t="shared" si="104"/>
        <v>0.5</v>
      </c>
      <c r="V220" s="3">
        <f t="shared" si="105"/>
        <v>0</v>
      </c>
      <c r="W220" s="3">
        <f t="shared" si="106"/>
        <v>30059.363863980889</v>
      </c>
      <c r="X220" s="3">
        <f t="shared" si="98"/>
        <v>17778.387830058477</v>
      </c>
      <c r="AI220" s="3"/>
      <c r="AJ220" s="3"/>
      <c r="AK220" s="15">
        <f t="shared" si="89"/>
        <v>1</v>
      </c>
      <c r="AL220" s="11">
        <f t="shared" si="93"/>
        <v>1266</v>
      </c>
      <c r="AM220" s="11" t="b">
        <f t="shared" si="88"/>
        <v>0</v>
      </c>
      <c r="AN220" s="11">
        <f t="shared" si="90"/>
        <v>36000</v>
      </c>
      <c r="AO220" s="11">
        <f t="shared" si="91"/>
        <v>0</v>
      </c>
      <c r="AP220" s="11">
        <f t="shared" si="92"/>
        <v>0.33988140033900827</v>
      </c>
      <c r="AQ220" s="11">
        <f t="shared" si="94"/>
        <v>0</v>
      </c>
      <c r="AT220" s="3"/>
      <c r="AU220" s="17"/>
      <c r="AV220" s="19"/>
      <c r="AW220" s="17"/>
      <c r="AX220" s="17">
        <f t="shared" si="87"/>
        <v>211</v>
      </c>
      <c r="AY220" s="17">
        <f t="shared" si="112"/>
        <v>21.1</v>
      </c>
      <c r="AZ220" s="17">
        <v>33.988140033900827</v>
      </c>
      <c r="BA220" s="17"/>
      <c r="BB220" s="17">
        <v>36</v>
      </c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7"/>
      <c r="BR220" s="17"/>
      <c r="BS220" s="17"/>
      <c r="BT220" s="17"/>
      <c r="BU220" s="17"/>
      <c r="BV220" s="17"/>
      <c r="BW220" s="17"/>
      <c r="BX220" s="17"/>
      <c r="BY220" s="17"/>
      <c r="BZ220" s="17"/>
      <c r="CA220" s="17"/>
      <c r="CB220" s="17"/>
      <c r="CC220" s="17"/>
      <c r="CD220" s="17"/>
      <c r="CE220" s="17"/>
      <c r="CF220" s="17"/>
      <c r="CG220" s="17"/>
      <c r="CH220" s="17"/>
    </row>
    <row r="221" spans="8:86" x14ac:dyDescent="0.15">
      <c r="H221" s="3">
        <f t="shared" si="107"/>
        <v>0.20900000000000016</v>
      </c>
      <c r="I221" s="3">
        <f t="shared" si="108"/>
        <v>360</v>
      </c>
      <c r="J221" s="14">
        <f t="shared" si="109"/>
        <v>500</v>
      </c>
      <c r="K221" s="3">
        <f t="shared" si="99"/>
        <v>0</v>
      </c>
      <c r="L221" s="3">
        <f t="shared" si="95"/>
        <v>500</v>
      </c>
      <c r="M221" s="15">
        <f t="shared" si="110"/>
        <v>7.0000000000000007E-2</v>
      </c>
      <c r="N221" s="3">
        <f t="shared" si="111"/>
        <v>83.422918690879413</v>
      </c>
      <c r="O221" s="3">
        <f t="shared" si="96"/>
        <v>83.422918690879413</v>
      </c>
      <c r="P221" s="3">
        <f t="shared" si="100"/>
        <v>89.702063108472487</v>
      </c>
      <c r="Q221" s="3">
        <f t="shared" si="101"/>
        <v>35.502549389588353</v>
      </c>
      <c r="R221" s="3">
        <f t="shared" si="102"/>
        <v>62.60230624903042</v>
      </c>
      <c r="S221" s="3">
        <f t="shared" si="97"/>
        <v>1</v>
      </c>
      <c r="T221" s="3">
        <f t="shared" si="103"/>
        <v>27099.756859442066</v>
      </c>
      <c r="U221" s="3">
        <f t="shared" si="104"/>
        <v>0.5</v>
      </c>
      <c r="V221" s="3">
        <f t="shared" si="105"/>
        <v>0</v>
      </c>
      <c r="W221" s="3">
        <f t="shared" si="106"/>
        <v>30032.25072871659</v>
      </c>
      <c r="X221" s="3">
        <f t="shared" si="98"/>
        <v>17751.274694794178</v>
      </c>
      <c r="AI221" s="3"/>
      <c r="AJ221" s="3"/>
      <c r="AK221" s="15">
        <f t="shared" si="89"/>
        <v>1</v>
      </c>
      <c r="AL221" s="11">
        <f t="shared" si="93"/>
        <v>1272</v>
      </c>
      <c r="AM221" s="11" t="b">
        <f t="shared" si="88"/>
        <v>0</v>
      </c>
      <c r="AN221" s="11">
        <f t="shared" si="90"/>
        <v>36000</v>
      </c>
      <c r="AO221" s="11">
        <f t="shared" si="91"/>
        <v>0</v>
      </c>
      <c r="AP221" s="11">
        <f t="shared" si="92"/>
        <v>0.34098371515382303</v>
      </c>
      <c r="AQ221" s="11">
        <f t="shared" si="94"/>
        <v>0</v>
      </c>
      <c r="AT221" s="3"/>
      <c r="AU221" s="17"/>
      <c r="AV221" s="19"/>
      <c r="AW221" s="17"/>
      <c r="AX221" s="17">
        <f t="shared" si="87"/>
        <v>212</v>
      </c>
      <c r="AY221" s="17">
        <f t="shared" si="112"/>
        <v>21.2</v>
      </c>
      <c r="AZ221" s="17">
        <v>34.098371515382304</v>
      </c>
      <c r="BA221" s="17"/>
      <c r="BB221" s="17">
        <v>36</v>
      </c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  <c r="CC221" s="17"/>
      <c r="CD221" s="17"/>
      <c r="CE221" s="17"/>
      <c r="CF221" s="17"/>
      <c r="CG221" s="17"/>
      <c r="CH221" s="17"/>
    </row>
    <row r="222" spans="8:86" x14ac:dyDescent="0.15">
      <c r="H222" s="3">
        <f t="shared" si="107"/>
        <v>0.21000000000000016</v>
      </c>
      <c r="I222" s="3">
        <f t="shared" si="108"/>
        <v>360</v>
      </c>
      <c r="J222" s="14">
        <f t="shared" si="109"/>
        <v>500</v>
      </c>
      <c r="K222" s="3">
        <f t="shared" si="99"/>
        <v>0</v>
      </c>
      <c r="L222" s="3">
        <f t="shared" si="95"/>
        <v>500</v>
      </c>
      <c r="M222" s="15">
        <f t="shared" si="110"/>
        <v>7.0000000000000007E-2</v>
      </c>
      <c r="N222" s="3">
        <f t="shared" si="111"/>
        <v>83.347641588492081</v>
      </c>
      <c r="O222" s="3">
        <f t="shared" si="96"/>
        <v>83.347641588492081</v>
      </c>
      <c r="P222" s="3">
        <f t="shared" si="100"/>
        <v>89.621119987625903</v>
      </c>
      <c r="Q222" s="3">
        <f t="shared" si="101"/>
        <v>35.448349875869468</v>
      </c>
      <c r="R222" s="3">
        <f t="shared" si="102"/>
        <v>62.534734931747685</v>
      </c>
      <c r="S222" s="3">
        <f t="shared" si="97"/>
        <v>1</v>
      </c>
      <c r="T222" s="3">
        <f t="shared" si="103"/>
        <v>27086.385055878218</v>
      </c>
      <c r="U222" s="3">
        <f t="shared" si="104"/>
        <v>0.5</v>
      </c>
      <c r="V222" s="3">
        <f t="shared" si="105"/>
        <v>0</v>
      </c>
      <c r="W222" s="3">
        <f t="shared" si="106"/>
        <v>30005.150971857151</v>
      </c>
      <c r="X222" s="3">
        <f t="shared" si="98"/>
        <v>17724.174937934735</v>
      </c>
      <c r="AI222" s="3"/>
      <c r="AJ222" s="3"/>
      <c r="AK222" s="15">
        <f t="shared" si="89"/>
        <v>1</v>
      </c>
      <c r="AL222" s="11">
        <f t="shared" si="93"/>
        <v>1278</v>
      </c>
      <c r="AM222" s="11" t="b">
        <f t="shared" si="88"/>
        <v>0</v>
      </c>
      <c r="AN222" s="11">
        <f t="shared" si="90"/>
        <v>36000</v>
      </c>
      <c r="AO222" s="11">
        <f t="shared" si="91"/>
        <v>0</v>
      </c>
      <c r="AP222" s="11">
        <f t="shared" si="92"/>
        <v>0.34208602996863785</v>
      </c>
      <c r="AQ222" s="11">
        <f t="shared" si="94"/>
        <v>0</v>
      </c>
      <c r="AT222" s="3"/>
      <c r="AU222" s="17"/>
      <c r="AV222" s="19"/>
      <c r="AW222" s="17"/>
      <c r="AX222" s="17">
        <f t="shared" si="87"/>
        <v>213</v>
      </c>
      <c r="AY222" s="17">
        <f t="shared" si="112"/>
        <v>21.3</v>
      </c>
      <c r="AZ222" s="17">
        <v>34.208602996863782</v>
      </c>
      <c r="BA222" s="17"/>
      <c r="BB222" s="17">
        <v>36</v>
      </c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</row>
    <row r="223" spans="8:86" x14ac:dyDescent="0.15">
      <c r="H223" s="3">
        <f t="shared" si="107"/>
        <v>0.21100000000000016</v>
      </c>
      <c r="I223" s="3">
        <f t="shared" si="108"/>
        <v>360</v>
      </c>
      <c r="J223" s="14">
        <f t="shared" si="109"/>
        <v>500</v>
      </c>
      <c r="K223" s="3">
        <f t="shared" si="99"/>
        <v>0</v>
      </c>
      <c r="L223" s="3">
        <f t="shared" si="95"/>
        <v>500</v>
      </c>
      <c r="M223" s="15">
        <f t="shared" si="110"/>
        <v>7.0000000000000007E-2</v>
      </c>
      <c r="N223" s="3">
        <f t="shared" si="111"/>
        <v>83.272401630003529</v>
      </c>
      <c r="O223" s="3">
        <f t="shared" si="96"/>
        <v>83.272401630003529</v>
      </c>
      <c r="P223" s="3">
        <f t="shared" si="100"/>
        <v>89.540216806455419</v>
      </c>
      <c r="Q223" s="3">
        <f t="shared" si="101"/>
        <v>35.394177105757713</v>
      </c>
      <c r="R223" s="3">
        <f t="shared" si="102"/>
        <v>62.467196956106562</v>
      </c>
      <c r="S223" s="3">
        <f t="shared" si="97"/>
        <v>1</v>
      </c>
      <c r="T223" s="3">
        <f t="shared" si="103"/>
        <v>27073.019850348854</v>
      </c>
      <c r="U223" s="3">
        <f t="shared" si="104"/>
        <v>0.5</v>
      </c>
      <c r="V223" s="3">
        <f t="shared" si="105"/>
        <v>0</v>
      </c>
      <c r="W223" s="3">
        <f t="shared" si="106"/>
        <v>29978.064586801269</v>
      </c>
      <c r="X223" s="3">
        <f t="shared" si="98"/>
        <v>17697.088552878857</v>
      </c>
      <c r="AI223" s="3"/>
      <c r="AJ223" s="3"/>
      <c r="AK223" s="15">
        <f t="shared" si="89"/>
        <v>1</v>
      </c>
      <c r="AL223" s="11">
        <f t="shared" si="93"/>
        <v>1284</v>
      </c>
      <c r="AM223" s="11" t="b">
        <f t="shared" si="88"/>
        <v>0</v>
      </c>
      <c r="AN223" s="11">
        <f t="shared" si="90"/>
        <v>36000</v>
      </c>
      <c r="AO223" s="11">
        <f t="shared" si="91"/>
        <v>0</v>
      </c>
      <c r="AP223" s="11">
        <f t="shared" si="92"/>
        <v>0.34318834478345261</v>
      </c>
      <c r="AQ223" s="11">
        <f t="shared" si="94"/>
        <v>0</v>
      </c>
      <c r="AT223" s="3"/>
      <c r="AU223" s="17"/>
      <c r="AV223" s="19"/>
      <c r="AW223" s="17"/>
      <c r="AX223" s="17">
        <f t="shared" si="87"/>
        <v>214</v>
      </c>
      <c r="AY223" s="17">
        <f t="shared" si="112"/>
        <v>21.4</v>
      </c>
      <c r="AZ223" s="17">
        <v>34.318834478345259</v>
      </c>
      <c r="BA223" s="17"/>
      <c r="BB223" s="17">
        <v>36</v>
      </c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  <c r="BW223" s="17"/>
      <c r="BX223" s="17"/>
      <c r="BY223" s="17"/>
      <c r="BZ223" s="17"/>
      <c r="CA223" s="17"/>
      <c r="CB223" s="17"/>
      <c r="CC223" s="17"/>
      <c r="CD223" s="17"/>
      <c r="CE223" s="17"/>
      <c r="CF223" s="17"/>
      <c r="CG223" s="17"/>
      <c r="CH223" s="17"/>
    </row>
    <row r="224" spans="8:86" x14ac:dyDescent="0.15">
      <c r="H224" s="3">
        <f t="shared" si="107"/>
        <v>0.21200000000000016</v>
      </c>
      <c r="I224" s="3">
        <f t="shared" si="108"/>
        <v>360</v>
      </c>
      <c r="J224" s="14">
        <f t="shared" si="109"/>
        <v>500</v>
      </c>
      <c r="K224" s="3">
        <f t="shared" si="99"/>
        <v>0</v>
      </c>
      <c r="L224" s="3">
        <f t="shared" si="95"/>
        <v>500</v>
      </c>
      <c r="M224" s="15">
        <f t="shared" si="110"/>
        <v>7.0000000000000007E-2</v>
      </c>
      <c r="N224" s="3">
        <f t="shared" si="111"/>
        <v>83.197198797085889</v>
      </c>
      <c r="O224" s="3">
        <f t="shared" si="96"/>
        <v>83.197198797085889</v>
      </c>
      <c r="P224" s="3">
        <f t="shared" si="100"/>
        <v>89.459353545253649</v>
      </c>
      <c r="Q224" s="3">
        <f t="shared" si="101"/>
        <v>35.340031066057016</v>
      </c>
      <c r="R224" s="3">
        <f t="shared" si="102"/>
        <v>62.399692305655336</v>
      </c>
      <c r="S224" s="3">
        <f t="shared" si="97"/>
        <v>1</v>
      </c>
      <c r="T224" s="3">
        <f t="shared" si="103"/>
        <v>27059.661239598317</v>
      </c>
      <c r="U224" s="3">
        <f t="shared" si="104"/>
        <v>0.5</v>
      </c>
      <c r="V224" s="3">
        <f t="shared" si="105"/>
        <v>0</v>
      </c>
      <c r="W224" s="3">
        <f t="shared" si="106"/>
        <v>29950.991566950921</v>
      </c>
      <c r="X224" s="3">
        <f t="shared" si="98"/>
        <v>17670.015533028509</v>
      </c>
      <c r="AI224" s="3"/>
      <c r="AJ224" s="3"/>
      <c r="AK224" s="15">
        <f t="shared" si="89"/>
        <v>1</v>
      </c>
      <c r="AL224" s="11">
        <f t="shared" si="93"/>
        <v>1290</v>
      </c>
      <c r="AM224" s="11" t="b">
        <f t="shared" si="88"/>
        <v>0</v>
      </c>
      <c r="AN224" s="11">
        <f t="shared" si="90"/>
        <v>36000</v>
      </c>
      <c r="AO224" s="11">
        <f t="shared" si="91"/>
        <v>0</v>
      </c>
      <c r="AP224" s="11">
        <f t="shared" si="92"/>
        <v>0.34429065959826743</v>
      </c>
      <c r="AQ224" s="11">
        <f t="shared" si="94"/>
        <v>0</v>
      </c>
      <c r="AT224" s="3"/>
      <c r="AU224" s="17"/>
      <c r="AV224" s="19"/>
      <c r="AW224" s="17"/>
      <c r="AX224" s="17">
        <f t="shared" si="87"/>
        <v>215</v>
      </c>
      <c r="AY224" s="17">
        <f t="shared" si="112"/>
        <v>21.5</v>
      </c>
      <c r="AZ224" s="17">
        <v>34.429065959826744</v>
      </c>
      <c r="BA224" s="17"/>
      <c r="BB224" s="17">
        <v>36</v>
      </c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  <c r="CG224" s="17"/>
      <c r="CH224" s="17"/>
    </row>
    <row r="225" spans="8:86" x14ac:dyDescent="0.15">
      <c r="H225" s="3">
        <f t="shared" si="107"/>
        <v>0.21300000000000016</v>
      </c>
      <c r="I225" s="3">
        <f t="shared" si="108"/>
        <v>360</v>
      </c>
      <c r="J225" s="14">
        <f t="shared" si="109"/>
        <v>500</v>
      </c>
      <c r="K225" s="3">
        <f t="shared" si="99"/>
        <v>0</v>
      </c>
      <c r="L225" s="3">
        <f t="shared" si="95"/>
        <v>500</v>
      </c>
      <c r="M225" s="15">
        <f t="shared" si="110"/>
        <v>7.0000000000000007E-2</v>
      </c>
      <c r="N225" s="3">
        <f t="shared" si="111"/>
        <v>83.122033071420347</v>
      </c>
      <c r="O225" s="3">
        <f t="shared" si="96"/>
        <v>83.122033071420347</v>
      </c>
      <c r="P225" s="3">
        <f t="shared" si="100"/>
        <v>89.378530184322955</v>
      </c>
      <c r="Q225" s="3">
        <f t="shared" si="101"/>
        <v>35.285911743577827</v>
      </c>
      <c r="R225" s="3">
        <f t="shared" si="102"/>
        <v>62.332220963950391</v>
      </c>
      <c r="S225" s="3">
        <f t="shared" si="97"/>
        <v>1</v>
      </c>
      <c r="T225" s="3">
        <f t="shared" si="103"/>
        <v>27046.309220372565</v>
      </c>
      <c r="U225" s="3">
        <f t="shared" si="104"/>
        <v>0.5</v>
      </c>
      <c r="V225" s="3">
        <f t="shared" si="105"/>
        <v>0</v>
      </c>
      <c r="W225" s="3">
        <f t="shared" si="106"/>
        <v>29923.931905711324</v>
      </c>
      <c r="X225" s="3">
        <f t="shared" si="98"/>
        <v>17642.955871788912</v>
      </c>
      <c r="AI225" s="3"/>
      <c r="AJ225" s="3"/>
      <c r="AK225" s="15">
        <f t="shared" si="89"/>
        <v>1</v>
      </c>
      <c r="AL225" s="11">
        <f t="shared" si="93"/>
        <v>1296</v>
      </c>
      <c r="AM225" s="11" t="b">
        <f t="shared" si="88"/>
        <v>0</v>
      </c>
      <c r="AN225" s="11">
        <f t="shared" si="90"/>
        <v>36000</v>
      </c>
      <c r="AO225" s="11">
        <f t="shared" si="91"/>
        <v>0</v>
      </c>
      <c r="AP225" s="11">
        <f t="shared" si="92"/>
        <v>0.3453929744130822</v>
      </c>
      <c r="AQ225" s="11">
        <f t="shared" si="94"/>
        <v>0</v>
      </c>
      <c r="AT225" s="3"/>
      <c r="AU225" s="17"/>
      <c r="AV225" s="19"/>
      <c r="AW225" s="17"/>
      <c r="AX225" s="17">
        <f t="shared" si="87"/>
        <v>216</v>
      </c>
      <c r="AY225" s="17">
        <f t="shared" si="112"/>
        <v>21.6</v>
      </c>
      <c r="AZ225" s="17">
        <v>34.539297441308221</v>
      </c>
      <c r="BA225" s="17"/>
      <c r="BB225" s="17">
        <v>36</v>
      </c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7"/>
      <c r="CF225" s="17"/>
      <c r="CG225" s="17"/>
      <c r="CH225" s="17"/>
    </row>
    <row r="226" spans="8:86" x14ac:dyDescent="0.15">
      <c r="H226" s="3">
        <f t="shared" si="107"/>
        <v>0.21400000000000016</v>
      </c>
      <c r="I226" s="3">
        <f t="shared" si="108"/>
        <v>360</v>
      </c>
      <c r="J226" s="14">
        <f t="shared" si="109"/>
        <v>500</v>
      </c>
      <c r="K226" s="3">
        <f t="shared" si="99"/>
        <v>0</v>
      </c>
      <c r="L226" s="3">
        <f t="shared" si="95"/>
        <v>500</v>
      </c>
      <c r="M226" s="15">
        <f t="shared" si="110"/>
        <v>7.0000000000000007E-2</v>
      </c>
      <c r="N226" s="3">
        <f t="shared" si="111"/>
        <v>83.046904434697097</v>
      </c>
      <c r="O226" s="3">
        <f t="shared" si="96"/>
        <v>83.046904434697097</v>
      </c>
      <c r="P226" s="3">
        <f t="shared" si="100"/>
        <v>89.297746703975378</v>
      </c>
      <c r="Q226" s="3">
        <f t="shared" si="101"/>
        <v>35.231819125137079</v>
      </c>
      <c r="R226" s="3">
        <f t="shared" si="102"/>
        <v>62.264782914556228</v>
      </c>
      <c r="S226" s="3">
        <f t="shared" si="97"/>
        <v>1</v>
      </c>
      <c r="T226" s="3">
        <f t="shared" si="103"/>
        <v>27032.963789419151</v>
      </c>
      <c r="U226" s="3">
        <f t="shared" si="104"/>
        <v>0.5</v>
      </c>
      <c r="V226" s="3">
        <f t="shared" si="105"/>
        <v>0</v>
      </c>
      <c r="W226" s="3">
        <f t="shared" si="106"/>
        <v>29896.885596490956</v>
      </c>
      <c r="X226" s="3">
        <f t="shared" si="98"/>
        <v>17615.90956256854</v>
      </c>
      <c r="AI226" s="3"/>
      <c r="AJ226" s="3"/>
      <c r="AK226" s="15">
        <f t="shared" si="89"/>
        <v>1</v>
      </c>
      <c r="AL226" s="11">
        <f t="shared" si="93"/>
        <v>1302</v>
      </c>
      <c r="AM226" s="11" t="b">
        <f t="shared" si="88"/>
        <v>0</v>
      </c>
      <c r="AN226" s="11">
        <f t="shared" si="90"/>
        <v>36000</v>
      </c>
      <c r="AO226" s="11">
        <f t="shared" si="91"/>
        <v>0</v>
      </c>
      <c r="AP226" s="11">
        <f t="shared" si="92"/>
        <v>0.34649528922789702</v>
      </c>
      <c r="AQ226" s="11">
        <f t="shared" si="94"/>
        <v>0</v>
      </c>
      <c r="AT226" s="3"/>
      <c r="AU226" s="17"/>
      <c r="AV226" s="19"/>
      <c r="AW226" s="17"/>
      <c r="AX226" s="17">
        <f t="shared" si="87"/>
        <v>217</v>
      </c>
      <c r="AY226" s="17">
        <f t="shared" si="112"/>
        <v>21.7</v>
      </c>
      <c r="AZ226" s="17">
        <v>34.649528922789699</v>
      </c>
      <c r="BA226" s="17"/>
      <c r="BB226" s="17">
        <v>36</v>
      </c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  <c r="BW226" s="17"/>
      <c r="BX226" s="17"/>
      <c r="BY226" s="17"/>
      <c r="BZ226" s="17"/>
      <c r="CA226" s="17"/>
      <c r="CB226" s="17"/>
      <c r="CC226" s="17"/>
      <c r="CD226" s="17"/>
      <c r="CE226" s="17"/>
      <c r="CF226" s="17"/>
      <c r="CG226" s="17"/>
      <c r="CH226" s="17"/>
    </row>
    <row r="227" spans="8:86" x14ac:dyDescent="0.15">
      <c r="H227" s="3">
        <f t="shared" si="107"/>
        <v>0.21500000000000016</v>
      </c>
      <c r="I227" s="3">
        <f t="shared" si="108"/>
        <v>360</v>
      </c>
      <c r="J227" s="14">
        <f t="shared" si="109"/>
        <v>500</v>
      </c>
      <c r="K227" s="3">
        <f t="shared" si="99"/>
        <v>0</v>
      </c>
      <c r="L227" s="3">
        <f t="shared" si="95"/>
        <v>500</v>
      </c>
      <c r="M227" s="15">
        <f t="shared" si="110"/>
        <v>7.0000000000000007E-2</v>
      </c>
      <c r="N227" s="3">
        <f t="shared" si="111"/>
        <v>82.971812868615388</v>
      </c>
      <c r="O227" s="3">
        <f t="shared" si="96"/>
        <v>82.971812868615388</v>
      </c>
      <c r="P227" s="3">
        <f t="shared" si="100"/>
        <v>89.217003084532678</v>
      </c>
      <c r="Q227" s="3">
        <f t="shared" si="101"/>
        <v>35.177753197558246</v>
      </c>
      <c r="R227" s="3">
        <f t="shared" si="102"/>
        <v>62.197378141045462</v>
      </c>
      <c r="S227" s="3">
        <f t="shared" si="97"/>
        <v>1</v>
      </c>
      <c r="T227" s="3">
        <f t="shared" si="103"/>
        <v>27019.624943487215</v>
      </c>
      <c r="U227" s="3">
        <f t="shared" si="104"/>
        <v>0.5</v>
      </c>
      <c r="V227" s="3">
        <f t="shared" si="105"/>
        <v>0</v>
      </c>
      <c r="W227" s="3">
        <f t="shared" si="106"/>
        <v>29869.852632701539</v>
      </c>
      <c r="X227" s="3">
        <f t="shared" si="98"/>
        <v>17588.876598779123</v>
      </c>
      <c r="AI227" s="3"/>
      <c r="AJ227" s="3"/>
      <c r="AK227" s="15">
        <f t="shared" si="89"/>
        <v>1</v>
      </c>
      <c r="AL227" s="11">
        <f t="shared" si="93"/>
        <v>1308</v>
      </c>
      <c r="AM227" s="11" t="b">
        <f t="shared" si="88"/>
        <v>0</v>
      </c>
      <c r="AN227" s="11">
        <f t="shared" si="90"/>
        <v>36000</v>
      </c>
      <c r="AO227" s="11">
        <f t="shared" si="91"/>
        <v>0</v>
      </c>
      <c r="AP227" s="11">
        <f t="shared" si="92"/>
        <v>0.34759760404271178</v>
      </c>
      <c r="AQ227" s="11">
        <f t="shared" si="94"/>
        <v>0</v>
      </c>
      <c r="AT227" s="3"/>
      <c r="AU227" s="17"/>
      <c r="AV227" s="19"/>
      <c r="AW227" s="17"/>
      <c r="AX227" s="17">
        <f t="shared" si="87"/>
        <v>218</v>
      </c>
      <c r="AY227" s="17">
        <f t="shared" si="112"/>
        <v>21.8</v>
      </c>
      <c r="AZ227" s="17">
        <v>34.759760404271177</v>
      </c>
      <c r="BA227" s="17"/>
      <c r="BB227" s="17">
        <v>36</v>
      </c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  <c r="BW227" s="17"/>
      <c r="BX227" s="17"/>
      <c r="BY227" s="17"/>
      <c r="BZ227" s="17"/>
      <c r="CA227" s="17"/>
      <c r="CB227" s="17"/>
      <c r="CC227" s="17"/>
      <c r="CD227" s="17"/>
      <c r="CE227" s="17"/>
      <c r="CF227" s="17"/>
      <c r="CG227" s="17"/>
      <c r="CH227" s="17"/>
    </row>
    <row r="228" spans="8:86" x14ac:dyDescent="0.15">
      <c r="H228" s="3">
        <f t="shared" si="107"/>
        <v>0.21600000000000016</v>
      </c>
      <c r="I228" s="3">
        <f t="shared" si="108"/>
        <v>360</v>
      </c>
      <c r="J228" s="14">
        <f t="shared" si="109"/>
        <v>500</v>
      </c>
      <c r="K228" s="3">
        <f t="shared" si="99"/>
        <v>0</v>
      </c>
      <c r="L228" s="3">
        <f t="shared" si="95"/>
        <v>500</v>
      </c>
      <c r="M228" s="15">
        <f t="shared" si="110"/>
        <v>7.0000000000000007E-2</v>
      </c>
      <c r="N228" s="3">
        <f t="shared" si="111"/>
        <v>82.896758354883474</v>
      </c>
      <c r="O228" s="3">
        <f t="shared" si="96"/>
        <v>82.896758354883474</v>
      </c>
      <c r="P228" s="3">
        <f t="shared" si="100"/>
        <v>89.136299306326322</v>
      </c>
      <c r="Q228" s="3">
        <f t="shared" si="101"/>
        <v>35.12371394767127</v>
      </c>
      <c r="R228" s="3">
        <f t="shared" si="102"/>
        <v>62.130006626998792</v>
      </c>
      <c r="S228" s="3">
        <f t="shared" si="97"/>
        <v>1</v>
      </c>
      <c r="T228" s="3">
        <f t="shared" si="103"/>
        <v>27006.292679327526</v>
      </c>
      <c r="U228" s="3">
        <f t="shared" si="104"/>
        <v>0.5</v>
      </c>
      <c r="V228" s="3">
        <f t="shared" si="105"/>
        <v>0</v>
      </c>
      <c r="W228" s="3">
        <f t="shared" si="106"/>
        <v>29842.83300775805</v>
      </c>
      <c r="X228" s="3">
        <f t="shared" si="98"/>
        <v>17561.856973835635</v>
      </c>
      <c r="AI228" s="3"/>
      <c r="AJ228" s="3"/>
      <c r="AK228" s="15">
        <f t="shared" si="89"/>
        <v>1</v>
      </c>
      <c r="AL228" s="11">
        <f t="shared" si="93"/>
        <v>1314</v>
      </c>
      <c r="AM228" s="11" t="b">
        <f t="shared" si="88"/>
        <v>0</v>
      </c>
      <c r="AN228" s="11">
        <f t="shared" si="90"/>
        <v>36000</v>
      </c>
      <c r="AO228" s="11">
        <f t="shared" si="91"/>
        <v>0</v>
      </c>
      <c r="AP228" s="11">
        <f t="shared" si="92"/>
        <v>0.3486999188575266</v>
      </c>
      <c r="AQ228" s="11">
        <f t="shared" si="94"/>
        <v>0</v>
      </c>
      <c r="AT228" s="3"/>
      <c r="AU228" s="17"/>
      <c r="AV228" s="19"/>
      <c r="AW228" s="17"/>
      <c r="AX228" s="17">
        <f t="shared" si="87"/>
        <v>219</v>
      </c>
      <c r="AY228" s="17">
        <f t="shared" si="112"/>
        <v>21.9</v>
      </c>
      <c r="AZ228" s="17">
        <v>34.869991885752661</v>
      </c>
      <c r="BA228" s="17"/>
      <c r="BB228" s="17">
        <v>36</v>
      </c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  <c r="BW228" s="17"/>
      <c r="BX228" s="17"/>
      <c r="BY228" s="17"/>
      <c r="BZ228" s="17"/>
      <c r="CA228" s="17"/>
      <c r="CB228" s="17"/>
      <c r="CC228" s="17"/>
      <c r="CD228" s="17"/>
      <c r="CE228" s="17"/>
      <c r="CF228" s="17"/>
      <c r="CG228" s="17"/>
      <c r="CH228" s="17"/>
    </row>
    <row r="229" spans="8:86" x14ac:dyDescent="0.15">
      <c r="H229" s="3">
        <f t="shared" si="107"/>
        <v>0.21700000000000016</v>
      </c>
      <c r="I229" s="3">
        <f t="shared" si="108"/>
        <v>360</v>
      </c>
      <c r="J229" s="14">
        <f t="shared" si="109"/>
        <v>500</v>
      </c>
      <c r="K229" s="3">
        <f t="shared" si="99"/>
        <v>0</v>
      </c>
      <c r="L229" s="3">
        <f t="shared" si="95"/>
        <v>500</v>
      </c>
      <c r="M229" s="15">
        <f t="shared" si="110"/>
        <v>7.0000000000000007E-2</v>
      </c>
      <c r="N229" s="3">
        <f t="shared" si="111"/>
        <v>82.821740875218666</v>
      </c>
      <c r="O229" s="3">
        <f t="shared" si="96"/>
        <v>82.821740875218666</v>
      </c>
      <c r="P229" s="3">
        <f t="shared" si="100"/>
        <v>89.055635349697496</v>
      </c>
      <c r="Q229" s="3">
        <f t="shared" si="101"/>
        <v>35.069701362312614</v>
      </c>
      <c r="R229" s="3">
        <f t="shared" si="102"/>
        <v>62.062668356005055</v>
      </c>
      <c r="S229" s="3">
        <f t="shared" si="97"/>
        <v>1</v>
      </c>
      <c r="T229" s="3">
        <f t="shared" si="103"/>
        <v>26992.96699369244</v>
      </c>
      <c r="U229" s="3">
        <f t="shared" si="104"/>
        <v>0.5</v>
      </c>
      <c r="V229" s="3">
        <f t="shared" si="105"/>
        <v>0</v>
      </c>
      <c r="W229" s="3">
        <f t="shared" si="106"/>
        <v>29815.826715078721</v>
      </c>
      <c r="X229" s="3">
        <f t="shared" si="98"/>
        <v>17534.850681156306</v>
      </c>
      <c r="AI229" s="3"/>
      <c r="AJ229" s="3"/>
      <c r="AK229" s="15">
        <f t="shared" si="89"/>
        <v>1</v>
      </c>
      <c r="AL229" s="11">
        <f t="shared" si="93"/>
        <v>1320</v>
      </c>
      <c r="AM229" s="11" t="b">
        <f t="shared" si="88"/>
        <v>0</v>
      </c>
      <c r="AN229" s="11">
        <f t="shared" si="90"/>
        <v>36000</v>
      </c>
      <c r="AO229" s="11">
        <f t="shared" si="91"/>
        <v>0</v>
      </c>
      <c r="AP229" s="11">
        <f t="shared" si="92"/>
        <v>0.34980223367234137</v>
      </c>
      <c r="AQ229" s="11">
        <f t="shared" si="94"/>
        <v>0</v>
      </c>
      <c r="AT229" s="3"/>
      <c r="AU229" s="17"/>
      <c r="AV229" s="19"/>
      <c r="AW229" s="17"/>
      <c r="AX229" s="17">
        <f t="shared" si="87"/>
        <v>220</v>
      </c>
      <c r="AY229" s="17">
        <f t="shared" si="112"/>
        <v>22</v>
      </c>
      <c r="AZ229" s="17">
        <v>34.980223367234139</v>
      </c>
      <c r="BA229" s="17"/>
      <c r="BB229" s="17">
        <v>36</v>
      </c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7"/>
      <c r="BR229" s="17"/>
      <c r="BS229" s="17"/>
      <c r="BT229" s="17"/>
      <c r="BU229" s="17"/>
      <c r="BV229" s="17"/>
      <c r="BW229" s="17"/>
      <c r="BX229" s="17"/>
      <c r="BY229" s="17"/>
      <c r="BZ229" s="17"/>
      <c r="CA229" s="17"/>
      <c r="CB229" s="17"/>
      <c r="CC229" s="17"/>
      <c r="CD229" s="17"/>
      <c r="CE229" s="17"/>
      <c r="CF229" s="17"/>
      <c r="CG229" s="17"/>
      <c r="CH229" s="17"/>
    </row>
    <row r="230" spans="8:86" x14ac:dyDescent="0.15">
      <c r="H230" s="3">
        <f t="shared" si="107"/>
        <v>0.21800000000000017</v>
      </c>
      <c r="I230" s="3">
        <f t="shared" si="108"/>
        <v>360</v>
      </c>
      <c r="J230" s="14">
        <f t="shared" si="109"/>
        <v>500</v>
      </c>
      <c r="K230" s="3">
        <f t="shared" si="99"/>
        <v>0</v>
      </c>
      <c r="L230" s="3">
        <f t="shared" si="95"/>
        <v>500</v>
      </c>
      <c r="M230" s="15">
        <f t="shared" si="110"/>
        <v>7.0000000000000007E-2</v>
      </c>
      <c r="N230" s="3">
        <f t="shared" si="111"/>
        <v>82.746760411347296</v>
      </c>
      <c r="O230" s="3">
        <f t="shared" si="96"/>
        <v>82.746760411347296</v>
      </c>
      <c r="P230" s="3">
        <f t="shared" si="100"/>
        <v>88.975011194997094</v>
      </c>
      <c r="Q230" s="3">
        <f t="shared" si="101"/>
        <v>35.015715428325223</v>
      </c>
      <c r="R230" s="3">
        <f t="shared" si="102"/>
        <v>61.995363311661158</v>
      </c>
      <c r="S230" s="3">
        <f t="shared" si="97"/>
        <v>1</v>
      </c>
      <c r="T230" s="3">
        <f t="shared" si="103"/>
        <v>26979.647883335936</v>
      </c>
      <c r="U230" s="3">
        <f t="shared" si="104"/>
        <v>0.5</v>
      </c>
      <c r="V230" s="3">
        <f t="shared" si="105"/>
        <v>0</v>
      </c>
      <c r="W230" s="3">
        <f t="shared" si="106"/>
        <v>29788.833748085028</v>
      </c>
      <c r="X230" s="3">
        <f t="shared" si="98"/>
        <v>17507.857714162612</v>
      </c>
      <c r="AI230" s="3"/>
      <c r="AJ230" s="3"/>
      <c r="AK230" s="15">
        <f t="shared" si="89"/>
        <v>1</v>
      </c>
      <c r="AL230" s="11">
        <f t="shared" si="93"/>
        <v>1326</v>
      </c>
      <c r="AM230" s="11" t="b">
        <f t="shared" si="88"/>
        <v>0</v>
      </c>
      <c r="AN230" s="11">
        <f t="shared" si="90"/>
        <v>36000</v>
      </c>
      <c r="AO230" s="11">
        <f t="shared" si="91"/>
        <v>0</v>
      </c>
      <c r="AP230" s="11">
        <f t="shared" si="92"/>
        <v>0.35090454848715619</v>
      </c>
      <c r="AQ230" s="11">
        <f t="shared" si="94"/>
        <v>0</v>
      </c>
      <c r="AT230" s="3"/>
      <c r="AU230" s="17"/>
      <c r="AV230" s="19"/>
      <c r="AW230" s="17"/>
      <c r="AX230" s="17">
        <f t="shared" si="87"/>
        <v>221</v>
      </c>
      <c r="AY230" s="17">
        <f t="shared" si="112"/>
        <v>22.1</v>
      </c>
      <c r="AZ230" s="17">
        <v>35.090454848715616</v>
      </c>
      <c r="BA230" s="17"/>
      <c r="BB230" s="17">
        <v>36</v>
      </c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  <c r="BW230" s="17"/>
      <c r="BX230" s="17"/>
      <c r="BY230" s="17"/>
      <c r="BZ230" s="17"/>
      <c r="CA230" s="17"/>
      <c r="CB230" s="17"/>
      <c r="CC230" s="17"/>
      <c r="CD230" s="17"/>
      <c r="CE230" s="17"/>
      <c r="CF230" s="17"/>
      <c r="CG230" s="17"/>
      <c r="CH230" s="17"/>
    </row>
    <row r="231" spans="8:86" x14ac:dyDescent="0.15">
      <c r="H231" s="3">
        <f t="shared" si="107"/>
        <v>0.21900000000000017</v>
      </c>
      <c r="I231" s="3">
        <f t="shared" si="108"/>
        <v>360</v>
      </c>
      <c r="J231" s="14">
        <f t="shared" si="109"/>
        <v>500</v>
      </c>
      <c r="K231" s="3">
        <f t="shared" si="99"/>
        <v>0</v>
      </c>
      <c r="L231" s="3">
        <f t="shared" si="95"/>
        <v>500</v>
      </c>
      <c r="M231" s="15">
        <f t="shared" si="110"/>
        <v>7.0000000000000007E-2</v>
      </c>
      <c r="N231" s="3">
        <f t="shared" si="111"/>
        <v>82.671816945004693</v>
      </c>
      <c r="O231" s="3">
        <f t="shared" si="96"/>
        <v>82.671816945004693</v>
      </c>
      <c r="P231" s="3">
        <f t="shared" si="100"/>
        <v>88.8944268225857</v>
      </c>
      <c r="Q231" s="3">
        <f t="shared" si="101"/>
        <v>34.961756132558548</v>
      </c>
      <c r="R231" s="3">
        <f t="shared" si="102"/>
        <v>61.928091477572124</v>
      </c>
      <c r="S231" s="3">
        <f t="shared" si="97"/>
        <v>1</v>
      </c>
      <c r="T231" s="3">
        <f t="shared" si="103"/>
        <v>26966.335345013576</v>
      </c>
      <c r="U231" s="3">
        <f t="shared" si="104"/>
        <v>0.5</v>
      </c>
      <c r="V231" s="3">
        <f t="shared" si="105"/>
        <v>0</v>
      </c>
      <c r="W231" s="3">
        <f t="shared" si="106"/>
        <v>29761.85410020169</v>
      </c>
      <c r="X231" s="3">
        <f t="shared" si="98"/>
        <v>17480.878066279274</v>
      </c>
      <c r="AI231" s="3"/>
      <c r="AJ231" s="3"/>
      <c r="AK231" s="15">
        <f t="shared" si="89"/>
        <v>1</v>
      </c>
      <c r="AL231" s="11">
        <f t="shared" si="93"/>
        <v>1332</v>
      </c>
      <c r="AM231" s="11" t="b">
        <f t="shared" si="88"/>
        <v>0</v>
      </c>
      <c r="AN231" s="11">
        <f t="shared" si="90"/>
        <v>36000</v>
      </c>
      <c r="AO231" s="11">
        <f t="shared" si="91"/>
        <v>0</v>
      </c>
      <c r="AP231" s="11">
        <f t="shared" si="92"/>
        <v>0.35200686330197101</v>
      </c>
      <c r="AQ231" s="11">
        <f t="shared" si="94"/>
        <v>0</v>
      </c>
      <c r="AT231" s="3"/>
      <c r="AU231" s="17"/>
      <c r="AV231" s="19"/>
      <c r="AW231" s="17"/>
      <c r="AX231" s="17">
        <f t="shared" si="87"/>
        <v>222</v>
      </c>
      <c r="AY231" s="17">
        <f t="shared" si="112"/>
        <v>22.2</v>
      </c>
      <c r="AZ231" s="17">
        <v>35.200686330197101</v>
      </c>
      <c r="BA231" s="17"/>
      <c r="BB231" s="17">
        <v>36</v>
      </c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  <c r="BW231" s="17"/>
      <c r="BX231" s="17"/>
      <c r="BY231" s="17"/>
      <c r="BZ231" s="17"/>
      <c r="CA231" s="17"/>
      <c r="CB231" s="17"/>
      <c r="CC231" s="17"/>
      <c r="CD231" s="17"/>
      <c r="CE231" s="17"/>
      <c r="CF231" s="17"/>
      <c r="CG231" s="17"/>
      <c r="CH231" s="17"/>
    </row>
    <row r="232" spans="8:86" x14ac:dyDescent="0.15">
      <c r="H232" s="3">
        <f t="shared" si="107"/>
        <v>0.22000000000000017</v>
      </c>
      <c r="I232" s="3">
        <f t="shared" si="108"/>
        <v>360</v>
      </c>
      <c r="J232" s="14">
        <f t="shared" si="109"/>
        <v>500</v>
      </c>
      <c r="K232" s="3">
        <f t="shared" si="99"/>
        <v>0</v>
      </c>
      <c r="L232" s="3">
        <f t="shared" si="95"/>
        <v>500</v>
      </c>
      <c r="M232" s="15">
        <f t="shared" si="110"/>
        <v>7.0000000000000007E-2</v>
      </c>
      <c r="N232" s="3">
        <f t="shared" si="111"/>
        <v>82.596910457935209</v>
      </c>
      <c r="O232" s="3">
        <f t="shared" si="96"/>
        <v>82.596910457935209</v>
      </c>
      <c r="P232" s="3">
        <f t="shared" si="100"/>
        <v>88.813882212833562</v>
      </c>
      <c r="Q232" s="3">
        <f t="shared" si="101"/>
        <v>34.907823461868524</v>
      </c>
      <c r="R232" s="3">
        <f t="shared" si="102"/>
        <v>61.860852837351047</v>
      </c>
      <c r="S232" s="3">
        <f t="shared" si="97"/>
        <v>1</v>
      </c>
      <c r="T232" s="3">
        <f t="shared" si="103"/>
        <v>26953.029375482518</v>
      </c>
      <c r="U232" s="3">
        <f t="shared" si="104"/>
        <v>0.5</v>
      </c>
      <c r="V232" s="3">
        <f t="shared" si="105"/>
        <v>0</v>
      </c>
      <c r="W232" s="3">
        <f t="shared" si="106"/>
        <v>29734.887764856674</v>
      </c>
      <c r="X232" s="3">
        <f t="shared" si="98"/>
        <v>17453.911730934262</v>
      </c>
      <c r="AI232" s="3"/>
      <c r="AJ232" s="3"/>
      <c r="AK232" s="15">
        <f t="shared" si="89"/>
        <v>1</v>
      </c>
      <c r="AL232" s="11">
        <f t="shared" si="93"/>
        <v>1338</v>
      </c>
      <c r="AM232" s="11" t="b">
        <f t="shared" si="88"/>
        <v>0</v>
      </c>
      <c r="AN232" s="11">
        <f t="shared" si="90"/>
        <v>36000</v>
      </c>
      <c r="AO232" s="11">
        <f t="shared" si="91"/>
        <v>0</v>
      </c>
      <c r="AP232" s="11">
        <f t="shared" si="92"/>
        <v>0.35310917811678577</v>
      </c>
      <c r="AQ232" s="11">
        <f t="shared" si="94"/>
        <v>0</v>
      </c>
      <c r="AT232" s="3"/>
      <c r="AU232" s="17"/>
      <c r="AV232" s="19"/>
      <c r="AW232" s="17"/>
      <c r="AX232" s="17">
        <f t="shared" si="87"/>
        <v>223</v>
      </c>
      <c r="AY232" s="17">
        <f t="shared" si="112"/>
        <v>22.3</v>
      </c>
      <c r="AZ232" s="17">
        <v>35.310917811678578</v>
      </c>
      <c r="BA232" s="17"/>
      <c r="BB232" s="17">
        <v>36</v>
      </c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  <c r="BW232" s="17"/>
      <c r="BX232" s="17"/>
      <c r="BY232" s="17"/>
      <c r="BZ232" s="17"/>
      <c r="CA232" s="17"/>
      <c r="CB232" s="17"/>
      <c r="CC232" s="17"/>
      <c r="CD232" s="17"/>
      <c r="CE232" s="17"/>
      <c r="CF232" s="17"/>
      <c r="CG232" s="17"/>
      <c r="CH232" s="17"/>
    </row>
    <row r="233" spans="8:86" x14ac:dyDescent="0.15">
      <c r="H233" s="3">
        <f t="shared" si="107"/>
        <v>0.22100000000000017</v>
      </c>
      <c r="I233" s="3">
        <f t="shared" si="108"/>
        <v>360</v>
      </c>
      <c r="J233" s="14">
        <f t="shared" si="109"/>
        <v>500</v>
      </c>
      <c r="K233" s="3">
        <f t="shared" si="99"/>
        <v>0</v>
      </c>
      <c r="L233" s="3">
        <f t="shared" si="95"/>
        <v>500</v>
      </c>
      <c r="M233" s="15">
        <f t="shared" si="110"/>
        <v>7.0000000000000007E-2</v>
      </c>
      <c r="N233" s="3">
        <f t="shared" si="111"/>
        <v>82.522040931892192</v>
      </c>
      <c r="O233" s="3">
        <f t="shared" si="96"/>
        <v>82.522040931892192</v>
      </c>
      <c r="P233" s="3">
        <f t="shared" si="100"/>
        <v>88.733377346120648</v>
      </c>
      <c r="Q233" s="3">
        <f t="shared" si="101"/>
        <v>34.853917403117556</v>
      </c>
      <c r="R233" s="3">
        <f t="shared" si="102"/>
        <v>61.793647374619098</v>
      </c>
      <c r="S233" s="3">
        <f t="shared" si="97"/>
        <v>1</v>
      </c>
      <c r="T233" s="3">
        <f t="shared" si="103"/>
        <v>26939.729971501547</v>
      </c>
      <c r="U233" s="3">
        <f t="shared" si="104"/>
        <v>0.5</v>
      </c>
      <c r="V233" s="3">
        <f t="shared" si="105"/>
        <v>0</v>
      </c>
      <c r="W233" s="3">
        <f t="shared" si="106"/>
        <v>29707.934735481191</v>
      </c>
      <c r="X233" s="3">
        <f t="shared" si="98"/>
        <v>17426.958701558779</v>
      </c>
      <c r="AI233" s="3"/>
      <c r="AJ233" s="3"/>
      <c r="AK233" s="15">
        <f t="shared" si="89"/>
        <v>1</v>
      </c>
      <c r="AL233" s="11">
        <f t="shared" si="93"/>
        <v>1344</v>
      </c>
      <c r="AM233" s="11" t="b">
        <f t="shared" si="88"/>
        <v>0</v>
      </c>
      <c r="AN233" s="11">
        <f t="shared" si="90"/>
        <v>36000</v>
      </c>
      <c r="AO233" s="11">
        <f t="shared" si="91"/>
        <v>0</v>
      </c>
      <c r="AP233" s="11">
        <f t="shared" si="92"/>
        <v>0.35421149293160059</v>
      </c>
      <c r="AQ233" s="11">
        <f t="shared" si="94"/>
        <v>0</v>
      </c>
      <c r="AT233" s="3"/>
      <c r="AU233" s="17"/>
      <c r="AV233" s="19"/>
      <c r="AW233" s="17"/>
      <c r="AX233" s="17">
        <f t="shared" si="87"/>
        <v>224</v>
      </c>
      <c r="AY233" s="17">
        <f t="shared" si="112"/>
        <v>22.4</v>
      </c>
      <c r="AZ233" s="17">
        <v>35.421149293160056</v>
      </c>
      <c r="BA233" s="17"/>
      <c r="BB233" s="17">
        <v>36</v>
      </c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  <c r="BW233" s="17"/>
      <c r="BX233" s="17"/>
      <c r="BY233" s="17"/>
      <c r="BZ233" s="17"/>
      <c r="CA233" s="17"/>
      <c r="CB233" s="17"/>
      <c r="CC233" s="17"/>
      <c r="CD233" s="17"/>
      <c r="CE233" s="17"/>
      <c r="CF233" s="17"/>
      <c r="CG233" s="17"/>
      <c r="CH233" s="17"/>
    </row>
    <row r="234" spans="8:86" x14ac:dyDescent="0.15">
      <c r="H234" s="3">
        <f t="shared" si="107"/>
        <v>0.22200000000000017</v>
      </c>
      <c r="I234" s="3">
        <f t="shared" si="108"/>
        <v>360</v>
      </c>
      <c r="J234" s="14">
        <f t="shared" si="109"/>
        <v>500</v>
      </c>
      <c r="K234" s="3">
        <f t="shared" si="99"/>
        <v>0</v>
      </c>
      <c r="L234" s="3">
        <f t="shared" si="95"/>
        <v>500</v>
      </c>
      <c r="M234" s="15">
        <f t="shared" si="110"/>
        <v>7.0000000000000007E-2</v>
      </c>
      <c r="N234" s="3">
        <f t="shared" si="111"/>
        <v>82.447208348638028</v>
      </c>
      <c r="O234" s="3">
        <f t="shared" si="96"/>
        <v>82.447208348638028</v>
      </c>
      <c r="P234" s="3">
        <f t="shared" si="100"/>
        <v>88.652912202836589</v>
      </c>
      <c r="Q234" s="3">
        <f t="shared" si="101"/>
        <v>34.800037943174551</v>
      </c>
      <c r="R234" s="3">
        <f t="shared" si="102"/>
        <v>61.726475073005574</v>
      </c>
      <c r="S234" s="3">
        <f t="shared" si="97"/>
        <v>1</v>
      </c>
      <c r="T234" s="3">
        <f t="shared" si="103"/>
        <v>26926.437129831018</v>
      </c>
      <c r="U234" s="3">
        <f t="shared" si="104"/>
        <v>0.5</v>
      </c>
      <c r="V234" s="3">
        <f t="shared" si="105"/>
        <v>0</v>
      </c>
      <c r="W234" s="3">
        <f t="shared" si="106"/>
        <v>29680.995005509689</v>
      </c>
      <c r="X234" s="3">
        <f t="shared" si="98"/>
        <v>17400.018971587277</v>
      </c>
      <c r="AI234" s="3"/>
      <c r="AJ234" s="3"/>
      <c r="AK234" s="15">
        <f t="shared" si="89"/>
        <v>1</v>
      </c>
      <c r="AL234" s="11">
        <f t="shared" si="93"/>
        <v>1350</v>
      </c>
      <c r="AM234" s="11" t="b">
        <f t="shared" si="88"/>
        <v>0</v>
      </c>
      <c r="AN234" s="11">
        <f t="shared" si="90"/>
        <v>36000</v>
      </c>
      <c r="AO234" s="11">
        <f t="shared" si="91"/>
        <v>0</v>
      </c>
      <c r="AP234" s="11">
        <f t="shared" si="92"/>
        <v>0.35531380774641536</v>
      </c>
      <c r="AQ234" s="11">
        <f t="shared" si="94"/>
        <v>0</v>
      </c>
      <c r="AT234" s="3"/>
      <c r="AU234" s="17"/>
      <c r="AV234" s="19"/>
      <c r="AW234" s="17"/>
      <c r="AX234" s="17">
        <f t="shared" si="87"/>
        <v>225</v>
      </c>
      <c r="AY234" s="17">
        <f t="shared" si="112"/>
        <v>22.5</v>
      </c>
      <c r="AZ234" s="17">
        <v>35.531380774641534</v>
      </c>
      <c r="BA234" s="17"/>
      <c r="BB234" s="17">
        <v>36</v>
      </c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  <c r="BW234" s="17"/>
      <c r="BX234" s="17"/>
      <c r="BY234" s="17"/>
      <c r="BZ234" s="17"/>
      <c r="CA234" s="17"/>
      <c r="CB234" s="17"/>
      <c r="CC234" s="17"/>
      <c r="CD234" s="17"/>
      <c r="CE234" s="17"/>
      <c r="CF234" s="17"/>
      <c r="CG234" s="17"/>
      <c r="CH234" s="17"/>
    </row>
    <row r="235" spans="8:86" x14ac:dyDescent="0.15">
      <c r="H235" s="3">
        <f t="shared" si="107"/>
        <v>0.22300000000000017</v>
      </c>
      <c r="I235" s="3">
        <f t="shared" si="108"/>
        <v>360</v>
      </c>
      <c r="J235" s="14">
        <f t="shared" si="109"/>
        <v>500</v>
      </c>
      <c r="K235" s="3">
        <f t="shared" si="99"/>
        <v>0</v>
      </c>
      <c r="L235" s="3">
        <f t="shared" si="95"/>
        <v>500</v>
      </c>
      <c r="M235" s="15">
        <f t="shared" si="110"/>
        <v>7.0000000000000007E-2</v>
      </c>
      <c r="N235" s="3">
        <f t="shared" si="111"/>
        <v>82.372412689944056</v>
      </c>
      <c r="O235" s="3">
        <f t="shared" si="96"/>
        <v>82.372412689944056</v>
      </c>
      <c r="P235" s="3">
        <f t="shared" si="100"/>
        <v>88.572486763380709</v>
      </c>
      <c r="Q235" s="3">
        <f t="shared" si="101"/>
        <v>34.74618506891489</v>
      </c>
      <c r="R235" s="3">
        <f t="shared" si="102"/>
        <v>61.659335916147796</v>
      </c>
      <c r="S235" s="3">
        <f t="shared" si="97"/>
        <v>1</v>
      </c>
      <c r="T235" s="3">
        <f t="shared" si="103"/>
        <v>26913.150847232908</v>
      </c>
      <c r="U235" s="3">
        <f t="shared" si="104"/>
        <v>0.5</v>
      </c>
      <c r="V235" s="3">
        <f t="shared" si="105"/>
        <v>0</v>
      </c>
      <c r="W235" s="3">
        <f t="shared" si="106"/>
        <v>29654.068568379862</v>
      </c>
      <c r="X235" s="3">
        <f t="shared" si="98"/>
        <v>17373.092534457446</v>
      </c>
      <c r="AI235" s="3"/>
      <c r="AJ235" s="3"/>
      <c r="AK235" s="15">
        <f t="shared" si="89"/>
        <v>1</v>
      </c>
      <c r="AL235" s="11">
        <f t="shared" si="93"/>
        <v>1356</v>
      </c>
      <c r="AM235" s="11" t="b">
        <f t="shared" si="88"/>
        <v>0</v>
      </c>
      <c r="AN235" s="11">
        <f t="shared" si="90"/>
        <v>36000</v>
      </c>
      <c r="AO235" s="11">
        <f t="shared" si="91"/>
        <v>0</v>
      </c>
      <c r="AP235" s="11">
        <f t="shared" si="92"/>
        <v>0.35641612256123018</v>
      </c>
      <c r="AQ235" s="11">
        <f t="shared" si="94"/>
        <v>0</v>
      </c>
      <c r="AT235" s="3"/>
      <c r="AU235" s="17"/>
      <c r="AV235" s="19"/>
      <c r="AW235" s="17"/>
      <c r="AX235" s="17">
        <f t="shared" si="87"/>
        <v>226</v>
      </c>
      <c r="AY235" s="17">
        <f t="shared" si="112"/>
        <v>22.6</v>
      </c>
      <c r="AZ235" s="17">
        <v>35.641612256123018</v>
      </c>
      <c r="BA235" s="17"/>
      <c r="BB235" s="17">
        <v>36</v>
      </c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  <c r="BW235" s="17"/>
      <c r="BX235" s="17"/>
      <c r="BY235" s="17"/>
      <c r="BZ235" s="17"/>
      <c r="CA235" s="17"/>
      <c r="CB235" s="17"/>
      <c r="CC235" s="17"/>
      <c r="CD235" s="17"/>
      <c r="CE235" s="17"/>
      <c r="CF235" s="17"/>
      <c r="CG235" s="17"/>
      <c r="CH235" s="17"/>
    </row>
    <row r="236" spans="8:86" x14ac:dyDescent="0.15">
      <c r="H236" s="3">
        <f t="shared" si="107"/>
        <v>0.22400000000000017</v>
      </c>
      <c r="I236" s="3">
        <f t="shared" si="108"/>
        <v>360</v>
      </c>
      <c r="J236" s="14">
        <f t="shared" si="109"/>
        <v>500</v>
      </c>
      <c r="K236" s="3">
        <f t="shared" si="99"/>
        <v>0</v>
      </c>
      <c r="L236" s="3">
        <f t="shared" si="95"/>
        <v>500</v>
      </c>
      <c r="M236" s="15">
        <f t="shared" si="110"/>
        <v>7.0000000000000007E-2</v>
      </c>
      <c r="N236" s="3">
        <f t="shared" si="111"/>
        <v>82.297653937590638</v>
      </c>
      <c r="O236" s="3">
        <f t="shared" si="96"/>
        <v>82.297653937590638</v>
      </c>
      <c r="P236" s="3">
        <f t="shared" si="100"/>
        <v>88.492101008161981</v>
      </c>
      <c r="Q236" s="3">
        <f t="shared" si="101"/>
        <v>34.692358767220426</v>
      </c>
      <c r="R236" s="3">
        <f t="shared" si="102"/>
        <v>61.592229887691204</v>
      </c>
      <c r="S236" s="3">
        <f t="shared" si="97"/>
        <v>1</v>
      </c>
      <c r="T236" s="3">
        <f t="shared" si="103"/>
        <v>26899.871120470776</v>
      </c>
      <c r="U236" s="3">
        <f t="shared" si="104"/>
        <v>0.5</v>
      </c>
      <c r="V236" s="3">
        <f t="shared" si="105"/>
        <v>0</v>
      </c>
      <c r="W236" s="3">
        <f t="shared" si="106"/>
        <v>29627.155417532631</v>
      </c>
      <c r="X236" s="3">
        <f t="shared" si="98"/>
        <v>17346.179383610212</v>
      </c>
      <c r="AI236" s="3"/>
      <c r="AJ236" s="3"/>
      <c r="AK236" s="15">
        <f t="shared" si="89"/>
        <v>1</v>
      </c>
      <c r="AL236" s="11">
        <f t="shared" si="93"/>
        <v>1362</v>
      </c>
      <c r="AM236" s="11" t="b">
        <f t="shared" si="88"/>
        <v>0</v>
      </c>
      <c r="AN236" s="11">
        <f t="shared" si="90"/>
        <v>36000</v>
      </c>
      <c r="AO236" s="11">
        <f t="shared" si="91"/>
        <v>0</v>
      </c>
      <c r="AP236" s="11">
        <f t="shared" si="92"/>
        <v>0.35751843737604494</v>
      </c>
      <c r="AQ236" s="11">
        <f t="shared" si="94"/>
        <v>0</v>
      </c>
      <c r="AT236" s="3"/>
      <c r="AU236" s="17"/>
      <c r="AV236" s="19"/>
      <c r="AW236" s="17"/>
      <c r="AX236" s="17">
        <f t="shared" si="87"/>
        <v>227</v>
      </c>
      <c r="AY236" s="17">
        <f t="shared" si="112"/>
        <v>22.7</v>
      </c>
      <c r="AZ236" s="17">
        <v>35.751843737604496</v>
      </c>
      <c r="BA236" s="17"/>
      <c r="BB236" s="17">
        <v>36</v>
      </c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7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  <c r="CC236" s="17"/>
      <c r="CD236" s="17"/>
      <c r="CE236" s="17"/>
      <c r="CF236" s="17"/>
      <c r="CG236" s="17"/>
      <c r="CH236" s="17"/>
    </row>
    <row r="237" spans="8:86" x14ac:dyDescent="0.15">
      <c r="H237" s="3">
        <f t="shared" si="107"/>
        <v>0.22500000000000017</v>
      </c>
      <c r="I237" s="3">
        <f t="shared" si="108"/>
        <v>360</v>
      </c>
      <c r="J237" s="14">
        <f t="shared" si="109"/>
        <v>500</v>
      </c>
      <c r="K237" s="3">
        <f t="shared" si="99"/>
        <v>0</v>
      </c>
      <c r="L237" s="3">
        <f t="shared" si="95"/>
        <v>500</v>
      </c>
      <c r="M237" s="15">
        <f t="shared" si="110"/>
        <v>7.0000000000000007E-2</v>
      </c>
      <c r="N237" s="3">
        <f t="shared" si="111"/>
        <v>82.222932073367119</v>
      </c>
      <c r="O237" s="3">
        <f t="shared" si="96"/>
        <v>82.222932073367119</v>
      </c>
      <c r="P237" s="3">
        <f t="shared" si="100"/>
        <v>88.411754917599055</v>
      </c>
      <c r="Q237" s="3">
        <f t="shared" si="101"/>
        <v>34.638559024979486</v>
      </c>
      <c r="R237" s="3">
        <f t="shared" si="102"/>
        <v>61.52515697128927</v>
      </c>
      <c r="S237" s="3">
        <f t="shared" si="97"/>
        <v>1</v>
      </c>
      <c r="T237" s="3">
        <f t="shared" si="103"/>
        <v>26886.597946309783</v>
      </c>
      <c r="U237" s="3">
        <f t="shared" si="104"/>
        <v>0.5</v>
      </c>
      <c r="V237" s="3">
        <f t="shared" si="105"/>
        <v>0</v>
      </c>
      <c r="W237" s="3">
        <f t="shared" si="106"/>
        <v>29600.255546412161</v>
      </c>
      <c r="X237" s="3">
        <f t="shared" si="98"/>
        <v>17319.279512489742</v>
      </c>
      <c r="AI237" s="3"/>
      <c r="AJ237" s="3"/>
      <c r="AK237" s="15">
        <f t="shared" si="89"/>
        <v>1</v>
      </c>
      <c r="AL237" s="11">
        <f t="shared" si="93"/>
        <v>1368</v>
      </c>
      <c r="AM237" s="11" t="b">
        <f t="shared" si="88"/>
        <v>0</v>
      </c>
      <c r="AN237" s="11">
        <f t="shared" si="90"/>
        <v>36000</v>
      </c>
      <c r="AO237" s="11">
        <f t="shared" si="91"/>
        <v>0</v>
      </c>
      <c r="AP237" s="11">
        <f t="shared" si="92"/>
        <v>0.35862075219085976</v>
      </c>
      <c r="AQ237" s="11">
        <f t="shared" si="94"/>
        <v>0</v>
      </c>
      <c r="AT237" s="3"/>
      <c r="AU237" s="17"/>
      <c r="AV237" s="19"/>
      <c r="AW237" s="17"/>
      <c r="AX237" s="17">
        <f t="shared" si="87"/>
        <v>228</v>
      </c>
      <c r="AY237" s="17">
        <f t="shared" si="112"/>
        <v>22.8</v>
      </c>
      <c r="AZ237" s="17">
        <v>35.862075219085973</v>
      </c>
      <c r="BA237" s="17"/>
      <c r="BB237" s="17">
        <v>36</v>
      </c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7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  <c r="CC237" s="17"/>
      <c r="CD237" s="17"/>
      <c r="CE237" s="17"/>
      <c r="CF237" s="17"/>
      <c r="CG237" s="17"/>
      <c r="CH237" s="17"/>
    </row>
    <row r="238" spans="8:86" x14ac:dyDescent="0.15">
      <c r="H238" s="3">
        <f t="shared" si="107"/>
        <v>0.22600000000000017</v>
      </c>
      <c r="I238" s="3">
        <f t="shared" si="108"/>
        <v>360</v>
      </c>
      <c r="J238" s="14">
        <f t="shared" si="109"/>
        <v>500</v>
      </c>
      <c r="K238" s="3">
        <f t="shared" si="99"/>
        <v>0</v>
      </c>
      <c r="L238" s="3">
        <f t="shared" si="95"/>
        <v>500</v>
      </c>
      <c r="M238" s="15">
        <f t="shared" si="110"/>
        <v>7.0000000000000007E-2</v>
      </c>
      <c r="N238" s="3">
        <f t="shared" si="111"/>
        <v>82.148247079071808</v>
      </c>
      <c r="O238" s="3">
        <f t="shared" si="96"/>
        <v>82.148247079071808</v>
      </c>
      <c r="P238" s="3">
        <f t="shared" si="100"/>
        <v>88.331448472120229</v>
      </c>
      <c r="Q238" s="3">
        <f t="shared" si="101"/>
        <v>34.584785829086869</v>
      </c>
      <c r="R238" s="3">
        <f t="shared" si="102"/>
        <v>61.458117150603549</v>
      </c>
      <c r="S238" s="3">
        <f t="shared" si="97"/>
        <v>1</v>
      </c>
      <c r="T238" s="3">
        <f t="shared" si="103"/>
        <v>26873.331321516682</v>
      </c>
      <c r="U238" s="3">
        <f t="shared" si="104"/>
        <v>0.5</v>
      </c>
      <c r="V238" s="3">
        <f t="shared" si="105"/>
        <v>0</v>
      </c>
      <c r="W238" s="3">
        <f t="shared" si="106"/>
        <v>29573.36894846585</v>
      </c>
      <c r="X238" s="3">
        <f t="shared" si="98"/>
        <v>17292.392914543434</v>
      </c>
      <c r="AI238" s="3"/>
      <c r="AJ238" s="3"/>
      <c r="AK238" s="15">
        <f t="shared" si="89"/>
        <v>1</v>
      </c>
      <c r="AL238" s="11">
        <f t="shared" si="93"/>
        <v>1374</v>
      </c>
      <c r="AM238" s="11" t="b">
        <f t="shared" si="88"/>
        <v>0</v>
      </c>
      <c r="AN238" s="11">
        <f t="shared" si="90"/>
        <v>36000</v>
      </c>
      <c r="AO238" s="11">
        <f t="shared" si="91"/>
        <v>0</v>
      </c>
      <c r="AP238" s="11">
        <f t="shared" si="92"/>
        <v>0.35972306700567452</v>
      </c>
      <c r="AQ238" s="11">
        <f t="shared" si="94"/>
        <v>0</v>
      </c>
      <c r="AT238" s="3"/>
      <c r="AU238" s="17"/>
      <c r="AV238" s="19"/>
      <c r="AW238" s="17"/>
      <c r="AX238" s="17">
        <f t="shared" ref="AX238:AX301" si="113">IF(AX237&gt;=$AG$14,$AG$14,AX237+1)</f>
        <v>229</v>
      </c>
      <c r="AY238" s="17">
        <f t="shared" si="112"/>
        <v>22.9</v>
      </c>
      <c r="AZ238" s="17">
        <v>35.972306700567451</v>
      </c>
      <c r="BA238" s="17"/>
      <c r="BB238" s="17">
        <v>36</v>
      </c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7"/>
      <c r="BR238" s="17"/>
      <c r="BS238" s="17"/>
      <c r="BT238" s="17"/>
      <c r="BU238" s="17"/>
      <c r="BV238" s="17"/>
      <c r="BW238" s="17"/>
      <c r="BX238" s="17"/>
      <c r="BY238" s="17"/>
      <c r="BZ238" s="17"/>
      <c r="CA238" s="17"/>
      <c r="CB238" s="17"/>
      <c r="CC238" s="17"/>
      <c r="CD238" s="17"/>
      <c r="CE238" s="17"/>
      <c r="CF238" s="17"/>
      <c r="CG238" s="17"/>
      <c r="CH238" s="17"/>
    </row>
    <row r="239" spans="8:86" x14ac:dyDescent="0.15">
      <c r="H239" s="3">
        <f t="shared" si="107"/>
        <v>0.22700000000000017</v>
      </c>
      <c r="I239" s="3">
        <f t="shared" si="108"/>
        <v>360</v>
      </c>
      <c r="J239" s="14">
        <f t="shared" si="109"/>
        <v>500</v>
      </c>
      <c r="K239" s="3">
        <f t="shared" si="99"/>
        <v>0</v>
      </c>
      <c r="L239" s="3">
        <f t="shared" si="95"/>
        <v>500</v>
      </c>
      <c r="M239" s="15">
        <f t="shared" si="110"/>
        <v>7.0000000000000007E-2</v>
      </c>
      <c r="N239" s="3">
        <f t="shared" si="111"/>
        <v>82.073598936512042</v>
      </c>
      <c r="O239" s="3">
        <f t="shared" si="96"/>
        <v>82.073598936512042</v>
      </c>
      <c r="P239" s="3">
        <f t="shared" si="100"/>
        <v>88.251181652163496</v>
      </c>
      <c r="Q239" s="3">
        <f t="shared" si="101"/>
        <v>34.531039166443833</v>
      </c>
      <c r="R239" s="3">
        <f t="shared" si="102"/>
        <v>61.391110409303664</v>
      </c>
      <c r="S239" s="3">
        <f t="shared" si="97"/>
        <v>1</v>
      </c>
      <c r="T239" s="3">
        <f t="shared" si="103"/>
        <v>26860.071242859831</v>
      </c>
      <c r="U239" s="3">
        <f t="shared" si="104"/>
        <v>0.5</v>
      </c>
      <c r="V239" s="3">
        <f t="shared" si="105"/>
        <v>0</v>
      </c>
      <c r="W239" s="3">
        <f t="shared" si="106"/>
        <v>29546.495617144334</v>
      </c>
      <c r="X239" s="3">
        <f t="shared" si="98"/>
        <v>17265.519583221918</v>
      </c>
      <c r="AI239" s="3"/>
      <c r="AJ239" s="3"/>
      <c r="AK239" s="15">
        <f t="shared" si="89"/>
        <v>1</v>
      </c>
      <c r="AL239" s="11">
        <f t="shared" si="93"/>
        <v>1380</v>
      </c>
      <c r="AM239" s="11" t="b">
        <f t="shared" si="88"/>
        <v>0</v>
      </c>
      <c r="AN239" s="11">
        <f t="shared" si="90"/>
        <v>36000</v>
      </c>
      <c r="AO239" s="11">
        <f t="shared" si="91"/>
        <v>0</v>
      </c>
      <c r="AP239" s="11">
        <f t="shared" si="92"/>
        <v>0.36082538182048934</v>
      </c>
      <c r="AQ239" s="11">
        <f t="shared" si="94"/>
        <v>0</v>
      </c>
      <c r="AT239" s="3"/>
      <c r="AU239" s="17"/>
      <c r="AV239" s="19"/>
      <c r="AW239" s="17"/>
      <c r="AX239" s="17">
        <f t="shared" si="113"/>
        <v>230</v>
      </c>
      <c r="AY239" s="17">
        <f t="shared" si="112"/>
        <v>23</v>
      </c>
      <c r="AZ239" s="17">
        <v>36.082538182048935</v>
      </c>
      <c r="BA239" s="17"/>
      <c r="BB239" s="17">
        <v>36</v>
      </c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  <c r="BW239" s="17"/>
      <c r="BX239" s="17"/>
      <c r="BY239" s="17"/>
      <c r="BZ239" s="17"/>
      <c r="CA239" s="17"/>
      <c r="CB239" s="17"/>
      <c r="CC239" s="17"/>
      <c r="CD239" s="17"/>
      <c r="CE239" s="17"/>
      <c r="CF239" s="17"/>
      <c r="CG239" s="17"/>
      <c r="CH239" s="17"/>
    </row>
    <row r="240" spans="8:86" x14ac:dyDescent="0.15">
      <c r="H240" s="3">
        <f t="shared" si="107"/>
        <v>0.22800000000000017</v>
      </c>
      <c r="I240" s="3">
        <f t="shared" si="108"/>
        <v>360</v>
      </c>
      <c r="J240" s="14">
        <f t="shared" si="109"/>
        <v>500</v>
      </c>
      <c r="K240" s="3">
        <f t="shared" si="99"/>
        <v>0</v>
      </c>
      <c r="L240" s="3">
        <f t="shared" si="95"/>
        <v>500</v>
      </c>
      <c r="M240" s="15">
        <f t="shared" si="110"/>
        <v>7.0000000000000007E-2</v>
      </c>
      <c r="N240" s="3">
        <f t="shared" si="111"/>
        <v>81.998987627504093</v>
      </c>
      <c r="O240" s="3">
        <f t="shared" si="96"/>
        <v>81.998987627504093</v>
      </c>
      <c r="P240" s="3">
        <f t="shared" si="100"/>
        <v>88.170954438176452</v>
      </c>
      <c r="Q240" s="3">
        <f t="shared" si="101"/>
        <v>34.477319023958117</v>
      </c>
      <c r="R240" s="3">
        <f t="shared" si="102"/>
        <v>61.324136731067284</v>
      </c>
      <c r="S240" s="3">
        <f t="shared" si="97"/>
        <v>1</v>
      </c>
      <c r="T240" s="3">
        <f t="shared" si="103"/>
        <v>26846.817707109167</v>
      </c>
      <c r="U240" s="3">
        <f t="shared" si="104"/>
        <v>0.5</v>
      </c>
      <c r="V240" s="3">
        <f t="shared" si="105"/>
        <v>0</v>
      </c>
      <c r="W240" s="3">
        <f t="shared" si="106"/>
        <v>29519.635545901474</v>
      </c>
      <c r="X240" s="3">
        <f t="shared" si="98"/>
        <v>17238.659511979058</v>
      </c>
      <c r="AI240" s="3"/>
      <c r="AJ240" s="3"/>
      <c r="AK240" s="15">
        <f t="shared" si="89"/>
        <v>1</v>
      </c>
      <c r="AL240" s="11">
        <f t="shared" si="93"/>
        <v>1386</v>
      </c>
      <c r="AM240" s="11" t="b">
        <f t="shared" si="88"/>
        <v>0</v>
      </c>
      <c r="AN240" s="11">
        <f t="shared" si="90"/>
        <v>36000</v>
      </c>
      <c r="AO240" s="11">
        <f t="shared" si="91"/>
        <v>0</v>
      </c>
      <c r="AP240" s="11">
        <f t="shared" si="92"/>
        <v>0.36192769663530411</v>
      </c>
      <c r="AQ240" s="11">
        <f t="shared" si="94"/>
        <v>0</v>
      </c>
      <c r="AT240" s="3"/>
      <c r="AU240" s="17"/>
      <c r="AV240" s="19"/>
      <c r="AW240" s="17"/>
      <c r="AX240" s="17">
        <f t="shared" si="113"/>
        <v>231</v>
      </c>
      <c r="AY240" s="17">
        <f t="shared" si="112"/>
        <v>23.1</v>
      </c>
      <c r="AZ240" s="17">
        <v>36.192769663530413</v>
      </c>
      <c r="BA240" s="17"/>
      <c r="BB240" s="17">
        <v>36</v>
      </c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7"/>
      <c r="BR240" s="17"/>
      <c r="BS240" s="17"/>
      <c r="BT240" s="17"/>
      <c r="BU240" s="17"/>
      <c r="BV240" s="17"/>
      <c r="BW240" s="17"/>
      <c r="BX240" s="17"/>
      <c r="BY240" s="17"/>
      <c r="BZ240" s="17"/>
      <c r="CA240" s="17"/>
      <c r="CB240" s="17"/>
      <c r="CC240" s="17"/>
      <c r="CD240" s="17"/>
      <c r="CE240" s="17"/>
      <c r="CF240" s="17"/>
      <c r="CG240" s="17"/>
      <c r="CH240" s="17"/>
    </row>
    <row r="241" spans="8:86" x14ac:dyDescent="0.15">
      <c r="H241" s="3">
        <f t="shared" si="107"/>
        <v>0.22900000000000018</v>
      </c>
      <c r="I241" s="3">
        <f t="shared" si="108"/>
        <v>360</v>
      </c>
      <c r="J241" s="14">
        <f t="shared" si="109"/>
        <v>500</v>
      </c>
      <c r="K241" s="3">
        <f t="shared" si="99"/>
        <v>0</v>
      </c>
      <c r="L241" s="3">
        <f t="shared" si="95"/>
        <v>500</v>
      </c>
      <c r="M241" s="15">
        <f t="shared" si="110"/>
        <v>7.0000000000000007E-2</v>
      </c>
      <c r="N241" s="3">
        <f t="shared" si="111"/>
        <v>81.924413133873244</v>
      </c>
      <c r="O241" s="3">
        <f t="shared" si="96"/>
        <v>81.924413133873244</v>
      </c>
      <c r="P241" s="3">
        <f t="shared" si="100"/>
        <v>88.090766810616401</v>
      </c>
      <c r="Q241" s="3">
        <f t="shared" si="101"/>
        <v>34.423625388543897</v>
      </c>
      <c r="R241" s="3">
        <f t="shared" si="102"/>
        <v>61.257196099580149</v>
      </c>
      <c r="S241" s="3">
        <f t="shared" si="97"/>
        <v>1</v>
      </c>
      <c r="T241" s="3">
        <f t="shared" si="103"/>
        <v>26833.570711036253</v>
      </c>
      <c r="U241" s="3">
        <f t="shared" si="104"/>
        <v>0.5</v>
      </c>
      <c r="V241" s="3">
        <f t="shared" si="105"/>
        <v>0</v>
      </c>
      <c r="W241" s="3">
        <f t="shared" si="106"/>
        <v>29492.788728194369</v>
      </c>
      <c r="X241" s="3">
        <f t="shared" si="98"/>
        <v>17211.81269427195</v>
      </c>
      <c r="AI241" s="3"/>
      <c r="AJ241" s="3"/>
      <c r="AK241" s="15">
        <f t="shared" si="89"/>
        <v>1</v>
      </c>
      <c r="AL241" s="11">
        <f t="shared" si="93"/>
        <v>1392</v>
      </c>
      <c r="AM241" s="11" t="b">
        <f t="shared" si="88"/>
        <v>0</v>
      </c>
      <c r="AN241" s="11">
        <f t="shared" si="90"/>
        <v>36000</v>
      </c>
      <c r="AO241" s="11">
        <f t="shared" si="91"/>
        <v>0</v>
      </c>
      <c r="AP241" s="11">
        <f t="shared" si="92"/>
        <v>0.36303001145011893</v>
      </c>
      <c r="AQ241" s="11">
        <f t="shared" si="94"/>
        <v>0</v>
      </c>
      <c r="AT241" s="3"/>
      <c r="AU241" s="17"/>
      <c r="AV241" s="19"/>
      <c r="AW241" s="17"/>
      <c r="AX241" s="17">
        <f t="shared" si="113"/>
        <v>232</v>
      </c>
      <c r="AY241" s="17">
        <f t="shared" si="112"/>
        <v>23.2</v>
      </c>
      <c r="AZ241" s="17">
        <v>36.303001145011891</v>
      </c>
      <c r="BA241" s="17"/>
      <c r="BB241" s="17">
        <v>36</v>
      </c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7"/>
      <c r="BR241" s="17"/>
      <c r="BS241" s="17"/>
      <c r="BT241" s="17"/>
      <c r="BU241" s="17"/>
      <c r="BV241" s="17"/>
      <c r="BW241" s="17"/>
      <c r="BX241" s="17"/>
      <c r="BY241" s="17"/>
      <c r="BZ241" s="17"/>
      <c r="CA241" s="17"/>
      <c r="CB241" s="17"/>
      <c r="CC241" s="17"/>
      <c r="CD241" s="17"/>
      <c r="CE241" s="17"/>
      <c r="CF241" s="17"/>
      <c r="CG241" s="17"/>
      <c r="CH241" s="17"/>
    </row>
    <row r="242" spans="8:86" x14ac:dyDescent="0.15">
      <c r="H242" s="3">
        <f t="shared" si="107"/>
        <v>0.23000000000000018</v>
      </c>
      <c r="I242" s="3">
        <f t="shared" si="108"/>
        <v>360</v>
      </c>
      <c r="J242" s="14">
        <f t="shared" si="109"/>
        <v>500</v>
      </c>
      <c r="K242" s="3">
        <f t="shared" si="99"/>
        <v>0</v>
      </c>
      <c r="L242" s="3">
        <f t="shared" si="95"/>
        <v>500</v>
      </c>
      <c r="M242" s="15">
        <f t="shared" si="110"/>
        <v>7.0000000000000007E-2</v>
      </c>
      <c r="N242" s="3">
        <f t="shared" si="111"/>
        <v>81.849875437453704</v>
      </c>
      <c r="O242" s="3">
        <f t="shared" si="96"/>
        <v>81.849875437453704</v>
      </c>
      <c r="P242" s="3">
        <f t="shared" si="100"/>
        <v>88.010618749950225</v>
      </c>
      <c r="Q242" s="3">
        <f t="shared" si="101"/>
        <v>34.369958247121829</v>
      </c>
      <c r="R242" s="3">
        <f t="shared" si="102"/>
        <v>61.190288498536027</v>
      </c>
      <c r="S242" s="3">
        <f t="shared" si="97"/>
        <v>1</v>
      </c>
      <c r="T242" s="3">
        <f t="shared" si="103"/>
        <v>26820.330251414198</v>
      </c>
      <c r="U242" s="3">
        <f t="shared" si="104"/>
        <v>0.5</v>
      </c>
      <c r="V242" s="3">
        <f t="shared" si="105"/>
        <v>0</v>
      </c>
      <c r="W242" s="3">
        <f t="shared" si="106"/>
        <v>29465.955157483335</v>
      </c>
      <c r="X242" s="3">
        <f t="shared" si="98"/>
        <v>17184.979123560915</v>
      </c>
      <c r="AI242" s="3"/>
      <c r="AJ242" s="3"/>
      <c r="AK242" s="15">
        <f t="shared" si="89"/>
        <v>1</v>
      </c>
      <c r="AL242" s="11">
        <f t="shared" si="93"/>
        <v>1398</v>
      </c>
      <c r="AM242" s="11" t="b">
        <f t="shared" si="88"/>
        <v>0</v>
      </c>
      <c r="AN242" s="11">
        <f t="shared" si="90"/>
        <v>36000</v>
      </c>
      <c r="AO242" s="11">
        <f t="shared" si="91"/>
        <v>0</v>
      </c>
      <c r="AP242" s="11">
        <f t="shared" si="92"/>
        <v>0.36413232626493369</v>
      </c>
      <c r="AQ242" s="11">
        <f t="shared" si="94"/>
        <v>0</v>
      </c>
      <c r="AT242" s="3"/>
      <c r="AU242" s="17"/>
      <c r="AV242" s="19"/>
      <c r="AW242" s="17"/>
      <c r="AX242" s="17">
        <f t="shared" si="113"/>
        <v>233</v>
      </c>
      <c r="AY242" s="17">
        <f t="shared" si="112"/>
        <v>23.3</v>
      </c>
      <c r="AZ242" s="17">
        <v>36.413232626493368</v>
      </c>
      <c r="BA242" s="17"/>
      <c r="BB242" s="17">
        <v>36</v>
      </c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7"/>
      <c r="BR242" s="17"/>
      <c r="BS242" s="17"/>
      <c r="BT242" s="17"/>
      <c r="BU242" s="17"/>
      <c r="BV242" s="17"/>
      <c r="BW242" s="17"/>
      <c r="BX242" s="17"/>
      <c r="BY242" s="17"/>
      <c r="BZ242" s="17"/>
      <c r="CA242" s="17"/>
      <c r="CB242" s="17"/>
      <c r="CC242" s="17"/>
      <c r="CD242" s="17"/>
      <c r="CE242" s="17"/>
      <c r="CF242" s="17"/>
      <c r="CG242" s="17"/>
      <c r="CH242" s="17"/>
    </row>
    <row r="243" spans="8:86" x14ac:dyDescent="0.15">
      <c r="H243" s="3">
        <f t="shared" si="107"/>
        <v>0.23100000000000018</v>
      </c>
      <c r="I243" s="3">
        <f t="shared" si="108"/>
        <v>360</v>
      </c>
      <c r="J243" s="14">
        <f t="shared" si="109"/>
        <v>500</v>
      </c>
      <c r="K243" s="3">
        <f t="shared" si="99"/>
        <v>0</v>
      </c>
      <c r="L243" s="3">
        <f t="shared" si="95"/>
        <v>500</v>
      </c>
      <c r="M243" s="15">
        <f t="shared" si="110"/>
        <v>7.0000000000000007E-2</v>
      </c>
      <c r="N243" s="3">
        <f t="shared" si="111"/>
        <v>81.775374520088661</v>
      </c>
      <c r="O243" s="3">
        <f t="shared" si="96"/>
        <v>81.775374520088661</v>
      </c>
      <c r="P243" s="3">
        <f t="shared" si="100"/>
        <v>87.930510236654484</v>
      </c>
      <c r="Q243" s="3">
        <f t="shared" si="101"/>
        <v>34.316317586619</v>
      </c>
      <c r="R243" s="3">
        <f t="shared" si="102"/>
        <v>61.123413911636746</v>
      </c>
      <c r="S243" s="3">
        <f t="shared" si="97"/>
        <v>1</v>
      </c>
      <c r="T243" s="3">
        <f t="shared" si="103"/>
        <v>26807.096325017741</v>
      </c>
      <c r="U243" s="3">
        <f t="shared" si="104"/>
        <v>0.5</v>
      </c>
      <c r="V243" s="3">
        <f t="shared" si="105"/>
        <v>0</v>
      </c>
      <c r="W243" s="3">
        <f t="shared" si="106"/>
        <v>29439.134827231919</v>
      </c>
      <c r="X243" s="3">
        <f t="shared" si="98"/>
        <v>17158.1587933095</v>
      </c>
      <c r="AI243" s="3"/>
      <c r="AJ243" s="3"/>
      <c r="AK243" s="15">
        <f t="shared" si="89"/>
        <v>1</v>
      </c>
      <c r="AL243" s="11">
        <f t="shared" si="93"/>
        <v>1404</v>
      </c>
      <c r="AM243" s="11" t="b">
        <f t="shared" si="88"/>
        <v>0</v>
      </c>
      <c r="AN243" s="11">
        <f t="shared" si="90"/>
        <v>36000</v>
      </c>
      <c r="AO243" s="11">
        <f t="shared" si="91"/>
        <v>0</v>
      </c>
      <c r="AP243" s="11">
        <f t="shared" si="92"/>
        <v>0.36523464107974851</v>
      </c>
      <c r="AQ243" s="11">
        <f t="shared" si="94"/>
        <v>0</v>
      </c>
      <c r="AT243" s="3"/>
      <c r="AU243" s="17"/>
      <c r="AV243" s="19"/>
      <c r="AW243" s="17"/>
      <c r="AX243" s="17">
        <f t="shared" si="113"/>
        <v>234</v>
      </c>
      <c r="AY243" s="17">
        <f t="shared" si="112"/>
        <v>23.4</v>
      </c>
      <c r="AZ243" s="17">
        <v>36.523464107974853</v>
      </c>
      <c r="BA243" s="17"/>
      <c r="BB243" s="17">
        <v>36</v>
      </c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7"/>
      <c r="BR243" s="17"/>
      <c r="BS243" s="17"/>
      <c r="BT243" s="17"/>
      <c r="BU243" s="17"/>
      <c r="BV243" s="17"/>
      <c r="BW243" s="17"/>
      <c r="BX243" s="17"/>
      <c r="BY243" s="17"/>
      <c r="BZ243" s="17"/>
      <c r="CA243" s="17"/>
      <c r="CB243" s="17"/>
      <c r="CC243" s="17"/>
      <c r="CD243" s="17"/>
      <c r="CE243" s="17"/>
      <c r="CF243" s="17"/>
      <c r="CG243" s="17"/>
      <c r="CH243" s="17"/>
    </row>
    <row r="244" spans="8:86" x14ac:dyDescent="0.15">
      <c r="H244" s="3">
        <f t="shared" si="107"/>
        <v>0.23200000000000018</v>
      </c>
      <c r="I244" s="3">
        <f t="shared" si="108"/>
        <v>360</v>
      </c>
      <c r="J244" s="14">
        <f t="shared" si="109"/>
        <v>500</v>
      </c>
      <c r="K244" s="3">
        <f t="shared" si="99"/>
        <v>0</v>
      </c>
      <c r="L244" s="3">
        <f t="shared" si="95"/>
        <v>500</v>
      </c>
      <c r="M244" s="15">
        <f t="shared" si="110"/>
        <v>7.0000000000000007E-2</v>
      </c>
      <c r="N244" s="3">
        <f t="shared" si="111"/>
        <v>81.700910363630285</v>
      </c>
      <c r="O244" s="3">
        <f t="shared" si="96"/>
        <v>81.700910363630285</v>
      </c>
      <c r="P244" s="3">
        <f t="shared" si="100"/>
        <v>87.850441251215372</v>
      </c>
      <c r="Q244" s="3">
        <f t="shared" si="101"/>
        <v>34.262703393968962</v>
      </c>
      <c r="R244" s="3">
        <f t="shared" si="102"/>
        <v>61.056572322592167</v>
      </c>
      <c r="S244" s="3">
        <f t="shared" si="97"/>
        <v>1</v>
      </c>
      <c r="T244" s="3">
        <f t="shared" si="103"/>
        <v>26793.868928623204</v>
      </c>
      <c r="U244" s="3">
        <f t="shared" si="104"/>
        <v>0.5</v>
      </c>
      <c r="V244" s="3">
        <f t="shared" si="105"/>
        <v>0</v>
      </c>
      <c r="W244" s="3">
        <f t="shared" si="106"/>
        <v>29412.327730906902</v>
      </c>
      <c r="X244" s="3">
        <f t="shared" si="98"/>
        <v>17131.351696984482</v>
      </c>
      <c r="AI244" s="3"/>
      <c r="AJ244" s="3"/>
      <c r="AK244" s="15">
        <f t="shared" si="89"/>
        <v>1</v>
      </c>
      <c r="AL244" s="11">
        <f t="shared" si="93"/>
        <v>1410</v>
      </c>
      <c r="AM244" s="11" t="b">
        <f t="shared" si="88"/>
        <v>0</v>
      </c>
      <c r="AN244" s="11">
        <f t="shared" si="90"/>
        <v>36000</v>
      </c>
      <c r="AO244" s="11">
        <f t="shared" si="91"/>
        <v>0</v>
      </c>
      <c r="AP244" s="11">
        <f t="shared" si="92"/>
        <v>0.36633695589456328</v>
      </c>
      <c r="AQ244" s="11">
        <f t="shared" si="94"/>
        <v>0</v>
      </c>
      <c r="AT244" s="3"/>
      <c r="AU244" s="17"/>
      <c r="AV244" s="19"/>
      <c r="AW244" s="17"/>
      <c r="AX244" s="17">
        <f t="shared" si="113"/>
        <v>235</v>
      </c>
      <c r="AY244" s="17">
        <f t="shared" si="112"/>
        <v>23.5</v>
      </c>
      <c r="AZ244" s="17">
        <v>36.63369558945633</v>
      </c>
      <c r="BA244" s="17"/>
      <c r="BB244" s="17">
        <v>36</v>
      </c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7"/>
      <c r="BR244" s="17"/>
      <c r="BS244" s="17"/>
      <c r="BT244" s="17"/>
      <c r="BU244" s="17"/>
      <c r="BV244" s="17"/>
      <c r="BW244" s="17"/>
      <c r="BX244" s="17"/>
      <c r="BY244" s="17"/>
      <c r="BZ244" s="17"/>
      <c r="CA244" s="17"/>
      <c r="CB244" s="17"/>
      <c r="CC244" s="17"/>
      <c r="CD244" s="17"/>
      <c r="CE244" s="17"/>
      <c r="CF244" s="17"/>
      <c r="CG244" s="17"/>
      <c r="CH244" s="17"/>
    </row>
    <row r="245" spans="8:86" x14ac:dyDescent="0.15">
      <c r="H245" s="3">
        <f t="shared" si="107"/>
        <v>0.23300000000000018</v>
      </c>
      <c r="I245" s="3">
        <f t="shared" si="108"/>
        <v>360</v>
      </c>
      <c r="J245" s="14">
        <f t="shared" si="109"/>
        <v>500</v>
      </c>
      <c r="K245" s="3">
        <f t="shared" si="99"/>
        <v>0</v>
      </c>
      <c r="L245" s="3">
        <f t="shared" si="95"/>
        <v>500</v>
      </c>
      <c r="M245" s="15">
        <f t="shared" si="110"/>
        <v>7.0000000000000007E-2</v>
      </c>
      <c r="N245" s="3">
        <f t="shared" si="111"/>
        <v>81.626482949939657</v>
      </c>
      <c r="O245" s="3">
        <f t="shared" si="96"/>
        <v>81.626482949939657</v>
      </c>
      <c r="P245" s="3">
        <f t="shared" si="100"/>
        <v>87.770411774128675</v>
      </c>
      <c r="Q245" s="3">
        <f t="shared" si="101"/>
        <v>34.20911565611172</v>
      </c>
      <c r="R245" s="3">
        <f t="shared" si="102"/>
        <v>60.989763715120198</v>
      </c>
      <c r="S245" s="3">
        <f t="shared" si="97"/>
        <v>1</v>
      </c>
      <c r="T245" s="3">
        <f t="shared" si="103"/>
        <v>26780.648059008476</v>
      </c>
      <c r="U245" s="3">
        <f t="shared" si="104"/>
        <v>0.5</v>
      </c>
      <c r="V245" s="3">
        <f t="shared" si="105"/>
        <v>0</v>
      </c>
      <c r="W245" s="3">
        <f t="shared" si="106"/>
        <v>29385.533861978278</v>
      </c>
      <c r="X245" s="3">
        <f t="shared" si="98"/>
        <v>17104.557828055858</v>
      </c>
      <c r="AI245" s="3"/>
      <c r="AJ245" s="3"/>
      <c r="AK245" s="15">
        <f t="shared" si="89"/>
        <v>1</v>
      </c>
      <c r="AL245" s="11">
        <f t="shared" si="93"/>
        <v>1416</v>
      </c>
      <c r="AM245" s="11" t="b">
        <f t="shared" si="88"/>
        <v>0</v>
      </c>
      <c r="AN245" s="11">
        <f t="shared" si="90"/>
        <v>36000</v>
      </c>
      <c r="AO245" s="11">
        <f t="shared" si="91"/>
        <v>0</v>
      </c>
      <c r="AP245" s="11">
        <f t="shared" si="92"/>
        <v>0.3674392707093781</v>
      </c>
      <c r="AQ245" s="11">
        <f t="shared" si="94"/>
        <v>0</v>
      </c>
      <c r="AT245" s="3"/>
      <c r="AU245" s="17"/>
      <c r="AV245" s="19"/>
      <c r="AW245" s="17"/>
      <c r="AX245" s="17">
        <f t="shared" si="113"/>
        <v>236</v>
      </c>
      <c r="AY245" s="17">
        <f t="shared" si="112"/>
        <v>23.6</v>
      </c>
      <c r="AZ245" s="17">
        <v>36.743927070937808</v>
      </c>
      <c r="BA245" s="17"/>
      <c r="BB245" s="17">
        <v>36</v>
      </c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7"/>
      <c r="CG245" s="17"/>
      <c r="CH245" s="17"/>
    </row>
    <row r="246" spans="8:86" x14ac:dyDescent="0.15">
      <c r="H246" s="3">
        <f t="shared" si="107"/>
        <v>0.23400000000000018</v>
      </c>
      <c r="I246" s="3">
        <f t="shared" si="108"/>
        <v>360</v>
      </c>
      <c r="J246" s="14">
        <f t="shared" si="109"/>
        <v>500</v>
      </c>
      <c r="K246" s="3">
        <f t="shared" si="99"/>
        <v>0</v>
      </c>
      <c r="L246" s="3">
        <f t="shared" si="95"/>
        <v>500</v>
      </c>
      <c r="M246" s="15">
        <f t="shared" si="110"/>
        <v>7.0000000000000007E-2</v>
      </c>
      <c r="N246" s="3">
        <f t="shared" si="111"/>
        <v>81.552092260886866</v>
      </c>
      <c r="O246" s="3">
        <f t="shared" si="96"/>
        <v>81.552092260886866</v>
      </c>
      <c r="P246" s="3">
        <f t="shared" si="100"/>
        <v>87.690421785899858</v>
      </c>
      <c r="Q246" s="3">
        <f t="shared" si="101"/>
        <v>34.155554359993701</v>
      </c>
      <c r="R246" s="3">
        <f t="shared" si="102"/>
        <v>60.922988072946779</v>
      </c>
      <c r="S246" s="3">
        <f t="shared" si="97"/>
        <v>1</v>
      </c>
      <c r="T246" s="3">
        <f t="shared" si="103"/>
        <v>26767.43371295308</v>
      </c>
      <c r="U246" s="3">
        <f t="shared" si="104"/>
        <v>0.5</v>
      </c>
      <c r="V246" s="3">
        <f t="shared" si="105"/>
        <v>0</v>
      </c>
      <c r="W246" s="3">
        <f t="shared" si="106"/>
        <v>29358.75321391927</v>
      </c>
      <c r="X246" s="3">
        <f t="shared" si="98"/>
        <v>17077.77717999685</v>
      </c>
      <c r="AI246" s="3"/>
      <c r="AJ246" s="3"/>
      <c r="AK246" s="15">
        <f t="shared" si="89"/>
        <v>1</v>
      </c>
      <c r="AL246" s="11">
        <f t="shared" si="93"/>
        <v>1422</v>
      </c>
      <c r="AM246" s="11" t="b">
        <f t="shared" si="88"/>
        <v>0</v>
      </c>
      <c r="AN246" s="11">
        <f t="shared" si="90"/>
        <v>36000</v>
      </c>
      <c r="AO246" s="11">
        <f t="shared" si="91"/>
        <v>0</v>
      </c>
      <c r="AP246" s="11">
        <f t="shared" si="92"/>
        <v>0.36854158552419286</v>
      </c>
      <c r="AQ246" s="11">
        <f t="shared" si="94"/>
        <v>0</v>
      </c>
      <c r="AT246" s="3"/>
      <c r="AU246" s="17"/>
      <c r="AV246" s="19"/>
      <c r="AW246" s="17"/>
      <c r="AX246" s="17">
        <f t="shared" si="113"/>
        <v>237</v>
      </c>
      <c r="AY246" s="17">
        <f t="shared" si="112"/>
        <v>23.7</v>
      </c>
      <c r="AZ246" s="17">
        <v>36.854158552419285</v>
      </c>
      <c r="BA246" s="17"/>
      <c r="BB246" s="17">
        <v>36</v>
      </c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7"/>
      <c r="BR246" s="17"/>
      <c r="BS246" s="17"/>
      <c r="BT246" s="17"/>
      <c r="BU246" s="17"/>
      <c r="BV246" s="17"/>
      <c r="BW246" s="17"/>
      <c r="BX246" s="17"/>
      <c r="BY246" s="17"/>
      <c r="BZ246" s="17"/>
      <c r="CA246" s="17"/>
      <c r="CB246" s="17"/>
      <c r="CC246" s="17"/>
      <c r="CD246" s="17"/>
      <c r="CE246" s="17"/>
      <c r="CF246" s="17"/>
      <c r="CG246" s="17"/>
      <c r="CH246" s="17"/>
    </row>
    <row r="247" spans="8:86" x14ac:dyDescent="0.15">
      <c r="H247" s="3">
        <f t="shared" si="107"/>
        <v>0.23500000000000018</v>
      </c>
      <c r="I247" s="3">
        <f t="shared" si="108"/>
        <v>360</v>
      </c>
      <c r="J247" s="14">
        <f t="shared" si="109"/>
        <v>500</v>
      </c>
      <c r="K247" s="3">
        <f t="shared" si="99"/>
        <v>0</v>
      </c>
      <c r="L247" s="3">
        <f t="shared" si="95"/>
        <v>500</v>
      </c>
      <c r="M247" s="15">
        <f t="shared" si="110"/>
        <v>7.0000000000000007E-2</v>
      </c>
      <c r="N247" s="3">
        <f t="shared" si="111"/>
        <v>81.477738278350884</v>
      </c>
      <c r="O247" s="3">
        <f t="shared" si="96"/>
        <v>81.477738278350884</v>
      </c>
      <c r="P247" s="3">
        <f t="shared" si="100"/>
        <v>87.610471267043962</v>
      </c>
      <c r="Q247" s="3">
        <f t="shared" si="101"/>
        <v>34.102019492567791</v>
      </c>
      <c r="R247" s="3">
        <f t="shared" si="102"/>
        <v>60.856245379805877</v>
      </c>
      <c r="S247" s="3">
        <f t="shared" si="97"/>
        <v>1</v>
      </c>
      <c r="T247" s="3">
        <f t="shared" si="103"/>
        <v>26754.225887238084</v>
      </c>
      <c r="U247" s="3">
        <f t="shared" si="104"/>
        <v>0.5</v>
      </c>
      <c r="V247" s="3">
        <f t="shared" si="105"/>
        <v>0</v>
      </c>
      <c r="W247" s="3">
        <f t="shared" si="106"/>
        <v>29331.98578020632</v>
      </c>
      <c r="X247" s="3">
        <f t="shared" si="98"/>
        <v>17051.009746283897</v>
      </c>
      <c r="AI247" s="3"/>
      <c r="AJ247" s="3"/>
      <c r="AK247" s="15">
        <f t="shared" si="89"/>
        <v>1</v>
      </c>
      <c r="AL247" s="11">
        <f t="shared" si="93"/>
        <v>1428</v>
      </c>
      <c r="AM247" s="11" t="b">
        <f t="shared" si="88"/>
        <v>0</v>
      </c>
      <c r="AN247" s="11">
        <f t="shared" si="90"/>
        <v>36000</v>
      </c>
      <c r="AO247" s="11">
        <f t="shared" si="91"/>
        <v>0</v>
      </c>
      <c r="AP247" s="11">
        <f t="shared" si="92"/>
        <v>0.36964390033900768</v>
      </c>
      <c r="AQ247" s="11">
        <f t="shared" si="94"/>
        <v>0</v>
      </c>
      <c r="AT247" s="3"/>
      <c r="AU247" s="17"/>
      <c r="AV247" s="19"/>
      <c r="AW247" s="17"/>
      <c r="AX247" s="17">
        <f t="shared" si="113"/>
        <v>238</v>
      </c>
      <c r="AY247" s="17">
        <f t="shared" si="112"/>
        <v>23.8</v>
      </c>
      <c r="AZ247" s="17">
        <v>36.96439003390077</v>
      </c>
      <c r="BA247" s="17"/>
      <c r="BB247" s="17">
        <v>36</v>
      </c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7"/>
      <c r="BR247" s="17"/>
      <c r="BS247" s="17"/>
      <c r="BT247" s="17"/>
      <c r="BU247" s="17"/>
      <c r="BV247" s="17"/>
      <c r="BW247" s="17"/>
      <c r="BX247" s="17"/>
      <c r="BY247" s="17"/>
      <c r="BZ247" s="17"/>
      <c r="CA247" s="17"/>
      <c r="CB247" s="17"/>
      <c r="CC247" s="17"/>
      <c r="CD247" s="17"/>
      <c r="CE247" s="17"/>
      <c r="CF247" s="17"/>
      <c r="CG247" s="17"/>
      <c r="CH247" s="17"/>
    </row>
    <row r="248" spans="8:86" x14ac:dyDescent="0.15">
      <c r="H248" s="3">
        <f t="shared" si="107"/>
        <v>0.23600000000000018</v>
      </c>
      <c r="I248" s="3">
        <f t="shared" si="108"/>
        <v>360</v>
      </c>
      <c r="J248" s="14">
        <f t="shared" si="109"/>
        <v>500</v>
      </c>
      <c r="K248" s="3">
        <f t="shared" si="99"/>
        <v>0</v>
      </c>
      <c r="L248" s="3">
        <f t="shared" si="95"/>
        <v>500</v>
      </c>
      <c r="M248" s="15">
        <f t="shared" si="110"/>
        <v>7.0000000000000007E-2</v>
      </c>
      <c r="N248" s="3">
        <f t="shared" si="111"/>
        <v>81.403420984219665</v>
      </c>
      <c r="O248" s="3">
        <f t="shared" si="96"/>
        <v>81.403420984219665</v>
      </c>
      <c r="P248" s="3">
        <f t="shared" si="100"/>
        <v>87.530560198085666</v>
      </c>
      <c r="Q248" s="3">
        <f t="shared" si="101"/>
        <v>34.048511040793315</v>
      </c>
      <c r="R248" s="3">
        <f t="shared" si="102"/>
        <v>60.789535619439491</v>
      </c>
      <c r="S248" s="3">
        <f t="shared" si="97"/>
        <v>1</v>
      </c>
      <c r="T248" s="3">
        <f t="shared" si="103"/>
        <v>26741.024578646175</v>
      </c>
      <c r="U248" s="3">
        <f t="shared" si="104"/>
        <v>0.5</v>
      </c>
      <c r="V248" s="3">
        <f t="shared" si="105"/>
        <v>0</v>
      </c>
      <c r="W248" s="3">
        <f t="shared" si="106"/>
        <v>29305.231554319078</v>
      </c>
      <c r="X248" s="3">
        <f t="shared" si="98"/>
        <v>17024.255520396659</v>
      </c>
      <c r="AI248" s="3"/>
      <c r="AJ248" s="3"/>
      <c r="AK248" s="15">
        <f t="shared" si="89"/>
        <v>1</v>
      </c>
      <c r="AL248" s="11">
        <f t="shared" si="93"/>
        <v>1434</v>
      </c>
      <c r="AM248" s="11" t="b">
        <f t="shared" si="88"/>
        <v>0</v>
      </c>
      <c r="AN248" s="11">
        <f t="shared" si="90"/>
        <v>36000</v>
      </c>
      <c r="AO248" s="11">
        <f t="shared" si="91"/>
        <v>0</v>
      </c>
      <c r="AP248" s="11">
        <f t="shared" si="92"/>
        <v>0.37074621515382244</v>
      </c>
      <c r="AQ248" s="11">
        <f t="shared" si="94"/>
        <v>0</v>
      </c>
      <c r="AT248" s="3"/>
      <c r="AU248" s="17"/>
      <c r="AV248" s="19"/>
      <c r="AW248" s="17"/>
      <c r="AX248" s="17">
        <f t="shared" si="113"/>
        <v>239</v>
      </c>
      <c r="AY248" s="17">
        <f t="shared" si="112"/>
        <v>23.9</v>
      </c>
      <c r="AZ248" s="17">
        <v>37.074621515382248</v>
      </c>
      <c r="BA248" s="17"/>
      <c r="BB248" s="17">
        <v>36</v>
      </c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Q248" s="17"/>
      <c r="BR248" s="17"/>
      <c r="BS248" s="17"/>
      <c r="BT248" s="17"/>
      <c r="BU248" s="17"/>
      <c r="BV248" s="17"/>
      <c r="BW248" s="17"/>
      <c r="BX248" s="17"/>
      <c r="BY248" s="17"/>
      <c r="BZ248" s="17"/>
      <c r="CA248" s="17"/>
      <c r="CB248" s="17"/>
      <c r="CC248" s="17"/>
      <c r="CD248" s="17"/>
      <c r="CE248" s="17"/>
      <c r="CF248" s="17"/>
      <c r="CG248" s="17"/>
      <c r="CH248" s="17"/>
    </row>
    <row r="249" spans="8:86" x14ac:dyDescent="0.15">
      <c r="H249" s="3">
        <f t="shared" si="107"/>
        <v>0.23700000000000018</v>
      </c>
      <c r="I249" s="3">
        <f t="shared" si="108"/>
        <v>360</v>
      </c>
      <c r="J249" s="14">
        <f t="shared" si="109"/>
        <v>500</v>
      </c>
      <c r="K249" s="3">
        <f t="shared" si="99"/>
        <v>0</v>
      </c>
      <c r="L249" s="3">
        <f t="shared" si="95"/>
        <v>500</v>
      </c>
      <c r="M249" s="15">
        <f t="shared" si="110"/>
        <v>7.0000000000000007E-2</v>
      </c>
      <c r="N249" s="3">
        <f t="shared" si="111"/>
        <v>81.329140360390085</v>
      </c>
      <c r="O249" s="3">
        <f t="shared" si="96"/>
        <v>81.329140360390085</v>
      </c>
      <c r="P249" s="3">
        <f t="shared" si="100"/>
        <v>87.450688559559239</v>
      </c>
      <c r="Q249" s="3">
        <f t="shared" si="101"/>
        <v>33.995028991636026</v>
      </c>
      <c r="R249" s="3">
        <f t="shared" si="102"/>
        <v>60.722858775597629</v>
      </c>
      <c r="S249" s="3">
        <f t="shared" si="97"/>
        <v>1</v>
      </c>
      <c r="T249" s="3">
        <f t="shared" si="103"/>
        <v>26727.829783961606</v>
      </c>
      <c r="U249" s="3">
        <f t="shared" si="104"/>
        <v>0.5</v>
      </c>
      <c r="V249" s="3">
        <f t="shared" si="105"/>
        <v>0</v>
      </c>
      <c r="W249" s="3">
        <f t="shared" si="106"/>
        <v>29278.490529740429</v>
      </c>
      <c r="X249" s="3">
        <f t="shared" si="98"/>
        <v>16997.514495818014</v>
      </c>
      <c r="AI249" s="3"/>
      <c r="AJ249" s="3"/>
      <c r="AK249" s="15">
        <f t="shared" si="89"/>
        <v>1</v>
      </c>
      <c r="AL249" s="11">
        <f t="shared" si="93"/>
        <v>1440</v>
      </c>
      <c r="AM249" s="11" t="b">
        <f t="shared" si="88"/>
        <v>0</v>
      </c>
      <c r="AN249" s="11">
        <f t="shared" si="90"/>
        <v>36000</v>
      </c>
      <c r="AO249" s="11">
        <f t="shared" si="91"/>
        <v>0</v>
      </c>
      <c r="AP249" s="11">
        <f t="shared" si="92"/>
        <v>0.37184852996863726</v>
      </c>
      <c r="AQ249" s="11">
        <f t="shared" si="94"/>
        <v>0</v>
      </c>
      <c r="AT249" s="3"/>
      <c r="AU249" s="17"/>
      <c r="AV249" s="19"/>
      <c r="AW249" s="17"/>
      <c r="AX249" s="17">
        <f t="shared" si="113"/>
        <v>240</v>
      </c>
      <c r="AY249" s="17">
        <f t="shared" si="112"/>
        <v>24</v>
      </c>
      <c r="AZ249" s="17">
        <v>37.184852996863725</v>
      </c>
      <c r="BA249" s="17"/>
      <c r="BB249" s="17">
        <v>36</v>
      </c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7"/>
      <c r="BR249" s="17"/>
      <c r="BS249" s="17"/>
      <c r="BT249" s="17"/>
      <c r="BU249" s="17"/>
      <c r="BV249" s="17"/>
      <c r="BW249" s="17"/>
      <c r="BX249" s="17"/>
      <c r="BY249" s="17"/>
      <c r="BZ249" s="17"/>
      <c r="CA249" s="17"/>
      <c r="CB249" s="17"/>
      <c r="CC249" s="17"/>
      <c r="CD249" s="17"/>
      <c r="CE249" s="17"/>
      <c r="CF249" s="17"/>
      <c r="CG249" s="17"/>
      <c r="CH249" s="17"/>
    </row>
    <row r="250" spans="8:86" x14ac:dyDescent="0.15">
      <c r="H250" s="3">
        <f t="shared" si="107"/>
        <v>0.23800000000000018</v>
      </c>
      <c r="I250" s="3">
        <f t="shared" si="108"/>
        <v>360</v>
      </c>
      <c r="J250" s="14">
        <f t="shared" si="109"/>
        <v>500</v>
      </c>
      <c r="K250" s="3">
        <f t="shared" si="99"/>
        <v>0</v>
      </c>
      <c r="L250" s="3">
        <f t="shared" si="95"/>
        <v>500</v>
      </c>
      <c r="M250" s="15">
        <f t="shared" si="110"/>
        <v>7.0000000000000007E-2</v>
      </c>
      <c r="N250" s="3">
        <f t="shared" si="111"/>
        <v>81.254896388767961</v>
      </c>
      <c r="O250" s="3">
        <f t="shared" si="96"/>
        <v>81.254896388767961</v>
      </c>
      <c r="P250" s="3">
        <f t="shared" si="100"/>
        <v>87.370856332008572</v>
      </c>
      <c r="Q250" s="3">
        <f t="shared" si="101"/>
        <v>33.941573332068103</v>
      </c>
      <c r="R250" s="3">
        <f t="shared" si="102"/>
        <v>60.656214832038337</v>
      </c>
      <c r="S250" s="3">
        <f t="shared" si="97"/>
        <v>1</v>
      </c>
      <c r="T250" s="3">
        <f t="shared" si="103"/>
        <v>26714.641499970236</v>
      </c>
      <c r="U250" s="3">
        <f t="shared" si="104"/>
        <v>0.5</v>
      </c>
      <c r="V250" s="3">
        <f t="shared" si="105"/>
        <v>0</v>
      </c>
      <c r="W250" s="3">
        <f t="shared" si="106"/>
        <v>29251.762699956467</v>
      </c>
      <c r="X250" s="3">
        <f t="shared" si="98"/>
        <v>16970.786666034051</v>
      </c>
      <c r="AI250" s="3"/>
      <c r="AJ250" s="3"/>
      <c r="AK250" s="15">
        <f t="shared" si="89"/>
        <v>1</v>
      </c>
      <c r="AL250" s="11">
        <f t="shared" si="93"/>
        <v>1446</v>
      </c>
      <c r="AM250" s="11" t="b">
        <f t="shared" si="88"/>
        <v>0</v>
      </c>
      <c r="AN250" s="11">
        <f t="shared" si="90"/>
        <v>36000</v>
      </c>
      <c r="AO250" s="11">
        <f t="shared" si="91"/>
        <v>0</v>
      </c>
      <c r="AP250" s="11">
        <f t="shared" si="92"/>
        <v>0.37295084478345203</v>
      </c>
      <c r="AQ250" s="11">
        <f t="shared" si="94"/>
        <v>0</v>
      </c>
      <c r="AT250" s="3"/>
      <c r="AU250" s="17"/>
      <c r="AV250" s="19"/>
      <c r="AW250" s="17"/>
      <c r="AX250" s="17">
        <f t="shared" si="113"/>
        <v>241</v>
      </c>
      <c r="AY250" s="17">
        <f t="shared" si="112"/>
        <v>24.1</v>
      </c>
      <c r="AZ250" s="17">
        <v>37.295084478345203</v>
      </c>
      <c r="BA250" s="17"/>
      <c r="BB250" s="17">
        <v>36</v>
      </c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Q250" s="17"/>
      <c r="BR250" s="17"/>
      <c r="BS250" s="17"/>
      <c r="BT250" s="17"/>
      <c r="BU250" s="17"/>
      <c r="BV250" s="17"/>
      <c r="BW250" s="17"/>
      <c r="BX250" s="17"/>
      <c r="BY250" s="17"/>
      <c r="BZ250" s="17"/>
      <c r="CA250" s="17"/>
      <c r="CB250" s="17"/>
      <c r="CC250" s="17"/>
      <c r="CD250" s="17"/>
      <c r="CE250" s="17"/>
      <c r="CF250" s="17"/>
      <c r="CG250" s="17"/>
      <c r="CH250" s="17"/>
    </row>
    <row r="251" spans="8:86" x14ac:dyDescent="0.15">
      <c r="H251" s="3">
        <f t="shared" si="107"/>
        <v>0.23900000000000018</v>
      </c>
      <c r="I251" s="3">
        <f t="shared" si="108"/>
        <v>360</v>
      </c>
      <c r="J251" s="14">
        <f t="shared" si="109"/>
        <v>500</v>
      </c>
      <c r="K251" s="3">
        <f t="shared" si="99"/>
        <v>0</v>
      </c>
      <c r="L251" s="3">
        <f t="shared" si="95"/>
        <v>500</v>
      </c>
      <c r="M251" s="15">
        <f t="shared" si="110"/>
        <v>7.0000000000000007E-2</v>
      </c>
      <c r="N251" s="3">
        <f t="shared" si="111"/>
        <v>81.180689051268047</v>
      </c>
      <c r="O251" s="3">
        <f t="shared" si="96"/>
        <v>81.180689051268047</v>
      </c>
      <c r="P251" s="3">
        <f t="shared" si="100"/>
        <v>87.291063495987146</v>
      </c>
      <c r="Q251" s="3">
        <f t="shared" si="101"/>
        <v>33.888144049068167</v>
      </c>
      <c r="R251" s="3">
        <f t="shared" si="102"/>
        <v>60.589603772527653</v>
      </c>
      <c r="S251" s="3">
        <f t="shared" si="97"/>
        <v>1</v>
      </c>
      <c r="T251" s="3">
        <f t="shared" si="103"/>
        <v>26701.459723459491</v>
      </c>
      <c r="U251" s="3">
        <f t="shared" si="104"/>
        <v>0.5</v>
      </c>
      <c r="V251" s="3">
        <f t="shared" si="105"/>
        <v>0</v>
      </c>
      <c r="W251" s="3">
        <f t="shared" si="106"/>
        <v>29225.048058456498</v>
      </c>
      <c r="X251" s="3">
        <f t="shared" si="98"/>
        <v>16944.072024534082</v>
      </c>
      <c r="AI251" s="3"/>
      <c r="AJ251" s="3"/>
      <c r="AK251" s="15">
        <f t="shared" si="89"/>
        <v>1</v>
      </c>
      <c r="AL251" s="11">
        <f t="shared" si="93"/>
        <v>1452</v>
      </c>
      <c r="AM251" s="11" t="b">
        <f t="shared" si="88"/>
        <v>0</v>
      </c>
      <c r="AN251" s="11">
        <f t="shared" si="90"/>
        <v>36000</v>
      </c>
      <c r="AO251" s="11">
        <f t="shared" si="91"/>
        <v>0</v>
      </c>
      <c r="AP251" s="11">
        <f t="shared" si="92"/>
        <v>0.37405315959826685</v>
      </c>
      <c r="AQ251" s="11">
        <f t="shared" si="94"/>
        <v>0</v>
      </c>
      <c r="AT251" s="3"/>
      <c r="AU251" s="17"/>
      <c r="AV251" s="19"/>
      <c r="AW251" s="17"/>
      <c r="AX251" s="17">
        <f t="shared" si="113"/>
        <v>242</v>
      </c>
      <c r="AY251" s="17">
        <f t="shared" si="112"/>
        <v>24.2</v>
      </c>
      <c r="AZ251" s="17">
        <v>37.405315959826687</v>
      </c>
      <c r="BA251" s="17"/>
      <c r="BB251" s="17">
        <v>36</v>
      </c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Q251" s="17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  <c r="CC251" s="17"/>
      <c r="CD251" s="17"/>
      <c r="CE251" s="17"/>
      <c r="CF251" s="17"/>
      <c r="CG251" s="17"/>
      <c r="CH251" s="17"/>
    </row>
    <row r="252" spans="8:86" x14ac:dyDescent="0.15">
      <c r="H252" s="3">
        <f t="shared" si="107"/>
        <v>0.24000000000000019</v>
      </c>
      <c r="I252" s="3">
        <f t="shared" si="108"/>
        <v>360</v>
      </c>
      <c r="J252" s="14">
        <f t="shared" si="109"/>
        <v>500</v>
      </c>
      <c r="K252" s="3">
        <f t="shared" si="99"/>
        <v>0</v>
      </c>
      <c r="L252" s="3">
        <f t="shared" si="95"/>
        <v>500</v>
      </c>
      <c r="M252" s="15">
        <f t="shared" si="110"/>
        <v>7.0000000000000007E-2</v>
      </c>
      <c r="N252" s="3">
        <f t="shared" si="111"/>
        <v>81.106518329813994</v>
      </c>
      <c r="O252" s="3">
        <f t="shared" si="96"/>
        <v>81.106518329813994</v>
      </c>
      <c r="P252" s="3">
        <f t="shared" si="100"/>
        <v>87.211310032058066</v>
      </c>
      <c r="Q252" s="3">
        <f t="shared" si="101"/>
        <v>33.834741129621243</v>
      </c>
      <c r="R252" s="3">
        <f t="shared" si="102"/>
        <v>60.523025580839658</v>
      </c>
      <c r="S252" s="3">
        <f t="shared" si="97"/>
        <v>1</v>
      </c>
      <c r="T252" s="3">
        <f t="shared" si="103"/>
        <v>26688.284451218413</v>
      </c>
      <c r="U252" s="3">
        <f t="shared" si="104"/>
        <v>0.5</v>
      </c>
      <c r="V252" s="3">
        <f t="shared" si="105"/>
        <v>0</v>
      </c>
      <c r="W252" s="3">
        <f t="shared" si="106"/>
        <v>29198.346598733038</v>
      </c>
      <c r="X252" s="3">
        <f t="shared" si="98"/>
        <v>16917.370564810622</v>
      </c>
      <c r="AI252" s="3"/>
      <c r="AJ252" s="3"/>
      <c r="AK252" s="15">
        <f t="shared" si="89"/>
        <v>1</v>
      </c>
      <c r="AL252" s="11">
        <f t="shared" si="93"/>
        <v>1458</v>
      </c>
      <c r="AM252" s="11" t="b">
        <f t="shared" si="88"/>
        <v>0</v>
      </c>
      <c r="AN252" s="11">
        <f t="shared" si="90"/>
        <v>36000</v>
      </c>
      <c r="AO252" s="11">
        <f t="shared" si="91"/>
        <v>0</v>
      </c>
      <c r="AP252" s="11">
        <f t="shared" si="92"/>
        <v>0.37515547441308161</v>
      </c>
      <c r="AQ252" s="11">
        <f t="shared" si="94"/>
        <v>0</v>
      </c>
      <c r="AT252" s="3"/>
      <c r="AU252" s="17"/>
      <c r="AV252" s="19"/>
      <c r="AW252" s="17"/>
      <c r="AX252" s="17">
        <f t="shared" si="113"/>
        <v>243</v>
      </c>
      <c r="AY252" s="17">
        <f t="shared" si="112"/>
        <v>24.3</v>
      </c>
      <c r="AZ252" s="17">
        <v>37.515547441308158</v>
      </c>
      <c r="BA252" s="17"/>
      <c r="BB252" s="17">
        <v>36</v>
      </c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Q252" s="17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  <c r="CC252" s="17"/>
      <c r="CD252" s="17"/>
      <c r="CE252" s="17"/>
      <c r="CF252" s="17"/>
      <c r="CG252" s="17"/>
      <c r="CH252" s="17"/>
    </row>
    <row r="253" spans="8:86" x14ac:dyDescent="0.15">
      <c r="H253" s="3">
        <f t="shared" si="107"/>
        <v>0.24100000000000019</v>
      </c>
      <c r="I253" s="3">
        <f t="shared" si="108"/>
        <v>360</v>
      </c>
      <c r="J253" s="14">
        <f t="shared" si="109"/>
        <v>500</v>
      </c>
      <c r="K253" s="3">
        <f t="shared" si="99"/>
        <v>0</v>
      </c>
      <c r="L253" s="3">
        <f t="shared" si="95"/>
        <v>500</v>
      </c>
      <c r="M253" s="15">
        <f t="shared" si="110"/>
        <v>7.0000000000000007E-2</v>
      </c>
      <c r="N253" s="3">
        <f t="shared" si="111"/>
        <v>81.032384206338392</v>
      </c>
      <c r="O253" s="3">
        <f t="shared" si="96"/>
        <v>81.032384206338392</v>
      </c>
      <c r="P253" s="3">
        <f t="shared" si="100"/>
        <v>87.13159592079397</v>
      </c>
      <c r="Q253" s="3">
        <f t="shared" si="101"/>
        <v>33.781364560718806</v>
      </c>
      <c r="R253" s="3">
        <f t="shared" si="102"/>
        <v>60.456480240756392</v>
      </c>
      <c r="S253" s="3">
        <f t="shared" si="97"/>
        <v>1</v>
      </c>
      <c r="T253" s="3">
        <f t="shared" si="103"/>
        <v>26675.115680037583</v>
      </c>
      <c r="U253" s="3">
        <f t="shared" si="104"/>
        <v>0.5</v>
      </c>
      <c r="V253" s="3">
        <f t="shared" si="105"/>
        <v>0</v>
      </c>
      <c r="W253" s="3">
        <f t="shared" si="106"/>
        <v>29171.65831428182</v>
      </c>
      <c r="X253" s="3">
        <f t="shared" si="98"/>
        <v>16890.682280359404</v>
      </c>
      <c r="AI253" s="3"/>
      <c r="AJ253" s="3"/>
      <c r="AK253" s="15">
        <f t="shared" si="89"/>
        <v>1</v>
      </c>
      <c r="AL253" s="11">
        <f t="shared" si="93"/>
        <v>1464</v>
      </c>
      <c r="AM253" s="11" t="b">
        <f t="shared" si="88"/>
        <v>0</v>
      </c>
      <c r="AN253" s="11">
        <f t="shared" si="90"/>
        <v>36000</v>
      </c>
      <c r="AO253" s="11">
        <f t="shared" si="91"/>
        <v>0</v>
      </c>
      <c r="AP253" s="11">
        <f t="shared" si="92"/>
        <v>0.37625778922789643</v>
      </c>
      <c r="AQ253" s="11">
        <f t="shared" si="94"/>
        <v>0</v>
      </c>
      <c r="AT253" s="3"/>
      <c r="AU253" s="17"/>
      <c r="AV253" s="19"/>
      <c r="AW253" s="17"/>
      <c r="AX253" s="17">
        <f t="shared" si="113"/>
        <v>244</v>
      </c>
      <c r="AY253" s="17">
        <f t="shared" si="112"/>
        <v>24.4</v>
      </c>
      <c r="AZ253" s="17">
        <v>37.625778922789642</v>
      </c>
      <c r="BA253" s="17"/>
      <c r="BB253" s="17">
        <v>36</v>
      </c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Q253" s="17"/>
      <c r="BR253" s="17"/>
      <c r="BS253" s="17"/>
      <c r="BT253" s="17"/>
      <c r="BU253" s="17"/>
      <c r="BV253" s="17"/>
      <c r="BW253" s="17"/>
      <c r="BX253" s="17"/>
      <c r="BY253" s="17"/>
      <c r="BZ253" s="17"/>
      <c r="CA253" s="17"/>
      <c r="CB253" s="17"/>
      <c r="CC253" s="17"/>
      <c r="CD253" s="17"/>
      <c r="CE253" s="17"/>
      <c r="CF253" s="17"/>
      <c r="CG253" s="17"/>
      <c r="CH253" s="17"/>
    </row>
    <row r="254" spans="8:86" x14ac:dyDescent="0.15">
      <c r="H254" s="3">
        <f t="shared" si="107"/>
        <v>0.24200000000000019</v>
      </c>
      <c r="I254" s="3">
        <f t="shared" si="108"/>
        <v>360</v>
      </c>
      <c r="J254" s="14">
        <f t="shared" si="109"/>
        <v>500</v>
      </c>
      <c r="K254" s="3">
        <f t="shared" si="99"/>
        <v>0</v>
      </c>
      <c r="L254" s="3">
        <f t="shared" si="95"/>
        <v>500</v>
      </c>
      <c r="M254" s="15">
        <f t="shared" si="110"/>
        <v>7.0000000000000007E-2</v>
      </c>
      <c r="N254" s="3">
        <f t="shared" si="111"/>
        <v>80.958286662782726</v>
      </c>
      <c r="O254" s="3">
        <f t="shared" si="96"/>
        <v>80.958286662782726</v>
      </c>
      <c r="P254" s="3">
        <f t="shared" si="100"/>
        <v>87.051921142777132</v>
      </c>
      <c r="Q254" s="3">
        <f t="shared" si="101"/>
        <v>33.728014329358729</v>
      </c>
      <c r="R254" s="3">
        <f t="shared" si="102"/>
        <v>60.389967736067931</v>
      </c>
      <c r="S254" s="3">
        <f t="shared" si="97"/>
        <v>1</v>
      </c>
      <c r="T254" s="3">
        <f t="shared" si="103"/>
        <v>26661.953406709203</v>
      </c>
      <c r="U254" s="3">
        <f t="shared" si="104"/>
        <v>0.5</v>
      </c>
      <c r="V254" s="3">
        <f t="shared" si="105"/>
        <v>0</v>
      </c>
      <c r="W254" s="3">
        <f t="shared" si="106"/>
        <v>29144.983198601782</v>
      </c>
      <c r="X254" s="3">
        <f t="shared" si="98"/>
        <v>16864.007164679366</v>
      </c>
      <c r="AI254" s="3"/>
      <c r="AJ254" s="3"/>
      <c r="AK254" s="15">
        <f t="shared" si="89"/>
        <v>1</v>
      </c>
      <c r="AL254" s="11">
        <f t="shared" si="93"/>
        <v>1470</v>
      </c>
      <c r="AM254" s="11" t="b">
        <f t="shared" si="88"/>
        <v>0</v>
      </c>
      <c r="AN254" s="11">
        <f t="shared" si="90"/>
        <v>36000</v>
      </c>
      <c r="AO254" s="11">
        <f t="shared" si="91"/>
        <v>0</v>
      </c>
      <c r="AP254" s="11">
        <f t="shared" si="92"/>
        <v>0.3773601040427112</v>
      </c>
      <c r="AQ254" s="11">
        <f t="shared" si="94"/>
        <v>0</v>
      </c>
      <c r="AT254" s="3"/>
      <c r="AU254" s="17"/>
      <c r="AV254" s="19"/>
      <c r="AW254" s="17"/>
      <c r="AX254" s="17">
        <f t="shared" si="113"/>
        <v>245</v>
      </c>
      <c r="AY254" s="17">
        <f t="shared" si="112"/>
        <v>24.5</v>
      </c>
      <c r="AZ254" s="17">
        <v>37.73601040427112</v>
      </c>
      <c r="BA254" s="17"/>
      <c r="BB254" s="17">
        <v>36</v>
      </c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Q254" s="17"/>
      <c r="BR254" s="17"/>
      <c r="BS254" s="17"/>
      <c r="BT254" s="17"/>
      <c r="BU254" s="17"/>
      <c r="BV254" s="17"/>
      <c r="BW254" s="17"/>
      <c r="BX254" s="17"/>
      <c r="BY254" s="17"/>
      <c r="BZ254" s="17"/>
      <c r="CA254" s="17"/>
      <c r="CB254" s="17"/>
      <c r="CC254" s="17"/>
      <c r="CD254" s="17"/>
      <c r="CE254" s="17"/>
      <c r="CF254" s="17"/>
      <c r="CG254" s="17"/>
      <c r="CH254" s="17"/>
    </row>
    <row r="255" spans="8:86" x14ac:dyDescent="0.15">
      <c r="H255" s="3">
        <f t="shared" si="107"/>
        <v>0.24300000000000019</v>
      </c>
      <c r="I255" s="3">
        <f t="shared" si="108"/>
        <v>360</v>
      </c>
      <c r="J255" s="14">
        <f t="shared" si="109"/>
        <v>500</v>
      </c>
      <c r="K255" s="3">
        <f t="shared" si="99"/>
        <v>0</v>
      </c>
      <c r="L255" s="3">
        <f t="shared" si="95"/>
        <v>500</v>
      </c>
      <c r="M255" s="15">
        <f t="shared" si="110"/>
        <v>7.0000000000000007E-2</v>
      </c>
      <c r="N255" s="3">
        <f t="shared" si="111"/>
        <v>80.884225681097419</v>
      </c>
      <c r="O255" s="3">
        <f t="shared" si="96"/>
        <v>80.884225681097419</v>
      </c>
      <c r="P255" s="3">
        <f t="shared" si="100"/>
        <v>86.972285678599377</v>
      </c>
      <c r="Q255" s="3">
        <f t="shared" si="101"/>
        <v>33.674690422545311</v>
      </c>
      <c r="R255" s="3">
        <f t="shared" si="102"/>
        <v>60.323488050572344</v>
      </c>
      <c r="S255" s="3">
        <f t="shared" si="97"/>
        <v>1</v>
      </c>
      <c r="T255" s="3">
        <f t="shared" si="103"/>
        <v>26648.797628027034</v>
      </c>
      <c r="U255" s="3">
        <f t="shared" si="104"/>
        <v>0.5</v>
      </c>
      <c r="V255" s="3">
        <f t="shared" si="105"/>
        <v>0</v>
      </c>
      <c r="W255" s="3">
        <f t="shared" si="106"/>
        <v>29118.321245195071</v>
      </c>
      <c r="X255" s="3">
        <f t="shared" si="98"/>
        <v>16837.345211272655</v>
      </c>
      <c r="AI255" s="3"/>
      <c r="AJ255" s="3"/>
      <c r="AK255" s="15">
        <f t="shared" si="89"/>
        <v>1</v>
      </c>
      <c r="AL255" s="11">
        <f t="shared" si="93"/>
        <v>1476</v>
      </c>
      <c r="AM255" s="11" t="b">
        <f t="shared" si="88"/>
        <v>0</v>
      </c>
      <c r="AN255" s="11">
        <f t="shared" si="90"/>
        <v>36000</v>
      </c>
      <c r="AO255" s="11">
        <f t="shared" si="91"/>
        <v>0</v>
      </c>
      <c r="AP255" s="11">
        <f t="shared" si="92"/>
        <v>0.37846241885752602</v>
      </c>
      <c r="AQ255" s="11">
        <f t="shared" si="94"/>
        <v>0</v>
      </c>
      <c r="AT255" s="3"/>
      <c r="AU255" s="17"/>
      <c r="AV255" s="19"/>
      <c r="AW255" s="17"/>
      <c r="AX255" s="17">
        <f t="shared" si="113"/>
        <v>246</v>
      </c>
      <c r="AY255" s="17">
        <f t="shared" si="112"/>
        <v>24.6</v>
      </c>
      <c r="AZ255" s="17">
        <v>37.846241885752605</v>
      </c>
      <c r="BA255" s="17"/>
      <c r="BB255" s="17">
        <v>36</v>
      </c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Q255" s="17"/>
      <c r="BR255" s="17"/>
      <c r="BS255" s="17"/>
      <c r="BT255" s="17"/>
      <c r="BU255" s="17"/>
      <c r="BV255" s="17"/>
      <c r="BW255" s="17"/>
      <c r="BX255" s="17"/>
      <c r="BY255" s="17"/>
      <c r="BZ255" s="17"/>
      <c r="CA255" s="17"/>
      <c r="CB255" s="17"/>
      <c r="CC255" s="17"/>
      <c r="CD255" s="17"/>
      <c r="CE255" s="17"/>
      <c r="CF255" s="17"/>
      <c r="CG255" s="17"/>
      <c r="CH255" s="17"/>
    </row>
    <row r="256" spans="8:86" x14ac:dyDescent="0.15">
      <c r="H256" s="3">
        <f t="shared" si="107"/>
        <v>0.24400000000000019</v>
      </c>
      <c r="I256" s="3">
        <f t="shared" si="108"/>
        <v>360</v>
      </c>
      <c r="J256" s="14">
        <f t="shared" si="109"/>
        <v>500</v>
      </c>
      <c r="K256" s="3">
        <f t="shared" si="99"/>
        <v>0</v>
      </c>
      <c r="L256" s="3">
        <f t="shared" si="95"/>
        <v>500</v>
      </c>
      <c r="M256" s="15">
        <f t="shared" si="110"/>
        <v>7.0000000000000007E-2</v>
      </c>
      <c r="N256" s="3">
        <f t="shared" si="111"/>
        <v>80.810201243241792</v>
      </c>
      <c r="O256" s="3">
        <f t="shared" si="96"/>
        <v>80.810201243241792</v>
      </c>
      <c r="P256" s="3">
        <f t="shared" si="100"/>
        <v>86.892689508862148</v>
      </c>
      <c r="Q256" s="3">
        <f t="shared" si="101"/>
        <v>33.621392827289256</v>
      </c>
      <c r="R256" s="3">
        <f t="shared" si="102"/>
        <v>60.257041168075702</v>
      </c>
      <c r="S256" s="3">
        <f t="shared" si="97"/>
        <v>1</v>
      </c>
      <c r="T256" s="3">
        <f t="shared" si="103"/>
        <v>26635.648340786447</v>
      </c>
      <c r="U256" s="3">
        <f t="shared" si="104"/>
        <v>0.5</v>
      </c>
      <c r="V256" s="3">
        <f t="shared" si="105"/>
        <v>0</v>
      </c>
      <c r="W256" s="3">
        <f t="shared" si="106"/>
        <v>29091.672447567045</v>
      </c>
      <c r="X256" s="3">
        <f t="shared" si="98"/>
        <v>16810.69641364463</v>
      </c>
      <c r="AI256" s="3"/>
      <c r="AJ256" s="3"/>
      <c r="AK256" s="15">
        <f t="shared" si="89"/>
        <v>1</v>
      </c>
      <c r="AL256" s="11">
        <f t="shared" si="93"/>
        <v>1482</v>
      </c>
      <c r="AM256" s="11" t="b">
        <f t="shared" si="88"/>
        <v>0</v>
      </c>
      <c r="AN256" s="11">
        <f t="shared" si="90"/>
        <v>36000</v>
      </c>
      <c r="AO256" s="11">
        <f t="shared" si="91"/>
        <v>0</v>
      </c>
      <c r="AP256" s="11">
        <f t="shared" si="92"/>
        <v>0.37956473367234078</v>
      </c>
      <c r="AQ256" s="11">
        <f t="shared" si="94"/>
        <v>0</v>
      </c>
      <c r="AT256" s="3"/>
      <c r="AU256" s="17"/>
      <c r="AV256" s="19"/>
      <c r="AW256" s="17"/>
      <c r="AX256" s="17">
        <f t="shared" si="113"/>
        <v>247</v>
      </c>
      <c r="AY256" s="17">
        <f t="shared" si="112"/>
        <v>24.7</v>
      </c>
      <c r="AZ256" s="17">
        <v>37.956473367234075</v>
      </c>
      <c r="BA256" s="17"/>
      <c r="BB256" s="17">
        <v>36</v>
      </c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Q256" s="17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  <c r="CC256" s="17"/>
      <c r="CD256" s="17"/>
      <c r="CE256" s="17"/>
      <c r="CF256" s="17"/>
      <c r="CG256" s="17"/>
      <c r="CH256" s="17"/>
    </row>
    <row r="257" spans="8:86" x14ac:dyDescent="0.15">
      <c r="H257" s="3">
        <f t="shared" si="107"/>
        <v>0.24500000000000019</v>
      </c>
      <c r="I257" s="3">
        <f t="shared" si="108"/>
        <v>360</v>
      </c>
      <c r="J257" s="14">
        <f t="shared" si="109"/>
        <v>500</v>
      </c>
      <c r="K257" s="3">
        <f t="shared" si="99"/>
        <v>0</v>
      </c>
      <c r="L257" s="3">
        <f t="shared" si="95"/>
        <v>500</v>
      </c>
      <c r="M257" s="15">
        <f t="shared" si="110"/>
        <v>7.0000000000000007E-2</v>
      </c>
      <c r="N257" s="3">
        <f t="shared" si="111"/>
        <v>80.736213331184047</v>
      </c>
      <c r="O257" s="3">
        <f t="shared" si="96"/>
        <v>80.736213331184047</v>
      </c>
      <c r="P257" s="3">
        <f t="shared" si="100"/>
        <v>86.813132614176396</v>
      </c>
      <c r="Q257" s="3">
        <f t="shared" si="101"/>
        <v>33.568121530607684</v>
      </c>
      <c r="R257" s="3">
        <f t="shared" si="102"/>
        <v>60.19062707239204</v>
      </c>
      <c r="S257" s="3">
        <f t="shared" si="97"/>
        <v>1</v>
      </c>
      <c r="T257" s="3">
        <f t="shared" si="103"/>
        <v>26622.505541784358</v>
      </c>
      <c r="U257" s="3">
        <f t="shared" si="104"/>
        <v>0.5</v>
      </c>
      <c r="V257" s="3">
        <f t="shared" si="105"/>
        <v>0</v>
      </c>
      <c r="W257" s="3">
        <f t="shared" si="106"/>
        <v>29065.036799226258</v>
      </c>
      <c r="X257" s="3">
        <f t="shared" si="98"/>
        <v>16784.060765303842</v>
      </c>
      <c r="AI257" s="3"/>
      <c r="AJ257" s="3"/>
      <c r="AK257" s="15">
        <f t="shared" si="89"/>
        <v>1</v>
      </c>
      <c r="AL257" s="11">
        <f t="shared" si="93"/>
        <v>1488</v>
      </c>
      <c r="AM257" s="11" t="b">
        <f t="shared" si="88"/>
        <v>0</v>
      </c>
      <c r="AN257" s="11">
        <f t="shared" si="90"/>
        <v>36000</v>
      </c>
      <c r="AO257" s="11">
        <f t="shared" si="91"/>
        <v>0</v>
      </c>
      <c r="AP257" s="11">
        <f t="shared" si="92"/>
        <v>0.3806670484871556</v>
      </c>
      <c r="AQ257" s="11">
        <f t="shared" si="94"/>
        <v>0</v>
      </c>
      <c r="AT257" s="3"/>
      <c r="AU257" s="17"/>
      <c r="AV257" s="19"/>
      <c r="AW257" s="17"/>
      <c r="AX257" s="17">
        <f t="shared" si="113"/>
        <v>248</v>
      </c>
      <c r="AY257" s="17">
        <f t="shared" si="112"/>
        <v>24.8</v>
      </c>
      <c r="AZ257" s="17">
        <v>38.06670484871556</v>
      </c>
      <c r="BA257" s="17"/>
      <c r="BB257" s="17">
        <v>36</v>
      </c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7"/>
      <c r="BR257" s="17"/>
      <c r="BS257" s="17"/>
      <c r="BT257" s="17"/>
      <c r="BU257" s="17"/>
      <c r="BV257" s="17"/>
      <c r="BW257" s="17"/>
      <c r="BX257" s="17"/>
      <c r="BY257" s="17"/>
      <c r="BZ257" s="17"/>
      <c r="CA257" s="17"/>
      <c r="CB257" s="17"/>
      <c r="CC257" s="17"/>
      <c r="CD257" s="17"/>
      <c r="CE257" s="17"/>
      <c r="CF257" s="17"/>
      <c r="CG257" s="17"/>
      <c r="CH257" s="17"/>
    </row>
    <row r="258" spans="8:86" x14ac:dyDescent="0.15">
      <c r="H258" s="3">
        <f t="shared" si="107"/>
        <v>0.24600000000000019</v>
      </c>
      <c r="I258" s="3">
        <f t="shared" si="108"/>
        <v>360</v>
      </c>
      <c r="J258" s="14">
        <f t="shared" si="109"/>
        <v>500</v>
      </c>
      <c r="K258" s="3">
        <f t="shared" si="99"/>
        <v>0</v>
      </c>
      <c r="L258" s="3">
        <f t="shared" si="95"/>
        <v>500</v>
      </c>
      <c r="M258" s="15">
        <f t="shared" si="110"/>
        <v>7.0000000000000007E-2</v>
      </c>
      <c r="N258" s="3">
        <f t="shared" si="111"/>
        <v>80.662261926901309</v>
      </c>
      <c r="O258" s="3">
        <f t="shared" si="96"/>
        <v>80.662261926901309</v>
      </c>
      <c r="P258" s="3">
        <f t="shared" si="100"/>
        <v>86.733614975162709</v>
      </c>
      <c r="Q258" s="3">
        <f t="shared" si="101"/>
        <v>33.514876519524115</v>
      </c>
      <c r="R258" s="3">
        <f t="shared" si="102"/>
        <v>60.124245747343409</v>
      </c>
      <c r="S258" s="3">
        <f t="shared" si="97"/>
        <v>1</v>
      </c>
      <c r="T258" s="3">
        <f t="shared" si="103"/>
        <v>26609.369227819298</v>
      </c>
      <c r="U258" s="3">
        <f t="shared" si="104"/>
        <v>0.5</v>
      </c>
      <c r="V258" s="3">
        <f t="shared" si="105"/>
        <v>0</v>
      </c>
      <c r="W258" s="3">
        <f t="shared" si="106"/>
        <v>29038.414293684473</v>
      </c>
      <c r="X258" s="3">
        <f t="shared" si="98"/>
        <v>16757.438259762057</v>
      </c>
      <c r="AI258" s="3"/>
      <c r="AJ258" s="3"/>
      <c r="AK258" s="15">
        <f t="shared" si="89"/>
        <v>1</v>
      </c>
      <c r="AL258" s="11">
        <f t="shared" si="93"/>
        <v>1494</v>
      </c>
      <c r="AM258" s="11" t="b">
        <f t="shared" si="88"/>
        <v>0</v>
      </c>
      <c r="AN258" s="11">
        <f t="shared" si="90"/>
        <v>36000</v>
      </c>
      <c r="AO258" s="11">
        <f t="shared" si="91"/>
        <v>0</v>
      </c>
      <c r="AP258" s="11">
        <f t="shared" si="92"/>
        <v>0.38176936330197042</v>
      </c>
      <c r="AQ258" s="11">
        <f t="shared" si="94"/>
        <v>0</v>
      </c>
      <c r="AT258" s="3"/>
      <c r="AU258" s="17"/>
      <c r="AV258" s="19"/>
      <c r="AW258" s="17"/>
      <c r="AX258" s="17">
        <f t="shared" si="113"/>
        <v>249</v>
      </c>
      <c r="AY258" s="17">
        <f t="shared" si="112"/>
        <v>24.9</v>
      </c>
      <c r="AZ258" s="17">
        <v>38.176936330197044</v>
      </c>
      <c r="BA258" s="17"/>
      <c r="BB258" s="17">
        <v>36</v>
      </c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Q258" s="17"/>
      <c r="BR258" s="17"/>
      <c r="BS258" s="17"/>
      <c r="BT258" s="17"/>
      <c r="BU258" s="17"/>
      <c r="BV258" s="17"/>
      <c r="BW258" s="17"/>
      <c r="BX258" s="17"/>
      <c r="BY258" s="17"/>
      <c r="BZ258" s="17"/>
      <c r="CA258" s="17"/>
      <c r="CB258" s="17"/>
      <c r="CC258" s="17"/>
      <c r="CD258" s="17"/>
      <c r="CE258" s="17"/>
      <c r="CF258" s="17"/>
      <c r="CG258" s="17"/>
      <c r="CH258" s="17"/>
    </row>
    <row r="259" spans="8:86" x14ac:dyDescent="0.15">
      <c r="H259" s="3">
        <f t="shared" si="107"/>
        <v>0.24700000000000019</v>
      </c>
      <c r="I259" s="3">
        <f t="shared" si="108"/>
        <v>360</v>
      </c>
      <c r="J259" s="14">
        <f t="shared" si="109"/>
        <v>500</v>
      </c>
      <c r="K259" s="3">
        <f t="shared" si="99"/>
        <v>0</v>
      </c>
      <c r="L259" s="3">
        <f t="shared" si="95"/>
        <v>500</v>
      </c>
      <c r="M259" s="15">
        <f t="shared" si="110"/>
        <v>7.0000000000000007E-2</v>
      </c>
      <c r="N259" s="3">
        <f t="shared" si="111"/>
        <v>80.5883470123796</v>
      </c>
      <c r="O259" s="3">
        <f t="shared" si="96"/>
        <v>80.5883470123796</v>
      </c>
      <c r="P259" s="3">
        <f t="shared" si="100"/>
        <v>86.654136572451193</v>
      </c>
      <c r="Q259" s="3">
        <f t="shared" si="101"/>
        <v>33.461657781068475</v>
      </c>
      <c r="R259" s="3">
        <f t="shared" si="102"/>
        <v>60.057897176759838</v>
      </c>
      <c r="S259" s="3">
        <f t="shared" si="97"/>
        <v>1</v>
      </c>
      <c r="T259" s="3">
        <f t="shared" si="103"/>
        <v>26596.239395691358</v>
      </c>
      <c r="U259" s="3">
        <f t="shared" si="104"/>
        <v>0.5</v>
      </c>
      <c r="V259" s="3">
        <f t="shared" si="105"/>
        <v>0</v>
      </c>
      <c r="W259" s="3">
        <f t="shared" si="106"/>
        <v>29011.804924456657</v>
      </c>
      <c r="X259" s="3">
        <f t="shared" si="98"/>
        <v>16730.828890534238</v>
      </c>
      <c r="AI259" s="3"/>
      <c r="AJ259" s="3"/>
      <c r="AK259" s="15">
        <f t="shared" si="89"/>
        <v>1</v>
      </c>
      <c r="AL259" s="11">
        <f t="shared" si="93"/>
        <v>1500</v>
      </c>
      <c r="AM259" s="11" t="b">
        <f t="shared" si="88"/>
        <v>0</v>
      </c>
      <c r="AN259" s="11">
        <f t="shared" si="90"/>
        <v>36000</v>
      </c>
      <c r="AO259" s="11">
        <f t="shared" si="91"/>
        <v>0</v>
      </c>
      <c r="AP259" s="11">
        <f t="shared" si="92"/>
        <v>0.38287167811678519</v>
      </c>
      <c r="AQ259" s="11">
        <f t="shared" si="94"/>
        <v>0</v>
      </c>
      <c r="AT259" s="3"/>
      <c r="AU259" s="17"/>
      <c r="AV259" s="19"/>
      <c r="AW259" s="17"/>
      <c r="AX259" s="17">
        <f t="shared" si="113"/>
        <v>250</v>
      </c>
      <c r="AY259" s="17">
        <f t="shared" si="112"/>
        <v>25</v>
      </c>
      <c r="AZ259" s="17">
        <v>38.287167811678522</v>
      </c>
      <c r="BA259" s="17"/>
      <c r="BB259" s="17">
        <v>36</v>
      </c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Q259" s="17"/>
      <c r="BR259" s="17"/>
      <c r="BS259" s="17"/>
      <c r="BT259" s="17"/>
      <c r="BU259" s="17"/>
      <c r="BV259" s="17"/>
      <c r="BW259" s="17"/>
      <c r="BX259" s="17"/>
      <c r="BY259" s="17"/>
      <c r="BZ259" s="17"/>
      <c r="CA259" s="17"/>
      <c r="CB259" s="17"/>
      <c r="CC259" s="17"/>
      <c r="CD259" s="17"/>
      <c r="CE259" s="17"/>
      <c r="CF259" s="17"/>
      <c r="CG259" s="17"/>
      <c r="CH259" s="17"/>
    </row>
    <row r="260" spans="8:86" x14ac:dyDescent="0.15">
      <c r="H260" s="3">
        <f t="shared" si="107"/>
        <v>0.24800000000000019</v>
      </c>
      <c r="I260" s="3">
        <f t="shared" si="108"/>
        <v>360</v>
      </c>
      <c r="J260" s="14">
        <f t="shared" si="109"/>
        <v>500</v>
      </c>
      <c r="K260" s="3">
        <f t="shared" si="99"/>
        <v>0</v>
      </c>
      <c r="L260" s="3">
        <f t="shared" si="95"/>
        <v>500</v>
      </c>
      <c r="M260" s="15">
        <f t="shared" si="110"/>
        <v>7.0000000000000007E-2</v>
      </c>
      <c r="N260" s="3">
        <f t="shared" si="111"/>
        <v>80.514468569613797</v>
      </c>
      <c r="O260" s="3">
        <f t="shared" si="96"/>
        <v>80.514468569613797</v>
      </c>
      <c r="P260" s="3">
        <f t="shared" si="100"/>
        <v>86.574697386681507</v>
      </c>
      <c r="Q260" s="3">
        <f t="shared" si="101"/>
        <v>33.408465302277094</v>
      </c>
      <c r="R260" s="3">
        <f t="shared" si="102"/>
        <v>59.9915813444793</v>
      </c>
      <c r="S260" s="3">
        <f t="shared" si="97"/>
        <v>1</v>
      </c>
      <c r="T260" s="3">
        <f t="shared" si="103"/>
        <v>26583.116042202208</v>
      </c>
      <c r="U260" s="3">
        <f t="shared" si="104"/>
        <v>0.5</v>
      </c>
      <c r="V260" s="3">
        <f t="shared" si="105"/>
        <v>0</v>
      </c>
      <c r="W260" s="3">
        <f t="shared" si="106"/>
        <v>28985.208685060967</v>
      </c>
      <c r="X260" s="3">
        <f t="shared" si="98"/>
        <v>16704.232651138547</v>
      </c>
      <c r="AI260" s="3"/>
      <c r="AJ260" s="3"/>
      <c r="AK260" s="15">
        <f t="shared" si="89"/>
        <v>1</v>
      </c>
      <c r="AL260" s="11">
        <f t="shared" si="93"/>
        <v>1506</v>
      </c>
      <c r="AM260" s="11" t="b">
        <f t="shared" si="88"/>
        <v>0</v>
      </c>
      <c r="AN260" s="11">
        <f t="shared" si="90"/>
        <v>36000</v>
      </c>
      <c r="AO260" s="11">
        <f t="shared" si="91"/>
        <v>0</v>
      </c>
      <c r="AP260" s="11">
        <f t="shared" si="92"/>
        <v>0.38397399293160001</v>
      </c>
      <c r="AQ260" s="11">
        <f t="shared" si="94"/>
        <v>0</v>
      </c>
      <c r="AT260" s="3"/>
      <c r="AU260" s="17"/>
      <c r="AV260" s="19"/>
      <c r="AW260" s="17"/>
      <c r="AX260" s="17">
        <f t="shared" si="113"/>
        <v>251</v>
      </c>
      <c r="AY260" s="17">
        <f t="shared" si="112"/>
        <v>25.1</v>
      </c>
      <c r="AZ260" s="17">
        <v>38.397399293159999</v>
      </c>
      <c r="BA260" s="17"/>
      <c r="BB260" s="17">
        <v>36</v>
      </c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7"/>
      <c r="BR260" s="17"/>
      <c r="BS260" s="17"/>
      <c r="BT260" s="17"/>
      <c r="BU260" s="17"/>
      <c r="BV260" s="17"/>
      <c r="BW260" s="17"/>
      <c r="BX260" s="17"/>
      <c r="BY260" s="17"/>
      <c r="BZ260" s="17"/>
      <c r="CA260" s="17"/>
      <c r="CB260" s="17"/>
      <c r="CC260" s="17"/>
      <c r="CD260" s="17"/>
      <c r="CE260" s="17"/>
      <c r="CF260" s="17"/>
      <c r="CG260" s="17"/>
      <c r="CH260" s="17"/>
    </row>
    <row r="261" spans="8:86" x14ac:dyDescent="0.15">
      <c r="H261" s="3">
        <f t="shared" si="107"/>
        <v>0.24900000000000019</v>
      </c>
      <c r="I261" s="3">
        <f t="shared" si="108"/>
        <v>360</v>
      </c>
      <c r="J261" s="14">
        <f t="shared" si="109"/>
        <v>500</v>
      </c>
      <c r="K261" s="3">
        <f t="shared" si="99"/>
        <v>0</v>
      </c>
      <c r="L261" s="3">
        <f t="shared" si="95"/>
        <v>500</v>
      </c>
      <c r="M261" s="15">
        <f t="shared" si="110"/>
        <v>7.0000000000000007E-2</v>
      </c>
      <c r="N261" s="3">
        <f t="shared" si="111"/>
        <v>80.440626580607685</v>
      </c>
      <c r="O261" s="3">
        <f t="shared" si="96"/>
        <v>80.440626580607685</v>
      </c>
      <c r="P261" s="3">
        <f t="shared" si="100"/>
        <v>86.495297398502899</v>
      </c>
      <c r="Q261" s="3">
        <f t="shared" si="101"/>
        <v>33.355299070192693</v>
      </c>
      <c r="R261" s="3">
        <f t="shared" si="102"/>
        <v>59.925298234347792</v>
      </c>
      <c r="S261" s="3">
        <f t="shared" si="97"/>
        <v>1</v>
      </c>
      <c r="T261" s="3">
        <f t="shared" si="103"/>
        <v>26569.999164155102</v>
      </c>
      <c r="U261" s="3">
        <f t="shared" si="104"/>
        <v>0.5</v>
      </c>
      <c r="V261" s="3">
        <f t="shared" si="105"/>
        <v>0</v>
      </c>
      <c r="W261" s="3">
        <f t="shared" si="106"/>
        <v>28958.625569018768</v>
      </c>
      <c r="X261" s="3">
        <f t="shared" si="98"/>
        <v>16677.649535096345</v>
      </c>
      <c r="AI261" s="3"/>
      <c r="AJ261" s="3"/>
      <c r="AK261" s="15">
        <f t="shared" si="89"/>
        <v>1</v>
      </c>
      <c r="AL261" s="11">
        <f t="shared" si="93"/>
        <v>1512</v>
      </c>
      <c r="AM261" s="11" t="b">
        <f t="shared" si="88"/>
        <v>0</v>
      </c>
      <c r="AN261" s="11">
        <f t="shared" si="90"/>
        <v>36000</v>
      </c>
      <c r="AO261" s="11">
        <f t="shared" si="91"/>
        <v>0</v>
      </c>
      <c r="AP261" s="11">
        <f t="shared" si="92"/>
        <v>0.38507630774641477</v>
      </c>
      <c r="AQ261" s="11">
        <f t="shared" si="94"/>
        <v>0</v>
      </c>
      <c r="AT261" s="3"/>
      <c r="AU261" s="17"/>
      <c r="AV261" s="19"/>
      <c r="AW261" s="17"/>
      <c r="AX261" s="17">
        <f t="shared" si="113"/>
        <v>252</v>
      </c>
      <c r="AY261" s="17">
        <f t="shared" si="112"/>
        <v>25.2</v>
      </c>
      <c r="AZ261" s="17">
        <v>38.507630774641477</v>
      </c>
      <c r="BA261" s="17"/>
      <c r="BB261" s="17">
        <v>36</v>
      </c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P261" s="17"/>
      <c r="BQ261" s="17"/>
      <c r="BR261" s="17"/>
      <c r="BS261" s="17"/>
      <c r="BT261" s="17"/>
      <c r="BU261" s="17"/>
      <c r="BV261" s="17"/>
      <c r="BW261" s="17"/>
      <c r="BX261" s="17"/>
      <c r="BY261" s="17"/>
      <c r="BZ261" s="17"/>
      <c r="CA261" s="17"/>
      <c r="CB261" s="17"/>
      <c r="CC261" s="17"/>
      <c r="CD261" s="17"/>
      <c r="CE261" s="17"/>
      <c r="CF261" s="17"/>
      <c r="CG261" s="17"/>
      <c r="CH261" s="17"/>
    </row>
    <row r="262" spans="8:86" x14ac:dyDescent="0.15">
      <c r="H262" s="3">
        <f t="shared" si="107"/>
        <v>0.25000000000000017</v>
      </c>
      <c r="I262" s="3">
        <f t="shared" si="108"/>
        <v>360</v>
      </c>
      <c r="J262" s="14">
        <f t="shared" si="109"/>
        <v>500</v>
      </c>
      <c r="K262" s="3">
        <f t="shared" si="99"/>
        <v>0</v>
      </c>
      <c r="L262" s="3">
        <f t="shared" si="95"/>
        <v>500</v>
      </c>
      <c r="M262" s="15">
        <f t="shared" si="110"/>
        <v>7.0000000000000007E-2</v>
      </c>
      <c r="N262" s="3">
        <f t="shared" si="111"/>
        <v>80.366821027373916</v>
      </c>
      <c r="O262" s="3">
        <f t="shared" si="96"/>
        <v>80.366821027373916</v>
      </c>
      <c r="P262" s="3">
        <f t="shared" si="100"/>
        <v>86.415936588574112</v>
      </c>
      <c r="Q262" s="3">
        <f t="shared" si="101"/>
        <v>33.302159071864381</v>
      </c>
      <c r="R262" s="3">
        <f t="shared" si="102"/>
        <v>59.859047830219247</v>
      </c>
      <c r="S262" s="3">
        <f t="shared" si="97"/>
        <v>1</v>
      </c>
      <c r="T262" s="3">
        <f t="shared" si="103"/>
        <v>26556.888758354868</v>
      </c>
      <c r="U262" s="3">
        <f t="shared" si="104"/>
        <v>0.5</v>
      </c>
      <c r="V262" s="3">
        <f t="shared" si="105"/>
        <v>0</v>
      </c>
      <c r="W262" s="3">
        <f t="shared" si="106"/>
        <v>28932.055569854609</v>
      </c>
      <c r="X262" s="3">
        <f t="shared" si="98"/>
        <v>16651.079535932189</v>
      </c>
      <c r="AI262" s="3"/>
      <c r="AJ262" s="3"/>
      <c r="AK262" s="15">
        <f t="shared" si="89"/>
        <v>1</v>
      </c>
      <c r="AL262" s="11">
        <f t="shared" si="93"/>
        <v>1518</v>
      </c>
      <c r="AM262" s="11" t="b">
        <f t="shared" si="88"/>
        <v>0</v>
      </c>
      <c r="AN262" s="11">
        <f t="shared" si="90"/>
        <v>36000</v>
      </c>
      <c r="AO262" s="11">
        <f t="shared" si="91"/>
        <v>0</v>
      </c>
      <c r="AP262" s="11">
        <f t="shared" si="92"/>
        <v>0.38617862256122959</v>
      </c>
      <c r="AQ262" s="11">
        <f t="shared" si="94"/>
        <v>0</v>
      </c>
      <c r="AT262" s="3"/>
      <c r="AU262" s="17"/>
      <c r="AV262" s="19"/>
      <c r="AW262" s="17"/>
      <c r="AX262" s="17">
        <f t="shared" si="113"/>
        <v>253</v>
      </c>
      <c r="AY262" s="17">
        <f t="shared" si="112"/>
        <v>25.3</v>
      </c>
      <c r="AZ262" s="17">
        <v>38.617862256122962</v>
      </c>
      <c r="BA262" s="17"/>
      <c r="BB262" s="17">
        <v>36</v>
      </c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P262" s="17"/>
      <c r="BQ262" s="17"/>
      <c r="BR262" s="17"/>
      <c r="BS262" s="17"/>
      <c r="BT262" s="17"/>
      <c r="BU262" s="17"/>
      <c r="BV262" s="17"/>
      <c r="BW262" s="17"/>
      <c r="BX262" s="17"/>
      <c r="BY262" s="17"/>
      <c r="BZ262" s="17"/>
      <c r="CA262" s="17"/>
      <c r="CB262" s="17"/>
      <c r="CC262" s="17"/>
      <c r="CD262" s="17"/>
      <c r="CE262" s="17"/>
      <c r="CF262" s="17"/>
      <c r="CG262" s="17"/>
      <c r="CH262" s="17"/>
    </row>
    <row r="263" spans="8:86" x14ac:dyDescent="0.15">
      <c r="H263" s="3">
        <f t="shared" si="107"/>
        <v>0.25100000000000017</v>
      </c>
      <c r="I263" s="3">
        <f t="shared" si="108"/>
        <v>360</v>
      </c>
      <c r="J263" s="14">
        <f t="shared" si="109"/>
        <v>500</v>
      </c>
      <c r="K263" s="3">
        <f t="shared" si="99"/>
        <v>0</v>
      </c>
      <c r="L263" s="3">
        <f t="shared" si="95"/>
        <v>500</v>
      </c>
      <c r="M263" s="15">
        <f t="shared" si="110"/>
        <v>7.0000000000000007E-2</v>
      </c>
      <c r="N263" s="3">
        <f t="shared" si="111"/>
        <v>80.293051891934041</v>
      </c>
      <c r="O263" s="3">
        <f t="shared" si="96"/>
        <v>80.293051891934041</v>
      </c>
      <c r="P263" s="3">
        <f t="shared" si="100"/>
        <v>86.336614937563496</v>
      </c>
      <c r="Q263" s="3">
        <f t="shared" si="101"/>
        <v>33.249045294347667</v>
      </c>
      <c r="R263" s="3">
        <f t="shared" si="102"/>
        <v>59.792830115955582</v>
      </c>
      <c r="S263" s="3">
        <f t="shared" si="97"/>
        <v>1</v>
      </c>
      <c r="T263" s="3">
        <f t="shared" si="103"/>
        <v>26543.784821607915</v>
      </c>
      <c r="U263" s="3">
        <f t="shared" si="104"/>
        <v>0.5</v>
      </c>
      <c r="V263" s="3">
        <f t="shared" si="105"/>
        <v>0</v>
      </c>
      <c r="W263" s="3">
        <f t="shared" si="106"/>
        <v>28905.498681096255</v>
      </c>
      <c r="X263" s="3">
        <f t="shared" si="98"/>
        <v>16624.522647173835</v>
      </c>
      <c r="AI263" s="3"/>
      <c r="AJ263" s="3"/>
      <c r="AK263" s="15">
        <f t="shared" si="89"/>
        <v>1</v>
      </c>
      <c r="AL263" s="11">
        <f t="shared" si="93"/>
        <v>1524</v>
      </c>
      <c r="AM263" s="11" t="b">
        <f t="shared" si="88"/>
        <v>0</v>
      </c>
      <c r="AN263" s="11">
        <f t="shared" si="90"/>
        <v>36000</v>
      </c>
      <c r="AO263" s="11">
        <f t="shared" si="91"/>
        <v>0</v>
      </c>
      <c r="AP263" s="11">
        <f t="shared" si="92"/>
        <v>0.38728093737604435</v>
      </c>
      <c r="AQ263" s="11">
        <f t="shared" si="94"/>
        <v>0</v>
      </c>
      <c r="AT263" s="3"/>
      <c r="AU263" s="17"/>
      <c r="AV263" s="19"/>
      <c r="AW263" s="17"/>
      <c r="AX263" s="17">
        <f t="shared" si="113"/>
        <v>254</v>
      </c>
      <c r="AY263" s="17">
        <f t="shared" si="112"/>
        <v>25.4</v>
      </c>
      <c r="AZ263" s="17">
        <v>38.728093737604432</v>
      </c>
      <c r="BA263" s="17"/>
      <c r="BB263" s="17">
        <v>36</v>
      </c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P263" s="17"/>
      <c r="BQ263" s="17"/>
      <c r="BR263" s="17"/>
      <c r="BS263" s="17"/>
      <c r="BT263" s="17"/>
      <c r="BU263" s="17"/>
      <c r="BV263" s="17"/>
      <c r="BW263" s="17"/>
      <c r="BX263" s="17"/>
      <c r="BY263" s="17"/>
      <c r="BZ263" s="17"/>
      <c r="CA263" s="17"/>
      <c r="CB263" s="17"/>
      <c r="CC263" s="17"/>
      <c r="CD263" s="17"/>
      <c r="CE263" s="17"/>
      <c r="CF263" s="17"/>
      <c r="CG263" s="17"/>
      <c r="CH263" s="17"/>
    </row>
    <row r="264" spans="8:86" x14ac:dyDescent="0.15">
      <c r="H264" s="3">
        <f t="shared" si="107"/>
        <v>0.25200000000000017</v>
      </c>
      <c r="I264" s="3">
        <f t="shared" si="108"/>
        <v>360</v>
      </c>
      <c r="J264" s="14">
        <f t="shared" si="109"/>
        <v>500</v>
      </c>
      <c r="K264" s="3">
        <f t="shared" si="99"/>
        <v>0</v>
      </c>
      <c r="L264" s="3">
        <f t="shared" si="95"/>
        <v>500</v>
      </c>
      <c r="M264" s="15">
        <f t="shared" si="110"/>
        <v>7.0000000000000007E-2</v>
      </c>
      <c r="N264" s="3">
        <f t="shared" si="111"/>
        <v>80.219319156318463</v>
      </c>
      <c r="O264" s="3">
        <f t="shared" si="96"/>
        <v>80.219319156318463</v>
      </c>
      <c r="P264" s="3">
        <f t="shared" si="100"/>
        <v>86.257332426148892</v>
      </c>
      <c r="Q264" s="3">
        <f t="shared" si="101"/>
        <v>33.195957724704449</v>
      </c>
      <c r="R264" s="3">
        <f t="shared" si="102"/>
        <v>59.726645075426674</v>
      </c>
      <c r="S264" s="3">
        <f t="shared" si="97"/>
        <v>1</v>
      </c>
      <c r="T264" s="3">
        <f t="shared" si="103"/>
        <v>26530.687350722223</v>
      </c>
      <c r="U264" s="3">
        <f t="shared" si="104"/>
        <v>0.5</v>
      </c>
      <c r="V264" s="3">
        <f t="shared" si="105"/>
        <v>0</v>
      </c>
      <c r="W264" s="3">
        <f t="shared" si="106"/>
        <v>28878.954896274645</v>
      </c>
      <c r="X264" s="3">
        <f t="shared" si="98"/>
        <v>16597.978862352225</v>
      </c>
      <c r="AI264" s="3"/>
      <c r="AJ264" s="3"/>
      <c r="AK264" s="15">
        <f t="shared" si="89"/>
        <v>1</v>
      </c>
      <c r="AL264" s="11">
        <f t="shared" si="93"/>
        <v>1530</v>
      </c>
      <c r="AM264" s="11" t="b">
        <f t="shared" si="88"/>
        <v>0</v>
      </c>
      <c r="AN264" s="11">
        <f t="shared" si="90"/>
        <v>36000</v>
      </c>
      <c r="AO264" s="11">
        <f t="shared" si="91"/>
        <v>0</v>
      </c>
      <c r="AP264" s="11">
        <f t="shared" si="92"/>
        <v>0.38838325219085917</v>
      </c>
      <c r="AQ264" s="11">
        <f t="shared" si="94"/>
        <v>0</v>
      </c>
      <c r="AT264" s="3"/>
      <c r="AU264" s="17"/>
      <c r="AV264" s="19"/>
      <c r="AW264" s="17"/>
      <c r="AX264" s="17">
        <f t="shared" si="113"/>
        <v>255</v>
      </c>
      <c r="AY264" s="17">
        <f t="shared" si="112"/>
        <v>25.5</v>
      </c>
      <c r="AZ264" s="17">
        <v>38.838325219085917</v>
      </c>
      <c r="BA264" s="17"/>
      <c r="BB264" s="17">
        <v>36</v>
      </c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P264" s="17"/>
      <c r="BQ264" s="17"/>
      <c r="BR264" s="17"/>
      <c r="BS264" s="17"/>
      <c r="BT264" s="17"/>
      <c r="BU264" s="17"/>
      <c r="BV264" s="17"/>
      <c r="BW264" s="17"/>
      <c r="BX264" s="17"/>
      <c r="BY264" s="17"/>
      <c r="BZ264" s="17"/>
      <c r="CA264" s="17"/>
      <c r="CB264" s="17"/>
      <c r="CC264" s="17"/>
      <c r="CD264" s="17"/>
      <c r="CE264" s="17"/>
      <c r="CF264" s="17"/>
      <c r="CG264" s="17"/>
      <c r="CH264" s="17"/>
    </row>
    <row r="265" spans="8:86" x14ac:dyDescent="0.15">
      <c r="H265" s="3">
        <f t="shared" si="107"/>
        <v>0.25300000000000017</v>
      </c>
      <c r="I265" s="3">
        <f t="shared" si="108"/>
        <v>360</v>
      </c>
      <c r="J265" s="14">
        <f t="shared" si="109"/>
        <v>500</v>
      </c>
      <c r="K265" s="3">
        <f t="shared" si="99"/>
        <v>0</v>
      </c>
      <c r="L265" s="3">
        <f t="shared" si="95"/>
        <v>500</v>
      </c>
      <c r="M265" s="15">
        <f t="shared" si="110"/>
        <v>7.0000000000000007E-2</v>
      </c>
      <c r="N265" s="3">
        <f t="shared" si="111"/>
        <v>80.14562280256645</v>
      </c>
      <c r="O265" s="3">
        <f t="shared" si="96"/>
        <v>80.14562280256645</v>
      </c>
      <c r="P265" s="3">
        <f t="shared" si="100"/>
        <v>86.178089035017692</v>
      </c>
      <c r="Q265" s="3">
        <f t="shared" si="101"/>
        <v>33.142896350003006</v>
      </c>
      <c r="R265" s="3">
        <f t="shared" si="102"/>
        <v>59.660492692510346</v>
      </c>
      <c r="S265" s="3">
        <f t="shared" si="97"/>
        <v>1</v>
      </c>
      <c r="T265" s="3">
        <f t="shared" si="103"/>
        <v>26517.596342507342</v>
      </c>
      <c r="U265" s="3">
        <f t="shared" si="104"/>
        <v>0.5</v>
      </c>
      <c r="V265" s="3">
        <f t="shared" si="105"/>
        <v>0</v>
      </c>
      <c r="W265" s="3">
        <f t="shared" si="106"/>
        <v>28852.424208923923</v>
      </c>
      <c r="X265" s="3">
        <f t="shared" si="98"/>
        <v>16571.448175001504</v>
      </c>
      <c r="AI265" s="3"/>
      <c r="AJ265" s="3"/>
      <c r="AK265" s="15">
        <f t="shared" si="89"/>
        <v>1</v>
      </c>
      <c r="AL265" s="11">
        <f t="shared" si="93"/>
        <v>1536</v>
      </c>
      <c r="AM265" s="11" t="b">
        <f t="shared" ref="AM265:AM328" si="114">OR(AND(AL265&gt;=$AC$5,AL265&lt;=$AD$5),AND(AL265&gt;=$AC$6,AL265&lt;=$AD$6),AND(AL265&gt;=$AC$7,AL265&lt;=$AD$7),AND(AL265&gt;=$AC$8,AL265&lt;=$AD$8),AND(AL265&gt;=$AC$9,AL265&lt;=$AD$9),AND(AL265&gt;=$AC$10,AL265&lt;=$AD$10),AND(AL265&gt;=$AC$11,AL265&lt;=$AD$11),AND($AD$11&lt;$AC$11,OR(AL265&lt;$AD$11,AL265&gt;$AC$11)))</f>
        <v>0</v>
      </c>
      <c r="AN265" s="11">
        <f t="shared" si="90"/>
        <v>36000</v>
      </c>
      <c r="AO265" s="11">
        <f t="shared" si="91"/>
        <v>0</v>
      </c>
      <c r="AP265" s="11">
        <f t="shared" si="92"/>
        <v>0.38948556700567394</v>
      </c>
      <c r="AQ265" s="11">
        <f t="shared" si="94"/>
        <v>0</v>
      </c>
      <c r="AT265" s="3"/>
      <c r="AU265" s="17"/>
      <c r="AV265" s="19"/>
      <c r="AW265" s="17"/>
      <c r="AX265" s="17">
        <f t="shared" si="113"/>
        <v>256</v>
      </c>
      <c r="AY265" s="17">
        <f t="shared" si="112"/>
        <v>25.6</v>
      </c>
      <c r="AZ265" s="17">
        <v>38.948556700567394</v>
      </c>
      <c r="BA265" s="17"/>
      <c r="BB265" s="17">
        <v>36</v>
      </c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P265" s="17"/>
      <c r="BQ265" s="17"/>
      <c r="BR265" s="17"/>
      <c r="BS265" s="17"/>
      <c r="BT265" s="17"/>
      <c r="BU265" s="17"/>
      <c r="BV265" s="17"/>
      <c r="BW265" s="17"/>
      <c r="BX265" s="17"/>
      <c r="BY265" s="17"/>
      <c r="BZ265" s="17"/>
      <c r="CA265" s="17"/>
      <c r="CB265" s="17"/>
      <c r="CC265" s="17"/>
      <c r="CD265" s="17"/>
      <c r="CE265" s="17"/>
      <c r="CF265" s="17"/>
      <c r="CG265" s="17"/>
      <c r="CH265" s="17"/>
    </row>
    <row r="266" spans="8:86" x14ac:dyDescent="0.15">
      <c r="H266" s="3">
        <f t="shared" si="107"/>
        <v>0.25400000000000017</v>
      </c>
      <c r="I266" s="3">
        <f t="shared" si="108"/>
        <v>360</v>
      </c>
      <c r="J266" s="14">
        <f t="shared" si="109"/>
        <v>500</v>
      </c>
      <c r="K266" s="3">
        <f t="shared" si="99"/>
        <v>0</v>
      </c>
      <c r="L266" s="3">
        <f t="shared" si="95"/>
        <v>500</v>
      </c>
      <c r="M266" s="15">
        <f t="shared" si="110"/>
        <v>7.0000000000000007E-2</v>
      </c>
      <c r="N266" s="3">
        <f t="shared" si="111"/>
        <v>80.071962812726156</v>
      </c>
      <c r="O266" s="3">
        <f t="shared" si="96"/>
        <v>80.071962812726156</v>
      </c>
      <c r="P266" s="3">
        <f t="shared" si="100"/>
        <v>86.098884744866837</v>
      </c>
      <c r="Q266" s="3">
        <f t="shared" si="101"/>
        <v>33.089861157317998</v>
      </c>
      <c r="R266" s="3">
        <f t="shared" si="102"/>
        <v>59.594372951092417</v>
      </c>
      <c r="S266" s="3">
        <f t="shared" si="97"/>
        <v>1</v>
      </c>
      <c r="T266" s="3">
        <f t="shared" si="103"/>
        <v>26504.511793774418</v>
      </c>
      <c r="U266" s="3">
        <f t="shared" si="104"/>
        <v>0.5</v>
      </c>
      <c r="V266" s="3">
        <f t="shared" si="105"/>
        <v>0</v>
      </c>
      <c r="W266" s="3">
        <f t="shared" si="106"/>
        <v>28825.906612581417</v>
      </c>
      <c r="X266" s="3">
        <f t="shared" si="98"/>
        <v>16544.930578658998</v>
      </c>
      <c r="AI266" s="3"/>
      <c r="AJ266" s="3"/>
      <c r="AK266" s="15">
        <f t="shared" ref="AK266:AK329" si="115">1+INT(MOD(AL266/60/24-0.5,7))</f>
        <v>1</v>
      </c>
      <c r="AL266" s="11">
        <f t="shared" si="93"/>
        <v>1542</v>
      </c>
      <c r="AM266" s="11" t="b">
        <f t="shared" si="114"/>
        <v>0</v>
      </c>
      <c r="AN266" s="11">
        <f t="shared" ref="AN266:AN329" si="116">IF(AND(AM266,NOT(AM267)),$AB$26,AN265+($AB$28-IF(AND(AM265,AM266),CHOOSE(AK266,$AG$5,$AG$6,$AG$7,$AG$8,$AG$9,$AG$10,$AG$11)*$AA$22/$AA$24,0))*$AB$15)</f>
        <v>36000</v>
      </c>
      <c r="AO266" s="11">
        <f t="shared" ref="AO266:AO329" si="117">IF(AND(AM266,NOT(AM267)),$AB$27,AO265+($AB$29-IF(AND(AM265,AM266),CHOOSE(AK266,$AG$5,$AG$6,$AG$7,$AG$8,$AG$9,$AG$10,$AG$11)*$AA$23/$AA$24,0))*$AB$15)</f>
        <v>0</v>
      </c>
      <c r="AP266" s="11">
        <f t="shared" ref="AP266:AP329" si="118">IF(AN265&lt;=0,0,(AP265*AN265-(IF(AND(AM265,AM266),CHOOSE(AK266,$AI$5,$AI$6,$AI$7,$AI$8,$AI$9,$AI$10,$AI$11),$AA$37))*AP265*$AB$15+$AA$34*(AQ265-AP265)*$AB$15+$AA$33*$AB$15)/AN265)</f>
        <v>0.39058788182048876</v>
      </c>
      <c r="AQ266" s="11">
        <f t="shared" si="94"/>
        <v>0</v>
      </c>
      <c r="AT266" s="3"/>
      <c r="AU266" s="17"/>
      <c r="AV266" s="19"/>
      <c r="AW266" s="17"/>
      <c r="AX266" s="17">
        <f t="shared" si="113"/>
        <v>257</v>
      </c>
      <c r="AY266" s="17">
        <f t="shared" si="112"/>
        <v>25.7</v>
      </c>
      <c r="AZ266" s="17">
        <v>39.058788182048879</v>
      </c>
      <c r="BA266" s="17"/>
      <c r="BB266" s="17">
        <v>36</v>
      </c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P266" s="17"/>
      <c r="BQ266" s="17"/>
      <c r="BR266" s="17"/>
      <c r="BS266" s="17"/>
      <c r="BT266" s="17"/>
      <c r="BU266" s="17"/>
      <c r="BV266" s="17"/>
      <c r="BW266" s="17"/>
      <c r="BX266" s="17"/>
      <c r="BY266" s="17"/>
      <c r="BZ266" s="17"/>
      <c r="CA266" s="17"/>
      <c r="CB266" s="17"/>
      <c r="CC266" s="17"/>
      <c r="CD266" s="17"/>
      <c r="CE266" s="17"/>
      <c r="CF266" s="17"/>
      <c r="CG266" s="17"/>
      <c r="CH266" s="17"/>
    </row>
    <row r="267" spans="8:86" x14ac:dyDescent="0.15">
      <c r="H267" s="3">
        <f t="shared" si="107"/>
        <v>0.25500000000000017</v>
      </c>
      <c r="I267" s="3">
        <f t="shared" si="108"/>
        <v>360</v>
      </c>
      <c r="J267" s="14">
        <f t="shared" si="109"/>
        <v>500</v>
      </c>
      <c r="K267" s="3">
        <f t="shared" si="99"/>
        <v>0</v>
      </c>
      <c r="L267" s="3">
        <f t="shared" si="95"/>
        <v>500</v>
      </c>
      <c r="M267" s="15">
        <f t="shared" si="110"/>
        <v>7.0000000000000007E-2</v>
      </c>
      <c r="N267" s="3">
        <f t="shared" si="111"/>
        <v>79.998339168854571</v>
      </c>
      <c r="O267" s="3">
        <f t="shared" si="96"/>
        <v>79.998339168854571</v>
      </c>
      <c r="P267" s="3">
        <f t="shared" si="100"/>
        <v>86.019719536402775</v>
      </c>
      <c r="Q267" s="3">
        <f t="shared" si="101"/>
        <v>33.036852133730449</v>
      </c>
      <c r="R267" s="3">
        <f t="shared" si="102"/>
        <v>59.528285835066612</v>
      </c>
      <c r="S267" s="3">
        <f t="shared" si="97"/>
        <v>1</v>
      </c>
      <c r="T267" s="3">
        <f t="shared" si="103"/>
        <v>26491.433701336162</v>
      </c>
      <c r="U267" s="3">
        <f t="shared" si="104"/>
        <v>0.5</v>
      </c>
      <c r="V267" s="3">
        <f t="shared" si="105"/>
        <v>0</v>
      </c>
      <c r="W267" s="3">
        <f t="shared" si="106"/>
        <v>28799.402100787647</v>
      </c>
      <c r="X267" s="3">
        <f t="shared" si="98"/>
        <v>16518.426066865224</v>
      </c>
      <c r="AI267" s="3"/>
      <c r="AJ267" s="3"/>
      <c r="AK267" s="15">
        <f t="shared" si="115"/>
        <v>1</v>
      </c>
      <c r="AL267" s="11">
        <f t="shared" ref="AL267:AL330" si="119">AL266+$AB$15</f>
        <v>1548</v>
      </c>
      <c r="AM267" s="11" t="b">
        <f t="shared" si="114"/>
        <v>0</v>
      </c>
      <c r="AN267" s="11">
        <f t="shared" si="116"/>
        <v>36000</v>
      </c>
      <c r="AO267" s="11">
        <f t="shared" si="117"/>
        <v>0</v>
      </c>
      <c r="AP267" s="11">
        <f t="shared" si="118"/>
        <v>0.39169019663530352</v>
      </c>
      <c r="AQ267" s="11">
        <f t="shared" ref="AQ267:AQ330" si="120">IF(AO266&lt;=0,0,(AQ266*AO266-$AA$34*(AQ266-AP266)*$AB$15)/AO266)</f>
        <v>0</v>
      </c>
      <c r="AT267" s="3"/>
      <c r="AU267" s="17"/>
      <c r="AV267" s="19"/>
      <c r="AW267" s="17"/>
      <c r="AX267" s="17">
        <f t="shared" si="113"/>
        <v>258</v>
      </c>
      <c r="AY267" s="17">
        <f t="shared" si="112"/>
        <v>25.8</v>
      </c>
      <c r="AZ267" s="17">
        <v>39.169019663530349</v>
      </c>
      <c r="BA267" s="17"/>
      <c r="BB267" s="17">
        <v>36</v>
      </c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P267" s="17"/>
      <c r="BQ267" s="17"/>
      <c r="BR267" s="17"/>
      <c r="BS267" s="17"/>
      <c r="BT267" s="17"/>
      <c r="BU267" s="17"/>
      <c r="BV267" s="17"/>
      <c r="BW267" s="17"/>
      <c r="BX267" s="17"/>
      <c r="BY267" s="17"/>
      <c r="BZ267" s="17"/>
      <c r="CA267" s="17"/>
      <c r="CB267" s="17"/>
      <c r="CC267" s="17"/>
      <c r="CD267" s="17"/>
      <c r="CE267" s="17"/>
      <c r="CF267" s="17"/>
      <c r="CG267" s="17"/>
      <c r="CH267" s="17"/>
    </row>
    <row r="268" spans="8:86" x14ac:dyDescent="0.15">
      <c r="H268" s="3">
        <f t="shared" si="107"/>
        <v>0.25600000000000017</v>
      </c>
      <c r="I268" s="3">
        <f t="shared" si="108"/>
        <v>360</v>
      </c>
      <c r="J268" s="14">
        <f t="shared" si="109"/>
        <v>500</v>
      </c>
      <c r="K268" s="3">
        <f t="shared" si="99"/>
        <v>0</v>
      </c>
      <c r="L268" s="3">
        <f t="shared" ref="L268:L331" si="121">$L$8*$L$6/I268</f>
        <v>500</v>
      </c>
      <c r="M268" s="15">
        <f t="shared" si="110"/>
        <v>7.0000000000000007E-2</v>
      </c>
      <c r="N268" s="3">
        <f t="shared" si="111"/>
        <v>79.924751853017526</v>
      </c>
      <c r="O268" s="3">
        <f t="shared" ref="O268:O331" si="122">N268*S268</f>
        <v>79.924751853017526</v>
      </c>
      <c r="P268" s="3">
        <f t="shared" si="100"/>
        <v>85.940593390341434</v>
      </c>
      <c r="Q268" s="3">
        <f t="shared" si="101"/>
        <v>32.983869266327773</v>
      </c>
      <c r="R268" s="3">
        <f t="shared" si="102"/>
        <v>59.462231328334603</v>
      </c>
      <c r="S268" s="3">
        <f t="shared" ref="S268:S331" si="123">IF($F$10=0,0,IF($F$10=1,1,(N268-L268-1/$I$5+((L268-N268+1/$I$5)^2+4*N268/$I$5)^0.5)/2/N268))</f>
        <v>1</v>
      </c>
      <c r="T268" s="3">
        <f t="shared" si="103"/>
        <v>26478.362062006832</v>
      </c>
      <c r="U268" s="3">
        <f t="shared" si="104"/>
        <v>0.5</v>
      </c>
      <c r="V268" s="3">
        <f t="shared" si="105"/>
        <v>0</v>
      </c>
      <c r="W268" s="3">
        <f t="shared" si="106"/>
        <v>28772.910667086308</v>
      </c>
      <c r="X268" s="3">
        <f t="shared" ref="X268:X331" si="124">IF($F$19,W268-W269+X269,J268*Q268)</f>
        <v>16491.934633163888</v>
      </c>
      <c r="AI268" s="3"/>
      <c r="AJ268" s="3"/>
      <c r="AK268" s="15">
        <f t="shared" si="115"/>
        <v>1</v>
      </c>
      <c r="AL268" s="11">
        <f t="shared" si="119"/>
        <v>1554</v>
      </c>
      <c r="AM268" s="11" t="b">
        <f t="shared" si="114"/>
        <v>0</v>
      </c>
      <c r="AN268" s="11">
        <f t="shared" si="116"/>
        <v>36000</v>
      </c>
      <c r="AO268" s="11">
        <f t="shared" si="117"/>
        <v>0</v>
      </c>
      <c r="AP268" s="11">
        <f t="shared" si="118"/>
        <v>0.39279251145011834</v>
      </c>
      <c r="AQ268" s="11">
        <f t="shared" si="120"/>
        <v>0</v>
      </c>
      <c r="AT268" s="3"/>
      <c r="AU268" s="17"/>
      <c r="AV268" s="19"/>
      <c r="AW268" s="17"/>
      <c r="AX268" s="17">
        <f t="shared" si="113"/>
        <v>259</v>
      </c>
      <c r="AY268" s="17">
        <f t="shared" si="112"/>
        <v>25.9</v>
      </c>
      <c r="AZ268" s="17">
        <v>39.279251145011834</v>
      </c>
      <c r="BA268" s="17"/>
      <c r="BB268" s="17">
        <v>36</v>
      </c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P268" s="17"/>
      <c r="BQ268" s="17"/>
      <c r="BR268" s="17"/>
      <c r="BS268" s="17"/>
      <c r="BT268" s="17"/>
      <c r="BU268" s="17"/>
      <c r="BV268" s="17"/>
      <c r="BW268" s="17"/>
      <c r="BX268" s="17"/>
      <c r="BY268" s="17"/>
      <c r="BZ268" s="17"/>
      <c r="CA268" s="17"/>
      <c r="CB268" s="17"/>
      <c r="CC268" s="17"/>
      <c r="CD268" s="17"/>
      <c r="CE268" s="17"/>
      <c r="CF268" s="17"/>
      <c r="CG268" s="17"/>
      <c r="CH268" s="17"/>
    </row>
    <row r="269" spans="8:86" x14ac:dyDescent="0.15">
      <c r="H269" s="3">
        <f t="shared" si="107"/>
        <v>0.25700000000000017</v>
      </c>
      <c r="I269" s="3">
        <f t="shared" si="108"/>
        <v>360</v>
      </c>
      <c r="J269" s="14">
        <f t="shared" si="109"/>
        <v>500</v>
      </c>
      <c r="K269" s="3">
        <f t="shared" ref="K269:K332" si="125">2*$F$6*$I$6*H269+$F$6*$I$7</f>
        <v>0</v>
      </c>
      <c r="L269" s="3">
        <f t="shared" si="121"/>
        <v>500</v>
      </c>
      <c r="M269" s="15">
        <f t="shared" si="110"/>
        <v>7.0000000000000007E-2</v>
      </c>
      <c r="N269" s="3">
        <f t="shared" si="111"/>
        <v>79.851200847289718</v>
      </c>
      <c r="O269" s="3">
        <f t="shared" si="122"/>
        <v>79.851200847289718</v>
      </c>
      <c r="P269" s="3">
        <f t="shared" ref="P269:P332" si="126">O269/(1-M269)</f>
        <v>85.861506287408304</v>
      </c>
      <c r="Q269" s="3">
        <f t="shared" ref="Q269:Q332" si="127">IF($F$19,IF($F$20,0,X269/J269),(Q268*J268-T268*$I$4)/J269)</f>
        <v>32.930912542203764</v>
      </c>
      <c r="R269" s="3">
        <f t="shared" ref="R269:R332" si="128">IF($F$19,P269,(1-U269)*P269+U269*Q269)</f>
        <v>59.396209414806037</v>
      </c>
      <c r="S269" s="3">
        <f t="shared" si="123"/>
        <v>1</v>
      </c>
      <c r="T269" s="3">
        <f t="shared" ref="T269:T332" si="129">IF($F$19,0,$F$8*(P269-Q269))+R269*K269*(1-$F$11)</f>
        <v>26465.29687260227</v>
      </c>
      <c r="U269" s="3">
        <f t="shared" ref="U269:U332" si="130">IF($F$8=0,0,IF(V269=0,0.5,IF(ISERROR(EXP(V269)),0,1/V269-1/(EXP(V269)-1))))</f>
        <v>0.5</v>
      </c>
      <c r="V269" s="3">
        <f t="shared" ref="V269:V332" si="131">K269*(1-$F$11)/$F$8</f>
        <v>0</v>
      </c>
      <c r="W269" s="3">
        <f t="shared" ref="W269:W332" si="132">(I269+$L$5)*N269</f>
        <v>28746.4323050243</v>
      </c>
      <c r="X269" s="3">
        <f t="shared" si="124"/>
        <v>16465.456271101881</v>
      </c>
      <c r="AI269" s="3"/>
      <c r="AJ269" s="3"/>
      <c r="AK269" s="15">
        <f t="shared" si="115"/>
        <v>1</v>
      </c>
      <c r="AL269" s="11">
        <f t="shared" si="119"/>
        <v>1560</v>
      </c>
      <c r="AM269" s="11" t="b">
        <f t="shared" si="114"/>
        <v>0</v>
      </c>
      <c r="AN269" s="11">
        <f t="shared" si="116"/>
        <v>36000</v>
      </c>
      <c r="AO269" s="11">
        <f t="shared" si="117"/>
        <v>0</v>
      </c>
      <c r="AP269" s="11">
        <f t="shared" si="118"/>
        <v>0.39389482626493311</v>
      </c>
      <c r="AQ269" s="11">
        <f t="shared" si="120"/>
        <v>0</v>
      </c>
      <c r="AT269" s="3"/>
      <c r="AU269" s="17"/>
      <c r="AV269" s="19"/>
      <c r="AW269" s="17"/>
      <c r="AX269" s="17">
        <f t="shared" si="113"/>
        <v>260</v>
      </c>
      <c r="AY269" s="17">
        <f t="shared" si="112"/>
        <v>26</v>
      </c>
      <c r="AZ269" s="17">
        <v>39.389482626493312</v>
      </c>
      <c r="BA269" s="17"/>
      <c r="BB269" s="17">
        <v>36</v>
      </c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P269" s="17"/>
      <c r="BQ269" s="17"/>
      <c r="BR269" s="17"/>
      <c r="BS269" s="17"/>
      <c r="BT269" s="17"/>
      <c r="BU269" s="17"/>
      <c r="BV269" s="17"/>
      <c r="BW269" s="17"/>
      <c r="BX269" s="17"/>
      <c r="BY269" s="17"/>
      <c r="BZ269" s="17"/>
      <c r="CA269" s="17"/>
      <c r="CB269" s="17"/>
      <c r="CC269" s="17"/>
      <c r="CD269" s="17"/>
      <c r="CE269" s="17"/>
      <c r="CF269" s="17"/>
      <c r="CG269" s="17"/>
      <c r="CH269" s="17"/>
    </row>
    <row r="270" spans="8:86" x14ac:dyDescent="0.15">
      <c r="H270" s="3">
        <f t="shared" ref="H270:H333" si="133">H269+$I$4</f>
        <v>0.25800000000000017</v>
      </c>
      <c r="I270" s="3">
        <f t="shared" ref="I270:I333" si="134">$I$12-$F$6*($I$6*H270^2+$I$7*H270)</f>
        <v>360</v>
      </c>
      <c r="J270" s="14">
        <f t="shared" ref="J270:J333" si="135">$J$12-$F$6*($I$6*H270^2+$I$7*H270)</f>
        <v>500</v>
      </c>
      <c r="K270" s="3">
        <f t="shared" si="125"/>
        <v>0</v>
      </c>
      <c r="L270" s="3">
        <f t="shared" si="121"/>
        <v>500</v>
      </c>
      <c r="M270" s="15">
        <f t="shared" ref="M270:M333" si="136">$M$12*L270/$L$12</f>
        <v>7.0000000000000007E-2</v>
      </c>
      <c r="N270" s="3">
        <f t="shared" ref="N270:N333" si="137">(N269*I269+P269*$L$5-T269*$I$4)/(I270+$L$5/(1-M270))</f>
        <v>79.777686133754713</v>
      </c>
      <c r="O270" s="3">
        <f t="shared" si="122"/>
        <v>79.777686133754713</v>
      </c>
      <c r="P270" s="3">
        <f t="shared" si="126"/>
        <v>85.782458208338412</v>
      </c>
      <c r="Q270" s="3">
        <f t="shared" si="127"/>
        <v>32.877981948458554</v>
      </c>
      <c r="R270" s="3">
        <f t="shared" si="128"/>
        <v>59.330220078398483</v>
      </c>
      <c r="S270" s="3">
        <f t="shared" si="123"/>
        <v>1</v>
      </c>
      <c r="T270" s="3">
        <f t="shared" si="129"/>
        <v>26452.238129939928</v>
      </c>
      <c r="U270" s="3">
        <f t="shared" si="130"/>
        <v>0.5</v>
      </c>
      <c r="V270" s="3">
        <f t="shared" si="131"/>
        <v>0</v>
      </c>
      <c r="W270" s="3">
        <f t="shared" si="132"/>
        <v>28719.967008151696</v>
      </c>
      <c r="X270" s="3">
        <f t="shared" si="124"/>
        <v>16438.990974229277</v>
      </c>
      <c r="AI270" s="3"/>
      <c r="AJ270" s="3"/>
      <c r="AK270" s="15">
        <f t="shared" si="115"/>
        <v>1</v>
      </c>
      <c r="AL270" s="11">
        <f t="shared" si="119"/>
        <v>1566</v>
      </c>
      <c r="AM270" s="11" t="b">
        <f t="shared" si="114"/>
        <v>0</v>
      </c>
      <c r="AN270" s="11">
        <f t="shared" si="116"/>
        <v>36000</v>
      </c>
      <c r="AO270" s="11">
        <f t="shared" si="117"/>
        <v>0</v>
      </c>
      <c r="AP270" s="11">
        <f t="shared" si="118"/>
        <v>0.39499714107974793</v>
      </c>
      <c r="AQ270" s="11">
        <f t="shared" si="120"/>
        <v>0</v>
      </c>
      <c r="AT270" s="3"/>
      <c r="AU270" s="17"/>
      <c r="AV270" s="19"/>
      <c r="AW270" s="17"/>
      <c r="AX270" s="17">
        <f t="shared" si="113"/>
        <v>261</v>
      </c>
      <c r="AY270" s="17">
        <f t="shared" si="112"/>
        <v>26.1</v>
      </c>
      <c r="AZ270" s="17">
        <v>39.499714107974796</v>
      </c>
      <c r="BA270" s="17"/>
      <c r="BB270" s="17">
        <v>36</v>
      </c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P270" s="17"/>
      <c r="BQ270" s="17"/>
      <c r="BR270" s="17"/>
      <c r="BS270" s="17"/>
      <c r="BT270" s="17"/>
      <c r="BU270" s="17"/>
      <c r="BV270" s="17"/>
      <c r="BW270" s="17"/>
      <c r="BX270" s="17"/>
      <c r="BY270" s="17"/>
      <c r="BZ270" s="17"/>
      <c r="CA270" s="17"/>
      <c r="CB270" s="17"/>
      <c r="CC270" s="17"/>
      <c r="CD270" s="17"/>
      <c r="CE270" s="17"/>
      <c r="CF270" s="17"/>
      <c r="CG270" s="17"/>
      <c r="CH270" s="17"/>
    </row>
    <row r="271" spans="8:86" x14ac:dyDescent="0.15">
      <c r="H271" s="3">
        <f t="shared" si="133"/>
        <v>0.25900000000000017</v>
      </c>
      <c r="I271" s="3">
        <f t="shared" si="134"/>
        <v>360</v>
      </c>
      <c r="J271" s="14">
        <f t="shared" si="135"/>
        <v>500</v>
      </c>
      <c r="K271" s="3">
        <f t="shared" si="125"/>
        <v>0</v>
      </c>
      <c r="L271" s="3">
        <f t="shared" si="121"/>
        <v>500</v>
      </c>
      <c r="M271" s="15">
        <f t="shared" si="136"/>
        <v>7.0000000000000007E-2</v>
      </c>
      <c r="N271" s="3">
        <f t="shared" si="137"/>
        <v>79.704207694504873</v>
      </c>
      <c r="O271" s="3">
        <f t="shared" si="122"/>
        <v>79.704207694504873</v>
      </c>
      <c r="P271" s="3">
        <f t="shared" si="126"/>
        <v>85.703449133876219</v>
      </c>
      <c r="Q271" s="3">
        <f t="shared" si="127"/>
        <v>32.825077472198672</v>
      </c>
      <c r="R271" s="3">
        <f t="shared" si="128"/>
        <v>59.264263303037445</v>
      </c>
      <c r="S271" s="3">
        <f t="shared" si="123"/>
        <v>1</v>
      </c>
      <c r="T271" s="3">
        <f t="shared" si="129"/>
        <v>26439.185830838775</v>
      </c>
      <c r="U271" s="3">
        <f t="shared" si="130"/>
        <v>0.5</v>
      </c>
      <c r="V271" s="3">
        <f t="shared" si="131"/>
        <v>0</v>
      </c>
      <c r="W271" s="3">
        <f t="shared" si="132"/>
        <v>28693.514770021753</v>
      </c>
      <c r="X271" s="3">
        <f t="shared" si="124"/>
        <v>16412.538736099337</v>
      </c>
      <c r="AI271" s="3"/>
      <c r="AJ271" s="3"/>
      <c r="AK271" s="15">
        <f t="shared" si="115"/>
        <v>1</v>
      </c>
      <c r="AL271" s="11">
        <f t="shared" si="119"/>
        <v>1572</v>
      </c>
      <c r="AM271" s="11" t="b">
        <f t="shared" si="114"/>
        <v>0</v>
      </c>
      <c r="AN271" s="11">
        <f t="shared" si="116"/>
        <v>36000</v>
      </c>
      <c r="AO271" s="11">
        <f t="shared" si="117"/>
        <v>0</v>
      </c>
      <c r="AP271" s="11">
        <f t="shared" si="118"/>
        <v>0.39609945589456269</v>
      </c>
      <c r="AQ271" s="11">
        <f t="shared" si="120"/>
        <v>0</v>
      </c>
      <c r="AT271" s="3"/>
      <c r="AU271" s="17"/>
      <c r="AV271" s="19"/>
      <c r="AW271" s="17"/>
      <c r="AX271" s="17">
        <f t="shared" si="113"/>
        <v>262</v>
      </c>
      <c r="AY271" s="17">
        <f t="shared" si="112"/>
        <v>26.2</v>
      </c>
      <c r="AZ271" s="17">
        <v>39.609945589456267</v>
      </c>
      <c r="BA271" s="17"/>
      <c r="BB271" s="17">
        <v>36</v>
      </c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P271" s="17"/>
      <c r="BQ271" s="17"/>
      <c r="BR271" s="17"/>
      <c r="BS271" s="17"/>
      <c r="BT271" s="17"/>
      <c r="BU271" s="17"/>
      <c r="BV271" s="17"/>
      <c r="BW271" s="17"/>
      <c r="BX271" s="17"/>
      <c r="BY271" s="17"/>
      <c r="BZ271" s="17"/>
      <c r="CA271" s="17"/>
      <c r="CB271" s="17"/>
      <c r="CC271" s="17"/>
      <c r="CD271" s="17"/>
      <c r="CE271" s="17"/>
      <c r="CF271" s="17"/>
      <c r="CG271" s="17"/>
      <c r="CH271" s="17"/>
    </row>
    <row r="272" spans="8:86" x14ac:dyDescent="0.15">
      <c r="H272" s="3">
        <f t="shared" si="133"/>
        <v>0.26000000000000018</v>
      </c>
      <c r="I272" s="3">
        <f t="shared" si="134"/>
        <v>360</v>
      </c>
      <c r="J272" s="14">
        <f t="shared" si="135"/>
        <v>500</v>
      </c>
      <c r="K272" s="3">
        <f t="shared" si="125"/>
        <v>0</v>
      </c>
      <c r="L272" s="3">
        <f t="shared" si="121"/>
        <v>500</v>
      </c>
      <c r="M272" s="15">
        <f t="shared" si="136"/>
        <v>7.0000000000000007E-2</v>
      </c>
      <c r="N272" s="3">
        <f t="shared" si="137"/>
        <v>79.630765511641428</v>
      </c>
      <c r="O272" s="3">
        <f t="shared" si="122"/>
        <v>79.630765511641428</v>
      </c>
      <c r="P272" s="3">
        <f t="shared" si="126"/>
        <v>85.62447904477574</v>
      </c>
      <c r="Q272" s="3">
        <f t="shared" si="127"/>
        <v>32.772199100537001</v>
      </c>
      <c r="R272" s="3">
        <f t="shared" si="128"/>
        <v>59.198339072656367</v>
      </c>
      <c r="S272" s="3">
        <f t="shared" si="123"/>
        <v>1</v>
      </c>
      <c r="T272" s="3">
        <f t="shared" si="129"/>
        <v>26426.13997211937</v>
      </c>
      <c r="U272" s="3">
        <f t="shared" si="130"/>
        <v>0.5</v>
      </c>
      <c r="V272" s="3">
        <f t="shared" si="131"/>
        <v>0</v>
      </c>
      <c r="W272" s="3">
        <f t="shared" si="132"/>
        <v>28667.075584190916</v>
      </c>
      <c r="X272" s="3">
        <f t="shared" si="124"/>
        <v>16386.0995502685</v>
      </c>
      <c r="AI272" s="3"/>
      <c r="AJ272" s="3"/>
      <c r="AK272" s="15">
        <f t="shared" si="115"/>
        <v>1</v>
      </c>
      <c r="AL272" s="11">
        <f t="shared" si="119"/>
        <v>1578</v>
      </c>
      <c r="AM272" s="11" t="b">
        <f t="shared" si="114"/>
        <v>0</v>
      </c>
      <c r="AN272" s="11">
        <f t="shared" si="116"/>
        <v>36000</v>
      </c>
      <c r="AO272" s="11">
        <f t="shared" si="117"/>
        <v>0</v>
      </c>
      <c r="AP272" s="11">
        <f t="shared" si="118"/>
        <v>0.39720177070937751</v>
      </c>
      <c r="AQ272" s="11">
        <f t="shared" si="120"/>
        <v>0</v>
      </c>
      <c r="AT272" s="3"/>
      <c r="AU272" s="17"/>
      <c r="AV272" s="19"/>
      <c r="AW272" s="17"/>
      <c r="AX272" s="17">
        <f t="shared" si="113"/>
        <v>263</v>
      </c>
      <c r="AY272" s="17">
        <f t="shared" si="112"/>
        <v>26.3</v>
      </c>
      <c r="AZ272" s="17">
        <v>39.720177070937751</v>
      </c>
      <c r="BA272" s="17"/>
      <c r="BB272" s="17">
        <v>36</v>
      </c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P272" s="17"/>
      <c r="BQ272" s="17"/>
      <c r="BR272" s="17"/>
      <c r="BS272" s="17"/>
      <c r="BT272" s="17"/>
      <c r="BU272" s="17"/>
      <c r="BV272" s="17"/>
      <c r="BW272" s="17"/>
      <c r="BX272" s="17"/>
      <c r="BY272" s="17"/>
      <c r="BZ272" s="17"/>
      <c r="CA272" s="17"/>
      <c r="CB272" s="17"/>
      <c r="CC272" s="17"/>
      <c r="CD272" s="17"/>
      <c r="CE272" s="17"/>
      <c r="CF272" s="17"/>
      <c r="CG272" s="17"/>
      <c r="CH272" s="17"/>
    </row>
    <row r="273" spans="8:86" x14ac:dyDescent="0.15">
      <c r="H273" s="3">
        <f t="shared" si="133"/>
        <v>0.26100000000000018</v>
      </c>
      <c r="I273" s="3">
        <f t="shared" si="134"/>
        <v>360</v>
      </c>
      <c r="J273" s="14">
        <f t="shared" si="135"/>
        <v>500</v>
      </c>
      <c r="K273" s="3">
        <f t="shared" si="125"/>
        <v>0</v>
      </c>
      <c r="L273" s="3">
        <f t="shared" si="121"/>
        <v>500</v>
      </c>
      <c r="M273" s="15">
        <f t="shared" si="136"/>
        <v>7.0000000000000007E-2</v>
      </c>
      <c r="N273" s="3">
        <f t="shared" si="137"/>
        <v>79.557359567274432</v>
      </c>
      <c r="O273" s="3">
        <f t="shared" si="122"/>
        <v>79.557359567274432</v>
      </c>
      <c r="P273" s="3">
        <f t="shared" si="126"/>
        <v>85.545547921800477</v>
      </c>
      <c r="Q273" s="3">
        <f t="shared" si="127"/>
        <v>32.719346820592762</v>
      </c>
      <c r="R273" s="3">
        <f t="shared" si="128"/>
        <v>59.132447371196619</v>
      </c>
      <c r="S273" s="3">
        <f t="shared" si="123"/>
        <v>1</v>
      </c>
      <c r="T273" s="3">
        <f t="shared" si="129"/>
        <v>26413.100550603856</v>
      </c>
      <c r="U273" s="3">
        <f t="shared" si="130"/>
        <v>0.5</v>
      </c>
      <c r="V273" s="3">
        <f t="shared" si="131"/>
        <v>0</v>
      </c>
      <c r="W273" s="3">
        <f t="shared" si="132"/>
        <v>28640.649444218794</v>
      </c>
      <c r="X273" s="3">
        <f t="shared" si="124"/>
        <v>16359.67341029638</v>
      </c>
      <c r="AI273" s="3"/>
      <c r="AJ273" s="3"/>
      <c r="AK273" s="15">
        <f t="shared" si="115"/>
        <v>1</v>
      </c>
      <c r="AL273" s="11">
        <f t="shared" si="119"/>
        <v>1584</v>
      </c>
      <c r="AM273" s="11" t="b">
        <f t="shared" si="114"/>
        <v>0</v>
      </c>
      <c r="AN273" s="11">
        <f t="shared" si="116"/>
        <v>36000</v>
      </c>
      <c r="AO273" s="11">
        <f t="shared" si="117"/>
        <v>0</v>
      </c>
      <c r="AP273" s="11">
        <f t="shared" si="118"/>
        <v>0.39830408552419228</v>
      </c>
      <c r="AQ273" s="11">
        <f t="shared" si="120"/>
        <v>0</v>
      </c>
      <c r="AT273" s="3"/>
      <c r="AU273" s="17"/>
      <c r="AV273" s="19"/>
      <c r="AW273" s="17"/>
      <c r="AX273" s="17">
        <f t="shared" si="113"/>
        <v>264</v>
      </c>
      <c r="AY273" s="17">
        <f t="shared" si="112"/>
        <v>26.4</v>
      </c>
      <c r="AZ273" s="17">
        <v>39.830408552419229</v>
      </c>
      <c r="BA273" s="17"/>
      <c r="BB273" s="17">
        <v>36</v>
      </c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P273" s="17"/>
      <c r="BQ273" s="17"/>
      <c r="BR273" s="17"/>
      <c r="BS273" s="17"/>
      <c r="BT273" s="17"/>
      <c r="BU273" s="17"/>
      <c r="BV273" s="17"/>
      <c r="BW273" s="17"/>
      <c r="BX273" s="17"/>
      <c r="BY273" s="17"/>
      <c r="BZ273" s="17"/>
      <c r="CA273" s="17"/>
      <c r="CB273" s="17"/>
      <c r="CC273" s="17"/>
      <c r="CD273" s="17"/>
      <c r="CE273" s="17"/>
      <c r="CF273" s="17"/>
      <c r="CG273" s="17"/>
      <c r="CH273" s="17"/>
    </row>
    <row r="274" spans="8:86" x14ac:dyDescent="0.15">
      <c r="H274" s="3">
        <f t="shared" si="133"/>
        <v>0.26200000000000018</v>
      </c>
      <c r="I274" s="3">
        <f t="shared" si="134"/>
        <v>360</v>
      </c>
      <c r="J274" s="14">
        <f t="shared" si="135"/>
        <v>500</v>
      </c>
      <c r="K274" s="3">
        <f t="shared" si="125"/>
        <v>0</v>
      </c>
      <c r="L274" s="3">
        <f t="shared" si="121"/>
        <v>500</v>
      </c>
      <c r="M274" s="15">
        <f t="shared" si="136"/>
        <v>7.0000000000000007E-2</v>
      </c>
      <c r="N274" s="3">
        <f t="shared" si="137"/>
        <v>79.48398984352275</v>
      </c>
      <c r="O274" s="3">
        <f t="shared" si="122"/>
        <v>79.48398984352275</v>
      </c>
      <c r="P274" s="3">
        <f t="shared" si="126"/>
        <v>85.466655745723386</v>
      </c>
      <c r="Q274" s="3">
        <f t="shared" si="127"/>
        <v>32.66652061949155</v>
      </c>
      <c r="R274" s="3">
        <f t="shared" si="128"/>
        <v>59.066588182607468</v>
      </c>
      <c r="S274" s="3">
        <f t="shared" si="123"/>
        <v>1</v>
      </c>
      <c r="T274" s="3">
        <f t="shared" si="129"/>
        <v>26400.067563115917</v>
      </c>
      <c r="U274" s="3">
        <f t="shared" si="130"/>
        <v>0.5</v>
      </c>
      <c r="V274" s="3">
        <f t="shared" si="131"/>
        <v>0</v>
      </c>
      <c r="W274" s="3">
        <f t="shared" si="132"/>
        <v>28614.236343668192</v>
      </c>
      <c r="X274" s="3">
        <f t="shared" si="124"/>
        <v>16333.260309745774</v>
      </c>
      <c r="AI274" s="3"/>
      <c r="AJ274" s="3"/>
      <c r="AK274" s="15">
        <f t="shared" si="115"/>
        <v>1</v>
      </c>
      <c r="AL274" s="11">
        <f t="shared" si="119"/>
        <v>1590</v>
      </c>
      <c r="AM274" s="11" t="b">
        <f t="shared" si="114"/>
        <v>0</v>
      </c>
      <c r="AN274" s="11">
        <f t="shared" si="116"/>
        <v>36000</v>
      </c>
      <c r="AO274" s="11">
        <f t="shared" si="117"/>
        <v>0</v>
      </c>
      <c r="AP274" s="11">
        <f t="shared" si="118"/>
        <v>0.39940640033900709</v>
      </c>
      <c r="AQ274" s="11">
        <f t="shared" si="120"/>
        <v>0</v>
      </c>
      <c r="AT274" s="3"/>
      <c r="AU274" s="17"/>
      <c r="AV274" s="19"/>
      <c r="AW274" s="17"/>
      <c r="AX274" s="17">
        <f t="shared" si="113"/>
        <v>265</v>
      </c>
      <c r="AY274" s="17">
        <f t="shared" si="112"/>
        <v>26.5</v>
      </c>
      <c r="AZ274" s="17">
        <v>39.940640033900706</v>
      </c>
      <c r="BA274" s="17"/>
      <c r="BB274" s="17">
        <v>36</v>
      </c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  <c r="BW274" s="17"/>
      <c r="BX274" s="17"/>
      <c r="BY274" s="17"/>
      <c r="BZ274" s="17"/>
      <c r="CA274" s="17"/>
      <c r="CB274" s="17"/>
      <c r="CC274" s="17"/>
      <c r="CD274" s="17"/>
      <c r="CE274" s="17"/>
      <c r="CF274" s="17"/>
      <c r="CG274" s="17"/>
      <c r="CH274" s="17"/>
    </row>
    <row r="275" spans="8:86" x14ac:dyDescent="0.15">
      <c r="H275" s="3">
        <f t="shared" si="133"/>
        <v>0.26300000000000018</v>
      </c>
      <c r="I275" s="3">
        <f t="shared" si="134"/>
        <v>360</v>
      </c>
      <c r="J275" s="14">
        <f t="shared" si="135"/>
        <v>500</v>
      </c>
      <c r="K275" s="3">
        <f t="shared" si="125"/>
        <v>0</v>
      </c>
      <c r="L275" s="3">
        <f t="shared" si="121"/>
        <v>500</v>
      </c>
      <c r="M275" s="15">
        <f t="shared" si="136"/>
        <v>7.0000000000000007E-2</v>
      </c>
      <c r="N275" s="3">
        <f t="shared" si="137"/>
        <v>79.4106563225141</v>
      </c>
      <c r="O275" s="3">
        <f t="shared" si="122"/>
        <v>79.4106563225141</v>
      </c>
      <c r="P275" s="3">
        <f t="shared" si="126"/>
        <v>85.387802497327002</v>
      </c>
      <c r="Q275" s="3">
        <f t="shared" si="127"/>
        <v>32.613720484365317</v>
      </c>
      <c r="R275" s="3">
        <f t="shared" si="128"/>
        <v>59.000761490846159</v>
      </c>
      <c r="S275" s="3">
        <f t="shared" si="123"/>
        <v>1</v>
      </c>
      <c r="T275" s="3">
        <f t="shared" si="129"/>
        <v>26387.041006480842</v>
      </c>
      <c r="U275" s="3">
        <f t="shared" si="130"/>
        <v>0.5</v>
      </c>
      <c r="V275" s="3">
        <f t="shared" si="131"/>
        <v>0</v>
      </c>
      <c r="W275" s="3">
        <f t="shared" si="132"/>
        <v>28587.836276105078</v>
      </c>
      <c r="X275" s="3">
        <f t="shared" si="124"/>
        <v>16306.860242182658</v>
      </c>
      <c r="AI275" s="3"/>
      <c r="AJ275" s="3"/>
      <c r="AK275" s="15">
        <f t="shared" si="115"/>
        <v>1</v>
      </c>
      <c r="AL275" s="11">
        <f t="shared" si="119"/>
        <v>1596</v>
      </c>
      <c r="AM275" s="11" t="b">
        <f t="shared" si="114"/>
        <v>0</v>
      </c>
      <c r="AN275" s="11">
        <f t="shared" si="116"/>
        <v>36000</v>
      </c>
      <c r="AO275" s="11">
        <f t="shared" si="117"/>
        <v>0</v>
      </c>
      <c r="AP275" s="11">
        <f t="shared" si="118"/>
        <v>0.40050871515382186</v>
      </c>
      <c r="AQ275" s="11">
        <f t="shared" si="120"/>
        <v>0</v>
      </c>
      <c r="AT275" s="3"/>
      <c r="AU275" s="17"/>
      <c r="AV275" s="19"/>
      <c r="AW275" s="17"/>
      <c r="AX275" s="17">
        <f t="shared" si="113"/>
        <v>266</v>
      </c>
      <c r="AY275" s="17">
        <f t="shared" si="112"/>
        <v>26.6</v>
      </c>
      <c r="AZ275" s="17">
        <v>40.050871515382184</v>
      </c>
      <c r="BA275" s="17"/>
      <c r="BB275" s="17">
        <v>36</v>
      </c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P275" s="17"/>
      <c r="BQ275" s="17"/>
      <c r="BR275" s="17"/>
      <c r="BS275" s="17"/>
      <c r="BT275" s="17"/>
      <c r="BU275" s="17"/>
      <c r="BV275" s="17"/>
      <c r="BW275" s="17"/>
      <c r="BX275" s="17"/>
      <c r="BY275" s="17"/>
      <c r="BZ275" s="17"/>
      <c r="CA275" s="17"/>
      <c r="CB275" s="17"/>
      <c r="CC275" s="17"/>
      <c r="CD275" s="17"/>
      <c r="CE275" s="17"/>
      <c r="CF275" s="17"/>
      <c r="CG275" s="17"/>
      <c r="CH275" s="17"/>
    </row>
    <row r="276" spans="8:86" x14ac:dyDescent="0.15">
      <c r="H276" s="3">
        <f t="shared" si="133"/>
        <v>0.26400000000000018</v>
      </c>
      <c r="I276" s="3">
        <f t="shared" si="134"/>
        <v>360</v>
      </c>
      <c r="J276" s="14">
        <f t="shared" si="135"/>
        <v>500</v>
      </c>
      <c r="K276" s="3">
        <f t="shared" si="125"/>
        <v>0</v>
      </c>
      <c r="L276" s="3">
        <f t="shared" si="121"/>
        <v>500</v>
      </c>
      <c r="M276" s="15">
        <f t="shared" si="136"/>
        <v>7.0000000000000007E-2</v>
      </c>
      <c r="N276" s="3">
        <f t="shared" si="137"/>
        <v>79.337358986384984</v>
      </c>
      <c r="O276" s="3">
        <f t="shared" si="122"/>
        <v>79.337358986384984</v>
      </c>
      <c r="P276" s="3">
        <f t="shared" si="126"/>
        <v>85.30898815740322</v>
      </c>
      <c r="Q276" s="3">
        <f t="shared" si="127"/>
        <v>32.560946402352357</v>
      </c>
      <c r="R276" s="3">
        <f t="shared" si="128"/>
        <v>58.934967279877789</v>
      </c>
      <c r="S276" s="3">
        <f t="shared" si="123"/>
        <v>1</v>
      </c>
      <c r="T276" s="3">
        <f t="shared" si="129"/>
        <v>26374.020877525432</v>
      </c>
      <c r="U276" s="3">
        <f t="shared" si="130"/>
        <v>0.5</v>
      </c>
      <c r="V276" s="3">
        <f t="shared" si="131"/>
        <v>0</v>
      </c>
      <c r="W276" s="3">
        <f t="shared" si="132"/>
        <v>28561.449235098593</v>
      </c>
      <c r="X276" s="3">
        <f t="shared" si="124"/>
        <v>16280.473201176179</v>
      </c>
      <c r="AI276" s="3"/>
      <c r="AJ276" s="3"/>
      <c r="AK276" s="15">
        <f t="shared" si="115"/>
        <v>1</v>
      </c>
      <c r="AL276" s="11">
        <f t="shared" si="119"/>
        <v>1602</v>
      </c>
      <c r="AM276" s="11" t="b">
        <f t="shared" si="114"/>
        <v>0</v>
      </c>
      <c r="AN276" s="11">
        <f t="shared" si="116"/>
        <v>36000</v>
      </c>
      <c r="AO276" s="11">
        <f t="shared" si="117"/>
        <v>0</v>
      </c>
      <c r="AP276" s="11">
        <f t="shared" si="118"/>
        <v>0.40161102996863668</v>
      </c>
      <c r="AQ276" s="11">
        <f t="shared" si="120"/>
        <v>0</v>
      </c>
      <c r="AT276" s="3"/>
      <c r="AU276" s="17"/>
      <c r="AV276" s="19"/>
      <c r="AW276" s="17"/>
      <c r="AX276" s="17">
        <f t="shared" si="113"/>
        <v>267</v>
      </c>
      <c r="AY276" s="17">
        <f t="shared" ref="AY276:AY339" si="138">IF(ISNUMBER(AX276),IF(ROUND((AX276)*$AG$15*$AB$15,0) &lt;= 10080, ROUND((AX276)*$AG$15,0)*$AB$15/60, 168),168)</f>
        <v>26.7</v>
      </c>
      <c r="AZ276" s="17">
        <v>40.161102996863669</v>
      </c>
      <c r="BA276" s="17"/>
      <c r="BB276" s="17">
        <v>36</v>
      </c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P276" s="17"/>
      <c r="BQ276" s="17"/>
      <c r="BR276" s="17"/>
      <c r="BS276" s="17"/>
      <c r="BT276" s="17"/>
      <c r="BU276" s="17"/>
      <c r="BV276" s="17"/>
      <c r="BW276" s="17"/>
      <c r="BX276" s="17"/>
      <c r="BY276" s="17"/>
      <c r="BZ276" s="17"/>
      <c r="CA276" s="17"/>
      <c r="CB276" s="17"/>
      <c r="CC276" s="17"/>
      <c r="CD276" s="17"/>
      <c r="CE276" s="17"/>
      <c r="CF276" s="17"/>
      <c r="CG276" s="17"/>
      <c r="CH276" s="17"/>
    </row>
    <row r="277" spans="8:86" x14ac:dyDescent="0.15">
      <c r="H277" s="3">
        <f t="shared" si="133"/>
        <v>0.26500000000000018</v>
      </c>
      <c r="I277" s="3">
        <f t="shared" si="134"/>
        <v>360</v>
      </c>
      <c r="J277" s="14">
        <f t="shared" si="135"/>
        <v>500</v>
      </c>
      <c r="K277" s="3">
        <f t="shared" si="125"/>
        <v>0</v>
      </c>
      <c r="L277" s="3">
        <f t="shared" si="121"/>
        <v>500</v>
      </c>
      <c r="M277" s="15">
        <f t="shared" si="136"/>
        <v>7.0000000000000007E-2</v>
      </c>
      <c r="N277" s="3">
        <f t="shared" si="137"/>
        <v>79.264097817280742</v>
      </c>
      <c r="O277" s="3">
        <f t="shared" si="122"/>
        <v>79.264097817280742</v>
      </c>
      <c r="P277" s="3">
        <f t="shared" si="126"/>
        <v>85.230212706753491</v>
      </c>
      <c r="Q277" s="3">
        <f t="shared" si="127"/>
        <v>32.508198360597305</v>
      </c>
      <c r="R277" s="3">
        <f t="shared" si="128"/>
        <v>58.869205533675398</v>
      </c>
      <c r="S277" s="3">
        <f t="shared" si="123"/>
        <v>1</v>
      </c>
      <c r="T277" s="3">
        <f t="shared" si="129"/>
        <v>26361.007173078095</v>
      </c>
      <c r="U277" s="3">
        <f t="shared" si="130"/>
        <v>0.5</v>
      </c>
      <c r="V277" s="3">
        <f t="shared" si="131"/>
        <v>0</v>
      </c>
      <c r="W277" s="3">
        <f t="shared" si="132"/>
        <v>28535.075214221066</v>
      </c>
      <c r="X277" s="3">
        <f t="shared" si="124"/>
        <v>16254.099180298652</v>
      </c>
      <c r="AI277" s="3"/>
      <c r="AJ277" s="3"/>
      <c r="AK277" s="15">
        <f t="shared" si="115"/>
        <v>1</v>
      </c>
      <c r="AL277" s="11">
        <f t="shared" si="119"/>
        <v>1608</v>
      </c>
      <c r="AM277" s="11" t="b">
        <f t="shared" si="114"/>
        <v>0</v>
      </c>
      <c r="AN277" s="11">
        <f t="shared" si="116"/>
        <v>36000</v>
      </c>
      <c r="AO277" s="11">
        <f t="shared" si="117"/>
        <v>0</v>
      </c>
      <c r="AP277" s="11">
        <f t="shared" si="118"/>
        <v>0.40271334478345144</v>
      </c>
      <c r="AQ277" s="11">
        <f t="shared" si="120"/>
        <v>0</v>
      </c>
      <c r="AT277" s="3"/>
      <c r="AU277" s="17"/>
      <c r="AV277" s="19"/>
      <c r="AW277" s="17"/>
      <c r="AX277" s="17">
        <f t="shared" si="113"/>
        <v>268</v>
      </c>
      <c r="AY277" s="17">
        <f t="shared" si="138"/>
        <v>26.8</v>
      </c>
      <c r="AZ277" s="17">
        <v>40.271334478345146</v>
      </c>
      <c r="BA277" s="17"/>
      <c r="BB277" s="17">
        <v>36</v>
      </c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P277" s="17"/>
      <c r="BQ277" s="17"/>
      <c r="BR277" s="17"/>
      <c r="BS277" s="17"/>
      <c r="BT277" s="17"/>
      <c r="BU277" s="17"/>
      <c r="BV277" s="17"/>
      <c r="BW277" s="17"/>
      <c r="BX277" s="17"/>
      <c r="BY277" s="17"/>
      <c r="BZ277" s="17"/>
      <c r="CA277" s="17"/>
      <c r="CB277" s="17"/>
      <c r="CC277" s="17"/>
      <c r="CD277" s="17"/>
      <c r="CE277" s="17"/>
      <c r="CF277" s="17"/>
      <c r="CG277" s="17"/>
      <c r="CH277" s="17"/>
    </row>
    <row r="278" spans="8:86" x14ac:dyDescent="0.15">
      <c r="H278" s="3">
        <f t="shared" si="133"/>
        <v>0.26600000000000018</v>
      </c>
      <c r="I278" s="3">
        <f t="shared" si="134"/>
        <v>360</v>
      </c>
      <c r="J278" s="14">
        <f t="shared" si="135"/>
        <v>500</v>
      </c>
      <c r="K278" s="3">
        <f t="shared" si="125"/>
        <v>0</v>
      </c>
      <c r="L278" s="3">
        <f t="shared" si="121"/>
        <v>500</v>
      </c>
      <c r="M278" s="15">
        <f t="shared" si="136"/>
        <v>7.0000000000000007E-2</v>
      </c>
      <c r="N278" s="3">
        <f t="shared" si="137"/>
        <v>79.190872797355524</v>
      </c>
      <c r="O278" s="3">
        <f t="shared" si="122"/>
        <v>79.190872797355524</v>
      </c>
      <c r="P278" s="3">
        <f t="shared" si="126"/>
        <v>85.15147612618874</v>
      </c>
      <c r="Q278" s="3">
        <f t="shared" si="127"/>
        <v>32.455476346251146</v>
      </c>
      <c r="R278" s="3">
        <f t="shared" si="128"/>
        <v>58.803476236219943</v>
      </c>
      <c r="S278" s="3">
        <f t="shared" si="123"/>
        <v>1</v>
      </c>
      <c r="T278" s="3">
        <f t="shared" si="129"/>
        <v>26347.999889968796</v>
      </c>
      <c r="U278" s="3">
        <f t="shared" si="130"/>
        <v>0.5</v>
      </c>
      <c r="V278" s="3">
        <f t="shared" si="131"/>
        <v>0</v>
      </c>
      <c r="W278" s="3">
        <f t="shared" si="132"/>
        <v>28508.714207047989</v>
      </c>
      <c r="X278" s="3">
        <f t="shared" si="124"/>
        <v>16227.738173125574</v>
      </c>
      <c r="AI278" s="3"/>
      <c r="AJ278" s="3"/>
      <c r="AK278" s="15">
        <f t="shared" si="115"/>
        <v>1</v>
      </c>
      <c r="AL278" s="11">
        <f t="shared" si="119"/>
        <v>1614</v>
      </c>
      <c r="AM278" s="11" t="b">
        <f t="shared" si="114"/>
        <v>0</v>
      </c>
      <c r="AN278" s="11">
        <f t="shared" si="116"/>
        <v>36000</v>
      </c>
      <c r="AO278" s="11">
        <f t="shared" si="117"/>
        <v>0</v>
      </c>
      <c r="AP278" s="11">
        <f t="shared" si="118"/>
        <v>0.40381565959826626</v>
      </c>
      <c r="AQ278" s="11">
        <f t="shared" si="120"/>
        <v>0</v>
      </c>
      <c r="AT278" s="3"/>
      <c r="AU278" s="17"/>
      <c r="AV278" s="19"/>
      <c r="AW278" s="17"/>
      <c r="AX278" s="17">
        <f t="shared" si="113"/>
        <v>269</v>
      </c>
      <c r="AY278" s="17">
        <f t="shared" si="138"/>
        <v>26.9</v>
      </c>
      <c r="AZ278" s="17">
        <v>40.381565959826624</v>
      </c>
      <c r="BA278" s="17"/>
      <c r="BB278" s="17">
        <v>36</v>
      </c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P278" s="17"/>
      <c r="BQ278" s="17"/>
      <c r="BR278" s="17"/>
      <c r="BS278" s="17"/>
      <c r="BT278" s="17"/>
      <c r="BU278" s="17"/>
      <c r="BV278" s="17"/>
      <c r="BW278" s="17"/>
      <c r="BX278" s="17"/>
      <c r="BY278" s="17"/>
      <c r="BZ278" s="17"/>
      <c r="CA278" s="17"/>
      <c r="CB278" s="17"/>
      <c r="CC278" s="17"/>
      <c r="CD278" s="17"/>
      <c r="CE278" s="17"/>
      <c r="CF278" s="17"/>
      <c r="CG278" s="17"/>
      <c r="CH278" s="17"/>
    </row>
    <row r="279" spans="8:86" x14ac:dyDescent="0.15">
      <c r="H279" s="3">
        <f t="shared" si="133"/>
        <v>0.26700000000000018</v>
      </c>
      <c r="I279" s="3">
        <f t="shared" si="134"/>
        <v>360</v>
      </c>
      <c r="J279" s="14">
        <f t="shared" si="135"/>
        <v>500</v>
      </c>
      <c r="K279" s="3">
        <f t="shared" si="125"/>
        <v>0</v>
      </c>
      <c r="L279" s="3">
        <f t="shared" si="121"/>
        <v>500</v>
      </c>
      <c r="M279" s="15">
        <f t="shared" si="136"/>
        <v>7.0000000000000007E-2</v>
      </c>
      <c r="N279" s="3">
        <f t="shared" si="137"/>
        <v>79.117683908772278</v>
      </c>
      <c r="O279" s="3">
        <f t="shared" si="122"/>
        <v>79.117683908772278</v>
      </c>
      <c r="P279" s="3">
        <f t="shared" si="126"/>
        <v>85.072778396529344</v>
      </c>
      <c r="Q279" s="3">
        <f t="shared" si="127"/>
        <v>32.402780346471211</v>
      </c>
      <c r="R279" s="3">
        <f t="shared" si="128"/>
        <v>58.737779371500281</v>
      </c>
      <c r="S279" s="3">
        <f t="shared" si="123"/>
        <v>1</v>
      </c>
      <c r="T279" s="3">
        <f t="shared" si="129"/>
        <v>26334.999025029068</v>
      </c>
      <c r="U279" s="3">
        <f t="shared" si="130"/>
        <v>0.5</v>
      </c>
      <c r="V279" s="3">
        <f t="shared" si="131"/>
        <v>0</v>
      </c>
      <c r="W279" s="3">
        <f t="shared" si="132"/>
        <v>28482.366207158018</v>
      </c>
      <c r="X279" s="3">
        <f t="shared" si="124"/>
        <v>16201.390173235606</v>
      </c>
      <c r="AI279" s="3"/>
      <c r="AJ279" s="3"/>
      <c r="AK279" s="15">
        <f t="shared" si="115"/>
        <v>1</v>
      </c>
      <c r="AL279" s="11">
        <f t="shared" si="119"/>
        <v>1620</v>
      </c>
      <c r="AM279" s="11" t="b">
        <f t="shared" si="114"/>
        <v>0</v>
      </c>
      <c r="AN279" s="11">
        <f t="shared" si="116"/>
        <v>36000</v>
      </c>
      <c r="AO279" s="11">
        <f t="shared" si="117"/>
        <v>0</v>
      </c>
      <c r="AP279" s="11">
        <f t="shared" si="118"/>
        <v>0.40491797441308103</v>
      </c>
      <c r="AQ279" s="11">
        <f t="shared" si="120"/>
        <v>0</v>
      </c>
      <c r="AT279" s="3"/>
      <c r="AU279" s="17"/>
      <c r="AV279" s="19"/>
      <c r="AW279" s="17"/>
      <c r="AX279" s="17">
        <f t="shared" si="113"/>
        <v>270</v>
      </c>
      <c r="AY279" s="17">
        <f t="shared" si="138"/>
        <v>27</v>
      </c>
      <c r="AZ279" s="17">
        <v>40.491797441308101</v>
      </c>
      <c r="BA279" s="17"/>
      <c r="BB279" s="17">
        <v>36</v>
      </c>
      <c r="BC279" s="17"/>
      <c r="BD279" s="17"/>
      <c r="BE279" s="17"/>
      <c r="BF279" s="17"/>
      <c r="BG279" s="17"/>
      <c r="BH279" s="17"/>
      <c r="BI279" s="17"/>
      <c r="BJ279" s="17"/>
      <c r="BK279" s="17"/>
      <c r="BL279" s="17"/>
      <c r="BM279" s="17"/>
      <c r="BN279" s="17"/>
      <c r="BO279" s="17"/>
      <c r="BP279" s="17"/>
      <c r="BQ279" s="17"/>
      <c r="BR279" s="17"/>
      <c r="BS279" s="17"/>
      <c r="BT279" s="17"/>
      <c r="BU279" s="17"/>
      <c r="BV279" s="17"/>
      <c r="BW279" s="17"/>
      <c r="BX279" s="17"/>
      <c r="BY279" s="17"/>
      <c r="BZ279" s="17"/>
      <c r="CA279" s="17"/>
      <c r="CB279" s="17"/>
      <c r="CC279" s="17"/>
      <c r="CD279" s="17"/>
      <c r="CE279" s="17"/>
      <c r="CF279" s="17"/>
      <c r="CG279" s="17"/>
      <c r="CH279" s="17"/>
    </row>
    <row r="280" spans="8:86" x14ac:dyDescent="0.15">
      <c r="H280" s="3">
        <f t="shared" si="133"/>
        <v>0.26800000000000018</v>
      </c>
      <c r="I280" s="3">
        <f t="shared" si="134"/>
        <v>360</v>
      </c>
      <c r="J280" s="14">
        <f t="shared" si="135"/>
        <v>500</v>
      </c>
      <c r="K280" s="3">
        <f t="shared" si="125"/>
        <v>0</v>
      </c>
      <c r="L280" s="3">
        <f t="shared" si="121"/>
        <v>500</v>
      </c>
      <c r="M280" s="15">
        <f t="shared" si="136"/>
        <v>7.0000000000000007E-2</v>
      </c>
      <c r="N280" s="3">
        <f t="shared" si="137"/>
        <v>79.044531133702748</v>
      </c>
      <c r="O280" s="3">
        <f t="shared" si="122"/>
        <v>79.044531133702748</v>
      </c>
      <c r="P280" s="3">
        <f t="shared" si="126"/>
        <v>84.994119498605116</v>
      </c>
      <c r="Q280" s="3">
        <f t="shared" si="127"/>
        <v>32.350110348421154</v>
      </c>
      <c r="R280" s="3">
        <f t="shared" si="128"/>
        <v>58.672114923513135</v>
      </c>
      <c r="S280" s="3">
        <f t="shared" si="123"/>
        <v>1</v>
      </c>
      <c r="T280" s="3">
        <f t="shared" si="129"/>
        <v>26322.004575091982</v>
      </c>
      <c r="U280" s="3">
        <f t="shared" si="130"/>
        <v>0.5</v>
      </c>
      <c r="V280" s="3">
        <f t="shared" si="131"/>
        <v>0</v>
      </c>
      <c r="W280" s="3">
        <f t="shared" si="132"/>
        <v>28456.03120813299</v>
      </c>
      <c r="X280" s="3">
        <f t="shared" si="124"/>
        <v>16175.055174210576</v>
      </c>
      <c r="AI280" s="3"/>
      <c r="AJ280" s="3"/>
      <c r="AK280" s="15">
        <f t="shared" si="115"/>
        <v>1</v>
      </c>
      <c r="AL280" s="11">
        <f t="shared" si="119"/>
        <v>1626</v>
      </c>
      <c r="AM280" s="11" t="b">
        <f t="shared" si="114"/>
        <v>0</v>
      </c>
      <c r="AN280" s="11">
        <f t="shared" si="116"/>
        <v>36000</v>
      </c>
      <c r="AO280" s="11">
        <f t="shared" si="117"/>
        <v>0</v>
      </c>
      <c r="AP280" s="11">
        <f t="shared" si="118"/>
        <v>0.40602028922789585</v>
      </c>
      <c r="AQ280" s="11">
        <f t="shared" si="120"/>
        <v>0</v>
      </c>
      <c r="AT280" s="3"/>
      <c r="AU280" s="17"/>
      <c r="AV280" s="19"/>
      <c r="AW280" s="17"/>
      <c r="AX280" s="17">
        <f t="shared" si="113"/>
        <v>271</v>
      </c>
      <c r="AY280" s="17">
        <f t="shared" si="138"/>
        <v>27.1</v>
      </c>
      <c r="AZ280" s="17">
        <v>40.602028922789586</v>
      </c>
      <c r="BA280" s="17"/>
      <c r="BB280" s="17">
        <v>36</v>
      </c>
      <c r="BC280" s="17"/>
      <c r="BD280" s="17"/>
      <c r="BE280" s="17"/>
      <c r="BF280" s="17"/>
      <c r="BG280" s="17"/>
      <c r="BH280" s="17"/>
      <c r="BI280" s="17"/>
      <c r="BJ280" s="17"/>
      <c r="BK280" s="17"/>
      <c r="BL280" s="17"/>
      <c r="BM280" s="17"/>
      <c r="BN280" s="17"/>
      <c r="BO280" s="17"/>
      <c r="BP280" s="17"/>
      <c r="BQ280" s="17"/>
      <c r="BR280" s="17"/>
      <c r="BS280" s="17"/>
      <c r="BT280" s="17"/>
      <c r="BU280" s="17"/>
      <c r="BV280" s="17"/>
      <c r="BW280" s="17"/>
      <c r="BX280" s="17"/>
      <c r="BY280" s="17"/>
      <c r="BZ280" s="17"/>
      <c r="CA280" s="17"/>
      <c r="CB280" s="17"/>
      <c r="CC280" s="17"/>
      <c r="CD280" s="17"/>
      <c r="CE280" s="17"/>
      <c r="CF280" s="17"/>
      <c r="CG280" s="17"/>
      <c r="CH280" s="17"/>
    </row>
    <row r="281" spans="8:86" x14ac:dyDescent="0.15">
      <c r="H281" s="3">
        <f t="shared" si="133"/>
        <v>0.26900000000000018</v>
      </c>
      <c r="I281" s="3">
        <f t="shared" si="134"/>
        <v>360</v>
      </c>
      <c r="J281" s="14">
        <f t="shared" si="135"/>
        <v>500</v>
      </c>
      <c r="K281" s="3">
        <f t="shared" si="125"/>
        <v>0</v>
      </c>
      <c r="L281" s="3">
        <f t="shared" si="121"/>
        <v>500</v>
      </c>
      <c r="M281" s="15">
        <f t="shared" si="136"/>
        <v>7.0000000000000007E-2</v>
      </c>
      <c r="N281" s="3">
        <f t="shared" si="137"/>
        <v>78.971414454327487</v>
      </c>
      <c r="O281" s="3">
        <f t="shared" si="122"/>
        <v>78.971414454327487</v>
      </c>
      <c r="P281" s="3">
        <f t="shared" si="126"/>
        <v>84.915499413255361</v>
      </c>
      <c r="Q281" s="3">
        <f t="shared" si="127"/>
        <v>32.297466339270969</v>
      </c>
      <c r="R281" s="3">
        <f t="shared" si="128"/>
        <v>58.606482876263165</v>
      </c>
      <c r="S281" s="3">
        <f t="shared" si="123"/>
        <v>1</v>
      </c>
      <c r="T281" s="3">
        <f t="shared" si="129"/>
        <v>26309.016536992196</v>
      </c>
      <c r="U281" s="3">
        <f t="shared" si="130"/>
        <v>0.5</v>
      </c>
      <c r="V281" s="3">
        <f t="shared" si="131"/>
        <v>0</v>
      </c>
      <c r="W281" s="3">
        <f t="shared" si="132"/>
        <v>28429.709203557897</v>
      </c>
      <c r="X281" s="3">
        <f t="shared" si="124"/>
        <v>16148.733169635485</v>
      </c>
      <c r="AI281" s="3"/>
      <c r="AJ281" s="3"/>
      <c r="AK281" s="15">
        <f t="shared" si="115"/>
        <v>1</v>
      </c>
      <c r="AL281" s="11">
        <f t="shared" si="119"/>
        <v>1632</v>
      </c>
      <c r="AM281" s="11" t="b">
        <f t="shared" si="114"/>
        <v>0</v>
      </c>
      <c r="AN281" s="11">
        <f t="shared" si="116"/>
        <v>36000</v>
      </c>
      <c r="AO281" s="11">
        <f t="shared" si="117"/>
        <v>0</v>
      </c>
      <c r="AP281" s="11">
        <f t="shared" si="118"/>
        <v>0.40712260404271061</v>
      </c>
      <c r="AQ281" s="11">
        <f t="shared" si="120"/>
        <v>0</v>
      </c>
      <c r="AT281" s="3"/>
      <c r="AU281" s="17"/>
      <c r="AV281" s="19"/>
      <c r="AW281" s="17"/>
      <c r="AX281" s="17">
        <f t="shared" si="113"/>
        <v>272</v>
      </c>
      <c r="AY281" s="17">
        <f t="shared" si="138"/>
        <v>27.2</v>
      </c>
      <c r="AZ281" s="17">
        <v>40.712260404271063</v>
      </c>
      <c r="BA281" s="17"/>
      <c r="BB281" s="17">
        <v>36</v>
      </c>
      <c r="BC281" s="17"/>
      <c r="BD281" s="17"/>
      <c r="BE281" s="17"/>
      <c r="BF281" s="17"/>
      <c r="BG281" s="17"/>
      <c r="BH281" s="17"/>
      <c r="BI281" s="17"/>
      <c r="BJ281" s="17"/>
      <c r="BK281" s="17"/>
      <c r="BL281" s="17"/>
      <c r="BM281" s="17"/>
      <c r="BN281" s="17"/>
      <c r="BO281" s="17"/>
      <c r="BP281" s="17"/>
      <c r="BQ281" s="17"/>
      <c r="BR281" s="17"/>
      <c r="BS281" s="17"/>
      <c r="BT281" s="17"/>
      <c r="BU281" s="17"/>
      <c r="BV281" s="17"/>
      <c r="BW281" s="17"/>
      <c r="BX281" s="17"/>
      <c r="BY281" s="17"/>
      <c r="BZ281" s="17"/>
      <c r="CA281" s="17"/>
      <c r="CB281" s="17"/>
      <c r="CC281" s="17"/>
      <c r="CD281" s="17"/>
      <c r="CE281" s="17"/>
      <c r="CF281" s="17"/>
      <c r="CG281" s="17"/>
      <c r="CH281" s="17"/>
    </row>
    <row r="282" spans="8:86" x14ac:dyDescent="0.15">
      <c r="H282" s="3">
        <f t="shared" si="133"/>
        <v>0.27000000000000018</v>
      </c>
      <c r="I282" s="3">
        <f t="shared" si="134"/>
        <v>360</v>
      </c>
      <c r="J282" s="14">
        <f t="shared" si="135"/>
        <v>500</v>
      </c>
      <c r="K282" s="3">
        <f t="shared" si="125"/>
        <v>0</v>
      </c>
      <c r="L282" s="3">
        <f t="shared" si="121"/>
        <v>500</v>
      </c>
      <c r="M282" s="15">
        <f t="shared" si="136"/>
        <v>7.0000000000000007E-2</v>
      </c>
      <c r="N282" s="3">
        <f t="shared" si="137"/>
        <v>78.898333852835847</v>
      </c>
      <c r="O282" s="3">
        <f t="shared" si="122"/>
        <v>78.898333852835847</v>
      </c>
      <c r="P282" s="3">
        <f t="shared" si="126"/>
        <v>84.836918121328878</v>
      </c>
      <c r="Q282" s="3">
        <f t="shared" si="127"/>
        <v>32.244848306196985</v>
      </c>
      <c r="R282" s="3">
        <f t="shared" si="128"/>
        <v>58.540883213762932</v>
      </c>
      <c r="S282" s="3">
        <f t="shared" si="123"/>
        <v>1</v>
      </c>
      <c r="T282" s="3">
        <f t="shared" si="129"/>
        <v>26296.034907565947</v>
      </c>
      <c r="U282" s="3">
        <f t="shared" si="130"/>
        <v>0.5</v>
      </c>
      <c r="V282" s="3">
        <f t="shared" si="131"/>
        <v>0</v>
      </c>
      <c r="W282" s="3">
        <f t="shared" si="132"/>
        <v>28403.400187020907</v>
      </c>
      <c r="X282" s="3">
        <f t="shared" si="124"/>
        <v>16122.424153098493</v>
      </c>
      <c r="AI282" s="3"/>
      <c r="AJ282" s="3"/>
      <c r="AK282" s="15">
        <f t="shared" si="115"/>
        <v>1</v>
      </c>
      <c r="AL282" s="11">
        <f t="shared" si="119"/>
        <v>1638</v>
      </c>
      <c r="AM282" s="11" t="b">
        <f t="shared" si="114"/>
        <v>0</v>
      </c>
      <c r="AN282" s="11">
        <f t="shared" si="116"/>
        <v>36000</v>
      </c>
      <c r="AO282" s="11">
        <f t="shared" si="117"/>
        <v>0</v>
      </c>
      <c r="AP282" s="11">
        <f t="shared" si="118"/>
        <v>0.40822491885752543</v>
      </c>
      <c r="AQ282" s="11">
        <f t="shared" si="120"/>
        <v>0</v>
      </c>
      <c r="AT282" s="3"/>
      <c r="AU282" s="17"/>
      <c r="AV282" s="19"/>
      <c r="AW282" s="17"/>
      <c r="AX282" s="17">
        <f t="shared" si="113"/>
        <v>273</v>
      </c>
      <c r="AY282" s="17">
        <f t="shared" si="138"/>
        <v>27.3</v>
      </c>
      <c r="AZ282" s="17">
        <v>40.822491885752541</v>
      </c>
      <c r="BA282" s="17"/>
      <c r="BB282" s="17">
        <v>36</v>
      </c>
      <c r="BC282" s="17"/>
      <c r="BD282" s="17"/>
      <c r="BE282" s="17"/>
      <c r="BF282" s="17"/>
      <c r="BG282" s="17"/>
      <c r="BH282" s="17"/>
      <c r="BI282" s="17"/>
      <c r="BJ282" s="17"/>
      <c r="BK282" s="17"/>
      <c r="BL282" s="17"/>
      <c r="BM282" s="17"/>
      <c r="BN282" s="17"/>
      <c r="BO282" s="17"/>
      <c r="BP282" s="17"/>
      <c r="BQ282" s="17"/>
      <c r="BR282" s="17"/>
      <c r="BS282" s="17"/>
      <c r="BT282" s="17"/>
      <c r="BU282" s="17"/>
      <c r="BV282" s="17"/>
      <c r="BW282" s="17"/>
      <c r="BX282" s="17"/>
      <c r="BY282" s="17"/>
      <c r="BZ282" s="17"/>
      <c r="CA282" s="17"/>
      <c r="CB282" s="17"/>
      <c r="CC282" s="17"/>
      <c r="CD282" s="17"/>
      <c r="CE282" s="17"/>
      <c r="CF282" s="17"/>
      <c r="CG282" s="17"/>
      <c r="CH282" s="17"/>
    </row>
    <row r="283" spans="8:86" x14ac:dyDescent="0.15">
      <c r="H283" s="3">
        <f t="shared" si="133"/>
        <v>0.27100000000000019</v>
      </c>
      <c r="I283" s="3">
        <f t="shared" si="134"/>
        <v>360</v>
      </c>
      <c r="J283" s="14">
        <f t="shared" si="135"/>
        <v>500</v>
      </c>
      <c r="K283" s="3">
        <f t="shared" si="125"/>
        <v>0</v>
      </c>
      <c r="L283" s="3">
        <f t="shared" si="121"/>
        <v>500</v>
      </c>
      <c r="M283" s="15">
        <f t="shared" si="136"/>
        <v>7.0000000000000007E-2</v>
      </c>
      <c r="N283" s="3">
        <f t="shared" si="137"/>
        <v>78.825289311425948</v>
      </c>
      <c r="O283" s="3">
        <f t="shared" si="122"/>
        <v>78.825289311425948</v>
      </c>
      <c r="P283" s="3">
        <f t="shared" si="126"/>
        <v>84.758375603683817</v>
      </c>
      <c r="Q283" s="3">
        <f t="shared" si="127"/>
        <v>32.192256236381851</v>
      </c>
      <c r="R283" s="3">
        <f t="shared" si="128"/>
        <v>58.475315920032834</v>
      </c>
      <c r="S283" s="3">
        <f t="shared" si="123"/>
        <v>1</v>
      </c>
      <c r="T283" s="3">
        <f t="shared" si="129"/>
        <v>26283.059683650983</v>
      </c>
      <c r="U283" s="3">
        <f t="shared" si="130"/>
        <v>0.5</v>
      </c>
      <c r="V283" s="3">
        <f t="shared" si="131"/>
        <v>0</v>
      </c>
      <c r="W283" s="3">
        <f t="shared" si="132"/>
        <v>28377.104152113341</v>
      </c>
      <c r="X283" s="3">
        <f t="shared" si="124"/>
        <v>16096.128118190925</v>
      </c>
      <c r="AI283" s="3"/>
      <c r="AJ283" s="3"/>
      <c r="AK283" s="15">
        <f t="shared" si="115"/>
        <v>1</v>
      </c>
      <c r="AL283" s="11">
        <f t="shared" si="119"/>
        <v>1644</v>
      </c>
      <c r="AM283" s="11" t="b">
        <f t="shared" si="114"/>
        <v>0</v>
      </c>
      <c r="AN283" s="11">
        <f t="shared" si="116"/>
        <v>36000</v>
      </c>
      <c r="AO283" s="11">
        <f t="shared" si="117"/>
        <v>0</v>
      </c>
      <c r="AP283" s="11">
        <f t="shared" si="118"/>
        <v>0.40932723367234025</v>
      </c>
      <c r="AQ283" s="11">
        <f t="shared" si="120"/>
        <v>0</v>
      </c>
      <c r="AT283" s="3"/>
      <c r="AU283" s="17"/>
      <c r="AV283" s="19"/>
      <c r="AW283" s="17"/>
      <c r="AX283" s="17">
        <f t="shared" si="113"/>
        <v>274</v>
      </c>
      <c r="AY283" s="17">
        <f t="shared" si="138"/>
        <v>27.4</v>
      </c>
      <c r="AZ283" s="17">
        <v>40.932723367234026</v>
      </c>
      <c r="BA283" s="17"/>
      <c r="BB283" s="17">
        <v>36</v>
      </c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7"/>
      <c r="CC283" s="17"/>
      <c r="CD283" s="17"/>
      <c r="CE283" s="17"/>
      <c r="CF283" s="17"/>
      <c r="CG283" s="17"/>
      <c r="CH283" s="17"/>
    </row>
    <row r="284" spans="8:86" x14ac:dyDescent="0.15">
      <c r="H284" s="3">
        <f t="shared" si="133"/>
        <v>0.27200000000000019</v>
      </c>
      <c r="I284" s="3">
        <f t="shared" si="134"/>
        <v>360</v>
      </c>
      <c r="J284" s="14">
        <f t="shared" si="135"/>
        <v>500</v>
      </c>
      <c r="K284" s="3">
        <f t="shared" si="125"/>
        <v>0</v>
      </c>
      <c r="L284" s="3">
        <f t="shared" si="121"/>
        <v>500</v>
      </c>
      <c r="M284" s="15">
        <f t="shared" si="136"/>
        <v>7.0000000000000007E-2</v>
      </c>
      <c r="N284" s="3">
        <f t="shared" si="137"/>
        <v>78.75228081230469</v>
      </c>
      <c r="O284" s="3">
        <f t="shared" si="122"/>
        <v>78.75228081230469</v>
      </c>
      <c r="P284" s="3">
        <f t="shared" si="126"/>
        <v>84.679871841187847</v>
      </c>
      <c r="Q284" s="3">
        <f t="shared" si="127"/>
        <v>32.139690117014553</v>
      </c>
      <c r="R284" s="3">
        <f t="shared" si="128"/>
        <v>58.4097809791012</v>
      </c>
      <c r="S284" s="3">
        <f t="shared" si="123"/>
        <v>1</v>
      </c>
      <c r="T284" s="3">
        <f t="shared" si="129"/>
        <v>26270.090862086647</v>
      </c>
      <c r="U284" s="3">
        <f t="shared" si="130"/>
        <v>0.5</v>
      </c>
      <c r="V284" s="3">
        <f t="shared" si="131"/>
        <v>0</v>
      </c>
      <c r="W284" s="3">
        <f t="shared" si="132"/>
        <v>28350.821092429687</v>
      </c>
      <c r="X284" s="3">
        <f t="shared" si="124"/>
        <v>16069.845058507277</v>
      </c>
      <c r="AI284" s="3"/>
      <c r="AJ284" s="3"/>
      <c r="AK284" s="15">
        <f t="shared" si="115"/>
        <v>1</v>
      </c>
      <c r="AL284" s="11">
        <f t="shared" si="119"/>
        <v>1650</v>
      </c>
      <c r="AM284" s="11" t="b">
        <f t="shared" si="114"/>
        <v>0</v>
      </c>
      <c r="AN284" s="11">
        <f t="shared" si="116"/>
        <v>36000</v>
      </c>
      <c r="AO284" s="11">
        <f t="shared" si="117"/>
        <v>0</v>
      </c>
      <c r="AP284" s="11">
        <f t="shared" si="118"/>
        <v>0.41042954848715502</v>
      </c>
      <c r="AQ284" s="11">
        <f t="shared" si="120"/>
        <v>0</v>
      </c>
      <c r="AT284" s="3"/>
      <c r="AU284" s="17"/>
      <c r="AV284" s="19"/>
      <c r="AW284" s="17"/>
      <c r="AX284" s="17">
        <f t="shared" si="113"/>
        <v>275</v>
      </c>
      <c r="AY284" s="17">
        <f t="shared" si="138"/>
        <v>27.5</v>
      </c>
      <c r="AZ284" s="17">
        <v>41.042954848715503</v>
      </c>
      <c r="BA284" s="17"/>
      <c r="BB284" s="17">
        <v>36</v>
      </c>
      <c r="BC284" s="17"/>
      <c r="BD284" s="17"/>
      <c r="BE284" s="17"/>
      <c r="BF284" s="17"/>
      <c r="BG284" s="17"/>
      <c r="BH284" s="17"/>
      <c r="BI284" s="17"/>
      <c r="BJ284" s="17"/>
      <c r="BK284" s="17"/>
      <c r="BL284" s="17"/>
      <c r="BM284" s="17"/>
      <c r="BN284" s="17"/>
      <c r="BO284" s="17"/>
      <c r="BP284" s="17"/>
      <c r="BQ284" s="17"/>
      <c r="BR284" s="17"/>
      <c r="BS284" s="17"/>
      <c r="BT284" s="17"/>
      <c r="BU284" s="17"/>
      <c r="BV284" s="17"/>
      <c r="BW284" s="17"/>
      <c r="BX284" s="17"/>
      <c r="BY284" s="17"/>
      <c r="BZ284" s="17"/>
      <c r="CA284" s="17"/>
      <c r="CB284" s="17"/>
      <c r="CC284" s="17"/>
      <c r="CD284" s="17"/>
      <c r="CE284" s="17"/>
      <c r="CF284" s="17"/>
      <c r="CG284" s="17"/>
      <c r="CH284" s="17"/>
    </row>
    <row r="285" spans="8:86" x14ac:dyDescent="0.15">
      <c r="H285" s="3">
        <f t="shared" si="133"/>
        <v>0.27300000000000019</v>
      </c>
      <c r="I285" s="3">
        <f t="shared" si="134"/>
        <v>360</v>
      </c>
      <c r="J285" s="14">
        <f t="shared" si="135"/>
        <v>500</v>
      </c>
      <c r="K285" s="3">
        <f t="shared" si="125"/>
        <v>0</v>
      </c>
      <c r="L285" s="3">
        <f t="shared" si="121"/>
        <v>500</v>
      </c>
      <c r="M285" s="15">
        <f t="shared" si="136"/>
        <v>7.0000000000000007E-2</v>
      </c>
      <c r="N285" s="3">
        <f t="shared" si="137"/>
        <v>78.679308337687786</v>
      </c>
      <c r="O285" s="3">
        <f t="shared" si="122"/>
        <v>78.679308337687786</v>
      </c>
      <c r="P285" s="3">
        <f t="shared" si="126"/>
        <v>84.601406814718061</v>
      </c>
      <c r="Q285" s="3">
        <f t="shared" si="127"/>
        <v>32.087149935290384</v>
      </c>
      <c r="R285" s="3">
        <f t="shared" si="128"/>
        <v>58.344278375004222</v>
      </c>
      <c r="S285" s="3">
        <f t="shared" si="123"/>
        <v>1</v>
      </c>
      <c r="T285" s="3">
        <f t="shared" si="129"/>
        <v>26257.128439713837</v>
      </c>
      <c r="U285" s="3">
        <f t="shared" si="130"/>
        <v>0.5</v>
      </c>
      <c r="V285" s="3">
        <f t="shared" si="131"/>
        <v>0</v>
      </c>
      <c r="W285" s="3">
        <f t="shared" si="132"/>
        <v>28324.551001567605</v>
      </c>
      <c r="X285" s="3">
        <f t="shared" si="124"/>
        <v>16043.574967645192</v>
      </c>
      <c r="AI285" s="3"/>
      <c r="AJ285" s="3"/>
      <c r="AK285" s="15">
        <f t="shared" si="115"/>
        <v>1</v>
      </c>
      <c r="AL285" s="11">
        <f t="shared" si="119"/>
        <v>1656</v>
      </c>
      <c r="AM285" s="11" t="b">
        <f t="shared" si="114"/>
        <v>0</v>
      </c>
      <c r="AN285" s="11">
        <f t="shared" si="116"/>
        <v>36000</v>
      </c>
      <c r="AO285" s="11">
        <f t="shared" si="117"/>
        <v>0</v>
      </c>
      <c r="AP285" s="11">
        <f t="shared" si="118"/>
        <v>0.41153186330196984</v>
      </c>
      <c r="AQ285" s="11">
        <f t="shared" si="120"/>
        <v>0</v>
      </c>
      <c r="AT285" s="3"/>
      <c r="AU285" s="17"/>
      <c r="AV285" s="19"/>
      <c r="AW285" s="17"/>
      <c r="AX285" s="17">
        <f t="shared" si="113"/>
        <v>276</v>
      </c>
      <c r="AY285" s="17">
        <f t="shared" si="138"/>
        <v>27.6</v>
      </c>
      <c r="AZ285" s="17">
        <v>41.153186330196981</v>
      </c>
      <c r="BA285" s="17"/>
      <c r="BB285" s="17">
        <v>36</v>
      </c>
      <c r="BC285" s="17"/>
      <c r="BD285" s="17"/>
      <c r="BE285" s="17"/>
      <c r="BF285" s="17"/>
      <c r="BG285" s="17"/>
      <c r="BH285" s="17"/>
      <c r="BI285" s="17"/>
      <c r="BJ285" s="17"/>
      <c r="BK285" s="17"/>
      <c r="BL285" s="17"/>
      <c r="BM285" s="17"/>
      <c r="BN285" s="17"/>
      <c r="BO285" s="17"/>
      <c r="BP285" s="17"/>
      <c r="BQ285" s="17"/>
      <c r="BR285" s="17"/>
      <c r="BS285" s="17"/>
      <c r="BT285" s="17"/>
      <c r="BU285" s="17"/>
      <c r="BV285" s="17"/>
      <c r="BW285" s="17"/>
      <c r="BX285" s="17"/>
      <c r="BY285" s="17"/>
      <c r="BZ285" s="17"/>
      <c r="CA285" s="17"/>
      <c r="CB285" s="17"/>
      <c r="CC285" s="17"/>
      <c r="CD285" s="17"/>
      <c r="CE285" s="17"/>
      <c r="CF285" s="17"/>
      <c r="CG285" s="17"/>
      <c r="CH285" s="17"/>
    </row>
    <row r="286" spans="8:86" x14ac:dyDescent="0.15">
      <c r="H286" s="3">
        <f t="shared" si="133"/>
        <v>0.27400000000000019</v>
      </c>
      <c r="I286" s="3">
        <f t="shared" si="134"/>
        <v>360</v>
      </c>
      <c r="J286" s="14">
        <f t="shared" si="135"/>
        <v>500</v>
      </c>
      <c r="K286" s="3">
        <f t="shared" si="125"/>
        <v>0</v>
      </c>
      <c r="L286" s="3">
        <f t="shared" si="121"/>
        <v>500</v>
      </c>
      <c r="M286" s="15">
        <f t="shared" si="136"/>
        <v>7.0000000000000007E-2</v>
      </c>
      <c r="N286" s="3">
        <f t="shared" si="137"/>
        <v>78.606371869799702</v>
      </c>
      <c r="O286" s="3">
        <f t="shared" si="122"/>
        <v>78.606371869799702</v>
      </c>
      <c r="P286" s="3">
        <f t="shared" si="126"/>
        <v>84.522980505160973</v>
      </c>
      <c r="Q286" s="3">
        <f t="shared" si="127"/>
        <v>32.034635678410957</v>
      </c>
      <c r="R286" s="3">
        <f t="shared" si="128"/>
        <v>58.278808091785962</v>
      </c>
      <c r="S286" s="3">
        <f t="shared" si="123"/>
        <v>1</v>
      </c>
      <c r="T286" s="3">
        <f t="shared" si="129"/>
        <v>26244.172413375007</v>
      </c>
      <c r="U286" s="3">
        <f t="shared" si="130"/>
        <v>0.5</v>
      </c>
      <c r="V286" s="3">
        <f t="shared" si="131"/>
        <v>0</v>
      </c>
      <c r="W286" s="3">
        <f t="shared" si="132"/>
        <v>28298.293873127892</v>
      </c>
      <c r="X286" s="3">
        <f t="shared" si="124"/>
        <v>16017.317839205478</v>
      </c>
      <c r="AI286" s="3"/>
      <c r="AJ286" s="3"/>
      <c r="AK286" s="15">
        <f t="shared" si="115"/>
        <v>1</v>
      </c>
      <c r="AL286" s="11">
        <f t="shared" si="119"/>
        <v>1662</v>
      </c>
      <c r="AM286" s="11" t="b">
        <f t="shared" si="114"/>
        <v>0</v>
      </c>
      <c r="AN286" s="11">
        <f t="shared" si="116"/>
        <v>36000</v>
      </c>
      <c r="AO286" s="11">
        <f t="shared" si="117"/>
        <v>0</v>
      </c>
      <c r="AP286" s="11">
        <f t="shared" si="118"/>
        <v>0.4126341781167846</v>
      </c>
      <c r="AQ286" s="11">
        <f t="shared" si="120"/>
        <v>0</v>
      </c>
      <c r="AT286" s="3"/>
      <c r="AU286" s="17"/>
      <c r="AV286" s="19"/>
      <c r="AW286" s="17"/>
      <c r="AX286" s="17">
        <f t="shared" si="113"/>
        <v>277</v>
      </c>
      <c r="AY286" s="17">
        <f t="shared" si="138"/>
        <v>27.7</v>
      </c>
      <c r="AZ286" s="17">
        <v>41.263417811678458</v>
      </c>
      <c r="BA286" s="17"/>
      <c r="BB286" s="17">
        <v>36</v>
      </c>
      <c r="BC286" s="17"/>
      <c r="BD286" s="17"/>
      <c r="BE286" s="17"/>
      <c r="BF286" s="17"/>
      <c r="BG286" s="17"/>
      <c r="BH286" s="17"/>
      <c r="BI286" s="17"/>
      <c r="BJ286" s="17"/>
      <c r="BK286" s="17"/>
      <c r="BL286" s="17"/>
      <c r="BM286" s="17"/>
      <c r="BN286" s="17"/>
      <c r="BO286" s="17"/>
      <c r="BP286" s="17"/>
      <c r="BQ286" s="17"/>
      <c r="BR286" s="17"/>
      <c r="BS286" s="17"/>
      <c r="BT286" s="17"/>
      <c r="BU286" s="17"/>
      <c r="BV286" s="17"/>
      <c r="BW286" s="17"/>
      <c r="BX286" s="17"/>
      <c r="BY286" s="17"/>
      <c r="BZ286" s="17"/>
      <c r="CA286" s="17"/>
      <c r="CB286" s="17"/>
      <c r="CC286" s="17"/>
      <c r="CD286" s="17"/>
      <c r="CE286" s="17"/>
      <c r="CF286" s="17"/>
      <c r="CG286" s="17"/>
      <c r="CH286" s="17"/>
    </row>
    <row r="287" spans="8:86" x14ac:dyDescent="0.15">
      <c r="H287" s="3">
        <f t="shared" si="133"/>
        <v>0.27500000000000019</v>
      </c>
      <c r="I287" s="3">
        <f t="shared" si="134"/>
        <v>360</v>
      </c>
      <c r="J287" s="14">
        <f t="shared" si="135"/>
        <v>500</v>
      </c>
      <c r="K287" s="3">
        <f t="shared" si="125"/>
        <v>0</v>
      </c>
      <c r="L287" s="3">
        <f t="shared" si="121"/>
        <v>500</v>
      </c>
      <c r="M287" s="15">
        <f t="shared" si="136"/>
        <v>7.0000000000000007E-2</v>
      </c>
      <c r="N287" s="3">
        <f t="shared" si="137"/>
        <v>78.533471390873657</v>
      </c>
      <c r="O287" s="3">
        <f t="shared" si="122"/>
        <v>78.533471390873657</v>
      </c>
      <c r="P287" s="3">
        <f t="shared" si="126"/>
        <v>84.444592893412548</v>
      </c>
      <c r="Q287" s="3">
        <f t="shared" si="127"/>
        <v>31.982147333584205</v>
      </c>
      <c r="R287" s="3">
        <f t="shared" si="128"/>
        <v>58.213370113498378</v>
      </c>
      <c r="S287" s="3">
        <f t="shared" si="123"/>
        <v>1</v>
      </c>
      <c r="T287" s="3">
        <f t="shared" si="129"/>
        <v>26231.222779914169</v>
      </c>
      <c r="U287" s="3">
        <f t="shared" si="130"/>
        <v>0.5</v>
      </c>
      <c r="V287" s="3">
        <f t="shared" si="131"/>
        <v>0</v>
      </c>
      <c r="W287" s="3">
        <f t="shared" si="132"/>
        <v>28272.049700714517</v>
      </c>
      <c r="X287" s="3">
        <f t="shared" si="124"/>
        <v>15991.073666792103</v>
      </c>
      <c r="AI287" s="3"/>
      <c r="AJ287" s="3"/>
      <c r="AK287" s="15">
        <f t="shared" si="115"/>
        <v>1</v>
      </c>
      <c r="AL287" s="11">
        <f t="shared" si="119"/>
        <v>1668</v>
      </c>
      <c r="AM287" s="11" t="b">
        <f t="shared" si="114"/>
        <v>0</v>
      </c>
      <c r="AN287" s="11">
        <f t="shared" si="116"/>
        <v>36000</v>
      </c>
      <c r="AO287" s="11">
        <f t="shared" si="117"/>
        <v>0</v>
      </c>
      <c r="AP287" s="11">
        <f t="shared" si="118"/>
        <v>0.41373649293159942</v>
      </c>
      <c r="AQ287" s="11">
        <f t="shared" si="120"/>
        <v>0</v>
      </c>
      <c r="AT287" s="3"/>
      <c r="AU287" s="17"/>
      <c r="AV287" s="19"/>
      <c r="AW287" s="17"/>
      <c r="AX287" s="17">
        <f t="shared" si="113"/>
        <v>278</v>
      </c>
      <c r="AY287" s="17">
        <f t="shared" si="138"/>
        <v>27.8</v>
      </c>
      <c r="AZ287" s="17">
        <v>41.373649293159943</v>
      </c>
      <c r="BA287" s="17"/>
      <c r="BB287" s="17">
        <v>36</v>
      </c>
      <c r="BC287" s="17"/>
      <c r="BD287" s="17"/>
      <c r="BE287" s="17"/>
      <c r="BF287" s="17"/>
      <c r="BG287" s="17"/>
      <c r="BH287" s="17"/>
      <c r="BI287" s="17"/>
      <c r="BJ287" s="17"/>
      <c r="BK287" s="17"/>
      <c r="BL287" s="17"/>
      <c r="BM287" s="17"/>
      <c r="BN287" s="17"/>
      <c r="BO287" s="17"/>
      <c r="BP287" s="17"/>
      <c r="BQ287" s="17"/>
      <c r="BR287" s="17"/>
      <c r="BS287" s="17"/>
      <c r="BT287" s="17"/>
      <c r="BU287" s="17"/>
      <c r="BV287" s="17"/>
      <c r="BW287" s="17"/>
      <c r="BX287" s="17"/>
      <c r="BY287" s="17"/>
      <c r="BZ287" s="17"/>
      <c r="CA287" s="17"/>
      <c r="CB287" s="17"/>
      <c r="CC287" s="17"/>
      <c r="CD287" s="17"/>
      <c r="CE287" s="17"/>
      <c r="CF287" s="17"/>
      <c r="CG287" s="17"/>
      <c r="CH287" s="17"/>
    </row>
    <row r="288" spans="8:86" x14ac:dyDescent="0.15">
      <c r="H288" s="3">
        <f t="shared" si="133"/>
        <v>0.27600000000000019</v>
      </c>
      <c r="I288" s="3">
        <f t="shared" si="134"/>
        <v>360</v>
      </c>
      <c r="J288" s="14">
        <f t="shared" si="135"/>
        <v>500</v>
      </c>
      <c r="K288" s="3">
        <f t="shared" si="125"/>
        <v>0</v>
      </c>
      <c r="L288" s="3">
        <f t="shared" si="121"/>
        <v>500</v>
      </c>
      <c r="M288" s="15">
        <f t="shared" si="136"/>
        <v>7.0000000000000007E-2</v>
      </c>
      <c r="N288" s="3">
        <f t="shared" si="137"/>
        <v>78.460606883151669</v>
      </c>
      <c r="O288" s="3">
        <f t="shared" si="122"/>
        <v>78.460606883151669</v>
      </c>
      <c r="P288" s="3">
        <f t="shared" si="126"/>
        <v>84.366243960378142</v>
      </c>
      <c r="Q288" s="3">
        <f t="shared" si="127"/>
        <v>31.929684888024379</v>
      </c>
      <c r="R288" s="3">
        <f t="shared" si="128"/>
        <v>58.147964424201263</v>
      </c>
      <c r="S288" s="3">
        <f t="shared" si="123"/>
        <v>1</v>
      </c>
      <c r="T288" s="3">
        <f t="shared" si="129"/>
        <v>26218.27953617688</v>
      </c>
      <c r="U288" s="3">
        <f t="shared" si="130"/>
        <v>0.5</v>
      </c>
      <c r="V288" s="3">
        <f t="shared" si="131"/>
        <v>0</v>
      </c>
      <c r="W288" s="3">
        <f t="shared" si="132"/>
        <v>28245.818477934601</v>
      </c>
      <c r="X288" s="3">
        <f t="shared" si="124"/>
        <v>15964.842444012189</v>
      </c>
      <c r="AI288" s="3"/>
      <c r="AJ288" s="3"/>
      <c r="AK288" s="15">
        <f t="shared" si="115"/>
        <v>1</v>
      </c>
      <c r="AL288" s="11">
        <f t="shared" si="119"/>
        <v>1674</v>
      </c>
      <c r="AM288" s="11" t="b">
        <f t="shared" si="114"/>
        <v>0</v>
      </c>
      <c r="AN288" s="11">
        <f t="shared" si="116"/>
        <v>36000</v>
      </c>
      <c r="AO288" s="11">
        <f t="shared" si="117"/>
        <v>0</v>
      </c>
      <c r="AP288" s="11">
        <f t="shared" si="118"/>
        <v>0.41483880774641418</v>
      </c>
      <c r="AQ288" s="11">
        <f t="shared" si="120"/>
        <v>0</v>
      </c>
      <c r="AT288" s="3"/>
      <c r="AU288" s="17"/>
      <c r="AV288" s="19"/>
      <c r="AW288" s="17"/>
      <c r="AX288" s="17">
        <f t="shared" si="113"/>
        <v>279</v>
      </c>
      <c r="AY288" s="17">
        <f t="shared" si="138"/>
        <v>27.9</v>
      </c>
      <c r="AZ288" s="17">
        <v>41.48388077464142</v>
      </c>
      <c r="BA288" s="17"/>
      <c r="BB288" s="17">
        <v>36</v>
      </c>
      <c r="BC288" s="17"/>
      <c r="BD288" s="17"/>
      <c r="BE288" s="17"/>
      <c r="BF288" s="17"/>
      <c r="BG288" s="17"/>
      <c r="BH288" s="17"/>
      <c r="BI288" s="17"/>
      <c r="BJ288" s="17"/>
      <c r="BK288" s="17"/>
      <c r="BL288" s="17"/>
      <c r="BM288" s="17"/>
      <c r="BN288" s="17"/>
      <c r="BO288" s="17"/>
      <c r="BP288" s="17"/>
      <c r="BQ288" s="17"/>
      <c r="BR288" s="17"/>
      <c r="BS288" s="17"/>
      <c r="BT288" s="17"/>
      <c r="BU288" s="17"/>
      <c r="BV288" s="17"/>
      <c r="BW288" s="17"/>
      <c r="BX288" s="17"/>
      <c r="BY288" s="17"/>
      <c r="BZ288" s="17"/>
      <c r="CA288" s="17"/>
      <c r="CB288" s="17"/>
      <c r="CC288" s="17"/>
      <c r="CD288" s="17"/>
      <c r="CE288" s="17"/>
      <c r="CF288" s="17"/>
      <c r="CG288" s="17"/>
      <c r="CH288" s="17"/>
    </row>
    <row r="289" spans="8:86" x14ac:dyDescent="0.15">
      <c r="H289" s="3">
        <f t="shared" si="133"/>
        <v>0.27700000000000019</v>
      </c>
      <c r="I289" s="3">
        <f t="shared" si="134"/>
        <v>360</v>
      </c>
      <c r="J289" s="14">
        <f t="shared" si="135"/>
        <v>500</v>
      </c>
      <c r="K289" s="3">
        <f t="shared" si="125"/>
        <v>0</v>
      </c>
      <c r="L289" s="3">
        <f t="shared" si="121"/>
        <v>500</v>
      </c>
      <c r="M289" s="15">
        <f t="shared" si="136"/>
        <v>7.0000000000000007E-2</v>
      </c>
      <c r="N289" s="3">
        <f t="shared" si="137"/>
        <v>78.387778328884508</v>
      </c>
      <c r="O289" s="3">
        <f t="shared" si="122"/>
        <v>78.387778328884508</v>
      </c>
      <c r="P289" s="3">
        <f t="shared" si="126"/>
        <v>84.287933686972593</v>
      </c>
      <c r="Q289" s="3">
        <f t="shared" si="127"/>
        <v>31.877248328952025</v>
      </c>
      <c r="R289" s="3">
        <f t="shared" si="128"/>
        <v>58.082591007962307</v>
      </c>
      <c r="S289" s="3">
        <f t="shared" si="123"/>
        <v>1</v>
      </c>
      <c r="T289" s="3">
        <f t="shared" si="129"/>
        <v>26205.342679010286</v>
      </c>
      <c r="U289" s="3">
        <f t="shared" si="130"/>
        <v>0.5</v>
      </c>
      <c r="V289" s="3">
        <f t="shared" si="131"/>
        <v>0</v>
      </c>
      <c r="W289" s="3">
        <f t="shared" si="132"/>
        <v>28219.600198398424</v>
      </c>
      <c r="X289" s="3">
        <f t="shared" si="124"/>
        <v>15938.624164476012</v>
      </c>
      <c r="AI289" s="3"/>
      <c r="AJ289" s="3"/>
      <c r="AK289" s="15">
        <f t="shared" si="115"/>
        <v>1</v>
      </c>
      <c r="AL289" s="11">
        <f t="shared" si="119"/>
        <v>1680</v>
      </c>
      <c r="AM289" s="11" t="b">
        <f t="shared" si="114"/>
        <v>0</v>
      </c>
      <c r="AN289" s="11">
        <f t="shared" si="116"/>
        <v>36000</v>
      </c>
      <c r="AO289" s="11">
        <f t="shared" si="117"/>
        <v>0</v>
      </c>
      <c r="AP289" s="11">
        <f t="shared" si="118"/>
        <v>0.415941122561229</v>
      </c>
      <c r="AQ289" s="11">
        <f t="shared" si="120"/>
        <v>0</v>
      </c>
      <c r="AT289" s="3"/>
      <c r="AU289" s="17"/>
      <c r="AV289" s="19"/>
      <c r="AW289" s="17"/>
      <c r="AX289" s="17">
        <f t="shared" si="113"/>
        <v>280</v>
      </c>
      <c r="AY289" s="17">
        <f t="shared" si="138"/>
        <v>28</v>
      </c>
      <c r="AZ289" s="17">
        <v>41.594112256122898</v>
      </c>
      <c r="BA289" s="17"/>
      <c r="BB289" s="17">
        <v>36</v>
      </c>
      <c r="BC289" s="17"/>
      <c r="BD289" s="17"/>
      <c r="BE289" s="17"/>
      <c r="BF289" s="17"/>
      <c r="BG289" s="17"/>
      <c r="BH289" s="17"/>
      <c r="BI289" s="17"/>
      <c r="BJ289" s="17"/>
      <c r="BK289" s="17"/>
      <c r="BL289" s="17"/>
      <c r="BM289" s="17"/>
      <c r="BN289" s="17"/>
      <c r="BO289" s="17"/>
      <c r="BP289" s="17"/>
      <c r="BQ289" s="17"/>
      <c r="BR289" s="17"/>
      <c r="BS289" s="17"/>
      <c r="BT289" s="17"/>
      <c r="BU289" s="17"/>
      <c r="BV289" s="17"/>
      <c r="BW289" s="17"/>
      <c r="BX289" s="17"/>
      <c r="BY289" s="17"/>
      <c r="BZ289" s="17"/>
      <c r="CA289" s="17"/>
      <c r="CB289" s="17"/>
      <c r="CC289" s="17"/>
      <c r="CD289" s="17"/>
      <c r="CE289" s="17"/>
      <c r="CF289" s="17"/>
      <c r="CG289" s="17"/>
      <c r="CH289" s="17"/>
    </row>
    <row r="290" spans="8:86" x14ac:dyDescent="0.15">
      <c r="H290" s="3">
        <f t="shared" si="133"/>
        <v>0.27800000000000019</v>
      </c>
      <c r="I290" s="3">
        <f t="shared" si="134"/>
        <v>360</v>
      </c>
      <c r="J290" s="14">
        <f t="shared" si="135"/>
        <v>500</v>
      </c>
      <c r="K290" s="3">
        <f t="shared" si="125"/>
        <v>0</v>
      </c>
      <c r="L290" s="3">
        <f t="shared" si="121"/>
        <v>500</v>
      </c>
      <c r="M290" s="15">
        <f t="shared" si="136"/>
        <v>7.0000000000000007E-2</v>
      </c>
      <c r="N290" s="3">
        <f t="shared" si="137"/>
        <v>78.314985710331698</v>
      </c>
      <c r="O290" s="3">
        <f t="shared" si="122"/>
        <v>78.314985710331698</v>
      </c>
      <c r="P290" s="3">
        <f t="shared" si="126"/>
        <v>84.209662054120116</v>
      </c>
      <c r="Q290" s="3">
        <f t="shared" si="127"/>
        <v>31.824837643594005</v>
      </c>
      <c r="R290" s="3">
        <f t="shared" si="128"/>
        <v>58.017249848857062</v>
      </c>
      <c r="S290" s="3">
        <f t="shared" si="123"/>
        <v>1</v>
      </c>
      <c r="T290" s="3">
        <f t="shared" si="129"/>
        <v>26192.412205263056</v>
      </c>
      <c r="U290" s="3">
        <f t="shared" si="130"/>
        <v>0.5</v>
      </c>
      <c r="V290" s="3">
        <f t="shared" si="131"/>
        <v>0</v>
      </c>
      <c r="W290" s="3">
        <f t="shared" si="132"/>
        <v>28193.394855719413</v>
      </c>
      <c r="X290" s="3">
        <f t="shared" si="124"/>
        <v>15912.418821797002</v>
      </c>
      <c r="AI290" s="3"/>
      <c r="AJ290" s="3"/>
      <c r="AK290" s="15">
        <f t="shared" si="115"/>
        <v>1</v>
      </c>
      <c r="AL290" s="11">
        <f t="shared" si="119"/>
        <v>1686</v>
      </c>
      <c r="AM290" s="11" t="b">
        <f t="shared" si="114"/>
        <v>0</v>
      </c>
      <c r="AN290" s="11">
        <f t="shared" si="116"/>
        <v>36000</v>
      </c>
      <c r="AO290" s="11">
        <f t="shared" si="117"/>
        <v>0</v>
      </c>
      <c r="AP290" s="11">
        <f t="shared" si="118"/>
        <v>0.41704343737604377</v>
      </c>
      <c r="AQ290" s="11">
        <f t="shared" si="120"/>
        <v>0</v>
      </c>
      <c r="AT290" s="3"/>
      <c r="AU290" s="17"/>
      <c r="AV290" s="19"/>
      <c r="AW290" s="17"/>
      <c r="AX290" s="17">
        <f t="shared" si="113"/>
        <v>281</v>
      </c>
      <c r="AY290" s="17">
        <f t="shared" si="138"/>
        <v>28.1</v>
      </c>
      <c r="AZ290" s="17">
        <v>41.704343737604376</v>
      </c>
      <c r="BA290" s="17"/>
      <c r="BB290" s="17">
        <v>36</v>
      </c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7"/>
      <c r="CE290" s="17"/>
      <c r="CF290" s="17"/>
      <c r="CG290" s="17"/>
      <c r="CH290" s="17"/>
    </row>
    <row r="291" spans="8:86" x14ac:dyDescent="0.15">
      <c r="H291" s="3">
        <f t="shared" si="133"/>
        <v>0.27900000000000019</v>
      </c>
      <c r="I291" s="3">
        <f t="shared" si="134"/>
        <v>360</v>
      </c>
      <c r="J291" s="14">
        <f t="shared" si="135"/>
        <v>500</v>
      </c>
      <c r="K291" s="3">
        <f t="shared" si="125"/>
        <v>0</v>
      </c>
      <c r="L291" s="3">
        <f t="shared" si="121"/>
        <v>500</v>
      </c>
      <c r="M291" s="15">
        <f t="shared" si="136"/>
        <v>7.0000000000000007E-2</v>
      </c>
      <c r="N291" s="3">
        <f t="shared" si="137"/>
        <v>78.24222900976153</v>
      </c>
      <c r="O291" s="3">
        <f t="shared" si="122"/>
        <v>78.24222900976153</v>
      </c>
      <c r="P291" s="3">
        <f t="shared" si="126"/>
        <v>84.131429042754334</v>
      </c>
      <c r="Q291" s="3">
        <f t="shared" si="127"/>
        <v>31.772452819183481</v>
      </c>
      <c r="R291" s="3">
        <f t="shared" si="128"/>
        <v>57.95194093096891</v>
      </c>
      <c r="S291" s="3">
        <f t="shared" si="123"/>
        <v>1</v>
      </c>
      <c r="T291" s="3">
        <f t="shared" si="129"/>
        <v>26179.488111785424</v>
      </c>
      <c r="U291" s="3">
        <f t="shared" si="130"/>
        <v>0.5</v>
      </c>
      <c r="V291" s="3">
        <f t="shared" si="131"/>
        <v>0</v>
      </c>
      <c r="W291" s="3">
        <f t="shared" si="132"/>
        <v>28167.20244351415</v>
      </c>
      <c r="X291" s="3">
        <f t="shared" si="124"/>
        <v>15886.22640959174</v>
      </c>
      <c r="AI291" s="3"/>
      <c r="AJ291" s="3"/>
      <c r="AK291" s="15">
        <f t="shared" si="115"/>
        <v>1</v>
      </c>
      <c r="AL291" s="11">
        <f t="shared" si="119"/>
        <v>1692</v>
      </c>
      <c r="AM291" s="11" t="b">
        <f t="shared" si="114"/>
        <v>0</v>
      </c>
      <c r="AN291" s="11">
        <f t="shared" si="116"/>
        <v>36000</v>
      </c>
      <c r="AO291" s="11">
        <f t="shared" si="117"/>
        <v>0</v>
      </c>
      <c r="AP291" s="11">
        <f t="shared" si="118"/>
        <v>0.41814575219085859</v>
      </c>
      <c r="AQ291" s="11">
        <f t="shared" si="120"/>
        <v>0</v>
      </c>
      <c r="AT291" s="3"/>
      <c r="AU291" s="17"/>
      <c r="AV291" s="19"/>
      <c r="AW291" s="17"/>
      <c r="AX291" s="17">
        <f t="shared" si="113"/>
        <v>282</v>
      </c>
      <c r="AY291" s="17">
        <f t="shared" si="138"/>
        <v>28.2</v>
      </c>
      <c r="AZ291" s="17">
        <v>41.81457521908586</v>
      </c>
      <c r="BA291" s="17"/>
      <c r="BB291" s="17">
        <v>36</v>
      </c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  <c r="BW291" s="17"/>
      <c r="BX291" s="17"/>
      <c r="BY291" s="17"/>
      <c r="BZ291" s="17"/>
      <c r="CA291" s="17"/>
      <c r="CB291" s="17"/>
      <c r="CC291" s="17"/>
      <c r="CD291" s="17"/>
      <c r="CE291" s="17"/>
      <c r="CF291" s="17"/>
      <c r="CG291" s="17"/>
      <c r="CH291" s="17"/>
    </row>
    <row r="292" spans="8:86" x14ac:dyDescent="0.15">
      <c r="H292" s="3">
        <f t="shared" si="133"/>
        <v>0.28000000000000019</v>
      </c>
      <c r="I292" s="3">
        <f t="shared" si="134"/>
        <v>360</v>
      </c>
      <c r="J292" s="14">
        <f t="shared" si="135"/>
        <v>500</v>
      </c>
      <c r="K292" s="3">
        <f t="shared" si="125"/>
        <v>0</v>
      </c>
      <c r="L292" s="3">
        <f t="shared" si="121"/>
        <v>500</v>
      </c>
      <c r="M292" s="15">
        <f t="shared" si="136"/>
        <v>7.0000000000000007E-2</v>
      </c>
      <c r="N292" s="3">
        <f t="shared" si="137"/>
        <v>78.16950820945101</v>
      </c>
      <c r="O292" s="3">
        <f t="shared" si="122"/>
        <v>78.16950820945101</v>
      </c>
      <c r="P292" s="3">
        <f t="shared" si="126"/>
        <v>84.053234633818292</v>
      </c>
      <c r="Q292" s="3">
        <f t="shared" si="127"/>
        <v>31.720093842959908</v>
      </c>
      <c r="R292" s="3">
        <f t="shared" si="128"/>
        <v>57.886664238389102</v>
      </c>
      <c r="S292" s="3">
        <f t="shared" si="123"/>
        <v>1</v>
      </c>
      <c r="T292" s="3">
        <f t="shared" si="129"/>
        <v>26166.570395429189</v>
      </c>
      <c r="U292" s="3">
        <f t="shared" si="130"/>
        <v>0.5</v>
      </c>
      <c r="V292" s="3">
        <f t="shared" si="131"/>
        <v>0</v>
      </c>
      <c r="W292" s="3">
        <f t="shared" si="132"/>
        <v>28141.022955402364</v>
      </c>
      <c r="X292" s="3">
        <f t="shared" si="124"/>
        <v>15860.046921479954</v>
      </c>
      <c r="AI292" s="3"/>
      <c r="AJ292" s="3"/>
      <c r="AK292" s="15">
        <f t="shared" si="115"/>
        <v>1</v>
      </c>
      <c r="AL292" s="11">
        <f t="shared" si="119"/>
        <v>1698</v>
      </c>
      <c r="AM292" s="11" t="b">
        <f t="shared" si="114"/>
        <v>0</v>
      </c>
      <c r="AN292" s="11">
        <f t="shared" si="116"/>
        <v>36000</v>
      </c>
      <c r="AO292" s="11">
        <f t="shared" si="117"/>
        <v>0</v>
      </c>
      <c r="AP292" s="11">
        <f t="shared" si="118"/>
        <v>0.41924806700567335</v>
      </c>
      <c r="AQ292" s="11">
        <f t="shared" si="120"/>
        <v>0</v>
      </c>
      <c r="AT292" s="3"/>
      <c r="AU292" s="17"/>
      <c r="AV292" s="19"/>
      <c r="AW292" s="17"/>
      <c r="AX292" s="17">
        <f t="shared" si="113"/>
        <v>283</v>
      </c>
      <c r="AY292" s="17">
        <f t="shared" si="138"/>
        <v>28.3</v>
      </c>
      <c r="AZ292" s="17">
        <v>41.924806700567338</v>
      </c>
      <c r="BA292" s="17"/>
      <c r="BB292" s="17">
        <v>36</v>
      </c>
      <c r="BC292" s="17"/>
      <c r="BD292" s="17"/>
      <c r="BE292" s="17"/>
      <c r="BF292" s="17"/>
      <c r="BG292" s="17"/>
      <c r="BH292" s="17"/>
      <c r="BI292" s="17"/>
      <c r="BJ292" s="17"/>
      <c r="BK292" s="17"/>
      <c r="BL292" s="17"/>
      <c r="BM292" s="17"/>
      <c r="BN292" s="17"/>
      <c r="BO292" s="17"/>
      <c r="BP292" s="17"/>
      <c r="BQ292" s="17"/>
      <c r="BR292" s="17"/>
      <c r="BS292" s="17"/>
      <c r="BT292" s="17"/>
      <c r="BU292" s="17"/>
      <c r="BV292" s="17"/>
      <c r="BW292" s="17"/>
      <c r="BX292" s="17"/>
      <c r="BY292" s="17"/>
      <c r="BZ292" s="17"/>
      <c r="CA292" s="17"/>
      <c r="CB292" s="17"/>
      <c r="CC292" s="17"/>
      <c r="CD292" s="17"/>
      <c r="CE292" s="17"/>
      <c r="CF292" s="17"/>
      <c r="CG292" s="17"/>
      <c r="CH292" s="17"/>
    </row>
    <row r="293" spans="8:86" x14ac:dyDescent="0.15">
      <c r="H293" s="3">
        <f t="shared" si="133"/>
        <v>0.28100000000000019</v>
      </c>
      <c r="I293" s="3">
        <f t="shared" si="134"/>
        <v>360</v>
      </c>
      <c r="J293" s="14">
        <f t="shared" si="135"/>
        <v>500</v>
      </c>
      <c r="K293" s="3">
        <f t="shared" si="125"/>
        <v>0</v>
      </c>
      <c r="L293" s="3">
        <f t="shared" si="121"/>
        <v>500</v>
      </c>
      <c r="M293" s="15">
        <f t="shared" si="136"/>
        <v>7.0000000000000007E-2</v>
      </c>
      <c r="N293" s="3">
        <f t="shared" si="137"/>
        <v>78.096823291685936</v>
      </c>
      <c r="O293" s="3">
        <f t="shared" si="122"/>
        <v>78.096823291685936</v>
      </c>
      <c r="P293" s="3">
        <f t="shared" si="126"/>
        <v>83.975078808264456</v>
      </c>
      <c r="Q293" s="3">
        <f t="shared" si="127"/>
        <v>31.667760702169048</v>
      </c>
      <c r="R293" s="3">
        <f t="shared" si="128"/>
        <v>57.821419755216752</v>
      </c>
      <c r="S293" s="3">
        <f t="shared" si="123"/>
        <v>1</v>
      </c>
      <c r="T293" s="3">
        <f t="shared" si="129"/>
        <v>26153.659053047704</v>
      </c>
      <c r="U293" s="3">
        <f t="shared" si="130"/>
        <v>0.5</v>
      </c>
      <c r="V293" s="3">
        <f t="shared" si="131"/>
        <v>0</v>
      </c>
      <c r="W293" s="3">
        <f t="shared" si="132"/>
        <v>28114.856385006937</v>
      </c>
      <c r="X293" s="3">
        <f t="shared" si="124"/>
        <v>15833.880351084525</v>
      </c>
      <c r="AI293" s="3"/>
      <c r="AJ293" s="3"/>
      <c r="AK293" s="15">
        <f t="shared" si="115"/>
        <v>1</v>
      </c>
      <c r="AL293" s="11">
        <f t="shared" si="119"/>
        <v>1704</v>
      </c>
      <c r="AM293" s="11" t="b">
        <f t="shared" si="114"/>
        <v>0</v>
      </c>
      <c r="AN293" s="11">
        <f t="shared" si="116"/>
        <v>36000</v>
      </c>
      <c r="AO293" s="11">
        <f t="shared" si="117"/>
        <v>0</v>
      </c>
      <c r="AP293" s="11">
        <f t="shared" si="118"/>
        <v>0.42035038182048817</v>
      </c>
      <c r="AQ293" s="11">
        <f t="shared" si="120"/>
        <v>0</v>
      </c>
      <c r="AT293" s="3"/>
      <c r="AU293" s="17"/>
      <c r="AV293" s="19"/>
      <c r="AW293" s="17"/>
      <c r="AX293" s="17">
        <f t="shared" si="113"/>
        <v>284</v>
      </c>
      <c r="AY293" s="17">
        <f t="shared" si="138"/>
        <v>28.4</v>
      </c>
      <c r="AZ293" s="17">
        <v>42.035038182048815</v>
      </c>
      <c r="BA293" s="17"/>
      <c r="BB293" s="17">
        <v>36</v>
      </c>
      <c r="BC293" s="17"/>
      <c r="BD293" s="17"/>
      <c r="BE293" s="17"/>
      <c r="BF293" s="17"/>
      <c r="BG293" s="17"/>
      <c r="BH293" s="17"/>
      <c r="BI293" s="17"/>
      <c r="BJ293" s="17"/>
      <c r="BK293" s="17"/>
      <c r="BL293" s="17"/>
      <c r="BM293" s="17"/>
      <c r="BN293" s="17"/>
      <c r="BO293" s="17"/>
      <c r="BP293" s="17"/>
      <c r="BQ293" s="17"/>
      <c r="BR293" s="17"/>
      <c r="BS293" s="17"/>
      <c r="BT293" s="17"/>
      <c r="BU293" s="17"/>
      <c r="BV293" s="17"/>
      <c r="BW293" s="17"/>
      <c r="BX293" s="17"/>
      <c r="BY293" s="17"/>
      <c r="BZ293" s="17"/>
      <c r="CA293" s="17"/>
      <c r="CB293" s="17"/>
      <c r="CC293" s="17"/>
      <c r="CD293" s="17"/>
      <c r="CE293" s="17"/>
      <c r="CF293" s="17"/>
      <c r="CG293" s="17"/>
      <c r="CH293" s="17"/>
    </row>
    <row r="294" spans="8:86" x14ac:dyDescent="0.15">
      <c r="H294" s="3">
        <f t="shared" si="133"/>
        <v>0.28200000000000019</v>
      </c>
      <c r="I294" s="3">
        <f t="shared" si="134"/>
        <v>360</v>
      </c>
      <c r="J294" s="14">
        <f t="shared" si="135"/>
        <v>500</v>
      </c>
      <c r="K294" s="3">
        <f t="shared" si="125"/>
        <v>0</v>
      </c>
      <c r="L294" s="3">
        <f t="shared" si="121"/>
        <v>500</v>
      </c>
      <c r="M294" s="15">
        <f t="shared" si="136"/>
        <v>7.0000000000000007E-2</v>
      </c>
      <c r="N294" s="3">
        <f t="shared" si="137"/>
        <v>78.024174238760807</v>
      </c>
      <c r="O294" s="3">
        <f t="shared" si="122"/>
        <v>78.024174238760807</v>
      </c>
      <c r="P294" s="3">
        <f t="shared" si="126"/>
        <v>83.89696154705463</v>
      </c>
      <c r="Q294" s="3">
        <f t="shared" si="127"/>
        <v>31.615453384062953</v>
      </c>
      <c r="R294" s="3">
        <f t="shared" si="128"/>
        <v>57.756207465558788</v>
      </c>
      <c r="S294" s="3">
        <f t="shared" si="123"/>
        <v>1</v>
      </c>
      <c r="T294" s="3">
        <f t="shared" si="129"/>
        <v>26140.754081495837</v>
      </c>
      <c r="U294" s="3">
        <f t="shared" si="130"/>
        <v>0.5</v>
      </c>
      <c r="V294" s="3">
        <f t="shared" si="131"/>
        <v>0</v>
      </c>
      <c r="W294" s="3">
        <f t="shared" si="132"/>
        <v>28088.702725953892</v>
      </c>
      <c r="X294" s="3">
        <f t="shared" si="124"/>
        <v>15807.726692031476</v>
      </c>
      <c r="AI294" s="3"/>
      <c r="AJ294" s="3"/>
      <c r="AK294" s="15">
        <f t="shared" si="115"/>
        <v>1</v>
      </c>
      <c r="AL294" s="11">
        <f t="shared" si="119"/>
        <v>1710</v>
      </c>
      <c r="AM294" s="11" t="b">
        <f t="shared" si="114"/>
        <v>0</v>
      </c>
      <c r="AN294" s="11">
        <f t="shared" si="116"/>
        <v>36000</v>
      </c>
      <c r="AO294" s="11">
        <f t="shared" si="117"/>
        <v>0</v>
      </c>
      <c r="AP294" s="11">
        <f t="shared" si="118"/>
        <v>0.42145269663530294</v>
      </c>
      <c r="AQ294" s="11">
        <f t="shared" si="120"/>
        <v>0</v>
      </c>
      <c r="AT294" s="3"/>
      <c r="AU294" s="17"/>
      <c r="AV294" s="19"/>
      <c r="AW294" s="17"/>
      <c r="AX294" s="17">
        <f t="shared" si="113"/>
        <v>285</v>
      </c>
      <c r="AY294" s="17">
        <f t="shared" si="138"/>
        <v>28.5</v>
      </c>
      <c r="AZ294" s="17">
        <v>42.145269663530293</v>
      </c>
      <c r="BA294" s="17"/>
      <c r="BB294" s="17">
        <v>36</v>
      </c>
      <c r="BC294" s="17"/>
      <c r="BD294" s="17"/>
      <c r="BE294" s="17"/>
      <c r="BF294" s="17"/>
      <c r="BG294" s="17"/>
      <c r="BH294" s="17"/>
      <c r="BI294" s="17"/>
      <c r="BJ294" s="17"/>
      <c r="BK294" s="17"/>
      <c r="BL294" s="17"/>
      <c r="BM294" s="17"/>
      <c r="BN294" s="17"/>
      <c r="BO294" s="17"/>
      <c r="BP294" s="17"/>
      <c r="BQ294" s="17"/>
      <c r="BR294" s="17"/>
      <c r="BS294" s="17"/>
      <c r="BT294" s="17"/>
      <c r="BU294" s="17"/>
      <c r="BV294" s="17"/>
      <c r="BW294" s="17"/>
      <c r="BX294" s="17"/>
      <c r="BY294" s="17"/>
      <c r="BZ294" s="17"/>
      <c r="CA294" s="17"/>
      <c r="CB294" s="17"/>
      <c r="CC294" s="17"/>
      <c r="CD294" s="17"/>
      <c r="CE294" s="17"/>
      <c r="CF294" s="17"/>
      <c r="CG294" s="17"/>
      <c r="CH294" s="17"/>
    </row>
    <row r="295" spans="8:86" x14ac:dyDescent="0.15">
      <c r="H295" s="3">
        <f t="shared" si="133"/>
        <v>0.2830000000000002</v>
      </c>
      <c r="I295" s="3">
        <f t="shared" si="134"/>
        <v>360</v>
      </c>
      <c r="J295" s="14">
        <f t="shared" si="135"/>
        <v>500</v>
      </c>
      <c r="K295" s="3">
        <f t="shared" si="125"/>
        <v>0</v>
      </c>
      <c r="L295" s="3">
        <f t="shared" si="121"/>
        <v>500</v>
      </c>
      <c r="M295" s="15">
        <f t="shared" si="136"/>
        <v>7.0000000000000007E-2</v>
      </c>
      <c r="N295" s="3">
        <f t="shared" si="137"/>
        <v>77.951561032978887</v>
      </c>
      <c r="O295" s="3">
        <f t="shared" si="122"/>
        <v>77.951561032978887</v>
      </c>
      <c r="P295" s="3">
        <f t="shared" si="126"/>
        <v>83.818882831160096</v>
      </c>
      <c r="Q295" s="3">
        <f t="shared" si="127"/>
        <v>31.563171875899961</v>
      </c>
      <c r="R295" s="3">
        <f t="shared" si="128"/>
        <v>57.691027353530032</v>
      </c>
      <c r="S295" s="3">
        <f t="shared" si="123"/>
        <v>1</v>
      </c>
      <c r="T295" s="3">
        <f t="shared" si="129"/>
        <v>26127.855477630066</v>
      </c>
      <c r="U295" s="3">
        <f t="shared" si="130"/>
        <v>0.5</v>
      </c>
      <c r="V295" s="3">
        <f t="shared" si="131"/>
        <v>0</v>
      </c>
      <c r="W295" s="3">
        <f t="shared" si="132"/>
        <v>28062.561971872401</v>
      </c>
      <c r="X295" s="3">
        <f t="shared" si="124"/>
        <v>15781.58593794998</v>
      </c>
      <c r="AI295" s="3"/>
      <c r="AJ295" s="3"/>
      <c r="AK295" s="15">
        <f t="shared" si="115"/>
        <v>1</v>
      </c>
      <c r="AL295" s="11">
        <f t="shared" si="119"/>
        <v>1716</v>
      </c>
      <c r="AM295" s="11" t="b">
        <f t="shared" si="114"/>
        <v>0</v>
      </c>
      <c r="AN295" s="11">
        <f t="shared" si="116"/>
        <v>36000</v>
      </c>
      <c r="AO295" s="11">
        <f t="shared" si="117"/>
        <v>0</v>
      </c>
      <c r="AP295" s="11">
        <f t="shared" si="118"/>
        <v>0.42255501145011776</v>
      </c>
      <c r="AQ295" s="11">
        <f t="shared" si="120"/>
        <v>0</v>
      </c>
      <c r="AT295" s="3"/>
      <c r="AU295" s="17"/>
      <c r="AV295" s="19"/>
      <c r="AW295" s="17"/>
      <c r="AX295" s="17">
        <f t="shared" si="113"/>
        <v>286</v>
      </c>
      <c r="AY295" s="17">
        <f t="shared" si="138"/>
        <v>28.6</v>
      </c>
      <c r="AZ295" s="17">
        <v>42.255501145011777</v>
      </c>
      <c r="BA295" s="17"/>
      <c r="BB295" s="17">
        <v>36</v>
      </c>
      <c r="BC295" s="17"/>
      <c r="BD295" s="17"/>
      <c r="BE295" s="17"/>
      <c r="BF295" s="17"/>
      <c r="BG295" s="17"/>
      <c r="BH295" s="17"/>
      <c r="BI295" s="17"/>
      <c r="BJ295" s="17"/>
      <c r="BK295" s="17"/>
      <c r="BL295" s="17"/>
      <c r="BM295" s="17"/>
      <c r="BN295" s="17"/>
      <c r="BO295" s="17"/>
      <c r="BP295" s="17"/>
      <c r="BQ295" s="17"/>
      <c r="BR295" s="17"/>
      <c r="BS295" s="17"/>
      <c r="BT295" s="17"/>
      <c r="BU295" s="17"/>
      <c r="BV295" s="17"/>
      <c r="BW295" s="17"/>
      <c r="BX295" s="17"/>
      <c r="BY295" s="17"/>
      <c r="BZ295" s="17"/>
      <c r="CA295" s="17"/>
      <c r="CB295" s="17"/>
      <c r="CC295" s="17"/>
      <c r="CD295" s="17"/>
      <c r="CE295" s="17"/>
      <c r="CF295" s="17"/>
      <c r="CG295" s="17"/>
      <c r="CH295" s="17"/>
    </row>
    <row r="296" spans="8:86" x14ac:dyDescent="0.15">
      <c r="H296" s="3">
        <f t="shared" si="133"/>
        <v>0.2840000000000002</v>
      </c>
      <c r="I296" s="3">
        <f t="shared" si="134"/>
        <v>360</v>
      </c>
      <c r="J296" s="14">
        <f t="shared" si="135"/>
        <v>500</v>
      </c>
      <c r="K296" s="3">
        <f t="shared" si="125"/>
        <v>0</v>
      </c>
      <c r="L296" s="3">
        <f t="shared" si="121"/>
        <v>500</v>
      </c>
      <c r="M296" s="15">
        <f t="shared" si="136"/>
        <v>7.0000000000000007E-2</v>
      </c>
      <c r="N296" s="3">
        <f t="shared" si="137"/>
        <v>77.878983656652139</v>
      </c>
      <c r="O296" s="3">
        <f t="shared" si="122"/>
        <v>77.878983656652139</v>
      </c>
      <c r="P296" s="3">
        <f t="shared" si="126"/>
        <v>83.740842641561443</v>
      </c>
      <c r="Q296" s="3">
        <f t="shared" si="127"/>
        <v>31.510916164944696</v>
      </c>
      <c r="R296" s="3">
        <f t="shared" si="128"/>
        <v>57.625879403253066</v>
      </c>
      <c r="S296" s="3">
        <f t="shared" si="123"/>
        <v>1</v>
      </c>
      <c r="T296" s="3">
        <f t="shared" si="129"/>
        <v>26114.963238308374</v>
      </c>
      <c r="U296" s="3">
        <f t="shared" si="130"/>
        <v>0.5</v>
      </c>
      <c r="V296" s="3">
        <f t="shared" si="131"/>
        <v>0</v>
      </c>
      <c r="W296" s="3">
        <f t="shared" si="132"/>
        <v>28036.434116394768</v>
      </c>
      <c r="X296" s="3">
        <f t="shared" si="124"/>
        <v>15755.458082472349</v>
      </c>
      <c r="AI296" s="3"/>
      <c r="AJ296" s="3"/>
      <c r="AK296" s="15">
        <f t="shared" si="115"/>
        <v>1</v>
      </c>
      <c r="AL296" s="11">
        <f t="shared" si="119"/>
        <v>1722</v>
      </c>
      <c r="AM296" s="11" t="b">
        <f t="shared" si="114"/>
        <v>0</v>
      </c>
      <c r="AN296" s="11">
        <f t="shared" si="116"/>
        <v>36000</v>
      </c>
      <c r="AO296" s="11">
        <f t="shared" si="117"/>
        <v>0</v>
      </c>
      <c r="AP296" s="11">
        <f t="shared" si="118"/>
        <v>0.42365732626493252</v>
      </c>
      <c r="AQ296" s="11">
        <f t="shared" si="120"/>
        <v>0</v>
      </c>
      <c r="AT296" s="3"/>
      <c r="AU296" s="17"/>
      <c r="AV296" s="19"/>
      <c r="AW296" s="17"/>
      <c r="AX296" s="17">
        <f t="shared" si="113"/>
        <v>287</v>
      </c>
      <c r="AY296" s="17">
        <f t="shared" si="138"/>
        <v>28.7</v>
      </c>
      <c r="AZ296" s="17">
        <v>42.365732626493255</v>
      </c>
      <c r="BA296" s="17"/>
      <c r="BB296" s="17">
        <v>36</v>
      </c>
      <c r="BC296" s="17"/>
      <c r="BD296" s="17"/>
      <c r="BE296" s="17"/>
      <c r="BF296" s="17"/>
      <c r="BG296" s="17"/>
      <c r="BH296" s="17"/>
      <c r="BI296" s="17"/>
      <c r="BJ296" s="17"/>
      <c r="BK296" s="17"/>
      <c r="BL296" s="17"/>
      <c r="BM296" s="17"/>
      <c r="BN296" s="17"/>
      <c r="BO296" s="17"/>
      <c r="BP296" s="17"/>
      <c r="BQ296" s="17"/>
      <c r="BR296" s="17"/>
      <c r="BS296" s="17"/>
      <c r="BT296" s="17"/>
      <c r="BU296" s="17"/>
      <c r="BV296" s="17"/>
      <c r="BW296" s="17"/>
      <c r="BX296" s="17"/>
      <c r="BY296" s="17"/>
      <c r="BZ296" s="17"/>
      <c r="CA296" s="17"/>
      <c r="CB296" s="17"/>
      <c r="CC296" s="17"/>
      <c r="CD296" s="17"/>
      <c r="CE296" s="17"/>
      <c r="CF296" s="17"/>
      <c r="CG296" s="17"/>
      <c r="CH296" s="17"/>
    </row>
    <row r="297" spans="8:86" x14ac:dyDescent="0.15">
      <c r="H297" s="3">
        <f t="shared" si="133"/>
        <v>0.2850000000000002</v>
      </c>
      <c r="I297" s="3">
        <f t="shared" si="134"/>
        <v>360</v>
      </c>
      <c r="J297" s="14">
        <f t="shared" si="135"/>
        <v>500</v>
      </c>
      <c r="K297" s="3">
        <f t="shared" si="125"/>
        <v>0</v>
      </c>
      <c r="L297" s="3">
        <f t="shared" si="121"/>
        <v>500</v>
      </c>
      <c r="M297" s="15">
        <f t="shared" si="136"/>
        <v>7.0000000000000007E-2</v>
      </c>
      <c r="N297" s="3">
        <f t="shared" si="137"/>
        <v>77.806442092101278</v>
      </c>
      <c r="O297" s="3">
        <f t="shared" si="122"/>
        <v>77.806442092101278</v>
      </c>
      <c r="P297" s="3">
        <f t="shared" si="126"/>
        <v>83.662840959248697</v>
      </c>
      <c r="Q297" s="3">
        <f t="shared" si="127"/>
        <v>31.458686238468083</v>
      </c>
      <c r="R297" s="3">
        <f t="shared" si="128"/>
        <v>57.560763598858387</v>
      </c>
      <c r="S297" s="3">
        <f t="shared" si="123"/>
        <v>1</v>
      </c>
      <c r="T297" s="3">
        <f t="shared" si="129"/>
        <v>26102.077360390307</v>
      </c>
      <c r="U297" s="3">
        <f t="shared" si="130"/>
        <v>0.5</v>
      </c>
      <c r="V297" s="3">
        <f t="shared" si="131"/>
        <v>0</v>
      </c>
      <c r="W297" s="3">
        <f t="shared" si="132"/>
        <v>28010.319153156459</v>
      </c>
      <c r="X297" s="3">
        <f t="shared" si="124"/>
        <v>15729.343119234041</v>
      </c>
      <c r="AI297" s="3"/>
      <c r="AJ297" s="3"/>
      <c r="AK297" s="15">
        <f t="shared" si="115"/>
        <v>1</v>
      </c>
      <c r="AL297" s="11">
        <f t="shared" si="119"/>
        <v>1728</v>
      </c>
      <c r="AM297" s="11" t="b">
        <f t="shared" si="114"/>
        <v>0</v>
      </c>
      <c r="AN297" s="11">
        <f t="shared" si="116"/>
        <v>36000</v>
      </c>
      <c r="AO297" s="11">
        <f t="shared" si="117"/>
        <v>0</v>
      </c>
      <c r="AP297" s="11">
        <f t="shared" si="118"/>
        <v>0.42475964107974734</v>
      </c>
      <c r="AQ297" s="11">
        <f t="shared" si="120"/>
        <v>0</v>
      </c>
      <c r="AT297" s="3"/>
      <c r="AU297" s="17"/>
      <c r="AV297" s="19"/>
      <c r="AW297" s="17"/>
      <c r="AX297" s="17">
        <f t="shared" si="113"/>
        <v>288</v>
      </c>
      <c r="AY297" s="17">
        <f t="shared" si="138"/>
        <v>28.8</v>
      </c>
      <c r="AZ297" s="17">
        <v>42.475964107974733</v>
      </c>
      <c r="BA297" s="17"/>
      <c r="BB297" s="17">
        <v>36</v>
      </c>
      <c r="BC297" s="17"/>
      <c r="BD297" s="17"/>
      <c r="BE297" s="17"/>
      <c r="BF297" s="17"/>
      <c r="BG297" s="17"/>
      <c r="BH297" s="17"/>
      <c r="BI297" s="17"/>
      <c r="BJ297" s="17"/>
      <c r="BK297" s="17"/>
      <c r="BL297" s="17"/>
      <c r="BM297" s="17"/>
      <c r="BN297" s="17"/>
      <c r="BO297" s="17"/>
      <c r="BP297" s="17"/>
      <c r="BQ297" s="17"/>
      <c r="BR297" s="17"/>
      <c r="BS297" s="17"/>
      <c r="BT297" s="17"/>
      <c r="BU297" s="17"/>
      <c r="BV297" s="17"/>
      <c r="BW297" s="17"/>
      <c r="BX297" s="17"/>
      <c r="BY297" s="17"/>
      <c r="BZ297" s="17"/>
      <c r="CA297" s="17"/>
      <c r="CB297" s="17"/>
      <c r="CC297" s="17"/>
      <c r="CD297" s="17"/>
      <c r="CE297" s="17"/>
      <c r="CF297" s="17"/>
      <c r="CG297" s="17"/>
      <c r="CH297" s="17"/>
    </row>
    <row r="298" spans="8:86" x14ac:dyDescent="0.15">
      <c r="H298" s="3">
        <f t="shared" si="133"/>
        <v>0.2860000000000002</v>
      </c>
      <c r="I298" s="3">
        <f t="shared" si="134"/>
        <v>360</v>
      </c>
      <c r="J298" s="14">
        <f t="shared" si="135"/>
        <v>500</v>
      </c>
      <c r="K298" s="3">
        <f t="shared" si="125"/>
        <v>0</v>
      </c>
      <c r="L298" s="3">
        <f t="shared" si="121"/>
        <v>500</v>
      </c>
      <c r="M298" s="15">
        <f t="shared" si="136"/>
        <v>7.0000000000000007E-2</v>
      </c>
      <c r="N298" s="3">
        <f t="shared" si="137"/>
        <v>77.733936321655747</v>
      </c>
      <c r="O298" s="3">
        <f t="shared" si="122"/>
        <v>77.733936321655747</v>
      </c>
      <c r="P298" s="3">
        <f t="shared" si="126"/>
        <v>83.584877765221236</v>
      </c>
      <c r="Q298" s="3">
        <f t="shared" si="127"/>
        <v>31.406482083747303</v>
      </c>
      <c r="R298" s="3">
        <f t="shared" si="128"/>
        <v>57.495679924484271</v>
      </c>
      <c r="S298" s="3">
        <f t="shared" si="123"/>
        <v>1</v>
      </c>
      <c r="T298" s="3">
        <f t="shared" si="129"/>
        <v>26089.197840736964</v>
      </c>
      <c r="U298" s="3">
        <f t="shared" si="130"/>
        <v>0.5</v>
      </c>
      <c r="V298" s="3">
        <f t="shared" si="131"/>
        <v>0</v>
      </c>
      <c r="W298" s="3">
        <f t="shared" si="132"/>
        <v>27984.21707579607</v>
      </c>
      <c r="X298" s="3">
        <f t="shared" si="124"/>
        <v>15703.241041873651</v>
      </c>
      <c r="AI298" s="3"/>
      <c r="AJ298" s="3"/>
      <c r="AK298" s="15">
        <f t="shared" si="115"/>
        <v>1</v>
      </c>
      <c r="AL298" s="11">
        <f t="shared" si="119"/>
        <v>1734</v>
      </c>
      <c r="AM298" s="11" t="b">
        <f t="shared" si="114"/>
        <v>0</v>
      </c>
      <c r="AN298" s="11">
        <f t="shared" si="116"/>
        <v>36000</v>
      </c>
      <c r="AO298" s="11">
        <f t="shared" si="117"/>
        <v>0</v>
      </c>
      <c r="AP298" s="11">
        <f t="shared" si="118"/>
        <v>0.42586195589456211</v>
      </c>
      <c r="AQ298" s="11">
        <f t="shared" si="120"/>
        <v>0</v>
      </c>
      <c r="AT298" s="3"/>
      <c r="AU298" s="17"/>
      <c r="AV298" s="19"/>
      <c r="AW298" s="17"/>
      <c r="AX298" s="17">
        <f t="shared" si="113"/>
        <v>289</v>
      </c>
      <c r="AY298" s="17">
        <f t="shared" si="138"/>
        <v>28.9</v>
      </c>
      <c r="AZ298" s="17">
        <v>42.58619558945621</v>
      </c>
      <c r="BA298" s="17"/>
      <c r="BB298" s="17">
        <v>36</v>
      </c>
      <c r="BC298" s="17"/>
      <c r="BD298" s="17"/>
      <c r="BE298" s="17"/>
      <c r="BF298" s="17"/>
      <c r="BG298" s="17"/>
      <c r="BH298" s="17"/>
      <c r="BI298" s="17"/>
      <c r="BJ298" s="17"/>
      <c r="BK298" s="17"/>
      <c r="BL298" s="17"/>
      <c r="BM298" s="17"/>
      <c r="BN298" s="17"/>
      <c r="BO298" s="17"/>
      <c r="BP298" s="17"/>
      <c r="BQ298" s="17"/>
      <c r="BR298" s="17"/>
      <c r="BS298" s="17"/>
      <c r="BT298" s="17"/>
      <c r="BU298" s="17"/>
      <c r="BV298" s="17"/>
      <c r="BW298" s="17"/>
      <c r="BX298" s="17"/>
      <c r="BY298" s="17"/>
      <c r="BZ298" s="17"/>
      <c r="CA298" s="17"/>
      <c r="CB298" s="17"/>
      <c r="CC298" s="17"/>
      <c r="CD298" s="17"/>
      <c r="CE298" s="17"/>
      <c r="CF298" s="17"/>
      <c r="CG298" s="17"/>
      <c r="CH298" s="17"/>
    </row>
    <row r="299" spans="8:86" x14ac:dyDescent="0.15">
      <c r="H299" s="3">
        <f t="shared" si="133"/>
        <v>0.2870000000000002</v>
      </c>
      <c r="I299" s="3">
        <f t="shared" si="134"/>
        <v>360</v>
      </c>
      <c r="J299" s="14">
        <f t="shared" si="135"/>
        <v>500</v>
      </c>
      <c r="K299" s="3">
        <f t="shared" si="125"/>
        <v>0</v>
      </c>
      <c r="L299" s="3">
        <f t="shared" si="121"/>
        <v>500</v>
      </c>
      <c r="M299" s="15">
        <f t="shared" si="136"/>
        <v>7.0000000000000007E-2</v>
      </c>
      <c r="N299" s="3">
        <f t="shared" si="137"/>
        <v>77.661466327653699</v>
      </c>
      <c r="O299" s="3">
        <f t="shared" si="122"/>
        <v>77.661466327653699</v>
      </c>
      <c r="P299" s="3">
        <f t="shared" si="126"/>
        <v>83.506953040487858</v>
      </c>
      <c r="Q299" s="3">
        <f t="shared" si="127"/>
        <v>31.35430368806583</v>
      </c>
      <c r="R299" s="3">
        <f t="shared" si="128"/>
        <v>57.430628364276842</v>
      </c>
      <c r="S299" s="3">
        <f t="shared" si="123"/>
        <v>1</v>
      </c>
      <c r="T299" s="3">
        <f t="shared" si="129"/>
        <v>26076.324676211014</v>
      </c>
      <c r="U299" s="3">
        <f t="shared" si="130"/>
        <v>0.5</v>
      </c>
      <c r="V299" s="3">
        <f t="shared" si="131"/>
        <v>0</v>
      </c>
      <c r="W299" s="3">
        <f t="shared" si="132"/>
        <v>27958.127877955332</v>
      </c>
      <c r="X299" s="3">
        <f t="shared" si="124"/>
        <v>15677.151844032915</v>
      </c>
      <c r="AI299" s="3"/>
      <c r="AJ299" s="3"/>
      <c r="AK299" s="15">
        <f t="shared" si="115"/>
        <v>1</v>
      </c>
      <c r="AL299" s="11">
        <f t="shared" si="119"/>
        <v>1740</v>
      </c>
      <c r="AM299" s="11" t="b">
        <f t="shared" si="114"/>
        <v>0</v>
      </c>
      <c r="AN299" s="11">
        <f t="shared" si="116"/>
        <v>36000</v>
      </c>
      <c r="AO299" s="11">
        <f t="shared" si="117"/>
        <v>0</v>
      </c>
      <c r="AP299" s="11">
        <f t="shared" si="118"/>
        <v>0.42696427070937693</v>
      </c>
      <c r="AQ299" s="11">
        <f t="shared" si="120"/>
        <v>0</v>
      </c>
      <c r="AT299" s="3"/>
      <c r="AU299" s="17"/>
      <c r="AV299" s="19"/>
      <c r="AW299" s="17"/>
      <c r="AX299" s="17">
        <f t="shared" si="113"/>
        <v>290</v>
      </c>
      <c r="AY299" s="17">
        <f t="shared" si="138"/>
        <v>29</v>
      </c>
      <c r="AZ299" s="17">
        <v>42.696427070937695</v>
      </c>
      <c r="BA299" s="17"/>
      <c r="BB299" s="17">
        <v>36</v>
      </c>
      <c r="BC299" s="17"/>
      <c r="BD299" s="17"/>
      <c r="BE299" s="17"/>
      <c r="BF299" s="17"/>
      <c r="BG299" s="17"/>
      <c r="BH299" s="17"/>
      <c r="BI299" s="17"/>
      <c r="BJ299" s="17"/>
      <c r="BK299" s="17"/>
      <c r="BL299" s="17"/>
      <c r="BM299" s="17"/>
      <c r="BN299" s="17"/>
      <c r="BO299" s="17"/>
      <c r="BP299" s="17"/>
      <c r="BQ299" s="17"/>
      <c r="BR299" s="17"/>
      <c r="BS299" s="17"/>
      <c r="BT299" s="17"/>
      <c r="BU299" s="17"/>
      <c r="BV299" s="17"/>
      <c r="BW299" s="17"/>
      <c r="BX299" s="17"/>
      <c r="BY299" s="17"/>
      <c r="BZ299" s="17"/>
      <c r="CA299" s="17"/>
      <c r="CB299" s="17"/>
      <c r="CC299" s="17"/>
      <c r="CD299" s="17"/>
      <c r="CE299" s="17"/>
      <c r="CF299" s="17"/>
      <c r="CG299" s="17"/>
      <c r="CH299" s="17"/>
    </row>
    <row r="300" spans="8:86" x14ac:dyDescent="0.15">
      <c r="H300" s="3">
        <f t="shared" si="133"/>
        <v>0.2880000000000002</v>
      </c>
      <c r="I300" s="3">
        <f t="shared" si="134"/>
        <v>360</v>
      </c>
      <c r="J300" s="14">
        <f t="shared" si="135"/>
        <v>500</v>
      </c>
      <c r="K300" s="3">
        <f t="shared" si="125"/>
        <v>0</v>
      </c>
      <c r="L300" s="3">
        <f t="shared" si="121"/>
        <v>500</v>
      </c>
      <c r="M300" s="15">
        <f t="shared" si="136"/>
        <v>7.0000000000000007E-2</v>
      </c>
      <c r="N300" s="3">
        <f t="shared" si="137"/>
        <v>77.589032092442011</v>
      </c>
      <c r="O300" s="3">
        <f t="shared" si="122"/>
        <v>77.589032092442011</v>
      </c>
      <c r="P300" s="3">
        <f t="shared" si="126"/>
        <v>83.429066766066683</v>
      </c>
      <c r="Q300" s="3">
        <f t="shared" si="127"/>
        <v>31.302151038713408</v>
      </c>
      <c r="R300" s="3">
        <f t="shared" si="128"/>
        <v>57.365608902390044</v>
      </c>
      <c r="S300" s="3">
        <f t="shared" si="123"/>
        <v>1</v>
      </c>
      <c r="T300" s="3">
        <f t="shared" si="129"/>
        <v>26063.457863676638</v>
      </c>
      <c r="U300" s="3">
        <f t="shared" si="130"/>
        <v>0.5</v>
      </c>
      <c r="V300" s="3">
        <f t="shared" si="131"/>
        <v>0</v>
      </c>
      <c r="W300" s="3">
        <f t="shared" si="132"/>
        <v>27932.051553279125</v>
      </c>
      <c r="X300" s="3">
        <f t="shared" si="124"/>
        <v>15651.075519356704</v>
      </c>
      <c r="AI300" s="3"/>
      <c r="AJ300" s="3"/>
      <c r="AK300" s="15">
        <f t="shared" si="115"/>
        <v>1</v>
      </c>
      <c r="AL300" s="11">
        <f t="shared" si="119"/>
        <v>1746</v>
      </c>
      <c r="AM300" s="11" t="b">
        <f t="shared" si="114"/>
        <v>0</v>
      </c>
      <c r="AN300" s="11">
        <f t="shared" si="116"/>
        <v>36000</v>
      </c>
      <c r="AO300" s="11">
        <f t="shared" si="117"/>
        <v>0</v>
      </c>
      <c r="AP300" s="11">
        <f t="shared" si="118"/>
        <v>0.42806658552419169</v>
      </c>
      <c r="AQ300" s="11">
        <f t="shared" si="120"/>
        <v>0</v>
      </c>
      <c r="AT300" s="3"/>
      <c r="AU300" s="17"/>
      <c r="AV300" s="19"/>
      <c r="AW300" s="17"/>
      <c r="AX300" s="17">
        <f t="shared" si="113"/>
        <v>291</v>
      </c>
      <c r="AY300" s="17">
        <f t="shared" si="138"/>
        <v>29.1</v>
      </c>
      <c r="AZ300" s="17">
        <v>42.806658552419172</v>
      </c>
      <c r="BA300" s="17"/>
      <c r="BB300" s="17">
        <v>36</v>
      </c>
      <c r="BC300" s="17"/>
      <c r="BD300" s="17"/>
      <c r="BE300" s="17"/>
      <c r="BF300" s="17"/>
      <c r="BG300" s="17"/>
      <c r="BH300" s="17"/>
      <c r="BI300" s="17"/>
      <c r="BJ300" s="17"/>
      <c r="BK300" s="17"/>
      <c r="BL300" s="17"/>
      <c r="BM300" s="17"/>
      <c r="BN300" s="17"/>
      <c r="BO300" s="17"/>
      <c r="BP300" s="17"/>
      <c r="BQ300" s="17"/>
      <c r="BR300" s="17"/>
      <c r="BS300" s="17"/>
      <c r="BT300" s="17"/>
      <c r="BU300" s="17"/>
      <c r="BV300" s="17"/>
      <c r="BW300" s="17"/>
      <c r="BX300" s="17"/>
      <c r="BY300" s="17"/>
      <c r="BZ300" s="17"/>
      <c r="CA300" s="17"/>
      <c r="CB300" s="17"/>
      <c r="CC300" s="17"/>
      <c r="CD300" s="17"/>
      <c r="CE300" s="17"/>
      <c r="CF300" s="17"/>
      <c r="CG300" s="17"/>
      <c r="CH300" s="17"/>
    </row>
    <row r="301" spans="8:86" x14ac:dyDescent="0.15">
      <c r="H301" s="3">
        <f t="shared" si="133"/>
        <v>0.2890000000000002</v>
      </c>
      <c r="I301" s="3">
        <f t="shared" si="134"/>
        <v>360</v>
      </c>
      <c r="J301" s="14">
        <f t="shared" si="135"/>
        <v>500</v>
      </c>
      <c r="K301" s="3">
        <f t="shared" si="125"/>
        <v>0</v>
      </c>
      <c r="L301" s="3">
        <f t="shared" si="121"/>
        <v>500</v>
      </c>
      <c r="M301" s="15">
        <f t="shared" si="136"/>
        <v>7.0000000000000007E-2</v>
      </c>
      <c r="N301" s="3">
        <f t="shared" si="137"/>
        <v>77.516633598376245</v>
      </c>
      <c r="O301" s="3">
        <f t="shared" si="122"/>
        <v>77.516633598376245</v>
      </c>
      <c r="P301" s="3">
        <f t="shared" si="126"/>
        <v>83.351218922985211</v>
      </c>
      <c r="Q301" s="3">
        <f t="shared" si="127"/>
        <v>31.250024122986055</v>
      </c>
      <c r="R301" s="3">
        <f t="shared" si="128"/>
        <v>57.300621522985637</v>
      </c>
      <c r="S301" s="3">
        <f t="shared" si="123"/>
        <v>1</v>
      </c>
      <c r="T301" s="3">
        <f t="shared" si="129"/>
        <v>26050.597399999577</v>
      </c>
      <c r="U301" s="3">
        <f t="shared" si="130"/>
        <v>0.5</v>
      </c>
      <c r="V301" s="3">
        <f t="shared" si="131"/>
        <v>0</v>
      </c>
      <c r="W301" s="3">
        <f t="shared" si="132"/>
        <v>27905.988095415447</v>
      </c>
      <c r="X301" s="3">
        <f t="shared" si="124"/>
        <v>15625.012061493027</v>
      </c>
      <c r="AI301" s="3"/>
      <c r="AJ301" s="3"/>
      <c r="AK301" s="15">
        <f t="shared" si="115"/>
        <v>1</v>
      </c>
      <c r="AL301" s="11">
        <f t="shared" si="119"/>
        <v>1752</v>
      </c>
      <c r="AM301" s="11" t="b">
        <f t="shared" si="114"/>
        <v>0</v>
      </c>
      <c r="AN301" s="11">
        <f t="shared" si="116"/>
        <v>36000</v>
      </c>
      <c r="AO301" s="11">
        <f t="shared" si="117"/>
        <v>0</v>
      </c>
      <c r="AP301" s="11">
        <f t="shared" si="118"/>
        <v>0.42916890033900651</v>
      </c>
      <c r="AQ301" s="11">
        <f t="shared" si="120"/>
        <v>0</v>
      </c>
      <c r="AT301" s="3"/>
      <c r="AU301" s="17"/>
      <c r="AV301" s="19"/>
      <c r="AW301" s="17"/>
      <c r="AX301" s="17">
        <f t="shared" si="113"/>
        <v>292</v>
      </c>
      <c r="AY301" s="17">
        <f t="shared" si="138"/>
        <v>29.2</v>
      </c>
      <c r="AZ301" s="17">
        <v>42.91689003390065</v>
      </c>
      <c r="BA301" s="17"/>
      <c r="BB301" s="17">
        <v>36</v>
      </c>
      <c r="BC301" s="17"/>
      <c r="BD301" s="17"/>
      <c r="BE301" s="17"/>
      <c r="BF301" s="17"/>
      <c r="BG301" s="17"/>
      <c r="BH301" s="17"/>
      <c r="BI301" s="17"/>
      <c r="BJ301" s="17"/>
      <c r="BK301" s="17"/>
      <c r="BL301" s="17"/>
      <c r="BM301" s="17"/>
      <c r="BN301" s="17"/>
      <c r="BO301" s="17"/>
      <c r="BP301" s="17"/>
      <c r="BQ301" s="17"/>
      <c r="BR301" s="17"/>
      <c r="BS301" s="17"/>
      <c r="BT301" s="17"/>
      <c r="BU301" s="17"/>
      <c r="BV301" s="17"/>
      <c r="BW301" s="17"/>
      <c r="BX301" s="17"/>
      <c r="BY301" s="17"/>
      <c r="BZ301" s="17"/>
      <c r="CA301" s="17"/>
      <c r="CB301" s="17"/>
      <c r="CC301" s="17"/>
      <c r="CD301" s="17"/>
      <c r="CE301" s="17"/>
      <c r="CF301" s="17"/>
      <c r="CG301" s="17"/>
      <c r="CH301" s="17"/>
    </row>
    <row r="302" spans="8:86" x14ac:dyDescent="0.15">
      <c r="H302" s="3">
        <f t="shared" si="133"/>
        <v>0.2900000000000002</v>
      </c>
      <c r="I302" s="3">
        <f t="shared" si="134"/>
        <v>360</v>
      </c>
      <c r="J302" s="14">
        <f t="shared" si="135"/>
        <v>500</v>
      </c>
      <c r="K302" s="3">
        <f t="shared" si="125"/>
        <v>0</v>
      </c>
      <c r="L302" s="3">
        <f t="shared" si="121"/>
        <v>500</v>
      </c>
      <c r="M302" s="15">
        <f t="shared" si="136"/>
        <v>7.0000000000000007E-2</v>
      </c>
      <c r="N302" s="3">
        <f t="shared" si="137"/>
        <v>77.444270827820688</v>
      </c>
      <c r="O302" s="3">
        <f t="shared" si="122"/>
        <v>77.444270827820688</v>
      </c>
      <c r="P302" s="3">
        <f t="shared" si="126"/>
        <v>83.273409492280308</v>
      </c>
      <c r="Q302" s="3">
        <f t="shared" si="127"/>
        <v>31.197922928186056</v>
      </c>
      <c r="R302" s="3">
        <f t="shared" si="128"/>
        <v>57.235666210233184</v>
      </c>
      <c r="S302" s="3">
        <f t="shared" si="123"/>
        <v>1</v>
      </c>
      <c r="T302" s="3">
        <f t="shared" si="129"/>
        <v>26037.743282047126</v>
      </c>
      <c r="U302" s="3">
        <f t="shared" si="130"/>
        <v>0.5</v>
      </c>
      <c r="V302" s="3">
        <f t="shared" si="131"/>
        <v>0</v>
      </c>
      <c r="W302" s="3">
        <f t="shared" si="132"/>
        <v>27879.937498015446</v>
      </c>
      <c r="X302" s="3">
        <f t="shared" si="124"/>
        <v>15598.961464093029</v>
      </c>
      <c r="AI302" s="3"/>
      <c r="AJ302" s="3"/>
      <c r="AK302" s="15">
        <f t="shared" si="115"/>
        <v>1</v>
      </c>
      <c r="AL302" s="11">
        <f t="shared" si="119"/>
        <v>1758</v>
      </c>
      <c r="AM302" s="11" t="b">
        <f t="shared" si="114"/>
        <v>0</v>
      </c>
      <c r="AN302" s="11">
        <f t="shared" si="116"/>
        <v>36000</v>
      </c>
      <c r="AO302" s="11">
        <f t="shared" si="117"/>
        <v>0</v>
      </c>
      <c r="AP302" s="11">
        <f t="shared" si="118"/>
        <v>0.43027121515382127</v>
      </c>
      <c r="AQ302" s="11">
        <f t="shared" si="120"/>
        <v>0</v>
      </c>
      <c r="AT302" s="3"/>
      <c r="AU302" s="17"/>
      <c r="AV302" s="19"/>
      <c r="AW302" s="17"/>
      <c r="AX302" s="17">
        <f t="shared" ref="AX302:AX365" si="139">IF(AX301&gt;=$AG$14,$AG$14,AX301+1)</f>
        <v>293</v>
      </c>
      <c r="AY302" s="17">
        <f t="shared" si="138"/>
        <v>29.3</v>
      </c>
      <c r="AZ302" s="17">
        <v>43.027121515382127</v>
      </c>
      <c r="BA302" s="17"/>
      <c r="BB302" s="17">
        <v>36</v>
      </c>
      <c r="BC302" s="17"/>
      <c r="BD302" s="17"/>
      <c r="BE302" s="17"/>
      <c r="BF302" s="17"/>
      <c r="BG302" s="17"/>
      <c r="BH302" s="17"/>
      <c r="BI302" s="17"/>
      <c r="BJ302" s="17"/>
      <c r="BK302" s="17"/>
      <c r="BL302" s="17"/>
      <c r="BM302" s="17"/>
      <c r="BN302" s="17"/>
      <c r="BO302" s="17"/>
      <c r="BP302" s="17"/>
      <c r="BQ302" s="17"/>
      <c r="BR302" s="17"/>
      <c r="BS302" s="17"/>
      <c r="BT302" s="17"/>
      <c r="BU302" s="17"/>
      <c r="BV302" s="17"/>
      <c r="BW302" s="17"/>
      <c r="BX302" s="17"/>
      <c r="BY302" s="17"/>
      <c r="BZ302" s="17"/>
      <c r="CA302" s="17"/>
      <c r="CB302" s="17"/>
      <c r="CC302" s="17"/>
      <c r="CD302" s="17"/>
      <c r="CE302" s="17"/>
      <c r="CF302" s="17"/>
      <c r="CG302" s="17"/>
      <c r="CH302" s="17"/>
    </row>
    <row r="303" spans="8:86" x14ac:dyDescent="0.15">
      <c r="H303" s="3">
        <f t="shared" si="133"/>
        <v>0.2910000000000002</v>
      </c>
      <c r="I303" s="3">
        <f t="shared" si="134"/>
        <v>360</v>
      </c>
      <c r="J303" s="14">
        <f t="shared" si="135"/>
        <v>500</v>
      </c>
      <c r="K303" s="3">
        <f t="shared" si="125"/>
        <v>0</v>
      </c>
      <c r="L303" s="3">
        <f t="shared" si="121"/>
        <v>500</v>
      </c>
      <c r="M303" s="15">
        <f t="shared" si="136"/>
        <v>7.0000000000000007E-2</v>
      </c>
      <c r="N303" s="3">
        <f t="shared" si="137"/>
        <v>77.371943763148337</v>
      </c>
      <c r="O303" s="3">
        <f t="shared" si="122"/>
        <v>77.371943763148337</v>
      </c>
      <c r="P303" s="3">
        <f t="shared" si="126"/>
        <v>83.195638454998218</v>
      </c>
      <c r="Q303" s="3">
        <f t="shared" si="127"/>
        <v>31.14584744162196</v>
      </c>
      <c r="R303" s="3">
        <f t="shared" si="128"/>
        <v>57.170742948310092</v>
      </c>
      <c r="S303" s="3">
        <f t="shared" si="123"/>
        <v>1</v>
      </c>
      <c r="T303" s="3">
        <f t="shared" si="129"/>
        <v>26024.895506688128</v>
      </c>
      <c r="U303" s="3">
        <f t="shared" si="130"/>
        <v>0.5</v>
      </c>
      <c r="V303" s="3">
        <f t="shared" si="131"/>
        <v>0</v>
      </c>
      <c r="W303" s="3">
        <f t="shared" si="132"/>
        <v>27853.8997547334</v>
      </c>
      <c r="X303" s="3">
        <f t="shared" si="124"/>
        <v>15572.923720810981</v>
      </c>
      <c r="AI303" s="3"/>
      <c r="AJ303" s="3"/>
      <c r="AK303" s="15">
        <f t="shared" si="115"/>
        <v>1</v>
      </c>
      <c r="AL303" s="11">
        <f t="shared" si="119"/>
        <v>1764</v>
      </c>
      <c r="AM303" s="11" t="b">
        <f t="shared" si="114"/>
        <v>0</v>
      </c>
      <c r="AN303" s="11">
        <f t="shared" si="116"/>
        <v>36000</v>
      </c>
      <c r="AO303" s="11">
        <f t="shared" si="117"/>
        <v>0</v>
      </c>
      <c r="AP303" s="11">
        <f t="shared" si="118"/>
        <v>0.43137352996863609</v>
      </c>
      <c r="AQ303" s="11">
        <f t="shared" si="120"/>
        <v>0</v>
      </c>
      <c r="AT303" s="3"/>
      <c r="AU303" s="17"/>
      <c r="AV303" s="19"/>
      <c r="AW303" s="17"/>
      <c r="AX303" s="17">
        <f t="shared" si="139"/>
        <v>294</v>
      </c>
      <c r="AY303" s="17">
        <f t="shared" si="138"/>
        <v>29.4</v>
      </c>
      <c r="AZ303" s="17">
        <v>43.137352996863612</v>
      </c>
      <c r="BA303" s="17"/>
      <c r="BB303" s="17">
        <v>36</v>
      </c>
      <c r="BC303" s="17"/>
      <c r="BD303" s="17"/>
      <c r="BE303" s="17"/>
      <c r="BF303" s="17"/>
      <c r="BG303" s="17"/>
      <c r="BH303" s="17"/>
      <c r="BI303" s="17"/>
      <c r="BJ303" s="17"/>
      <c r="BK303" s="17"/>
      <c r="BL303" s="17"/>
      <c r="BM303" s="17"/>
      <c r="BN303" s="17"/>
      <c r="BO303" s="17"/>
      <c r="BP303" s="17"/>
      <c r="BQ303" s="17"/>
      <c r="BR303" s="17"/>
      <c r="BS303" s="17"/>
      <c r="BT303" s="17"/>
      <c r="BU303" s="17"/>
      <c r="BV303" s="17"/>
      <c r="BW303" s="17"/>
      <c r="BX303" s="17"/>
      <c r="BY303" s="17"/>
      <c r="BZ303" s="17"/>
      <c r="CA303" s="17"/>
      <c r="CB303" s="17"/>
      <c r="CC303" s="17"/>
      <c r="CD303" s="17"/>
      <c r="CE303" s="17"/>
      <c r="CF303" s="17"/>
      <c r="CG303" s="17"/>
      <c r="CH303" s="17"/>
    </row>
    <row r="304" spans="8:86" x14ac:dyDescent="0.15">
      <c r="H304" s="3">
        <f t="shared" si="133"/>
        <v>0.2920000000000002</v>
      </c>
      <c r="I304" s="3">
        <f t="shared" si="134"/>
        <v>360</v>
      </c>
      <c r="J304" s="14">
        <f t="shared" si="135"/>
        <v>500</v>
      </c>
      <c r="K304" s="3">
        <f t="shared" si="125"/>
        <v>0</v>
      </c>
      <c r="L304" s="3">
        <f t="shared" si="121"/>
        <v>500</v>
      </c>
      <c r="M304" s="15">
        <f t="shared" si="136"/>
        <v>7.0000000000000007E-2</v>
      </c>
      <c r="N304" s="3">
        <f t="shared" si="137"/>
        <v>77.29965238674086</v>
      </c>
      <c r="O304" s="3">
        <f t="shared" si="122"/>
        <v>77.29965238674086</v>
      </c>
      <c r="P304" s="3">
        <f t="shared" si="126"/>
        <v>83.117905792194477</v>
      </c>
      <c r="Q304" s="3">
        <f t="shared" si="127"/>
        <v>31.093797650608586</v>
      </c>
      <c r="R304" s="3">
        <f t="shared" si="128"/>
        <v>57.105851721401535</v>
      </c>
      <c r="S304" s="3">
        <f t="shared" si="123"/>
        <v>1</v>
      </c>
      <c r="T304" s="3">
        <f t="shared" si="129"/>
        <v>26012.054070792947</v>
      </c>
      <c r="U304" s="3">
        <f t="shared" si="130"/>
        <v>0.5</v>
      </c>
      <c r="V304" s="3">
        <f t="shared" si="131"/>
        <v>0</v>
      </c>
      <c r="W304" s="3">
        <f t="shared" si="132"/>
        <v>27827.874859226711</v>
      </c>
      <c r="X304" s="3">
        <f t="shared" si="124"/>
        <v>15546.898825304293</v>
      </c>
      <c r="AI304" s="3"/>
      <c r="AJ304" s="3"/>
      <c r="AK304" s="15">
        <f t="shared" si="115"/>
        <v>1</v>
      </c>
      <c r="AL304" s="11">
        <f t="shared" si="119"/>
        <v>1770</v>
      </c>
      <c r="AM304" s="11" t="b">
        <f t="shared" si="114"/>
        <v>0</v>
      </c>
      <c r="AN304" s="11">
        <f t="shared" si="116"/>
        <v>36000</v>
      </c>
      <c r="AO304" s="11">
        <f t="shared" si="117"/>
        <v>0</v>
      </c>
      <c r="AP304" s="11">
        <f t="shared" si="118"/>
        <v>0.43247584478345086</v>
      </c>
      <c r="AQ304" s="11">
        <f t="shared" si="120"/>
        <v>0</v>
      </c>
      <c r="AT304" s="3"/>
      <c r="AU304" s="17"/>
      <c r="AV304" s="19"/>
      <c r="AW304" s="17"/>
      <c r="AX304" s="17">
        <f t="shared" si="139"/>
        <v>295</v>
      </c>
      <c r="AY304" s="17">
        <f t="shared" si="138"/>
        <v>29.5</v>
      </c>
      <c r="AZ304" s="17">
        <v>43.247584478345082</v>
      </c>
      <c r="BA304" s="17"/>
      <c r="BB304" s="17">
        <v>36</v>
      </c>
      <c r="BC304" s="17"/>
      <c r="BD304" s="17"/>
      <c r="BE304" s="17"/>
      <c r="BF304" s="17"/>
      <c r="BG304" s="17"/>
      <c r="BH304" s="17"/>
      <c r="BI304" s="17"/>
      <c r="BJ304" s="17"/>
      <c r="BK304" s="17"/>
      <c r="BL304" s="17"/>
      <c r="BM304" s="17"/>
      <c r="BN304" s="17"/>
      <c r="BO304" s="17"/>
      <c r="BP304" s="17"/>
      <c r="BQ304" s="17"/>
      <c r="BR304" s="17"/>
      <c r="BS304" s="17"/>
      <c r="BT304" s="17"/>
      <c r="BU304" s="17"/>
      <c r="BV304" s="17"/>
      <c r="BW304" s="17"/>
      <c r="BX304" s="17"/>
      <c r="BY304" s="17"/>
      <c r="BZ304" s="17"/>
      <c r="CA304" s="17"/>
      <c r="CB304" s="17"/>
      <c r="CC304" s="17"/>
      <c r="CD304" s="17"/>
      <c r="CE304" s="17"/>
      <c r="CF304" s="17"/>
      <c r="CG304" s="17"/>
      <c r="CH304" s="17"/>
    </row>
    <row r="305" spans="8:86" x14ac:dyDescent="0.15">
      <c r="H305" s="3">
        <f t="shared" si="133"/>
        <v>0.2930000000000002</v>
      </c>
      <c r="I305" s="3">
        <f t="shared" si="134"/>
        <v>360</v>
      </c>
      <c r="J305" s="14">
        <f t="shared" si="135"/>
        <v>500</v>
      </c>
      <c r="K305" s="3">
        <f t="shared" si="125"/>
        <v>0</v>
      </c>
      <c r="L305" s="3">
        <f t="shared" si="121"/>
        <v>500</v>
      </c>
      <c r="M305" s="15">
        <f t="shared" si="136"/>
        <v>7.0000000000000007E-2</v>
      </c>
      <c r="N305" s="3">
        <f t="shared" si="137"/>
        <v>77.227396680988662</v>
      </c>
      <c r="O305" s="3">
        <f t="shared" si="122"/>
        <v>77.227396680988662</v>
      </c>
      <c r="P305" s="3">
        <f t="shared" si="126"/>
        <v>83.040211484934048</v>
      </c>
      <c r="Q305" s="3">
        <f t="shared" si="127"/>
        <v>31.041773542467002</v>
      </c>
      <c r="R305" s="3">
        <f t="shared" si="128"/>
        <v>57.040992513700523</v>
      </c>
      <c r="S305" s="3">
        <f t="shared" si="123"/>
        <v>1</v>
      </c>
      <c r="T305" s="3">
        <f t="shared" si="129"/>
        <v>25999.218971233524</v>
      </c>
      <c r="U305" s="3">
        <f t="shared" si="130"/>
        <v>0.5</v>
      </c>
      <c r="V305" s="3">
        <f t="shared" si="131"/>
        <v>0</v>
      </c>
      <c r="W305" s="3">
        <f t="shared" si="132"/>
        <v>27801.862805155917</v>
      </c>
      <c r="X305" s="3">
        <f t="shared" si="124"/>
        <v>15520.886771233501</v>
      </c>
      <c r="AI305" s="3"/>
      <c r="AJ305" s="3"/>
      <c r="AK305" s="15">
        <f t="shared" si="115"/>
        <v>1</v>
      </c>
      <c r="AL305" s="11">
        <f t="shared" si="119"/>
        <v>1776</v>
      </c>
      <c r="AM305" s="11" t="b">
        <f t="shared" si="114"/>
        <v>0</v>
      </c>
      <c r="AN305" s="11">
        <f t="shared" si="116"/>
        <v>36000</v>
      </c>
      <c r="AO305" s="11">
        <f t="shared" si="117"/>
        <v>0</v>
      </c>
      <c r="AP305" s="11">
        <f t="shared" si="118"/>
        <v>0.43357815959826568</v>
      </c>
      <c r="AQ305" s="11">
        <f t="shared" si="120"/>
        <v>0</v>
      </c>
      <c r="AT305" s="3"/>
      <c r="AU305" s="17"/>
      <c r="AV305" s="19"/>
      <c r="AW305" s="17"/>
      <c r="AX305" s="17">
        <f t="shared" si="139"/>
        <v>296</v>
      </c>
      <c r="AY305" s="17">
        <f t="shared" si="138"/>
        <v>29.6</v>
      </c>
      <c r="AZ305" s="17">
        <v>43.357815959826567</v>
      </c>
      <c r="BA305" s="17"/>
      <c r="BB305" s="17">
        <v>36</v>
      </c>
      <c r="BC305" s="17"/>
      <c r="BD305" s="17"/>
      <c r="BE305" s="17"/>
      <c r="BF305" s="17"/>
      <c r="BG305" s="17"/>
      <c r="BH305" s="17"/>
      <c r="BI305" s="17"/>
      <c r="BJ305" s="17"/>
      <c r="BK305" s="17"/>
      <c r="BL305" s="17"/>
      <c r="BM305" s="17"/>
      <c r="BN305" s="17"/>
      <c r="BO305" s="17"/>
      <c r="BP305" s="17"/>
      <c r="BQ305" s="17"/>
      <c r="BR305" s="17"/>
      <c r="BS305" s="17"/>
      <c r="BT305" s="17"/>
      <c r="BU305" s="17"/>
      <c r="BV305" s="17"/>
      <c r="BW305" s="17"/>
      <c r="BX305" s="17"/>
      <c r="BY305" s="17"/>
      <c r="BZ305" s="17"/>
      <c r="CA305" s="17"/>
      <c r="CB305" s="17"/>
      <c r="CC305" s="17"/>
      <c r="CD305" s="17"/>
      <c r="CE305" s="17"/>
      <c r="CF305" s="17"/>
      <c r="CG305" s="17"/>
      <c r="CH305" s="17"/>
    </row>
    <row r="306" spans="8:86" x14ac:dyDescent="0.15">
      <c r="H306" s="3">
        <f t="shared" si="133"/>
        <v>0.29400000000000021</v>
      </c>
      <c r="I306" s="3">
        <f t="shared" si="134"/>
        <v>360</v>
      </c>
      <c r="J306" s="14">
        <f t="shared" si="135"/>
        <v>500</v>
      </c>
      <c r="K306" s="3">
        <f t="shared" si="125"/>
        <v>0</v>
      </c>
      <c r="L306" s="3">
        <f t="shared" si="121"/>
        <v>500</v>
      </c>
      <c r="M306" s="15">
        <f t="shared" si="136"/>
        <v>7.0000000000000007E-2</v>
      </c>
      <c r="N306" s="3">
        <f t="shared" si="137"/>
        <v>77.155176628290789</v>
      </c>
      <c r="O306" s="3">
        <f t="shared" si="122"/>
        <v>77.155176628290789</v>
      </c>
      <c r="P306" s="3">
        <f t="shared" si="126"/>
        <v>82.962555514291182</v>
      </c>
      <c r="Q306" s="3">
        <f t="shared" si="127"/>
        <v>30.989775104524536</v>
      </c>
      <c r="R306" s="3">
        <f t="shared" si="128"/>
        <v>56.976165309407861</v>
      </c>
      <c r="S306" s="3">
        <f t="shared" si="123"/>
        <v>1</v>
      </c>
      <c r="T306" s="3">
        <f t="shared" si="129"/>
        <v>25986.390204883322</v>
      </c>
      <c r="U306" s="3">
        <f t="shared" si="130"/>
        <v>0.5</v>
      </c>
      <c r="V306" s="3">
        <f t="shared" si="131"/>
        <v>0</v>
      </c>
      <c r="W306" s="3">
        <f t="shared" si="132"/>
        <v>27775.863586184685</v>
      </c>
      <c r="X306" s="3">
        <f t="shared" si="124"/>
        <v>15494.887552262267</v>
      </c>
      <c r="AI306" s="3"/>
      <c r="AJ306" s="3"/>
      <c r="AK306" s="15">
        <f t="shared" si="115"/>
        <v>1</v>
      </c>
      <c r="AL306" s="11">
        <f t="shared" si="119"/>
        <v>1782</v>
      </c>
      <c r="AM306" s="11" t="b">
        <f t="shared" si="114"/>
        <v>0</v>
      </c>
      <c r="AN306" s="11">
        <f t="shared" si="116"/>
        <v>36000</v>
      </c>
      <c r="AO306" s="11">
        <f t="shared" si="117"/>
        <v>0</v>
      </c>
      <c r="AP306" s="11">
        <f t="shared" si="118"/>
        <v>0.43468047441308044</v>
      </c>
      <c r="AQ306" s="11">
        <f t="shared" si="120"/>
        <v>0</v>
      </c>
      <c r="AT306" s="3"/>
      <c r="AU306" s="17"/>
      <c r="AV306" s="19"/>
      <c r="AW306" s="17"/>
      <c r="AX306" s="17">
        <f t="shared" si="139"/>
        <v>297</v>
      </c>
      <c r="AY306" s="17">
        <f t="shared" si="138"/>
        <v>29.7</v>
      </c>
      <c r="AZ306" s="17">
        <v>43.468047441308045</v>
      </c>
      <c r="BA306" s="17"/>
      <c r="BB306" s="17">
        <v>36</v>
      </c>
      <c r="BC306" s="17"/>
      <c r="BD306" s="17"/>
      <c r="BE306" s="17"/>
      <c r="BF306" s="17"/>
      <c r="BG306" s="17"/>
      <c r="BH306" s="17"/>
      <c r="BI306" s="17"/>
      <c r="BJ306" s="17"/>
      <c r="BK306" s="17"/>
      <c r="BL306" s="17"/>
      <c r="BM306" s="17"/>
      <c r="BN306" s="17"/>
      <c r="BO306" s="17"/>
      <c r="BP306" s="17"/>
      <c r="BQ306" s="17"/>
      <c r="BR306" s="17"/>
      <c r="BS306" s="17"/>
      <c r="BT306" s="17"/>
      <c r="BU306" s="17"/>
      <c r="BV306" s="17"/>
      <c r="BW306" s="17"/>
      <c r="BX306" s="17"/>
      <c r="BY306" s="17"/>
      <c r="BZ306" s="17"/>
      <c r="CA306" s="17"/>
      <c r="CB306" s="17"/>
      <c r="CC306" s="17"/>
      <c r="CD306" s="17"/>
      <c r="CE306" s="17"/>
      <c r="CF306" s="17"/>
      <c r="CG306" s="17"/>
      <c r="CH306" s="17"/>
    </row>
    <row r="307" spans="8:86" x14ac:dyDescent="0.15">
      <c r="H307" s="3">
        <f t="shared" si="133"/>
        <v>0.29500000000000021</v>
      </c>
      <c r="I307" s="3">
        <f t="shared" si="134"/>
        <v>360</v>
      </c>
      <c r="J307" s="14">
        <f t="shared" si="135"/>
        <v>500</v>
      </c>
      <c r="K307" s="3">
        <f t="shared" si="125"/>
        <v>0</v>
      </c>
      <c r="L307" s="3">
        <f t="shared" si="121"/>
        <v>500</v>
      </c>
      <c r="M307" s="15">
        <f t="shared" si="136"/>
        <v>7.0000000000000007E-2</v>
      </c>
      <c r="N307" s="3">
        <f t="shared" si="137"/>
        <v>77.082992211055014</v>
      </c>
      <c r="O307" s="3">
        <f t="shared" si="122"/>
        <v>77.082992211055014</v>
      </c>
      <c r="P307" s="3">
        <f t="shared" si="126"/>
        <v>82.884937861349485</v>
      </c>
      <c r="Q307" s="3">
        <f t="shared" si="127"/>
        <v>30.937802324114767</v>
      </c>
      <c r="R307" s="3">
        <f t="shared" si="128"/>
        <v>56.911370092732128</v>
      </c>
      <c r="S307" s="3">
        <f t="shared" si="123"/>
        <v>1</v>
      </c>
      <c r="T307" s="3">
        <f t="shared" si="129"/>
        <v>25973.567768617359</v>
      </c>
      <c r="U307" s="3">
        <f t="shared" si="130"/>
        <v>0.5</v>
      </c>
      <c r="V307" s="3">
        <f t="shared" si="131"/>
        <v>0</v>
      </c>
      <c r="W307" s="3">
        <f t="shared" si="132"/>
        <v>27749.877195979807</v>
      </c>
      <c r="X307" s="3">
        <f t="shared" si="124"/>
        <v>15468.901162057384</v>
      </c>
      <c r="AI307" s="3"/>
      <c r="AJ307" s="3"/>
      <c r="AK307" s="15">
        <f t="shared" si="115"/>
        <v>1</v>
      </c>
      <c r="AL307" s="11">
        <f t="shared" si="119"/>
        <v>1788</v>
      </c>
      <c r="AM307" s="11" t="b">
        <f t="shared" si="114"/>
        <v>0</v>
      </c>
      <c r="AN307" s="11">
        <f t="shared" si="116"/>
        <v>36000</v>
      </c>
      <c r="AO307" s="11">
        <f t="shared" si="117"/>
        <v>0</v>
      </c>
      <c r="AP307" s="11">
        <f t="shared" si="118"/>
        <v>0.43578278922789526</v>
      </c>
      <c r="AQ307" s="11">
        <f t="shared" si="120"/>
        <v>0</v>
      </c>
      <c r="AT307" s="3"/>
      <c r="AU307" s="17"/>
      <c r="AV307" s="19"/>
      <c r="AW307" s="17"/>
      <c r="AX307" s="17">
        <f t="shared" si="139"/>
        <v>298</v>
      </c>
      <c r="AY307" s="17">
        <f t="shared" si="138"/>
        <v>29.8</v>
      </c>
      <c r="AZ307" s="17">
        <v>43.578278922789529</v>
      </c>
      <c r="BA307" s="17"/>
      <c r="BB307" s="17">
        <v>36</v>
      </c>
      <c r="BC307" s="17"/>
      <c r="BD307" s="17"/>
      <c r="BE307" s="17"/>
      <c r="BF307" s="17"/>
      <c r="BG307" s="17"/>
      <c r="BH307" s="17"/>
      <c r="BI307" s="17"/>
      <c r="BJ307" s="17"/>
      <c r="BK307" s="17"/>
      <c r="BL307" s="17"/>
      <c r="BM307" s="17"/>
      <c r="BN307" s="17"/>
      <c r="BO307" s="17"/>
      <c r="BP307" s="17"/>
      <c r="BQ307" s="17"/>
      <c r="BR307" s="17"/>
      <c r="BS307" s="17"/>
      <c r="BT307" s="17"/>
      <c r="BU307" s="17"/>
      <c r="BV307" s="17"/>
      <c r="BW307" s="17"/>
      <c r="BX307" s="17"/>
      <c r="BY307" s="17"/>
      <c r="BZ307" s="17"/>
      <c r="CA307" s="17"/>
      <c r="CB307" s="17"/>
      <c r="CC307" s="17"/>
      <c r="CD307" s="17"/>
      <c r="CE307" s="17"/>
      <c r="CF307" s="17"/>
      <c r="CG307" s="17"/>
      <c r="CH307" s="17"/>
    </row>
    <row r="308" spans="8:86" x14ac:dyDescent="0.15">
      <c r="H308" s="3">
        <f t="shared" si="133"/>
        <v>0.29600000000000021</v>
      </c>
      <c r="I308" s="3">
        <f t="shared" si="134"/>
        <v>360</v>
      </c>
      <c r="J308" s="14">
        <f t="shared" si="135"/>
        <v>500</v>
      </c>
      <c r="K308" s="3">
        <f t="shared" si="125"/>
        <v>0</v>
      </c>
      <c r="L308" s="3">
        <f t="shared" si="121"/>
        <v>500</v>
      </c>
      <c r="M308" s="15">
        <f t="shared" si="136"/>
        <v>7.0000000000000007E-2</v>
      </c>
      <c r="N308" s="3">
        <f t="shared" si="137"/>
        <v>77.010843411697749</v>
      </c>
      <c r="O308" s="3">
        <f t="shared" si="122"/>
        <v>77.010843411697749</v>
      </c>
      <c r="P308" s="3">
        <f t="shared" si="126"/>
        <v>82.807358507201883</v>
      </c>
      <c r="Q308" s="3">
        <f t="shared" si="127"/>
        <v>30.885855188577533</v>
      </c>
      <c r="R308" s="3">
        <f t="shared" si="128"/>
        <v>56.84660684788971</v>
      </c>
      <c r="S308" s="3">
        <f t="shared" si="123"/>
        <v>1</v>
      </c>
      <c r="T308" s="3">
        <f t="shared" si="129"/>
        <v>25960.751659312173</v>
      </c>
      <c r="U308" s="3">
        <f t="shared" si="130"/>
        <v>0.5</v>
      </c>
      <c r="V308" s="3">
        <f t="shared" si="131"/>
        <v>0</v>
      </c>
      <c r="W308" s="3">
        <f t="shared" si="132"/>
        <v>27723.903628211188</v>
      </c>
      <c r="X308" s="3">
        <f t="shared" si="124"/>
        <v>15442.927594288767</v>
      </c>
      <c r="AI308" s="3"/>
      <c r="AJ308" s="3"/>
      <c r="AK308" s="15">
        <f t="shared" si="115"/>
        <v>1</v>
      </c>
      <c r="AL308" s="11">
        <f t="shared" si="119"/>
        <v>1794</v>
      </c>
      <c r="AM308" s="11" t="b">
        <f t="shared" si="114"/>
        <v>0</v>
      </c>
      <c r="AN308" s="11">
        <f t="shared" si="116"/>
        <v>36000</v>
      </c>
      <c r="AO308" s="11">
        <f t="shared" si="117"/>
        <v>0</v>
      </c>
      <c r="AP308" s="11">
        <f t="shared" si="118"/>
        <v>0.43688510404271003</v>
      </c>
      <c r="AQ308" s="11">
        <f t="shared" si="120"/>
        <v>0</v>
      </c>
      <c r="AT308" s="3"/>
      <c r="AU308" s="17"/>
      <c r="AV308" s="19"/>
      <c r="AW308" s="17"/>
      <c r="AX308" s="17">
        <f t="shared" si="139"/>
        <v>299</v>
      </c>
      <c r="AY308" s="17">
        <f t="shared" si="138"/>
        <v>29.9</v>
      </c>
      <c r="AZ308" s="17">
        <v>43.688510404271</v>
      </c>
      <c r="BA308" s="17"/>
      <c r="BB308" s="17">
        <v>36</v>
      </c>
      <c r="BC308" s="17"/>
      <c r="BD308" s="17"/>
      <c r="BE308" s="17"/>
      <c r="BF308" s="17"/>
      <c r="BG308" s="17"/>
      <c r="BH308" s="17"/>
      <c r="BI308" s="17"/>
      <c r="BJ308" s="17"/>
      <c r="BK308" s="17"/>
      <c r="BL308" s="17"/>
      <c r="BM308" s="17"/>
      <c r="BN308" s="17"/>
      <c r="BO308" s="17"/>
      <c r="BP308" s="17"/>
      <c r="BQ308" s="17"/>
      <c r="BR308" s="17"/>
      <c r="BS308" s="17"/>
      <c r="BT308" s="17"/>
      <c r="BU308" s="17"/>
      <c r="BV308" s="17"/>
      <c r="BW308" s="17"/>
      <c r="BX308" s="17"/>
      <c r="BY308" s="17"/>
      <c r="BZ308" s="17"/>
      <c r="CA308" s="17"/>
      <c r="CB308" s="17"/>
      <c r="CC308" s="17"/>
      <c r="CD308" s="17"/>
      <c r="CE308" s="17"/>
      <c r="CF308" s="17"/>
      <c r="CG308" s="17"/>
      <c r="CH308" s="17"/>
    </row>
    <row r="309" spans="8:86" x14ac:dyDescent="0.15">
      <c r="H309" s="3">
        <f t="shared" si="133"/>
        <v>0.29700000000000021</v>
      </c>
      <c r="I309" s="3">
        <f t="shared" si="134"/>
        <v>360</v>
      </c>
      <c r="J309" s="14">
        <f t="shared" si="135"/>
        <v>500</v>
      </c>
      <c r="K309" s="3">
        <f t="shared" si="125"/>
        <v>0</v>
      </c>
      <c r="L309" s="3">
        <f t="shared" si="121"/>
        <v>500</v>
      </c>
      <c r="M309" s="15">
        <f t="shared" si="136"/>
        <v>7.0000000000000007E-2</v>
      </c>
      <c r="N309" s="3">
        <f t="shared" si="137"/>
        <v>76.938730212644103</v>
      </c>
      <c r="O309" s="3">
        <f t="shared" si="122"/>
        <v>76.938730212644103</v>
      </c>
      <c r="P309" s="3">
        <f t="shared" si="126"/>
        <v>82.729817432950654</v>
      </c>
      <c r="Q309" s="3">
        <f t="shared" si="127"/>
        <v>30.833933685258913</v>
      </c>
      <c r="R309" s="3">
        <f t="shared" si="128"/>
        <v>56.781875559104783</v>
      </c>
      <c r="S309" s="3">
        <f t="shared" si="123"/>
        <v>1</v>
      </c>
      <c r="T309" s="3">
        <f t="shared" si="129"/>
        <v>25947.94187384587</v>
      </c>
      <c r="U309" s="3">
        <f t="shared" si="130"/>
        <v>0.5</v>
      </c>
      <c r="V309" s="3">
        <f t="shared" si="131"/>
        <v>0</v>
      </c>
      <c r="W309" s="3">
        <f t="shared" si="132"/>
        <v>27697.942876551879</v>
      </c>
      <c r="X309" s="3">
        <f t="shared" si="124"/>
        <v>15416.966842629456</v>
      </c>
      <c r="AI309" s="3"/>
      <c r="AJ309" s="3"/>
      <c r="AK309" s="15">
        <f t="shared" si="115"/>
        <v>1</v>
      </c>
      <c r="AL309" s="11">
        <f t="shared" si="119"/>
        <v>1800</v>
      </c>
      <c r="AM309" s="11" t="b">
        <f t="shared" si="114"/>
        <v>0</v>
      </c>
      <c r="AN309" s="11">
        <f t="shared" si="116"/>
        <v>36000</v>
      </c>
      <c r="AO309" s="11">
        <f t="shared" si="117"/>
        <v>0</v>
      </c>
      <c r="AP309" s="11">
        <f t="shared" si="118"/>
        <v>0.43798741885752485</v>
      </c>
      <c r="AQ309" s="11">
        <f t="shared" si="120"/>
        <v>0</v>
      </c>
      <c r="AT309" s="3"/>
      <c r="AU309" s="17"/>
      <c r="AV309" s="19"/>
      <c r="AW309" s="17"/>
      <c r="AX309" s="17">
        <f t="shared" si="139"/>
        <v>300</v>
      </c>
      <c r="AY309" s="17">
        <f t="shared" si="138"/>
        <v>30</v>
      </c>
      <c r="AZ309" s="17">
        <v>43.798741885752484</v>
      </c>
      <c r="BA309" s="17"/>
      <c r="BB309" s="17">
        <v>36</v>
      </c>
      <c r="BC309" s="17"/>
      <c r="BD309" s="17"/>
      <c r="BE309" s="17"/>
      <c r="BF309" s="17"/>
      <c r="BG309" s="17"/>
      <c r="BH309" s="17"/>
      <c r="BI309" s="17"/>
      <c r="BJ309" s="17"/>
      <c r="BK309" s="17"/>
      <c r="BL309" s="17"/>
      <c r="BM309" s="17"/>
      <c r="BN309" s="17"/>
      <c r="BO309" s="17"/>
      <c r="BP309" s="17"/>
      <c r="BQ309" s="17"/>
      <c r="BR309" s="17"/>
      <c r="BS309" s="17"/>
      <c r="BT309" s="17"/>
      <c r="BU309" s="17"/>
      <c r="BV309" s="17"/>
      <c r="BW309" s="17"/>
      <c r="BX309" s="17"/>
      <c r="BY309" s="17"/>
      <c r="BZ309" s="17"/>
      <c r="CA309" s="17"/>
      <c r="CB309" s="17"/>
      <c r="CC309" s="17"/>
      <c r="CD309" s="17"/>
      <c r="CE309" s="17"/>
      <c r="CF309" s="17"/>
      <c r="CG309" s="17"/>
      <c r="CH309" s="17"/>
    </row>
    <row r="310" spans="8:86" x14ac:dyDescent="0.15">
      <c r="H310" s="3">
        <f t="shared" si="133"/>
        <v>0.29800000000000021</v>
      </c>
      <c r="I310" s="3">
        <f t="shared" si="134"/>
        <v>360</v>
      </c>
      <c r="J310" s="14">
        <f t="shared" si="135"/>
        <v>500</v>
      </c>
      <c r="K310" s="3">
        <f t="shared" si="125"/>
        <v>0</v>
      </c>
      <c r="L310" s="3">
        <f t="shared" si="121"/>
        <v>500</v>
      </c>
      <c r="M310" s="15">
        <f t="shared" si="136"/>
        <v>7.0000000000000007E-2</v>
      </c>
      <c r="N310" s="3">
        <f t="shared" si="137"/>
        <v>76.866652596327867</v>
      </c>
      <c r="O310" s="3">
        <f t="shared" si="122"/>
        <v>76.866652596327867</v>
      </c>
      <c r="P310" s="3">
        <f t="shared" si="126"/>
        <v>82.652314619707383</v>
      </c>
      <c r="Q310" s="3">
        <f t="shared" si="127"/>
        <v>30.782037801511219</v>
      </c>
      <c r="R310" s="3">
        <f t="shared" si="128"/>
        <v>56.717176210609303</v>
      </c>
      <c r="S310" s="3">
        <f t="shared" si="123"/>
        <v>1</v>
      </c>
      <c r="T310" s="3">
        <f t="shared" si="129"/>
        <v>25935.138409098079</v>
      </c>
      <c r="U310" s="3">
        <f t="shared" si="130"/>
        <v>0.5</v>
      </c>
      <c r="V310" s="3">
        <f t="shared" si="131"/>
        <v>0</v>
      </c>
      <c r="W310" s="3">
        <f t="shared" si="132"/>
        <v>27671.994934678034</v>
      </c>
      <c r="X310" s="3">
        <f t="shared" si="124"/>
        <v>15391.018900755609</v>
      </c>
      <c r="AI310" s="3"/>
      <c r="AJ310" s="3"/>
      <c r="AK310" s="15">
        <f t="shared" si="115"/>
        <v>1</v>
      </c>
      <c r="AL310" s="11">
        <f t="shared" si="119"/>
        <v>1806</v>
      </c>
      <c r="AM310" s="11" t="b">
        <f t="shared" si="114"/>
        <v>0</v>
      </c>
      <c r="AN310" s="11">
        <f t="shared" si="116"/>
        <v>36000</v>
      </c>
      <c r="AO310" s="11">
        <f t="shared" si="117"/>
        <v>0</v>
      </c>
      <c r="AP310" s="11">
        <f t="shared" si="118"/>
        <v>0.43908973367233967</v>
      </c>
      <c r="AQ310" s="11">
        <f t="shared" si="120"/>
        <v>0</v>
      </c>
      <c r="AT310" s="3"/>
      <c r="AU310" s="17"/>
      <c r="AV310" s="19"/>
      <c r="AW310" s="17"/>
      <c r="AX310" s="17">
        <f t="shared" si="139"/>
        <v>301</v>
      </c>
      <c r="AY310" s="17">
        <f t="shared" si="138"/>
        <v>30.1</v>
      </c>
      <c r="AZ310" s="17">
        <v>43.908973367233969</v>
      </c>
      <c r="BA310" s="17"/>
      <c r="BB310" s="17">
        <v>36</v>
      </c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  <c r="BW310" s="17"/>
      <c r="BX310" s="17"/>
      <c r="BY310" s="17"/>
      <c r="BZ310" s="17"/>
      <c r="CA310" s="17"/>
      <c r="CB310" s="17"/>
      <c r="CC310" s="17"/>
      <c r="CD310" s="17"/>
      <c r="CE310" s="17"/>
      <c r="CF310" s="17"/>
      <c r="CG310" s="17"/>
      <c r="CH310" s="17"/>
    </row>
    <row r="311" spans="8:86" x14ac:dyDescent="0.15">
      <c r="H311" s="3">
        <f t="shared" si="133"/>
        <v>0.29900000000000021</v>
      </c>
      <c r="I311" s="3">
        <f t="shared" si="134"/>
        <v>360</v>
      </c>
      <c r="J311" s="14">
        <f t="shared" si="135"/>
        <v>500</v>
      </c>
      <c r="K311" s="3">
        <f t="shared" si="125"/>
        <v>0</v>
      </c>
      <c r="L311" s="3">
        <f t="shared" si="121"/>
        <v>500</v>
      </c>
      <c r="M311" s="15">
        <f t="shared" si="136"/>
        <v>7.0000000000000007E-2</v>
      </c>
      <c r="N311" s="3">
        <f t="shared" si="137"/>
        <v>76.794610545191489</v>
      </c>
      <c r="O311" s="3">
        <f t="shared" si="122"/>
        <v>76.794610545191489</v>
      </c>
      <c r="P311" s="3">
        <f t="shared" si="126"/>
        <v>82.574850048593007</v>
      </c>
      <c r="Q311" s="3">
        <f t="shared" si="127"/>
        <v>30.730167524693019</v>
      </c>
      <c r="R311" s="3">
        <f t="shared" si="128"/>
        <v>56.652508786643011</v>
      </c>
      <c r="S311" s="3">
        <f t="shared" si="123"/>
        <v>1</v>
      </c>
      <c r="T311" s="3">
        <f t="shared" si="129"/>
        <v>25922.341261949994</v>
      </c>
      <c r="U311" s="3">
        <f t="shared" si="130"/>
        <v>0.5</v>
      </c>
      <c r="V311" s="3">
        <f t="shared" si="131"/>
        <v>0</v>
      </c>
      <c r="W311" s="3">
        <f t="shared" si="132"/>
        <v>27646.059796268935</v>
      </c>
      <c r="X311" s="3">
        <f t="shared" si="124"/>
        <v>15365.08376234651</v>
      </c>
      <c r="AI311" s="3"/>
      <c r="AJ311" s="3"/>
      <c r="AK311" s="15">
        <f t="shared" si="115"/>
        <v>1</v>
      </c>
      <c r="AL311" s="11">
        <f t="shared" si="119"/>
        <v>1812</v>
      </c>
      <c r="AM311" s="11" t="b">
        <f t="shared" si="114"/>
        <v>0</v>
      </c>
      <c r="AN311" s="11">
        <f t="shared" si="116"/>
        <v>36000</v>
      </c>
      <c r="AO311" s="11">
        <f t="shared" si="117"/>
        <v>0</v>
      </c>
      <c r="AP311" s="11">
        <f t="shared" si="118"/>
        <v>0.44019204848715443</v>
      </c>
      <c r="AQ311" s="11">
        <f t="shared" si="120"/>
        <v>0</v>
      </c>
      <c r="AT311" s="3"/>
      <c r="AU311" s="17"/>
      <c r="AV311" s="19"/>
      <c r="AW311" s="17"/>
      <c r="AX311" s="17">
        <f t="shared" si="139"/>
        <v>302</v>
      </c>
      <c r="AY311" s="17">
        <f t="shared" si="138"/>
        <v>30.2</v>
      </c>
      <c r="AZ311" s="17">
        <v>44.019204848715447</v>
      </c>
      <c r="BA311" s="17"/>
      <c r="BB311" s="17">
        <v>36</v>
      </c>
      <c r="BC311" s="17"/>
      <c r="BD311" s="17"/>
      <c r="BE311" s="17"/>
      <c r="BF311" s="17"/>
      <c r="BG311" s="17"/>
      <c r="BH311" s="17"/>
      <c r="BI311" s="17"/>
      <c r="BJ311" s="17"/>
      <c r="BK311" s="17"/>
      <c r="BL311" s="17"/>
      <c r="BM311" s="17"/>
      <c r="BN311" s="17"/>
      <c r="BO311" s="17"/>
      <c r="BP311" s="17"/>
      <c r="BQ311" s="17"/>
      <c r="BR311" s="17"/>
      <c r="BS311" s="17"/>
      <c r="BT311" s="17"/>
      <c r="BU311" s="17"/>
      <c r="BV311" s="17"/>
      <c r="BW311" s="17"/>
      <c r="BX311" s="17"/>
      <c r="BY311" s="17"/>
      <c r="BZ311" s="17"/>
      <c r="CA311" s="17"/>
      <c r="CB311" s="17"/>
      <c r="CC311" s="17"/>
      <c r="CD311" s="17"/>
      <c r="CE311" s="17"/>
      <c r="CF311" s="17"/>
      <c r="CG311" s="17"/>
      <c r="CH311" s="17"/>
    </row>
    <row r="312" spans="8:86" x14ac:dyDescent="0.15">
      <c r="H312" s="3">
        <f t="shared" si="133"/>
        <v>0.30000000000000021</v>
      </c>
      <c r="I312" s="3">
        <f t="shared" si="134"/>
        <v>360</v>
      </c>
      <c r="J312" s="14">
        <f t="shared" si="135"/>
        <v>500</v>
      </c>
      <c r="K312" s="3">
        <f t="shared" si="125"/>
        <v>0</v>
      </c>
      <c r="L312" s="3">
        <f t="shared" si="121"/>
        <v>500</v>
      </c>
      <c r="M312" s="15">
        <f t="shared" si="136"/>
        <v>7.0000000000000007E-2</v>
      </c>
      <c r="N312" s="3">
        <f t="shared" si="137"/>
        <v>76.722604041686068</v>
      </c>
      <c r="O312" s="3">
        <f t="shared" si="122"/>
        <v>76.722604041686068</v>
      </c>
      <c r="P312" s="3">
        <f t="shared" si="126"/>
        <v>82.497423700737713</v>
      </c>
      <c r="Q312" s="3">
        <f t="shared" si="127"/>
        <v>30.67832284216912</v>
      </c>
      <c r="R312" s="3">
        <f t="shared" si="128"/>
        <v>56.587873271453418</v>
      </c>
      <c r="S312" s="3">
        <f t="shared" si="123"/>
        <v>1</v>
      </c>
      <c r="T312" s="3">
        <f t="shared" si="129"/>
        <v>25909.550429284296</v>
      </c>
      <c r="U312" s="3">
        <f t="shared" si="130"/>
        <v>0.5</v>
      </c>
      <c r="V312" s="3">
        <f t="shared" si="131"/>
        <v>0</v>
      </c>
      <c r="W312" s="3">
        <f t="shared" si="132"/>
        <v>27620.137455006985</v>
      </c>
      <c r="X312" s="3">
        <f t="shared" si="124"/>
        <v>15339.16142108456</v>
      </c>
      <c r="AI312" s="3"/>
      <c r="AJ312" s="3"/>
      <c r="AK312" s="15">
        <f t="shared" si="115"/>
        <v>1</v>
      </c>
      <c r="AL312" s="11">
        <f t="shared" si="119"/>
        <v>1818</v>
      </c>
      <c r="AM312" s="11" t="b">
        <f t="shared" si="114"/>
        <v>0</v>
      </c>
      <c r="AN312" s="11">
        <f t="shared" si="116"/>
        <v>36000</v>
      </c>
      <c r="AO312" s="11">
        <f t="shared" si="117"/>
        <v>0</v>
      </c>
      <c r="AP312" s="11">
        <f t="shared" si="118"/>
        <v>0.44129436330196925</v>
      </c>
      <c r="AQ312" s="11">
        <f t="shared" si="120"/>
        <v>0</v>
      </c>
      <c r="AT312" s="3"/>
      <c r="AU312" s="17"/>
      <c r="AV312" s="19"/>
      <c r="AW312" s="17"/>
      <c r="AX312" s="17">
        <f t="shared" si="139"/>
        <v>303</v>
      </c>
      <c r="AY312" s="17">
        <f t="shared" si="138"/>
        <v>30.3</v>
      </c>
      <c r="AZ312" s="17">
        <v>44.129436330196924</v>
      </c>
      <c r="BA312" s="17"/>
      <c r="BB312" s="17">
        <v>36</v>
      </c>
      <c r="BC312" s="17"/>
      <c r="BD312" s="17"/>
      <c r="BE312" s="17"/>
      <c r="BF312" s="17"/>
      <c r="BG312" s="17"/>
      <c r="BH312" s="17"/>
      <c r="BI312" s="17"/>
      <c r="BJ312" s="17"/>
      <c r="BK312" s="17"/>
      <c r="BL312" s="17"/>
      <c r="BM312" s="17"/>
      <c r="BN312" s="17"/>
      <c r="BO312" s="17"/>
      <c r="BP312" s="17"/>
      <c r="BQ312" s="17"/>
      <c r="BR312" s="17"/>
      <c r="BS312" s="17"/>
      <c r="BT312" s="17"/>
      <c r="BU312" s="17"/>
      <c r="BV312" s="17"/>
      <c r="BW312" s="17"/>
      <c r="BX312" s="17"/>
      <c r="BY312" s="17"/>
      <c r="BZ312" s="17"/>
      <c r="CA312" s="17"/>
      <c r="CB312" s="17"/>
      <c r="CC312" s="17"/>
      <c r="CD312" s="17"/>
      <c r="CE312" s="17"/>
      <c r="CF312" s="17"/>
      <c r="CG312" s="17"/>
      <c r="CH312" s="17"/>
    </row>
    <row r="313" spans="8:86" x14ac:dyDescent="0.15">
      <c r="H313" s="3">
        <f t="shared" si="133"/>
        <v>0.30100000000000021</v>
      </c>
      <c r="I313" s="3">
        <f t="shared" si="134"/>
        <v>360</v>
      </c>
      <c r="J313" s="14">
        <f t="shared" si="135"/>
        <v>500</v>
      </c>
      <c r="K313" s="3">
        <f t="shared" si="125"/>
        <v>0</v>
      </c>
      <c r="L313" s="3">
        <f t="shared" si="121"/>
        <v>500</v>
      </c>
      <c r="M313" s="15">
        <f t="shared" si="136"/>
        <v>7.0000000000000007E-2</v>
      </c>
      <c r="N313" s="3">
        <f t="shared" si="137"/>
        <v>76.650633068271389</v>
      </c>
      <c r="O313" s="3">
        <f t="shared" si="122"/>
        <v>76.650633068271389</v>
      </c>
      <c r="P313" s="3">
        <f t="shared" si="126"/>
        <v>82.420035557281068</v>
      </c>
      <c r="Q313" s="3">
        <f t="shared" si="127"/>
        <v>30.626503741310554</v>
      </c>
      <c r="R313" s="3">
        <f t="shared" si="128"/>
        <v>56.523269649295813</v>
      </c>
      <c r="S313" s="3">
        <f t="shared" si="123"/>
        <v>1</v>
      </c>
      <c r="T313" s="3">
        <f t="shared" si="129"/>
        <v>25896.765907985256</v>
      </c>
      <c r="U313" s="3">
        <f t="shared" si="130"/>
        <v>0.5</v>
      </c>
      <c r="V313" s="3">
        <f t="shared" si="131"/>
        <v>0</v>
      </c>
      <c r="W313" s="3">
        <f t="shared" si="132"/>
        <v>27594.2279045777</v>
      </c>
      <c r="X313" s="3">
        <f t="shared" si="124"/>
        <v>15313.251870655276</v>
      </c>
      <c r="AI313" s="3"/>
      <c r="AJ313" s="3"/>
      <c r="AK313" s="15">
        <f t="shared" si="115"/>
        <v>1</v>
      </c>
      <c r="AL313" s="11">
        <f t="shared" si="119"/>
        <v>1824</v>
      </c>
      <c r="AM313" s="11" t="b">
        <f t="shared" si="114"/>
        <v>0</v>
      </c>
      <c r="AN313" s="11">
        <f t="shared" si="116"/>
        <v>36000</v>
      </c>
      <c r="AO313" s="11">
        <f t="shared" si="117"/>
        <v>0</v>
      </c>
      <c r="AP313" s="11">
        <f t="shared" si="118"/>
        <v>0.44239667811678401</v>
      </c>
      <c r="AQ313" s="11">
        <f t="shared" si="120"/>
        <v>0</v>
      </c>
      <c r="AT313" s="3"/>
      <c r="AU313" s="17"/>
      <c r="AV313" s="19"/>
      <c r="AW313" s="17"/>
      <c r="AX313" s="17">
        <f t="shared" si="139"/>
        <v>304</v>
      </c>
      <c r="AY313" s="17">
        <f t="shared" si="138"/>
        <v>30.4</v>
      </c>
      <c r="AZ313" s="17">
        <v>44.239667811678402</v>
      </c>
      <c r="BA313" s="17"/>
      <c r="BB313" s="17">
        <v>36</v>
      </c>
      <c r="BC313" s="17"/>
      <c r="BD313" s="17"/>
      <c r="BE313" s="17"/>
      <c r="BF313" s="17"/>
      <c r="BG313" s="17"/>
      <c r="BH313" s="17"/>
      <c r="BI313" s="17"/>
      <c r="BJ313" s="17"/>
      <c r="BK313" s="17"/>
      <c r="BL313" s="17"/>
      <c r="BM313" s="17"/>
      <c r="BN313" s="17"/>
      <c r="BO313" s="17"/>
      <c r="BP313" s="17"/>
      <c r="BQ313" s="17"/>
      <c r="BR313" s="17"/>
      <c r="BS313" s="17"/>
      <c r="BT313" s="17"/>
      <c r="BU313" s="17"/>
      <c r="BV313" s="17"/>
      <c r="BW313" s="17"/>
      <c r="BX313" s="17"/>
      <c r="BY313" s="17"/>
      <c r="BZ313" s="17"/>
      <c r="CA313" s="17"/>
      <c r="CB313" s="17"/>
      <c r="CC313" s="17"/>
      <c r="CD313" s="17"/>
      <c r="CE313" s="17"/>
      <c r="CF313" s="17"/>
      <c r="CG313" s="17"/>
      <c r="CH313" s="17"/>
    </row>
    <row r="314" spans="8:86" x14ac:dyDescent="0.15">
      <c r="H314" s="3">
        <f t="shared" si="133"/>
        <v>0.30200000000000021</v>
      </c>
      <c r="I314" s="3">
        <f t="shared" si="134"/>
        <v>360</v>
      </c>
      <c r="J314" s="14">
        <f t="shared" si="135"/>
        <v>500</v>
      </c>
      <c r="K314" s="3">
        <f t="shared" si="125"/>
        <v>0</v>
      </c>
      <c r="L314" s="3">
        <f t="shared" si="121"/>
        <v>500</v>
      </c>
      <c r="M314" s="15">
        <f t="shared" si="136"/>
        <v>7.0000000000000007E-2</v>
      </c>
      <c r="N314" s="3">
        <f t="shared" si="137"/>
        <v>76.578697607415876</v>
      </c>
      <c r="O314" s="3">
        <f t="shared" si="122"/>
        <v>76.578697607415876</v>
      </c>
      <c r="P314" s="3">
        <f t="shared" si="126"/>
        <v>82.342685599371919</v>
      </c>
      <c r="Q314" s="3">
        <f t="shared" si="127"/>
        <v>30.574710209494583</v>
      </c>
      <c r="R314" s="3">
        <f t="shared" si="128"/>
        <v>56.458697904433251</v>
      </c>
      <c r="S314" s="3">
        <f t="shared" si="123"/>
        <v>1</v>
      </c>
      <c r="T314" s="3">
        <f t="shared" si="129"/>
        <v>25883.987694938667</v>
      </c>
      <c r="U314" s="3">
        <f t="shared" si="130"/>
        <v>0.5</v>
      </c>
      <c r="V314" s="3">
        <f t="shared" si="131"/>
        <v>0</v>
      </c>
      <c r="W314" s="3">
        <f t="shared" si="132"/>
        <v>27568.331138669717</v>
      </c>
      <c r="X314" s="3">
        <f t="shared" si="124"/>
        <v>15287.355104747292</v>
      </c>
      <c r="AI314" s="3"/>
      <c r="AJ314" s="3"/>
      <c r="AK314" s="15">
        <f t="shared" si="115"/>
        <v>1</v>
      </c>
      <c r="AL314" s="11">
        <f t="shared" si="119"/>
        <v>1830</v>
      </c>
      <c r="AM314" s="11" t="b">
        <f t="shared" si="114"/>
        <v>0</v>
      </c>
      <c r="AN314" s="11">
        <f t="shared" si="116"/>
        <v>36000</v>
      </c>
      <c r="AO314" s="11">
        <f t="shared" si="117"/>
        <v>0</v>
      </c>
      <c r="AP314" s="11">
        <f t="shared" si="118"/>
        <v>0.44349899293159883</v>
      </c>
      <c r="AQ314" s="11">
        <f t="shared" si="120"/>
        <v>0</v>
      </c>
      <c r="AT314" s="3"/>
      <c r="AU314" s="17"/>
      <c r="AV314" s="19"/>
      <c r="AW314" s="17"/>
      <c r="AX314" s="17">
        <f t="shared" si="139"/>
        <v>305</v>
      </c>
      <c r="AY314" s="17">
        <f t="shared" si="138"/>
        <v>30.5</v>
      </c>
      <c r="AZ314" s="17">
        <v>44.349899293159886</v>
      </c>
      <c r="BA314" s="17"/>
      <c r="BB314" s="17">
        <v>36</v>
      </c>
      <c r="BC314" s="17"/>
      <c r="BD314" s="17"/>
      <c r="BE314" s="17"/>
      <c r="BF314" s="17"/>
      <c r="BG314" s="17"/>
      <c r="BH314" s="17"/>
      <c r="BI314" s="17"/>
      <c r="BJ314" s="17"/>
      <c r="BK314" s="17"/>
      <c r="BL314" s="17"/>
      <c r="BM314" s="17"/>
      <c r="BN314" s="17"/>
      <c r="BO314" s="17"/>
      <c r="BP314" s="17"/>
      <c r="BQ314" s="17"/>
      <c r="BR314" s="17"/>
      <c r="BS314" s="17"/>
      <c r="BT314" s="17"/>
      <c r="BU314" s="17"/>
      <c r="BV314" s="17"/>
      <c r="BW314" s="17"/>
      <c r="BX314" s="17"/>
      <c r="BY314" s="17"/>
      <c r="BZ314" s="17"/>
      <c r="CA314" s="17"/>
      <c r="CB314" s="17"/>
      <c r="CC314" s="17"/>
      <c r="CD314" s="17"/>
      <c r="CE314" s="17"/>
      <c r="CF314" s="17"/>
      <c r="CG314" s="17"/>
      <c r="CH314" s="17"/>
    </row>
    <row r="315" spans="8:86" x14ac:dyDescent="0.15">
      <c r="H315" s="3">
        <f t="shared" si="133"/>
        <v>0.30300000000000021</v>
      </c>
      <c r="I315" s="3">
        <f t="shared" si="134"/>
        <v>360</v>
      </c>
      <c r="J315" s="14">
        <f t="shared" si="135"/>
        <v>500</v>
      </c>
      <c r="K315" s="3">
        <f t="shared" si="125"/>
        <v>0</v>
      </c>
      <c r="L315" s="3">
        <f t="shared" si="121"/>
        <v>500</v>
      </c>
      <c r="M315" s="15">
        <f t="shared" si="136"/>
        <v>7.0000000000000007E-2</v>
      </c>
      <c r="N315" s="3">
        <f t="shared" si="137"/>
        <v>76.506797641596606</v>
      </c>
      <c r="O315" s="3">
        <f t="shared" si="122"/>
        <v>76.506797641596606</v>
      </c>
      <c r="P315" s="3">
        <f t="shared" si="126"/>
        <v>82.265373808168405</v>
      </c>
      <c r="Q315" s="3">
        <f t="shared" si="127"/>
        <v>30.522942234104708</v>
      </c>
      <c r="R315" s="3">
        <f t="shared" si="128"/>
        <v>56.394158021136555</v>
      </c>
      <c r="S315" s="3">
        <f t="shared" si="123"/>
        <v>1</v>
      </c>
      <c r="T315" s="3">
        <f t="shared" si="129"/>
        <v>25871.215787031852</v>
      </c>
      <c r="U315" s="3">
        <f t="shared" si="130"/>
        <v>0.5</v>
      </c>
      <c r="V315" s="3">
        <f t="shared" si="131"/>
        <v>0</v>
      </c>
      <c r="W315" s="3">
        <f t="shared" si="132"/>
        <v>27542.447150974778</v>
      </c>
      <c r="X315" s="3">
        <f t="shared" si="124"/>
        <v>15261.471117052353</v>
      </c>
      <c r="AI315" s="3"/>
      <c r="AJ315" s="3"/>
      <c r="AK315" s="15">
        <f t="shared" si="115"/>
        <v>1</v>
      </c>
      <c r="AL315" s="11">
        <f t="shared" si="119"/>
        <v>1836</v>
      </c>
      <c r="AM315" s="11" t="b">
        <f t="shared" si="114"/>
        <v>0</v>
      </c>
      <c r="AN315" s="11">
        <f t="shared" si="116"/>
        <v>36000</v>
      </c>
      <c r="AO315" s="11">
        <f t="shared" si="117"/>
        <v>0</v>
      </c>
      <c r="AP315" s="11">
        <f t="shared" si="118"/>
        <v>0.4446013077464136</v>
      </c>
      <c r="AQ315" s="11">
        <f t="shared" si="120"/>
        <v>0</v>
      </c>
      <c r="AT315" s="3"/>
      <c r="AU315" s="17"/>
      <c r="AV315" s="19"/>
      <c r="AW315" s="17"/>
      <c r="AX315" s="17">
        <f t="shared" si="139"/>
        <v>306</v>
      </c>
      <c r="AY315" s="17">
        <f t="shared" si="138"/>
        <v>30.6</v>
      </c>
      <c r="AZ315" s="17">
        <v>44.460130774641357</v>
      </c>
      <c r="BA315" s="17"/>
      <c r="BB315" s="17">
        <v>36</v>
      </c>
      <c r="BC315" s="17"/>
      <c r="BD315" s="17"/>
      <c r="BE315" s="17"/>
      <c r="BF315" s="17"/>
      <c r="BG315" s="17"/>
      <c r="BH315" s="17"/>
      <c r="BI315" s="17"/>
      <c r="BJ315" s="17"/>
      <c r="BK315" s="17"/>
      <c r="BL315" s="17"/>
      <c r="BM315" s="17"/>
      <c r="BN315" s="17"/>
      <c r="BO315" s="17"/>
      <c r="BP315" s="17"/>
      <c r="BQ315" s="17"/>
      <c r="BR315" s="17"/>
      <c r="BS315" s="17"/>
      <c r="BT315" s="17"/>
      <c r="BU315" s="17"/>
      <c r="BV315" s="17"/>
      <c r="BW315" s="17"/>
      <c r="BX315" s="17"/>
      <c r="BY315" s="17"/>
      <c r="BZ315" s="17"/>
      <c r="CA315" s="17"/>
      <c r="CB315" s="17"/>
      <c r="CC315" s="17"/>
      <c r="CD315" s="17"/>
      <c r="CE315" s="17"/>
      <c r="CF315" s="17"/>
      <c r="CG315" s="17"/>
      <c r="CH315" s="17"/>
    </row>
    <row r="316" spans="8:86" x14ac:dyDescent="0.15">
      <c r="H316" s="3">
        <f t="shared" si="133"/>
        <v>0.30400000000000021</v>
      </c>
      <c r="I316" s="3">
        <f t="shared" si="134"/>
        <v>360</v>
      </c>
      <c r="J316" s="14">
        <f t="shared" si="135"/>
        <v>500</v>
      </c>
      <c r="K316" s="3">
        <f t="shared" si="125"/>
        <v>0</v>
      </c>
      <c r="L316" s="3">
        <f t="shared" si="121"/>
        <v>500</v>
      </c>
      <c r="M316" s="15">
        <f t="shared" si="136"/>
        <v>7.0000000000000007E-2</v>
      </c>
      <c r="N316" s="3">
        <f t="shared" si="137"/>
        <v>76.434933153299298</v>
      </c>
      <c r="O316" s="3">
        <f t="shared" si="122"/>
        <v>76.434933153299298</v>
      </c>
      <c r="P316" s="3">
        <f t="shared" si="126"/>
        <v>82.188100164837962</v>
      </c>
      <c r="Q316" s="3">
        <f t="shared" si="127"/>
        <v>30.471199802530641</v>
      </c>
      <c r="R316" s="3">
        <f t="shared" si="128"/>
        <v>56.329649983684305</v>
      </c>
      <c r="S316" s="3">
        <f t="shared" si="123"/>
        <v>1</v>
      </c>
      <c r="T316" s="3">
        <f t="shared" si="129"/>
        <v>25858.450181153661</v>
      </c>
      <c r="U316" s="3">
        <f t="shared" si="130"/>
        <v>0.5</v>
      </c>
      <c r="V316" s="3">
        <f t="shared" si="131"/>
        <v>0</v>
      </c>
      <c r="W316" s="3">
        <f t="shared" si="132"/>
        <v>27516.575935187746</v>
      </c>
      <c r="X316" s="3">
        <f t="shared" si="124"/>
        <v>15235.599901265321</v>
      </c>
      <c r="AI316" s="3"/>
      <c r="AJ316" s="3"/>
      <c r="AK316" s="15">
        <f t="shared" si="115"/>
        <v>1</v>
      </c>
      <c r="AL316" s="11">
        <f t="shared" si="119"/>
        <v>1842</v>
      </c>
      <c r="AM316" s="11" t="b">
        <f t="shared" si="114"/>
        <v>0</v>
      </c>
      <c r="AN316" s="11">
        <f t="shared" si="116"/>
        <v>36000</v>
      </c>
      <c r="AO316" s="11">
        <f t="shared" si="117"/>
        <v>0</v>
      </c>
      <c r="AP316" s="11">
        <f t="shared" si="118"/>
        <v>0.44570362256122842</v>
      </c>
      <c r="AQ316" s="11">
        <f t="shared" si="120"/>
        <v>0</v>
      </c>
      <c r="AT316" s="3"/>
      <c r="AU316" s="17"/>
      <c r="AV316" s="19"/>
      <c r="AW316" s="17"/>
      <c r="AX316" s="17">
        <f t="shared" si="139"/>
        <v>307</v>
      </c>
      <c r="AY316" s="17">
        <f t="shared" si="138"/>
        <v>30.7</v>
      </c>
      <c r="AZ316" s="17">
        <v>44.570362256122841</v>
      </c>
      <c r="BA316" s="17"/>
      <c r="BB316" s="17">
        <v>36</v>
      </c>
      <c r="BC316" s="17"/>
      <c r="BD316" s="17"/>
      <c r="BE316" s="17"/>
      <c r="BF316" s="17"/>
      <c r="BG316" s="17"/>
      <c r="BH316" s="17"/>
      <c r="BI316" s="17"/>
      <c r="BJ316" s="17"/>
      <c r="BK316" s="17"/>
      <c r="BL316" s="17"/>
      <c r="BM316" s="17"/>
      <c r="BN316" s="17"/>
      <c r="BO316" s="17"/>
      <c r="BP316" s="17"/>
      <c r="BQ316" s="17"/>
      <c r="BR316" s="17"/>
      <c r="BS316" s="17"/>
      <c r="BT316" s="17"/>
      <c r="BU316" s="17"/>
      <c r="BV316" s="17"/>
      <c r="BW316" s="17"/>
      <c r="BX316" s="17"/>
      <c r="BY316" s="17"/>
      <c r="BZ316" s="17"/>
      <c r="CA316" s="17"/>
      <c r="CB316" s="17"/>
      <c r="CC316" s="17"/>
      <c r="CD316" s="17"/>
      <c r="CE316" s="17"/>
      <c r="CF316" s="17"/>
      <c r="CG316" s="17"/>
      <c r="CH316" s="17"/>
    </row>
    <row r="317" spans="8:86" x14ac:dyDescent="0.15">
      <c r="H317" s="3">
        <f t="shared" si="133"/>
        <v>0.30500000000000022</v>
      </c>
      <c r="I317" s="3">
        <f t="shared" si="134"/>
        <v>360</v>
      </c>
      <c r="J317" s="14">
        <f t="shared" si="135"/>
        <v>500</v>
      </c>
      <c r="K317" s="3">
        <f t="shared" si="125"/>
        <v>0</v>
      </c>
      <c r="L317" s="3">
        <f t="shared" si="121"/>
        <v>500</v>
      </c>
      <c r="M317" s="15">
        <f t="shared" si="136"/>
        <v>7.0000000000000007E-2</v>
      </c>
      <c r="N317" s="3">
        <f t="shared" si="137"/>
        <v>76.36310412501831</v>
      </c>
      <c r="O317" s="3">
        <f t="shared" si="122"/>
        <v>76.36310412501831</v>
      </c>
      <c r="P317" s="3">
        <f t="shared" si="126"/>
        <v>82.110864650557332</v>
      </c>
      <c r="Q317" s="3">
        <f t="shared" si="127"/>
        <v>30.419482902168337</v>
      </c>
      <c r="R317" s="3">
        <f t="shared" si="128"/>
        <v>56.265173776362836</v>
      </c>
      <c r="S317" s="3">
        <f t="shared" si="123"/>
        <v>1</v>
      </c>
      <c r="T317" s="3">
        <f t="shared" si="129"/>
        <v>25845.690874194497</v>
      </c>
      <c r="U317" s="3">
        <f t="shared" si="130"/>
        <v>0.5</v>
      </c>
      <c r="V317" s="3">
        <f t="shared" si="131"/>
        <v>0</v>
      </c>
      <c r="W317" s="3">
        <f t="shared" si="132"/>
        <v>27490.717485006593</v>
      </c>
      <c r="X317" s="3">
        <f t="shared" si="124"/>
        <v>15209.741451084168</v>
      </c>
      <c r="AI317" s="3"/>
      <c r="AJ317" s="3"/>
      <c r="AK317" s="15">
        <f t="shared" si="115"/>
        <v>1</v>
      </c>
      <c r="AL317" s="11">
        <f t="shared" si="119"/>
        <v>1848</v>
      </c>
      <c r="AM317" s="11" t="b">
        <f t="shared" si="114"/>
        <v>0</v>
      </c>
      <c r="AN317" s="11">
        <f t="shared" si="116"/>
        <v>36000</v>
      </c>
      <c r="AO317" s="11">
        <f t="shared" si="117"/>
        <v>0</v>
      </c>
      <c r="AP317" s="11">
        <f t="shared" si="118"/>
        <v>0.44680593737604318</v>
      </c>
      <c r="AQ317" s="11">
        <f t="shared" si="120"/>
        <v>0</v>
      </c>
      <c r="AT317" s="3"/>
      <c r="AU317" s="17"/>
      <c r="AV317" s="19"/>
      <c r="AW317" s="17"/>
      <c r="AX317" s="17">
        <f t="shared" si="139"/>
        <v>308</v>
      </c>
      <c r="AY317" s="17">
        <f t="shared" si="138"/>
        <v>30.8</v>
      </c>
      <c r="AZ317" s="17">
        <v>44.680593737604319</v>
      </c>
      <c r="BA317" s="17"/>
      <c r="BB317" s="17">
        <v>36</v>
      </c>
      <c r="BC317" s="17"/>
      <c r="BD317" s="17"/>
      <c r="BE317" s="17"/>
      <c r="BF317" s="17"/>
      <c r="BG317" s="17"/>
      <c r="BH317" s="17"/>
      <c r="BI317" s="17"/>
      <c r="BJ317" s="17"/>
      <c r="BK317" s="17"/>
      <c r="BL317" s="17"/>
      <c r="BM317" s="17"/>
      <c r="BN317" s="17"/>
      <c r="BO317" s="17"/>
      <c r="BP317" s="17"/>
      <c r="BQ317" s="17"/>
      <c r="BR317" s="17"/>
      <c r="BS317" s="17"/>
      <c r="BT317" s="17"/>
      <c r="BU317" s="17"/>
      <c r="BV317" s="17"/>
      <c r="BW317" s="17"/>
      <c r="BX317" s="17"/>
      <c r="BY317" s="17"/>
      <c r="BZ317" s="17"/>
      <c r="CA317" s="17"/>
      <c r="CB317" s="17"/>
      <c r="CC317" s="17"/>
      <c r="CD317" s="17"/>
      <c r="CE317" s="17"/>
      <c r="CF317" s="17"/>
      <c r="CG317" s="17"/>
      <c r="CH317" s="17"/>
    </row>
    <row r="318" spans="8:86" x14ac:dyDescent="0.15">
      <c r="H318" s="3">
        <f t="shared" si="133"/>
        <v>0.30600000000000022</v>
      </c>
      <c r="I318" s="3">
        <f t="shared" si="134"/>
        <v>360</v>
      </c>
      <c r="J318" s="14">
        <f t="shared" si="135"/>
        <v>500</v>
      </c>
      <c r="K318" s="3">
        <f t="shared" si="125"/>
        <v>0</v>
      </c>
      <c r="L318" s="3">
        <f t="shared" si="121"/>
        <v>500</v>
      </c>
      <c r="M318" s="15">
        <f t="shared" si="136"/>
        <v>7.0000000000000007E-2</v>
      </c>
      <c r="N318" s="3">
        <f t="shared" si="137"/>
        <v>76.291310539256671</v>
      </c>
      <c r="O318" s="3">
        <f t="shared" si="122"/>
        <v>76.291310539256671</v>
      </c>
      <c r="P318" s="3">
        <f t="shared" si="126"/>
        <v>82.03366724651255</v>
      </c>
      <c r="Q318" s="3">
        <f t="shared" si="127"/>
        <v>30.367791520419949</v>
      </c>
      <c r="R318" s="3">
        <f t="shared" si="128"/>
        <v>56.200729383466253</v>
      </c>
      <c r="S318" s="3">
        <f t="shared" si="123"/>
        <v>1</v>
      </c>
      <c r="T318" s="3">
        <f t="shared" si="129"/>
        <v>25832.9378630463</v>
      </c>
      <c r="U318" s="3">
        <f t="shared" si="130"/>
        <v>0.5</v>
      </c>
      <c r="V318" s="3">
        <f t="shared" si="131"/>
        <v>0</v>
      </c>
      <c r="W318" s="3">
        <f t="shared" si="132"/>
        <v>27464.871794132403</v>
      </c>
      <c r="X318" s="3">
        <f t="shared" si="124"/>
        <v>15183.895760209974</v>
      </c>
      <c r="AI318" s="3"/>
      <c r="AJ318" s="3"/>
      <c r="AK318" s="15">
        <f t="shared" si="115"/>
        <v>1</v>
      </c>
      <c r="AL318" s="11">
        <f t="shared" si="119"/>
        <v>1854</v>
      </c>
      <c r="AM318" s="11" t="b">
        <f t="shared" si="114"/>
        <v>0</v>
      </c>
      <c r="AN318" s="11">
        <f t="shared" si="116"/>
        <v>36000</v>
      </c>
      <c r="AO318" s="11">
        <f t="shared" si="117"/>
        <v>0</v>
      </c>
      <c r="AP318" s="11">
        <f t="shared" si="118"/>
        <v>0.447908252190858</v>
      </c>
      <c r="AQ318" s="11">
        <f t="shared" si="120"/>
        <v>0</v>
      </c>
      <c r="AT318" s="3"/>
      <c r="AU318" s="17"/>
      <c r="AV318" s="19"/>
      <c r="AW318" s="17"/>
      <c r="AX318" s="17">
        <f t="shared" si="139"/>
        <v>309</v>
      </c>
      <c r="AY318" s="17">
        <f t="shared" si="138"/>
        <v>30.9</v>
      </c>
      <c r="AZ318" s="17">
        <v>44.790825219085804</v>
      </c>
      <c r="BA318" s="17"/>
      <c r="BB318" s="17">
        <v>36</v>
      </c>
      <c r="BC318" s="17"/>
      <c r="BD318" s="17"/>
      <c r="BE318" s="17"/>
      <c r="BF318" s="17"/>
      <c r="BG318" s="17"/>
      <c r="BH318" s="17"/>
      <c r="BI318" s="17"/>
      <c r="BJ318" s="17"/>
      <c r="BK318" s="17"/>
      <c r="BL318" s="17"/>
      <c r="BM318" s="17"/>
      <c r="BN318" s="17"/>
      <c r="BO318" s="17"/>
      <c r="BP318" s="17"/>
      <c r="BQ318" s="17"/>
      <c r="BR318" s="17"/>
      <c r="BS318" s="17"/>
      <c r="BT318" s="17"/>
      <c r="BU318" s="17"/>
      <c r="BV318" s="17"/>
      <c r="BW318" s="17"/>
      <c r="BX318" s="17"/>
      <c r="BY318" s="17"/>
      <c r="BZ318" s="17"/>
      <c r="CA318" s="17"/>
      <c r="CB318" s="17"/>
      <c r="CC318" s="17"/>
      <c r="CD318" s="17"/>
      <c r="CE318" s="17"/>
      <c r="CF318" s="17"/>
      <c r="CG318" s="17"/>
      <c r="CH318" s="17"/>
    </row>
    <row r="319" spans="8:86" x14ac:dyDescent="0.15">
      <c r="H319" s="3">
        <f t="shared" si="133"/>
        <v>0.30700000000000022</v>
      </c>
      <c r="I319" s="3">
        <f t="shared" si="134"/>
        <v>360</v>
      </c>
      <c r="J319" s="14">
        <f t="shared" si="135"/>
        <v>500</v>
      </c>
      <c r="K319" s="3">
        <f t="shared" si="125"/>
        <v>0</v>
      </c>
      <c r="L319" s="3">
        <f t="shared" si="121"/>
        <v>500</v>
      </c>
      <c r="M319" s="15">
        <f t="shared" si="136"/>
        <v>7.0000000000000007E-2</v>
      </c>
      <c r="N319" s="3">
        <f t="shared" si="137"/>
        <v>76.219552378525989</v>
      </c>
      <c r="O319" s="3">
        <f t="shared" si="122"/>
        <v>76.219552378525989</v>
      </c>
      <c r="P319" s="3">
        <f t="shared" si="126"/>
        <v>81.956507933898919</v>
      </c>
      <c r="Q319" s="3">
        <f t="shared" si="127"/>
        <v>30.316125644693855</v>
      </c>
      <c r="R319" s="3">
        <f t="shared" si="128"/>
        <v>56.136316789296387</v>
      </c>
      <c r="S319" s="3">
        <f t="shared" si="123"/>
        <v>1</v>
      </c>
      <c r="T319" s="3">
        <f t="shared" si="129"/>
        <v>25820.191144602533</v>
      </c>
      <c r="U319" s="3">
        <f t="shared" si="130"/>
        <v>0.5</v>
      </c>
      <c r="V319" s="3">
        <f t="shared" si="131"/>
        <v>0</v>
      </c>
      <c r="W319" s="3">
        <f t="shared" si="132"/>
        <v>27439.038856269355</v>
      </c>
      <c r="X319" s="3">
        <f t="shared" si="124"/>
        <v>15158.062822346928</v>
      </c>
      <c r="AI319" s="3"/>
      <c r="AJ319" s="3"/>
      <c r="AK319" s="15">
        <f t="shared" si="115"/>
        <v>1</v>
      </c>
      <c r="AL319" s="11">
        <f t="shared" si="119"/>
        <v>1860</v>
      </c>
      <c r="AM319" s="11" t="b">
        <f t="shared" si="114"/>
        <v>0</v>
      </c>
      <c r="AN319" s="11">
        <f t="shared" si="116"/>
        <v>36000</v>
      </c>
      <c r="AO319" s="11">
        <f t="shared" si="117"/>
        <v>0</v>
      </c>
      <c r="AP319" s="11">
        <f t="shared" si="118"/>
        <v>0.44901056700567277</v>
      </c>
      <c r="AQ319" s="11">
        <f t="shared" si="120"/>
        <v>0</v>
      </c>
      <c r="AT319" s="3"/>
      <c r="AU319" s="17"/>
      <c r="AV319" s="19"/>
      <c r="AW319" s="17"/>
      <c r="AX319" s="17">
        <f t="shared" si="139"/>
        <v>310</v>
      </c>
      <c r="AY319" s="17">
        <f t="shared" si="138"/>
        <v>31</v>
      </c>
      <c r="AZ319" s="17">
        <v>44.901056700567274</v>
      </c>
      <c r="BA319" s="17"/>
      <c r="BB319" s="17">
        <v>36</v>
      </c>
      <c r="BC319" s="17"/>
      <c r="BD319" s="17"/>
      <c r="BE319" s="17"/>
      <c r="BF319" s="17"/>
      <c r="BG319" s="17"/>
      <c r="BH319" s="17"/>
      <c r="BI319" s="17"/>
      <c r="BJ319" s="17"/>
      <c r="BK319" s="17"/>
      <c r="BL319" s="17"/>
      <c r="BM319" s="17"/>
      <c r="BN319" s="17"/>
      <c r="BO319" s="17"/>
      <c r="BP319" s="17"/>
      <c r="BQ319" s="17"/>
      <c r="BR319" s="17"/>
      <c r="BS319" s="17"/>
      <c r="BT319" s="17"/>
      <c r="BU319" s="17"/>
      <c r="BV319" s="17"/>
      <c r="BW319" s="17"/>
      <c r="BX319" s="17"/>
      <c r="BY319" s="17"/>
      <c r="BZ319" s="17"/>
      <c r="CA319" s="17"/>
      <c r="CB319" s="17"/>
      <c r="CC319" s="17"/>
      <c r="CD319" s="17"/>
      <c r="CE319" s="17"/>
      <c r="CF319" s="17"/>
      <c r="CG319" s="17"/>
      <c r="CH319" s="17"/>
    </row>
    <row r="320" spans="8:86" x14ac:dyDescent="0.15">
      <c r="H320" s="3">
        <f t="shared" si="133"/>
        <v>0.30800000000000022</v>
      </c>
      <c r="I320" s="3">
        <f t="shared" si="134"/>
        <v>360</v>
      </c>
      <c r="J320" s="14">
        <f t="shared" si="135"/>
        <v>500</v>
      </c>
      <c r="K320" s="3">
        <f t="shared" si="125"/>
        <v>0</v>
      </c>
      <c r="L320" s="3">
        <f t="shared" si="121"/>
        <v>500</v>
      </c>
      <c r="M320" s="15">
        <f t="shared" si="136"/>
        <v>7.0000000000000007E-2</v>
      </c>
      <c r="N320" s="3">
        <f t="shared" si="137"/>
        <v>76.147829625346532</v>
      </c>
      <c r="O320" s="3">
        <f t="shared" si="122"/>
        <v>76.147829625346532</v>
      </c>
      <c r="P320" s="3">
        <f t="shared" si="126"/>
        <v>81.879386693921006</v>
      </c>
      <c r="Q320" s="3">
        <f t="shared" si="127"/>
        <v>30.264485262404651</v>
      </c>
      <c r="R320" s="3">
        <f t="shared" si="128"/>
        <v>56.071935978162827</v>
      </c>
      <c r="S320" s="3">
        <f t="shared" si="123"/>
        <v>1</v>
      </c>
      <c r="T320" s="3">
        <f t="shared" si="129"/>
        <v>25807.450715758179</v>
      </c>
      <c r="U320" s="3">
        <f t="shared" si="130"/>
        <v>0.5</v>
      </c>
      <c r="V320" s="3">
        <f t="shared" si="131"/>
        <v>0</v>
      </c>
      <c r="W320" s="3">
        <f t="shared" si="132"/>
        <v>27413.21866512475</v>
      </c>
      <c r="X320" s="3">
        <f t="shared" si="124"/>
        <v>15132.242631202325</v>
      </c>
      <c r="AI320" s="3"/>
      <c r="AJ320" s="3"/>
      <c r="AK320" s="15">
        <f t="shared" si="115"/>
        <v>1</v>
      </c>
      <c r="AL320" s="11">
        <f t="shared" si="119"/>
        <v>1866</v>
      </c>
      <c r="AM320" s="11" t="b">
        <f t="shared" si="114"/>
        <v>0</v>
      </c>
      <c r="AN320" s="11">
        <f t="shared" si="116"/>
        <v>36000</v>
      </c>
      <c r="AO320" s="11">
        <f t="shared" si="117"/>
        <v>0</v>
      </c>
      <c r="AP320" s="11">
        <f t="shared" si="118"/>
        <v>0.45011288182048759</v>
      </c>
      <c r="AQ320" s="11">
        <f t="shared" si="120"/>
        <v>0</v>
      </c>
      <c r="AT320" s="3"/>
      <c r="AU320" s="17"/>
      <c r="AV320" s="19"/>
      <c r="AW320" s="17"/>
      <c r="AX320" s="17">
        <f t="shared" si="139"/>
        <v>311</v>
      </c>
      <c r="AY320" s="17">
        <f t="shared" si="138"/>
        <v>31.1</v>
      </c>
      <c r="AZ320" s="17">
        <v>45.011288182048759</v>
      </c>
      <c r="BA320" s="17"/>
      <c r="BB320" s="17">
        <v>36</v>
      </c>
      <c r="BC320" s="17"/>
      <c r="BD320" s="17"/>
      <c r="BE320" s="17"/>
      <c r="BF320" s="17"/>
      <c r="BG320" s="17"/>
      <c r="BH320" s="17"/>
      <c r="BI320" s="17"/>
      <c r="BJ320" s="17"/>
      <c r="BK320" s="17"/>
      <c r="BL320" s="17"/>
      <c r="BM320" s="17"/>
      <c r="BN320" s="17"/>
      <c r="BO320" s="17"/>
      <c r="BP320" s="17"/>
      <c r="BQ320" s="17"/>
      <c r="BR320" s="17"/>
      <c r="BS320" s="17"/>
      <c r="BT320" s="17"/>
      <c r="BU320" s="17"/>
      <c r="BV320" s="17"/>
      <c r="BW320" s="17"/>
      <c r="BX320" s="17"/>
      <c r="BY320" s="17"/>
      <c r="BZ320" s="17"/>
      <c r="CA320" s="17"/>
      <c r="CB320" s="17"/>
      <c r="CC320" s="17"/>
      <c r="CD320" s="17"/>
      <c r="CE320" s="17"/>
      <c r="CF320" s="17"/>
      <c r="CG320" s="17"/>
      <c r="CH320" s="17"/>
    </row>
    <row r="321" spans="8:86" x14ac:dyDescent="0.15">
      <c r="H321" s="3">
        <f t="shared" si="133"/>
        <v>0.30900000000000022</v>
      </c>
      <c r="I321" s="3">
        <f t="shared" si="134"/>
        <v>360</v>
      </c>
      <c r="J321" s="14">
        <f t="shared" si="135"/>
        <v>500</v>
      </c>
      <c r="K321" s="3">
        <f t="shared" si="125"/>
        <v>0</v>
      </c>
      <c r="L321" s="3">
        <f t="shared" si="121"/>
        <v>500</v>
      </c>
      <c r="M321" s="15">
        <f t="shared" si="136"/>
        <v>7.0000000000000007E-2</v>
      </c>
      <c r="N321" s="3">
        <f t="shared" si="137"/>
        <v>76.076142262247203</v>
      </c>
      <c r="O321" s="3">
        <f t="shared" si="122"/>
        <v>76.076142262247203</v>
      </c>
      <c r="P321" s="3">
        <f t="shared" si="126"/>
        <v>81.802303507792701</v>
      </c>
      <c r="Q321" s="3">
        <f t="shared" si="127"/>
        <v>30.212870360973135</v>
      </c>
      <c r="R321" s="3">
        <f t="shared" si="128"/>
        <v>56.007586934382914</v>
      </c>
      <c r="S321" s="3">
        <f t="shared" si="123"/>
        <v>1</v>
      </c>
      <c r="T321" s="3">
        <f t="shared" si="129"/>
        <v>25794.716573409783</v>
      </c>
      <c r="U321" s="3">
        <f t="shared" si="130"/>
        <v>0.5</v>
      </c>
      <c r="V321" s="3">
        <f t="shared" si="131"/>
        <v>0</v>
      </c>
      <c r="W321" s="3">
        <f t="shared" si="132"/>
        <v>27387.411214408992</v>
      </c>
      <c r="X321" s="3">
        <f t="shared" si="124"/>
        <v>15106.435180486567</v>
      </c>
      <c r="AI321" s="3"/>
      <c r="AJ321" s="3"/>
      <c r="AK321" s="15">
        <f t="shared" si="115"/>
        <v>1</v>
      </c>
      <c r="AL321" s="11">
        <f t="shared" si="119"/>
        <v>1872</v>
      </c>
      <c r="AM321" s="11" t="b">
        <f t="shared" si="114"/>
        <v>0</v>
      </c>
      <c r="AN321" s="11">
        <f t="shared" si="116"/>
        <v>36000</v>
      </c>
      <c r="AO321" s="11">
        <f t="shared" si="117"/>
        <v>0</v>
      </c>
      <c r="AP321" s="11">
        <f t="shared" si="118"/>
        <v>0.45121519663530235</v>
      </c>
      <c r="AQ321" s="11">
        <f t="shared" si="120"/>
        <v>0</v>
      </c>
      <c r="AT321" s="3"/>
      <c r="AU321" s="17"/>
      <c r="AV321" s="19"/>
      <c r="AW321" s="17"/>
      <c r="AX321" s="17">
        <f t="shared" si="139"/>
        <v>312</v>
      </c>
      <c r="AY321" s="17">
        <f t="shared" si="138"/>
        <v>31.2</v>
      </c>
      <c r="AZ321" s="17">
        <v>45.121519663530236</v>
      </c>
      <c r="BA321" s="17"/>
      <c r="BB321" s="17">
        <v>36</v>
      </c>
      <c r="BC321" s="17"/>
      <c r="BD321" s="17"/>
      <c r="BE321" s="17"/>
      <c r="BF321" s="17"/>
      <c r="BG321" s="17"/>
      <c r="BH321" s="17"/>
      <c r="BI321" s="17"/>
      <c r="BJ321" s="17"/>
      <c r="BK321" s="17"/>
      <c r="BL321" s="17"/>
      <c r="BM321" s="17"/>
      <c r="BN321" s="17"/>
      <c r="BO321" s="17"/>
      <c r="BP321" s="17"/>
      <c r="BQ321" s="17"/>
      <c r="BR321" s="17"/>
      <c r="BS321" s="17"/>
      <c r="BT321" s="17"/>
      <c r="BU321" s="17"/>
      <c r="BV321" s="17"/>
      <c r="BW321" s="17"/>
      <c r="BX321" s="17"/>
      <c r="BY321" s="17"/>
      <c r="BZ321" s="17"/>
      <c r="CA321" s="17"/>
      <c r="CB321" s="17"/>
      <c r="CC321" s="17"/>
      <c r="CD321" s="17"/>
      <c r="CE321" s="17"/>
      <c r="CF321" s="17"/>
      <c r="CG321" s="17"/>
      <c r="CH321" s="17"/>
    </row>
    <row r="322" spans="8:86" x14ac:dyDescent="0.15">
      <c r="H322" s="3">
        <f t="shared" si="133"/>
        <v>0.31000000000000022</v>
      </c>
      <c r="I322" s="3">
        <f t="shared" si="134"/>
        <v>360</v>
      </c>
      <c r="J322" s="14">
        <f t="shared" si="135"/>
        <v>500</v>
      </c>
      <c r="K322" s="3">
        <f t="shared" si="125"/>
        <v>0</v>
      </c>
      <c r="L322" s="3">
        <f t="shared" si="121"/>
        <v>500</v>
      </c>
      <c r="M322" s="15">
        <f t="shared" si="136"/>
        <v>7.0000000000000007E-2</v>
      </c>
      <c r="N322" s="3">
        <f t="shared" si="137"/>
        <v>76.004490271765505</v>
      </c>
      <c r="O322" s="3">
        <f t="shared" si="122"/>
        <v>76.004490271765505</v>
      </c>
      <c r="P322" s="3">
        <f t="shared" si="126"/>
        <v>81.7252583567371</v>
      </c>
      <c r="Q322" s="3">
        <f t="shared" si="127"/>
        <v>30.161280927826315</v>
      </c>
      <c r="R322" s="3">
        <f t="shared" si="128"/>
        <v>55.943269642281706</v>
      </c>
      <c r="S322" s="3">
        <f t="shared" si="123"/>
        <v>1</v>
      </c>
      <c r="T322" s="3">
        <f t="shared" si="129"/>
        <v>25781.988714455394</v>
      </c>
      <c r="U322" s="3">
        <f t="shared" si="130"/>
        <v>0.5</v>
      </c>
      <c r="V322" s="3">
        <f t="shared" si="131"/>
        <v>0</v>
      </c>
      <c r="W322" s="3">
        <f t="shared" si="132"/>
        <v>27361.616497835581</v>
      </c>
      <c r="X322" s="3">
        <f t="shared" si="124"/>
        <v>15080.640463913158</v>
      </c>
      <c r="AI322" s="3"/>
      <c r="AJ322" s="3"/>
      <c r="AK322" s="15">
        <f t="shared" si="115"/>
        <v>1</v>
      </c>
      <c r="AL322" s="11">
        <f t="shared" si="119"/>
        <v>1878</v>
      </c>
      <c r="AM322" s="11" t="b">
        <f t="shared" si="114"/>
        <v>0</v>
      </c>
      <c r="AN322" s="11">
        <f t="shared" si="116"/>
        <v>36000</v>
      </c>
      <c r="AO322" s="11">
        <f t="shared" si="117"/>
        <v>0</v>
      </c>
      <c r="AP322" s="11">
        <f t="shared" si="118"/>
        <v>0.45231751145011717</v>
      </c>
      <c r="AQ322" s="11">
        <f t="shared" si="120"/>
        <v>0</v>
      </c>
      <c r="AT322" s="3"/>
      <c r="AU322" s="17"/>
      <c r="AV322" s="19"/>
      <c r="AW322" s="17"/>
      <c r="AX322" s="17">
        <f t="shared" si="139"/>
        <v>313</v>
      </c>
      <c r="AY322" s="17">
        <f t="shared" si="138"/>
        <v>31.3</v>
      </c>
      <c r="AZ322" s="17">
        <v>45.231751145011714</v>
      </c>
      <c r="BA322" s="17"/>
      <c r="BB322" s="17">
        <v>36</v>
      </c>
      <c r="BC322" s="17"/>
      <c r="BD322" s="17"/>
      <c r="BE322" s="17"/>
      <c r="BF322" s="17"/>
      <c r="BG322" s="17"/>
      <c r="BH322" s="17"/>
      <c r="BI322" s="17"/>
      <c r="BJ322" s="17"/>
      <c r="BK322" s="17"/>
      <c r="BL322" s="17"/>
      <c r="BM322" s="17"/>
      <c r="BN322" s="17"/>
      <c r="BO322" s="17"/>
      <c r="BP322" s="17"/>
      <c r="BQ322" s="17"/>
      <c r="BR322" s="17"/>
      <c r="BS322" s="17"/>
      <c r="BT322" s="17"/>
      <c r="BU322" s="17"/>
      <c r="BV322" s="17"/>
      <c r="BW322" s="17"/>
      <c r="BX322" s="17"/>
      <c r="BY322" s="17"/>
      <c r="BZ322" s="17"/>
      <c r="CA322" s="17"/>
      <c r="CB322" s="17"/>
      <c r="CC322" s="17"/>
      <c r="CD322" s="17"/>
      <c r="CE322" s="17"/>
      <c r="CF322" s="17"/>
      <c r="CG322" s="17"/>
      <c r="CH322" s="17"/>
    </row>
    <row r="323" spans="8:86" x14ac:dyDescent="0.15">
      <c r="H323" s="3">
        <f t="shared" si="133"/>
        <v>0.31100000000000022</v>
      </c>
      <c r="I323" s="3">
        <f t="shared" si="134"/>
        <v>360</v>
      </c>
      <c r="J323" s="14">
        <f t="shared" si="135"/>
        <v>500</v>
      </c>
      <c r="K323" s="3">
        <f t="shared" si="125"/>
        <v>0</v>
      </c>
      <c r="L323" s="3">
        <f t="shared" si="121"/>
        <v>500</v>
      </c>
      <c r="M323" s="15">
        <f t="shared" si="136"/>
        <v>7.0000000000000007E-2</v>
      </c>
      <c r="N323" s="3">
        <f t="shared" si="137"/>
        <v>75.932873636447567</v>
      </c>
      <c r="O323" s="3">
        <f t="shared" si="122"/>
        <v>75.932873636447567</v>
      </c>
      <c r="P323" s="3">
        <f t="shared" si="126"/>
        <v>81.648251221986641</v>
      </c>
      <c r="Q323" s="3">
        <f t="shared" si="127"/>
        <v>30.109716950397402</v>
      </c>
      <c r="R323" s="3">
        <f t="shared" si="128"/>
        <v>55.87898408619202</v>
      </c>
      <c r="S323" s="3">
        <f t="shared" si="123"/>
        <v>1</v>
      </c>
      <c r="T323" s="3">
        <f t="shared" si="129"/>
        <v>25769.26713579462</v>
      </c>
      <c r="U323" s="3">
        <f t="shared" si="130"/>
        <v>0.5</v>
      </c>
      <c r="V323" s="3">
        <f t="shared" si="131"/>
        <v>0</v>
      </c>
      <c r="W323" s="3">
        <f t="shared" si="132"/>
        <v>27335.834509121123</v>
      </c>
      <c r="X323" s="3">
        <f t="shared" si="124"/>
        <v>15054.858475198702</v>
      </c>
      <c r="AI323" s="3"/>
      <c r="AJ323" s="3"/>
      <c r="AK323" s="15">
        <f t="shared" si="115"/>
        <v>1</v>
      </c>
      <c r="AL323" s="11">
        <f t="shared" si="119"/>
        <v>1884</v>
      </c>
      <c r="AM323" s="11" t="b">
        <f t="shared" si="114"/>
        <v>0</v>
      </c>
      <c r="AN323" s="11">
        <f t="shared" si="116"/>
        <v>36000</v>
      </c>
      <c r="AO323" s="11">
        <f t="shared" si="117"/>
        <v>0</v>
      </c>
      <c r="AP323" s="11">
        <f t="shared" si="118"/>
        <v>0.45341982626493194</v>
      </c>
      <c r="AQ323" s="11">
        <f t="shared" si="120"/>
        <v>0</v>
      </c>
      <c r="AT323" s="3"/>
      <c r="AU323" s="17"/>
      <c r="AV323" s="19"/>
      <c r="AW323" s="17"/>
      <c r="AX323" s="17">
        <f t="shared" si="139"/>
        <v>314</v>
      </c>
      <c r="AY323" s="17">
        <f t="shared" si="138"/>
        <v>31.4</v>
      </c>
      <c r="AZ323" s="17">
        <v>45.341982626493191</v>
      </c>
      <c r="BA323" s="17"/>
      <c r="BB323" s="17">
        <v>36</v>
      </c>
      <c r="BC323" s="17"/>
      <c r="BD323" s="17"/>
      <c r="BE323" s="17"/>
      <c r="BF323" s="17"/>
      <c r="BG323" s="17"/>
      <c r="BH323" s="17"/>
      <c r="BI323" s="17"/>
      <c r="BJ323" s="17"/>
      <c r="BK323" s="17"/>
      <c r="BL323" s="17"/>
      <c r="BM323" s="17"/>
      <c r="BN323" s="17"/>
      <c r="BO323" s="17"/>
      <c r="BP323" s="17"/>
      <c r="BQ323" s="17"/>
      <c r="BR323" s="17"/>
      <c r="BS323" s="17"/>
      <c r="BT323" s="17"/>
      <c r="BU323" s="17"/>
      <c r="BV323" s="17"/>
      <c r="BW323" s="17"/>
      <c r="BX323" s="17"/>
      <c r="BY323" s="17"/>
      <c r="BZ323" s="17"/>
      <c r="CA323" s="17"/>
      <c r="CB323" s="17"/>
      <c r="CC323" s="17"/>
      <c r="CD323" s="17"/>
      <c r="CE323" s="17"/>
      <c r="CF323" s="17"/>
      <c r="CG323" s="17"/>
      <c r="CH323" s="17"/>
    </row>
    <row r="324" spans="8:86" x14ac:dyDescent="0.15">
      <c r="H324" s="3">
        <f t="shared" si="133"/>
        <v>0.31200000000000022</v>
      </c>
      <c r="I324" s="3">
        <f t="shared" si="134"/>
        <v>360</v>
      </c>
      <c r="J324" s="14">
        <f t="shared" si="135"/>
        <v>500</v>
      </c>
      <c r="K324" s="3">
        <f t="shared" si="125"/>
        <v>0</v>
      </c>
      <c r="L324" s="3">
        <f t="shared" si="121"/>
        <v>500</v>
      </c>
      <c r="M324" s="15">
        <f t="shared" si="136"/>
        <v>7.0000000000000007E-2</v>
      </c>
      <c r="N324" s="3">
        <f t="shared" si="137"/>
        <v>75.861292338848131</v>
      </c>
      <c r="O324" s="3">
        <f t="shared" si="122"/>
        <v>75.861292338848131</v>
      </c>
      <c r="P324" s="3">
        <f t="shared" si="126"/>
        <v>81.571282084782936</v>
      </c>
      <c r="Q324" s="3">
        <f t="shared" si="127"/>
        <v>30.058178416125816</v>
      </c>
      <c r="R324" s="3">
        <f t="shared" si="128"/>
        <v>55.814730250454375</v>
      </c>
      <c r="S324" s="3">
        <f t="shared" si="123"/>
        <v>1</v>
      </c>
      <c r="T324" s="3">
        <f t="shared" si="129"/>
        <v>25756.551834328562</v>
      </c>
      <c r="U324" s="3">
        <f t="shared" si="130"/>
        <v>0.5</v>
      </c>
      <c r="V324" s="3">
        <f t="shared" si="131"/>
        <v>0</v>
      </c>
      <c r="W324" s="3">
        <f t="shared" si="132"/>
        <v>27310.065241985329</v>
      </c>
      <c r="X324" s="3">
        <f t="shared" si="124"/>
        <v>15029.089208062907</v>
      </c>
      <c r="AI324" s="3"/>
      <c r="AJ324" s="3"/>
      <c r="AK324" s="15">
        <f t="shared" si="115"/>
        <v>1</v>
      </c>
      <c r="AL324" s="11">
        <f t="shared" si="119"/>
        <v>1890</v>
      </c>
      <c r="AM324" s="11" t="b">
        <f t="shared" si="114"/>
        <v>0</v>
      </c>
      <c r="AN324" s="11">
        <f t="shared" si="116"/>
        <v>36000</v>
      </c>
      <c r="AO324" s="11">
        <f t="shared" si="117"/>
        <v>0</v>
      </c>
      <c r="AP324" s="11">
        <f t="shared" si="118"/>
        <v>0.45452214107974676</v>
      </c>
      <c r="AQ324" s="11">
        <f t="shared" si="120"/>
        <v>0</v>
      </c>
      <c r="AT324" s="3"/>
      <c r="AU324" s="17"/>
      <c r="AV324" s="19"/>
      <c r="AW324" s="17"/>
      <c r="AX324" s="17">
        <f t="shared" si="139"/>
        <v>315</v>
      </c>
      <c r="AY324" s="17">
        <f t="shared" si="138"/>
        <v>31.5</v>
      </c>
      <c r="AZ324" s="17">
        <v>45.452214107974676</v>
      </c>
      <c r="BA324" s="17"/>
      <c r="BB324" s="17">
        <v>36</v>
      </c>
      <c r="BC324" s="17"/>
      <c r="BD324" s="17"/>
      <c r="BE324" s="17"/>
      <c r="BF324" s="17"/>
      <c r="BG324" s="17"/>
      <c r="BH324" s="17"/>
      <c r="BI324" s="17"/>
      <c r="BJ324" s="17"/>
      <c r="BK324" s="17"/>
      <c r="BL324" s="17"/>
      <c r="BM324" s="17"/>
      <c r="BN324" s="17"/>
      <c r="BO324" s="17"/>
      <c r="BP324" s="17"/>
      <c r="BQ324" s="17"/>
      <c r="BR324" s="17"/>
      <c r="BS324" s="17"/>
      <c r="BT324" s="17"/>
      <c r="BU324" s="17"/>
      <c r="BV324" s="17"/>
      <c r="BW324" s="17"/>
      <c r="BX324" s="17"/>
      <c r="BY324" s="17"/>
      <c r="BZ324" s="17"/>
      <c r="CA324" s="17"/>
      <c r="CB324" s="17"/>
      <c r="CC324" s="17"/>
      <c r="CD324" s="17"/>
      <c r="CE324" s="17"/>
      <c r="CF324" s="17"/>
      <c r="CG324" s="17"/>
      <c r="CH324" s="17"/>
    </row>
    <row r="325" spans="8:86" x14ac:dyDescent="0.15">
      <c r="H325" s="3">
        <f t="shared" si="133"/>
        <v>0.31300000000000022</v>
      </c>
      <c r="I325" s="3">
        <f t="shared" si="134"/>
        <v>360</v>
      </c>
      <c r="J325" s="14">
        <f t="shared" si="135"/>
        <v>500</v>
      </c>
      <c r="K325" s="3">
        <f t="shared" si="125"/>
        <v>0</v>
      </c>
      <c r="L325" s="3">
        <f t="shared" si="121"/>
        <v>500</v>
      </c>
      <c r="M325" s="15">
        <f t="shared" si="136"/>
        <v>7.0000000000000007E-2</v>
      </c>
      <c r="N325" s="3">
        <f t="shared" si="137"/>
        <v>75.789746361530561</v>
      </c>
      <c r="O325" s="3">
        <f t="shared" si="122"/>
        <v>75.789746361530561</v>
      </c>
      <c r="P325" s="3">
        <f t="shared" si="126"/>
        <v>81.494350926376953</v>
      </c>
      <c r="Q325" s="3">
        <f t="shared" si="127"/>
        <v>30.006665312457155</v>
      </c>
      <c r="R325" s="3">
        <f t="shared" si="128"/>
        <v>55.750508119417056</v>
      </c>
      <c r="S325" s="3">
        <f t="shared" si="123"/>
        <v>1</v>
      </c>
      <c r="T325" s="3">
        <f t="shared" si="129"/>
        <v>25743.842806959896</v>
      </c>
      <c r="U325" s="3">
        <f t="shared" si="130"/>
        <v>0.5</v>
      </c>
      <c r="V325" s="3">
        <f t="shared" si="131"/>
        <v>0</v>
      </c>
      <c r="W325" s="3">
        <f t="shared" si="132"/>
        <v>27284.308690151003</v>
      </c>
      <c r="X325" s="3">
        <f t="shared" si="124"/>
        <v>15003.332656228578</v>
      </c>
      <c r="AI325" s="3"/>
      <c r="AJ325" s="3"/>
      <c r="AK325" s="15">
        <f t="shared" si="115"/>
        <v>1</v>
      </c>
      <c r="AL325" s="11">
        <f t="shared" si="119"/>
        <v>1896</v>
      </c>
      <c r="AM325" s="11" t="b">
        <f t="shared" si="114"/>
        <v>0</v>
      </c>
      <c r="AN325" s="11">
        <f t="shared" si="116"/>
        <v>36000</v>
      </c>
      <c r="AO325" s="11">
        <f t="shared" si="117"/>
        <v>0</v>
      </c>
      <c r="AP325" s="11">
        <f t="shared" si="118"/>
        <v>0.45562445589456152</v>
      </c>
      <c r="AQ325" s="11">
        <f t="shared" si="120"/>
        <v>0</v>
      </c>
      <c r="AT325" s="3"/>
      <c r="AU325" s="17"/>
      <c r="AV325" s="19"/>
      <c r="AW325" s="17"/>
      <c r="AX325" s="17">
        <f t="shared" si="139"/>
        <v>316</v>
      </c>
      <c r="AY325" s="17">
        <f t="shared" si="138"/>
        <v>31.6</v>
      </c>
      <c r="AZ325" s="17">
        <v>45.562445589456154</v>
      </c>
      <c r="BA325" s="17"/>
      <c r="BB325" s="17">
        <v>36</v>
      </c>
      <c r="BC325" s="17"/>
      <c r="BD325" s="17"/>
      <c r="BE325" s="17"/>
      <c r="BF325" s="17"/>
      <c r="BG325" s="17"/>
      <c r="BH325" s="17"/>
      <c r="BI325" s="17"/>
      <c r="BJ325" s="17"/>
      <c r="BK325" s="17"/>
      <c r="BL325" s="17"/>
      <c r="BM325" s="17"/>
      <c r="BN325" s="17"/>
      <c r="BO325" s="17"/>
      <c r="BP325" s="17"/>
      <c r="BQ325" s="17"/>
      <c r="BR325" s="17"/>
      <c r="BS325" s="17"/>
      <c r="BT325" s="17"/>
      <c r="BU325" s="17"/>
      <c r="BV325" s="17"/>
      <c r="BW325" s="17"/>
      <c r="BX325" s="17"/>
      <c r="BY325" s="17"/>
      <c r="BZ325" s="17"/>
      <c r="CA325" s="17"/>
      <c r="CB325" s="17"/>
      <c r="CC325" s="17"/>
      <c r="CD325" s="17"/>
      <c r="CE325" s="17"/>
      <c r="CF325" s="17"/>
      <c r="CG325" s="17"/>
      <c r="CH325" s="17"/>
    </row>
    <row r="326" spans="8:86" x14ac:dyDescent="0.15">
      <c r="H326" s="3">
        <f t="shared" si="133"/>
        <v>0.31400000000000022</v>
      </c>
      <c r="I326" s="3">
        <f t="shared" si="134"/>
        <v>360</v>
      </c>
      <c r="J326" s="14">
        <f t="shared" si="135"/>
        <v>500</v>
      </c>
      <c r="K326" s="3">
        <f t="shared" si="125"/>
        <v>0</v>
      </c>
      <c r="L326" s="3">
        <f t="shared" si="121"/>
        <v>500</v>
      </c>
      <c r="M326" s="15">
        <f t="shared" si="136"/>
        <v>7.0000000000000007E-2</v>
      </c>
      <c r="N326" s="3">
        <f t="shared" si="137"/>
        <v>75.718235687066795</v>
      </c>
      <c r="O326" s="3">
        <f t="shared" si="122"/>
        <v>75.718235687066795</v>
      </c>
      <c r="P326" s="3">
        <f t="shared" si="126"/>
        <v>81.417457728028822</v>
      </c>
      <c r="Q326" s="3">
        <f t="shared" si="127"/>
        <v>29.955177626843238</v>
      </c>
      <c r="R326" s="3">
        <f t="shared" si="128"/>
        <v>55.68631767743603</v>
      </c>
      <c r="S326" s="3">
        <f t="shared" si="123"/>
        <v>1</v>
      </c>
      <c r="T326" s="3">
        <f t="shared" si="129"/>
        <v>25731.140050592792</v>
      </c>
      <c r="U326" s="3">
        <f t="shared" si="130"/>
        <v>0.5</v>
      </c>
      <c r="V326" s="3">
        <f t="shared" si="131"/>
        <v>0</v>
      </c>
      <c r="W326" s="3">
        <f t="shared" si="132"/>
        <v>27258.564847344045</v>
      </c>
      <c r="X326" s="3">
        <f t="shared" si="124"/>
        <v>14977.588813421618</v>
      </c>
      <c r="AI326" s="3"/>
      <c r="AJ326" s="3"/>
      <c r="AK326" s="15">
        <f t="shared" si="115"/>
        <v>1</v>
      </c>
      <c r="AL326" s="11">
        <f t="shared" si="119"/>
        <v>1902</v>
      </c>
      <c r="AM326" s="11" t="b">
        <f t="shared" si="114"/>
        <v>0</v>
      </c>
      <c r="AN326" s="11">
        <f t="shared" si="116"/>
        <v>36000</v>
      </c>
      <c r="AO326" s="11">
        <f t="shared" si="117"/>
        <v>0</v>
      </c>
      <c r="AP326" s="11">
        <f t="shared" si="118"/>
        <v>0.4567267707093764</v>
      </c>
      <c r="AQ326" s="11">
        <f t="shared" si="120"/>
        <v>0</v>
      </c>
      <c r="AT326" s="3"/>
      <c r="AU326" s="17"/>
      <c r="AV326" s="19"/>
      <c r="AW326" s="17"/>
      <c r="AX326" s="17">
        <f t="shared" si="139"/>
        <v>317</v>
      </c>
      <c r="AY326" s="17">
        <f t="shared" si="138"/>
        <v>31.7</v>
      </c>
      <c r="AZ326" s="17">
        <v>45.672677070937638</v>
      </c>
      <c r="BA326" s="17"/>
      <c r="BB326" s="17">
        <v>36</v>
      </c>
      <c r="BC326" s="17"/>
      <c r="BD326" s="17"/>
      <c r="BE326" s="17"/>
      <c r="BF326" s="17"/>
      <c r="BG326" s="17"/>
      <c r="BH326" s="17"/>
      <c r="BI326" s="17"/>
      <c r="BJ326" s="17"/>
      <c r="BK326" s="17"/>
      <c r="BL326" s="17"/>
      <c r="BM326" s="17"/>
      <c r="BN326" s="17"/>
      <c r="BO326" s="17"/>
      <c r="BP326" s="17"/>
      <c r="BQ326" s="17"/>
      <c r="BR326" s="17"/>
      <c r="BS326" s="17"/>
      <c r="BT326" s="17"/>
      <c r="BU326" s="17"/>
      <c r="BV326" s="17"/>
      <c r="BW326" s="17"/>
      <c r="BX326" s="17"/>
      <c r="BY326" s="17"/>
      <c r="BZ326" s="17"/>
      <c r="CA326" s="17"/>
      <c r="CB326" s="17"/>
      <c r="CC326" s="17"/>
      <c r="CD326" s="17"/>
      <c r="CE326" s="17"/>
      <c r="CF326" s="17"/>
      <c r="CG326" s="17"/>
      <c r="CH326" s="17"/>
    </row>
    <row r="327" spans="8:86" x14ac:dyDescent="0.15">
      <c r="H327" s="3">
        <f t="shared" si="133"/>
        <v>0.31500000000000022</v>
      </c>
      <c r="I327" s="3">
        <f t="shared" si="134"/>
        <v>360</v>
      </c>
      <c r="J327" s="14">
        <f t="shared" si="135"/>
        <v>500</v>
      </c>
      <c r="K327" s="3">
        <f t="shared" si="125"/>
        <v>0</v>
      </c>
      <c r="L327" s="3">
        <f t="shared" si="121"/>
        <v>500</v>
      </c>
      <c r="M327" s="15">
        <f t="shared" si="136"/>
        <v>7.0000000000000007E-2</v>
      </c>
      <c r="N327" s="3">
        <f t="shared" si="137"/>
        <v>75.646760298037364</v>
      </c>
      <c r="O327" s="3">
        <f t="shared" si="122"/>
        <v>75.646760298037364</v>
      </c>
      <c r="P327" s="3">
        <f t="shared" si="126"/>
        <v>81.340602471007927</v>
      </c>
      <c r="Q327" s="3">
        <f t="shared" si="127"/>
        <v>29.90371534674205</v>
      </c>
      <c r="R327" s="3">
        <f t="shared" si="128"/>
        <v>55.622158908874987</v>
      </c>
      <c r="S327" s="3">
        <f t="shared" si="123"/>
        <v>1</v>
      </c>
      <c r="T327" s="3">
        <f t="shared" si="129"/>
        <v>25718.443562132939</v>
      </c>
      <c r="U327" s="3">
        <f t="shared" si="130"/>
        <v>0.5</v>
      </c>
      <c r="V327" s="3">
        <f t="shared" si="131"/>
        <v>0</v>
      </c>
      <c r="W327" s="3">
        <f t="shared" si="132"/>
        <v>27232.833707293452</v>
      </c>
      <c r="X327" s="3">
        <f t="shared" si="124"/>
        <v>14951.857673371025</v>
      </c>
      <c r="AI327" s="3"/>
      <c r="AJ327" s="3"/>
      <c r="AK327" s="15">
        <f t="shared" si="115"/>
        <v>1</v>
      </c>
      <c r="AL327" s="11">
        <f t="shared" si="119"/>
        <v>1908</v>
      </c>
      <c r="AM327" s="11" t="b">
        <f t="shared" si="114"/>
        <v>0</v>
      </c>
      <c r="AN327" s="11">
        <f t="shared" si="116"/>
        <v>36000</v>
      </c>
      <c r="AO327" s="11">
        <f t="shared" si="117"/>
        <v>0</v>
      </c>
      <c r="AP327" s="11">
        <f t="shared" si="118"/>
        <v>0.45782908552419121</v>
      </c>
      <c r="AQ327" s="11">
        <f t="shared" si="120"/>
        <v>0</v>
      </c>
      <c r="AT327" s="3"/>
      <c r="AU327" s="17"/>
      <c r="AV327" s="19"/>
      <c r="AW327" s="17"/>
      <c r="AX327" s="17">
        <f t="shared" si="139"/>
        <v>318</v>
      </c>
      <c r="AY327" s="17">
        <f t="shared" si="138"/>
        <v>31.8</v>
      </c>
      <c r="AZ327" s="17">
        <v>45.782908552419123</v>
      </c>
      <c r="BA327" s="17"/>
      <c r="BB327" s="17">
        <v>36</v>
      </c>
      <c r="BC327" s="17"/>
      <c r="BD327" s="17"/>
      <c r="BE327" s="17"/>
      <c r="BF327" s="17"/>
      <c r="BG327" s="17"/>
      <c r="BH327" s="17"/>
      <c r="BI327" s="17"/>
      <c r="BJ327" s="17"/>
      <c r="BK327" s="17"/>
      <c r="BL327" s="17"/>
      <c r="BM327" s="17"/>
      <c r="BN327" s="17"/>
      <c r="BO327" s="17"/>
      <c r="BP327" s="17"/>
      <c r="BQ327" s="17"/>
      <c r="BR327" s="17"/>
      <c r="BS327" s="17"/>
      <c r="BT327" s="17"/>
      <c r="BU327" s="17"/>
      <c r="BV327" s="17"/>
      <c r="BW327" s="17"/>
      <c r="BX327" s="17"/>
      <c r="BY327" s="17"/>
      <c r="BZ327" s="17"/>
      <c r="CA327" s="17"/>
      <c r="CB327" s="17"/>
      <c r="CC327" s="17"/>
      <c r="CD327" s="17"/>
      <c r="CE327" s="17"/>
      <c r="CF327" s="17"/>
      <c r="CG327" s="17"/>
      <c r="CH327" s="17"/>
    </row>
    <row r="328" spans="8:86" x14ac:dyDescent="0.15">
      <c r="H328" s="3">
        <f t="shared" si="133"/>
        <v>0.31600000000000023</v>
      </c>
      <c r="I328" s="3">
        <f t="shared" si="134"/>
        <v>360</v>
      </c>
      <c r="J328" s="14">
        <f t="shared" si="135"/>
        <v>500</v>
      </c>
      <c r="K328" s="3">
        <f t="shared" si="125"/>
        <v>0</v>
      </c>
      <c r="L328" s="3">
        <f t="shared" si="121"/>
        <v>500</v>
      </c>
      <c r="M328" s="15">
        <f t="shared" si="136"/>
        <v>7.0000000000000007E-2</v>
      </c>
      <c r="N328" s="3">
        <f t="shared" si="137"/>
        <v>75.575320177031443</v>
      </c>
      <c r="O328" s="3">
        <f t="shared" si="122"/>
        <v>75.575320177031443</v>
      </c>
      <c r="P328" s="3">
        <f t="shared" si="126"/>
        <v>81.263785136592958</v>
      </c>
      <c r="Q328" s="3">
        <f t="shared" si="127"/>
        <v>29.852278459617786</v>
      </c>
      <c r="R328" s="3">
        <f t="shared" si="128"/>
        <v>55.558031798105375</v>
      </c>
      <c r="S328" s="3">
        <f t="shared" si="123"/>
        <v>1</v>
      </c>
      <c r="T328" s="3">
        <f t="shared" si="129"/>
        <v>25705.753338487586</v>
      </c>
      <c r="U328" s="3">
        <f t="shared" si="130"/>
        <v>0.5</v>
      </c>
      <c r="V328" s="3">
        <f t="shared" si="131"/>
        <v>0</v>
      </c>
      <c r="W328" s="3">
        <f t="shared" si="132"/>
        <v>27207.115263731321</v>
      </c>
      <c r="X328" s="3">
        <f t="shared" si="124"/>
        <v>14926.139229808892</v>
      </c>
      <c r="AI328" s="3"/>
      <c r="AJ328" s="3"/>
      <c r="AK328" s="15">
        <f t="shared" si="115"/>
        <v>1</v>
      </c>
      <c r="AL328" s="11">
        <f t="shared" si="119"/>
        <v>1914</v>
      </c>
      <c r="AM328" s="11" t="b">
        <f t="shared" si="114"/>
        <v>0</v>
      </c>
      <c r="AN328" s="11">
        <f t="shared" si="116"/>
        <v>36000</v>
      </c>
      <c r="AO328" s="11">
        <f t="shared" si="117"/>
        <v>0</v>
      </c>
      <c r="AP328" s="11">
        <f t="shared" si="118"/>
        <v>0.45893140033900603</v>
      </c>
      <c r="AQ328" s="11">
        <f t="shared" si="120"/>
        <v>0</v>
      </c>
      <c r="AT328" s="3"/>
      <c r="AU328" s="17"/>
      <c r="AV328" s="19"/>
      <c r="AW328" s="17"/>
      <c r="AX328" s="17">
        <f t="shared" si="139"/>
        <v>319</v>
      </c>
      <c r="AY328" s="17">
        <f t="shared" si="138"/>
        <v>31.9</v>
      </c>
      <c r="AZ328" s="17">
        <v>45.8931400339006</v>
      </c>
      <c r="BA328" s="17"/>
      <c r="BB328" s="17">
        <v>36</v>
      </c>
      <c r="BC328" s="17"/>
      <c r="BD328" s="17"/>
      <c r="BE328" s="17"/>
      <c r="BF328" s="17"/>
      <c r="BG328" s="17"/>
      <c r="BH328" s="17"/>
      <c r="BI328" s="17"/>
      <c r="BJ328" s="17"/>
      <c r="BK328" s="17"/>
      <c r="BL328" s="17"/>
      <c r="BM328" s="17"/>
      <c r="BN328" s="17"/>
      <c r="BO328" s="17"/>
      <c r="BP328" s="17"/>
      <c r="BQ328" s="17"/>
      <c r="BR328" s="17"/>
      <c r="BS328" s="17"/>
      <c r="BT328" s="17"/>
      <c r="BU328" s="17"/>
      <c r="BV328" s="17"/>
      <c r="BW328" s="17"/>
      <c r="BX328" s="17"/>
      <c r="BY328" s="17"/>
      <c r="BZ328" s="17"/>
      <c r="CA328" s="17"/>
      <c r="CB328" s="17"/>
      <c r="CC328" s="17"/>
      <c r="CD328" s="17"/>
      <c r="CE328" s="17"/>
      <c r="CF328" s="17"/>
      <c r="CG328" s="17"/>
      <c r="CH328" s="17"/>
    </row>
    <row r="329" spans="8:86" x14ac:dyDescent="0.15">
      <c r="H329" s="3">
        <f t="shared" si="133"/>
        <v>0.31700000000000023</v>
      </c>
      <c r="I329" s="3">
        <f t="shared" si="134"/>
        <v>360</v>
      </c>
      <c r="J329" s="14">
        <f t="shared" si="135"/>
        <v>500</v>
      </c>
      <c r="K329" s="3">
        <f t="shared" si="125"/>
        <v>0</v>
      </c>
      <c r="L329" s="3">
        <f t="shared" si="121"/>
        <v>500</v>
      </c>
      <c r="M329" s="15">
        <f t="shared" si="136"/>
        <v>7.0000000000000007E-2</v>
      </c>
      <c r="N329" s="3">
        <f t="shared" si="137"/>
        <v>75.503915306646761</v>
      </c>
      <c r="O329" s="3">
        <f t="shared" si="122"/>
        <v>75.503915306646761</v>
      </c>
      <c r="P329" s="3">
        <f t="shared" si="126"/>
        <v>81.187005706071787</v>
      </c>
      <c r="Q329" s="3">
        <f t="shared" si="127"/>
        <v>29.800866952940812</v>
      </c>
      <c r="R329" s="3">
        <f t="shared" si="128"/>
        <v>55.493936329506298</v>
      </c>
      <c r="S329" s="3">
        <f t="shared" si="123"/>
        <v>1</v>
      </c>
      <c r="T329" s="3">
        <f t="shared" si="129"/>
        <v>25693.069376565491</v>
      </c>
      <c r="U329" s="3">
        <f t="shared" si="130"/>
        <v>0.5</v>
      </c>
      <c r="V329" s="3">
        <f t="shared" si="131"/>
        <v>0</v>
      </c>
      <c r="W329" s="3">
        <f t="shared" si="132"/>
        <v>27181.409510392834</v>
      </c>
      <c r="X329" s="3">
        <f t="shared" si="124"/>
        <v>14900.433476470405</v>
      </c>
      <c r="AI329" s="3"/>
      <c r="AJ329" s="3"/>
      <c r="AK329" s="15">
        <f t="shared" si="115"/>
        <v>1</v>
      </c>
      <c r="AL329" s="11">
        <f t="shared" si="119"/>
        <v>1920</v>
      </c>
      <c r="AM329" s="11" t="b">
        <f t="shared" ref="AM329:AM392" si="140">OR(AND(AL329&gt;=$AC$5,AL329&lt;=$AD$5),AND(AL329&gt;=$AC$6,AL329&lt;=$AD$6),AND(AL329&gt;=$AC$7,AL329&lt;=$AD$7),AND(AL329&gt;=$AC$8,AL329&lt;=$AD$8),AND(AL329&gt;=$AC$9,AL329&lt;=$AD$9),AND(AL329&gt;=$AC$10,AL329&lt;=$AD$10),AND(AL329&gt;=$AC$11,AL329&lt;=$AD$11),AND($AD$11&lt;$AC$11,OR(AL329&lt;$AD$11,AL329&gt;$AC$11)))</f>
        <v>0</v>
      </c>
      <c r="AN329" s="11">
        <f t="shared" si="116"/>
        <v>36000</v>
      </c>
      <c r="AO329" s="11">
        <f t="shared" si="117"/>
        <v>0</v>
      </c>
      <c r="AP329" s="11">
        <f t="shared" si="118"/>
        <v>0.46003371515382091</v>
      </c>
      <c r="AQ329" s="11">
        <f t="shared" si="120"/>
        <v>0</v>
      </c>
      <c r="AT329" s="3"/>
      <c r="AU329" s="17"/>
      <c r="AV329" s="19"/>
      <c r="AW329" s="17"/>
      <c r="AX329" s="17">
        <f t="shared" si="139"/>
        <v>320</v>
      </c>
      <c r="AY329" s="17">
        <f t="shared" si="138"/>
        <v>32</v>
      </c>
      <c r="AZ329" s="17">
        <v>46.003371515382092</v>
      </c>
      <c r="BA329" s="17"/>
      <c r="BB329" s="17">
        <v>36</v>
      </c>
      <c r="BC329" s="17"/>
      <c r="BD329" s="17"/>
      <c r="BE329" s="17"/>
      <c r="BF329" s="17"/>
      <c r="BG329" s="17"/>
      <c r="BH329" s="17"/>
      <c r="BI329" s="17"/>
      <c r="BJ329" s="17"/>
      <c r="BK329" s="17"/>
      <c r="BL329" s="17"/>
      <c r="BM329" s="17"/>
      <c r="BN329" s="17"/>
      <c r="BO329" s="17"/>
      <c r="BP329" s="17"/>
      <c r="BQ329" s="17"/>
      <c r="BR329" s="17"/>
      <c r="BS329" s="17"/>
      <c r="BT329" s="17"/>
      <c r="BU329" s="17"/>
      <c r="BV329" s="17"/>
      <c r="BW329" s="17"/>
      <c r="BX329" s="17"/>
      <c r="BY329" s="17"/>
      <c r="BZ329" s="17"/>
      <c r="CA329" s="17"/>
      <c r="CB329" s="17"/>
      <c r="CC329" s="17"/>
      <c r="CD329" s="17"/>
      <c r="CE329" s="17"/>
      <c r="CF329" s="17"/>
      <c r="CG329" s="17"/>
      <c r="CH329" s="17"/>
    </row>
    <row r="330" spans="8:86" x14ac:dyDescent="0.15">
      <c r="H330" s="3">
        <f t="shared" si="133"/>
        <v>0.31800000000000023</v>
      </c>
      <c r="I330" s="3">
        <f t="shared" si="134"/>
        <v>360</v>
      </c>
      <c r="J330" s="14">
        <f t="shared" si="135"/>
        <v>500</v>
      </c>
      <c r="K330" s="3">
        <f t="shared" si="125"/>
        <v>0</v>
      </c>
      <c r="L330" s="3">
        <f t="shared" si="121"/>
        <v>500</v>
      </c>
      <c r="M330" s="15">
        <f t="shared" si="136"/>
        <v>7.0000000000000007E-2</v>
      </c>
      <c r="N330" s="3">
        <f t="shared" si="137"/>
        <v>75.432545669489642</v>
      </c>
      <c r="O330" s="3">
        <f t="shared" si="122"/>
        <v>75.432545669489642</v>
      </c>
      <c r="P330" s="3">
        <f t="shared" si="126"/>
        <v>81.110264160741551</v>
      </c>
      <c r="Q330" s="3">
        <f t="shared" si="127"/>
        <v>29.749480814187677</v>
      </c>
      <c r="R330" s="3">
        <f t="shared" si="128"/>
        <v>55.429872487464614</v>
      </c>
      <c r="S330" s="3">
        <f t="shared" si="123"/>
        <v>1</v>
      </c>
      <c r="T330" s="3">
        <f t="shared" si="129"/>
        <v>25680.391673276936</v>
      </c>
      <c r="U330" s="3">
        <f t="shared" si="130"/>
        <v>0.5</v>
      </c>
      <c r="V330" s="3">
        <f t="shared" si="131"/>
        <v>0</v>
      </c>
      <c r="W330" s="3">
        <f t="shared" si="132"/>
        <v>27155.71644101627</v>
      </c>
      <c r="X330" s="3">
        <f t="shared" si="124"/>
        <v>14874.740407093839</v>
      </c>
      <c r="AI330" s="3"/>
      <c r="AJ330" s="3"/>
      <c r="AK330" s="15">
        <f t="shared" ref="AK330:AK393" si="141">1+INT(MOD(AL330/60/24-0.5,7))</f>
        <v>1</v>
      </c>
      <c r="AL330" s="11">
        <f t="shared" si="119"/>
        <v>1926</v>
      </c>
      <c r="AM330" s="11" t="b">
        <f t="shared" si="140"/>
        <v>0</v>
      </c>
      <c r="AN330" s="11">
        <f t="shared" ref="AN330:AN393" si="142">IF(AND(AM330,NOT(AM331)),$AB$26,AN329+($AB$28-IF(AND(AM329,AM330),CHOOSE(AK330,$AG$5,$AG$6,$AG$7,$AG$8,$AG$9,$AG$10,$AG$11)*$AA$22/$AA$24,0))*$AB$15)</f>
        <v>36000</v>
      </c>
      <c r="AO330" s="11">
        <f t="shared" ref="AO330:AO393" si="143">IF(AND(AM330,NOT(AM331)),$AB$27,AO329+($AB$29-IF(AND(AM329,AM330),CHOOSE(AK330,$AG$5,$AG$6,$AG$7,$AG$8,$AG$9,$AG$10,$AG$11)*$AA$23/$AA$24,0))*$AB$15)</f>
        <v>0</v>
      </c>
      <c r="AP330" s="11">
        <f t="shared" ref="AP330:AP393" si="144">IF(AN329&lt;=0,0,(AP329*AN329-(IF(AND(AM329,AM330),CHOOSE(AK330,$AI$5,$AI$6,$AI$7,$AI$8,$AI$9,$AI$10,$AI$11),$AA$37))*AP329*$AB$15+$AA$34*(AQ329-AP329)*$AB$15+$AA$33*$AB$15)/AN329)</f>
        <v>0.46113602996863573</v>
      </c>
      <c r="AQ330" s="11">
        <f t="shared" si="120"/>
        <v>0</v>
      </c>
      <c r="AT330" s="3"/>
      <c r="AU330" s="17"/>
      <c r="AV330" s="19"/>
      <c r="AW330" s="17"/>
      <c r="AX330" s="17">
        <f t="shared" si="139"/>
        <v>321</v>
      </c>
      <c r="AY330" s="17">
        <f t="shared" si="138"/>
        <v>32.1</v>
      </c>
      <c r="AZ330" s="17">
        <v>46.11360299686357</v>
      </c>
      <c r="BA330" s="17"/>
      <c r="BB330" s="17">
        <v>36</v>
      </c>
      <c r="BC330" s="17"/>
      <c r="BD330" s="17"/>
      <c r="BE330" s="17"/>
      <c r="BF330" s="17"/>
      <c r="BG330" s="17"/>
      <c r="BH330" s="17"/>
      <c r="BI330" s="17"/>
      <c r="BJ330" s="17"/>
      <c r="BK330" s="17"/>
      <c r="BL330" s="17"/>
      <c r="BM330" s="17"/>
      <c r="BN330" s="17"/>
      <c r="BO330" s="17"/>
      <c r="BP330" s="17"/>
      <c r="BQ330" s="17"/>
      <c r="BR330" s="17"/>
      <c r="BS330" s="17"/>
      <c r="BT330" s="17"/>
      <c r="BU330" s="17"/>
      <c r="BV330" s="17"/>
      <c r="BW330" s="17"/>
      <c r="BX330" s="17"/>
      <c r="BY330" s="17"/>
      <c r="BZ330" s="17"/>
      <c r="CA330" s="17"/>
      <c r="CB330" s="17"/>
      <c r="CC330" s="17"/>
      <c r="CD330" s="17"/>
      <c r="CE330" s="17"/>
      <c r="CF330" s="17"/>
      <c r="CG330" s="17"/>
      <c r="CH330" s="17"/>
    </row>
    <row r="331" spans="8:86" x14ac:dyDescent="0.15">
      <c r="H331" s="3">
        <f t="shared" si="133"/>
        <v>0.31900000000000023</v>
      </c>
      <c r="I331" s="3">
        <f t="shared" si="134"/>
        <v>360</v>
      </c>
      <c r="J331" s="14">
        <f t="shared" si="135"/>
        <v>500</v>
      </c>
      <c r="K331" s="3">
        <f t="shared" si="125"/>
        <v>0</v>
      </c>
      <c r="L331" s="3">
        <f t="shared" si="121"/>
        <v>500</v>
      </c>
      <c r="M331" s="15">
        <f t="shared" si="136"/>
        <v>7.0000000000000007E-2</v>
      </c>
      <c r="N331" s="3">
        <f t="shared" si="137"/>
        <v>75.361211248174982</v>
      </c>
      <c r="O331" s="3">
        <f t="shared" si="122"/>
        <v>75.361211248174982</v>
      </c>
      <c r="P331" s="3">
        <f t="shared" si="126"/>
        <v>81.033560481908594</v>
      </c>
      <c r="Q331" s="3">
        <f t="shared" si="127"/>
        <v>29.698120030841125</v>
      </c>
      <c r="R331" s="3">
        <f t="shared" si="128"/>
        <v>55.36584025637486</v>
      </c>
      <c r="S331" s="3">
        <f t="shared" si="123"/>
        <v>1</v>
      </c>
      <c r="T331" s="3">
        <f t="shared" si="129"/>
        <v>25667.720225533736</v>
      </c>
      <c r="U331" s="3">
        <f t="shared" si="130"/>
        <v>0.5</v>
      </c>
      <c r="V331" s="3">
        <f t="shared" si="131"/>
        <v>0</v>
      </c>
      <c r="W331" s="3">
        <f t="shared" si="132"/>
        <v>27130.036049342994</v>
      </c>
      <c r="X331" s="3">
        <f t="shared" si="124"/>
        <v>14849.060015420562</v>
      </c>
      <c r="AI331" s="3"/>
      <c r="AJ331" s="3"/>
      <c r="AK331" s="15">
        <f t="shared" si="141"/>
        <v>1</v>
      </c>
      <c r="AL331" s="11">
        <f t="shared" ref="AL331:AL394" si="145">AL330+$AB$15</f>
        <v>1932</v>
      </c>
      <c r="AM331" s="11" t="b">
        <f t="shared" si="140"/>
        <v>0</v>
      </c>
      <c r="AN331" s="11">
        <f t="shared" si="142"/>
        <v>36000</v>
      </c>
      <c r="AO331" s="11">
        <f t="shared" si="143"/>
        <v>0</v>
      </c>
      <c r="AP331" s="11">
        <f t="shared" si="144"/>
        <v>0.46223834478345061</v>
      </c>
      <c r="AQ331" s="11">
        <f t="shared" ref="AQ331:AQ394" si="146">IF(AO330&lt;=0,0,(AQ330*AO330-$AA$34*(AQ330-AP330)*$AB$15)/AO330)</f>
        <v>0</v>
      </c>
      <c r="AT331" s="3"/>
      <c r="AU331" s="17"/>
      <c r="AV331" s="19"/>
      <c r="AW331" s="17"/>
      <c r="AX331" s="17">
        <f t="shared" si="139"/>
        <v>322</v>
      </c>
      <c r="AY331" s="17">
        <f t="shared" si="138"/>
        <v>32.200000000000003</v>
      </c>
      <c r="AZ331" s="17">
        <v>46.223834478345061</v>
      </c>
      <c r="BA331" s="17"/>
      <c r="BB331" s="17">
        <v>36</v>
      </c>
      <c r="BC331" s="17"/>
      <c r="BD331" s="17"/>
      <c r="BE331" s="17"/>
      <c r="BF331" s="17"/>
      <c r="BG331" s="17"/>
      <c r="BH331" s="17"/>
      <c r="BI331" s="17"/>
      <c r="BJ331" s="17"/>
      <c r="BK331" s="17"/>
      <c r="BL331" s="17"/>
      <c r="BM331" s="17"/>
      <c r="BN331" s="17"/>
      <c r="BO331" s="17"/>
      <c r="BP331" s="17"/>
      <c r="BQ331" s="17"/>
      <c r="BR331" s="17"/>
      <c r="BS331" s="17"/>
      <c r="BT331" s="17"/>
      <c r="BU331" s="17"/>
      <c r="BV331" s="17"/>
      <c r="BW331" s="17"/>
      <c r="BX331" s="17"/>
      <c r="BY331" s="17"/>
      <c r="BZ331" s="17"/>
      <c r="CA331" s="17"/>
      <c r="CB331" s="17"/>
      <c r="CC331" s="17"/>
      <c r="CD331" s="17"/>
      <c r="CE331" s="17"/>
      <c r="CF331" s="17"/>
      <c r="CG331" s="17"/>
      <c r="CH331" s="17"/>
    </row>
    <row r="332" spans="8:86" x14ac:dyDescent="0.15">
      <c r="H332" s="3">
        <f t="shared" si="133"/>
        <v>0.32000000000000023</v>
      </c>
      <c r="I332" s="3">
        <f t="shared" si="134"/>
        <v>360</v>
      </c>
      <c r="J332" s="14">
        <f t="shared" si="135"/>
        <v>500</v>
      </c>
      <c r="K332" s="3">
        <f t="shared" si="125"/>
        <v>0</v>
      </c>
      <c r="L332" s="3">
        <f t="shared" ref="L332:L395" si="147">$L$8*$L$6/I332</f>
        <v>500</v>
      </c>
      <c r="M332" s="15">
        <f t="shared" si="136"/>
        <v>7.0000000000000007E-2</v>
      </c>
      <c r="N332" s="3">
        <f t="shared" si="137"/>
        <v>75.289912025326274</v>
      </c>
      <c r="O332" s="3">
        <f t="shared" ref="O332:O395" si="148">N332*S332</f>
        <v>75.289912025326274</v>
      </c>
      <c r="P332" s="3">
        <f t="shared" si="126"/>
        <v>80.956894650888472</v>
      </c>
      <c r="Q332" s="3">
        <f t="shared" si="127"/>
        <v>29.646784590390055</v>
      </c>
      <c r="R332" s="3">
        <f t="shared" si="128"/>
        <v>55.301839620639264</v>
      </c>
      <c r="S332" s="3">
        <f t="shared" ref="S332:S395" si="149">IF($F$10=0,0,IF($F$10=1,1,(N332-L332-1/$I$5+((L332-N332+1/$I$5)^2+4*N332/$I$5)^0.5)/2/N332))</f>
        <v>1</v>
      </c>
      <c r="T332" s="3">
        <f t="shared" si="129"/>
        <v>25655.055030249208</v>
      </c>
      <c r="U332" s="3">
        <f t="shared" si="130"/>
        <v>0.5</v>
      </c>
      <c r="V332" s="3">
        <f t="shared" si="131"/>
        <v>0</v>
      </c>
      <c r="W332" s="3">
        <f t="shared" si="132"/>
        <v>27104.36832911746</v>
      </c>
      <c r="X332" s="3">
        <f t="shared" ref="X332:X395" si="150">IF($F$19,W332-W333+X333,J332*Q332)</f>
        <v>14823.392295195028</v>
      </c>
      <c r="AI332" s="3"/>
      <c r="AJ332" s="3"/>
      <c r="AK332" s="15">
        <f t="shared" si="141"/>
        <v>1</v>
      </c>
      <c r="AL332" s="11">
        <f t="shared" si="145"/>
        <v>1938</v>
      </c>
      <c r="AM332" s="11" t="b">
        <f t="shared" si="140"/>
        <v>0</v>
      </c>
      <c r="AN332" s="11">
        <f t="shared" si="142"/>
        <v>36000</v>
      </c>
      <c r="AO332" s="11">
        <f t="shared" si="143"/>
        <v>0</v>
      </c>
      <c r="AP332" s="11">
        <f t="shared" si="144"/>
        <v>0.46334065959826543</v>
      </c>
      <c r="AQ332" s="11">
        <f t="shared" si="146"/>
        <v>0</v>
      </c>
      <c r="AT332" s="3"/>
      <c r="AU332" s="17"/>
      <c r="AV332" s="19"/>
      <c r="AW332" s="17"/>
      <c r="AX332" s="17">
        <f t="shared" si="139"/>
        <v>323</v>
      </c>
      <c r="AY332" s="17">
        <f t="shared" si="138"/>
        <v>32.299999999999997</v>
      </c>
      <c r="AZ332" s="17">
        <v>46.334065959826546</v>
      </c>
      <c r="BA332" s="17"/>
      <c r="BB332" s="17">
        <v>36</v>
      </c>
      <c r="BC332" s="17"/>
      <c r="BD332" s="17"/>
      <c r="BE332" s="17"/>
      <c r="BF332" s="17"/>
      <c r="BG332" s="17"/>
      <c r="BH332" s="17"/>
      <c r="BI332" s="17"/>
      <c r="BJ332" s="17"/>
      <c r="BK332" s="17"/>
      <c r="BL332" s="17"/>
      <c r="BM332" s="17"/>
      <c r="BN332" s="17"/>
      <c r="BO332" s="17"/>
      <c r="BP332" s="17"/>
      <c r="BQ332" s="17"/>
      <c r="BR332" s="17"/>
      <c r="BS332" s="17"/>
      <c r="BT332" s="17"/>
      <c r="BU332" s="17"/>
      <c r="BV332" s="17"/>
      <c r="BW332" s="17"/>
      <c r="BX332" s="17"/>
      <c r="BY332" s="17"/>
      <c r="BZ332" s="17"/>
      <c r="CA332" s="17"/>
      <c r="CB332" s="17"/>
      <c r="CC332" s="17"/>
      <c r="CD332" s="17"/>
      <c r="CE332" s="17"/>
      <c r="CF332" s="17"/>
      <c r="CG332" s="17"/>
      <c r="CH332" s="17"/>
    </row>
    <row r="333" spans="8:86" x14ac:dyDescent="0.15">
      <c r="H333" s="3">
        <f t="shared" si="133"/>
        <v>0.32100000000000023</v>
      </c>
      <c r="I333" s="3">
        <f t="shared" si="134"/>
        <v>360</v>
      </c>
      <c r="J333" s="14">
        <f t="shared" si="135"/>
        <v>500</v>
      </c>
      <c r="K333" s="3">
        <f t="shared" ref="K333:K396" si="151">2*$F$6*$I$6*H333+$F$6*$I$7</f>
        <v>0</v>
      </c>
      <c r="L333" s="3">
        <f t="shared" si="147"/>
        <v>500</v>
      </c>
      <c r="M333" s="15">
        <f t="shared" si="136"/>
        <v>7.0000000000000007E-2</v>
      </c>
      <c r="N333" s="3">
        <f t="shared" si="137"/>
        <v>75.218647983575593</v>
      </c>
      <c r="O333" s="3">
        <f t="shared" si="148"/>
        <v>75.218647983575593</v>
      </c>
      <c r="P333" s="3">
        <f t="shared" ref="P333:P396" si="152">O333/(1-M333)</f>
        <v>80.880266649006018</v>
      </c>
      <c r="Q333" s="3">
        <f t="shared" ref="Q333:Q396" si="153">IF($F$19,IF($F$20,0,X333/J333),(Q332*J332-T332*$I$4)/J333)</f>
        <v>29.595474480329557</v>
      </c>
      <c r="R333" s="3">
        <f t="shared" ref="R333:R396" si="154">IF($F$19,P333,(1-U333)*P333+U333*Q333)</f>
        <v>55.237870564667787</v>
      </c>
      <c r="S333" s="3">
        <f t="shared" si="149"/>
        <v>1</v>
      </c>
      <c r="T333" s="3">
        <f t="shared" ref="T333:T396" si="155">IF($F$19,0,$F$8*(P333-Q333))+R333*K333*(1-$F$11)</f>
        <v>25642.39608433823</v>
      </c>
      <c r="U333" s="3">
        <f t="shared" ref="U333:U396" si="156">IF($F$8=0,0,IF(V333=0,0.5,IF(ISERROR(EXP(V333)),0,1/V333-1/(EXP(V333)-1))))</f>
        <v>0.5</v>
      </c>
      <c r="V333" s="3">
        <f t="shared" ref="V333:V396" si="157">K333*(1-$F$11)/$F$8</f>
        <v>0</v>
      </c>
      <c r="W333" s="3">
        <f t="shared" ref="W333:W396" si="158">(I333+$L$5)*N333</f>
        <v>27078.713274087215</v>
      </c>
      <c r="X333" s="3">
        <f t="shared" si="150"/>
        <v>14797.737240164779</v>
      </c>
      <c r="AI333" s="3"/>
      <c r="AJ333" s="3"/>
      <c r="AK333" s="15">
        <f t="shared" si="141"/>
        <v>1</v>
      </c>
      <c r="AL333" s="11">
        <f t="shared" si="145"/>
        <v>1944</v>
      </c>
      <c r="AM333" s="11" t="b">
        <f t="shared" si="140"/>
        <v>0</v>
      </c>
      <c r="AN333" s="11">
        <f t="shared" si="142"/>
        <v>36000</v>
      </c>
      <c r="AO333" s="11">
        <f t="shared" si="143"/>
        <v>0</v>
      </c>
      <c r="AP333" s="11">
        <f t="shared" si="144"/>
        <v>0.46444297441308025</v>
      </c>
      <c r="AQ333" s="11">
        <f t="shared" si="146"/>
        <v>0</v>
      </c>
      <c r="AT333" s="3"/>
      <c r="AU333" s="17"/>
      <c r="AV333" s="19"/>
      <c r="AW333" s="17"/>
      <c r="AX333" s="17">
        <f t="shared" si="139"/>
        <v>324</v>
      </c>
      <c r="AY333" s="17">
        <f t="shared" si="138"/>
        <v>32.4</v>
      </c>
      <c r="AZ333" s="17">
        <v>46.444297441308024</v>
      </c>
      <c r="BA333" s="17"/>
      <c r="BB333" s="17">
        <v>36</v>
      </c>
      <c r="BC333" s="17"/>
      <c r="BD333" s="17"/>
      <c r="BE333" s="17"/>
      <c r="BF333" s="17"/>
      <c r="BG333" s="17"/>
      <c r="BH333" s="17"/>
      <c r="BI333" s="17"/>
      <c r="BJ333" s="17"/>
      <c r="BK333" s="17"/>
      <c r="BL333" s="17"/>
      <c r="BM333" s="17"/>
      <c r="BN333" s="17"/>
      <c r="BO333" s="17"/>
      <c r="BP333" s="17"/>
      <c r="BQ333" s="17"/>
      <c r="BR333" s="17"/>
      <c r="BS333" s="17"/>
      <c r="BT333" s="17"/>
      <c r="BU333" s="17"/>
      <c r="BV333" s="17"/>
      <c r="BW333" s="17"/>
      <c r="BX333" s="17"/>
      <c r="BY333" s="17"/>
      <c r="BZ333" s="17"/>
      <c r="CA333" s="17"/>
      <c r="CB333" s="17"/>
      <c r="CC333" s="17"/>
      <c r="CD333" s="17"/>
      <c r="CE333" s="17"/>
      <c r="CF333" s="17"/>
      <c r="CG333" s="17"/>
      <c r="CH333" s="17"/>
    </row>
    <row r="334" spans="8:86" x14ac:dyDescent="0.15">
      <c r="H334" s="3">
        <f t="shared" ref="H334:H397" si="159">H333+$I$4</f>
        <v>0.32200000000000023</v>
      </c>
      <c r="I334" s="3">
        <f t="shared" ref="I334:I397" si="160">$I$12-$F$6*($I$6*H334^2+$I$7*H334)</f>
        <v>360</v>
      </c>
      <c r="J334" s="14">
        <f t="shared" ref="J334:J397" si="161">$J$12-$F$6*($I$6*H334^2+$I$7*H334)</f>
        <v>500</v>
      </c>
      <c r="K334" s="3">
        <f t="shared" si="151"/>
        <v>0</v>
      </c>
      <c r="L334" s="3">
        <f t="shared" si="147"/>
        <v>500</v>
      </c>
      <c r="M334" s="15">
        <f t="shared" ref="M334:M397" si="162">$M$12*L334/$L$12</f>
        <v>7.0000000000000007E-2</v>
      </c>
      <c r="N334" s="3">
        <f t="shared" ref="N334:N397" si="163">(N333*I333+P333*$L$5-T333*$I$4)/(I334+$L$5/(1-M334))</f>
        <v>75.147419105563543</v>
      </c>
      <c r="O334" s="3">
        <f t="shared" si="148"/>
        <v>75.147419105563543</v>
      </c>
      <c r="P334" s="3">
        <f t="shared" si="152"/>
        <v>80.803676457595216</v>
      </c>
      <c r="Q334" s="3">
        <f t="shared" si="153"/>
        <v>29.544189688160881</v>
      </c>
      <c r="R334" s="3">
        <f t="shared" si="154"/>
        <v>55.17393307287805</v>
      </c>
      <c r="S334" s="3">
        <f t="shared" si="149"/>
        <v>1</v>
      </c>
      <c r="T334" s="3">
        <f t="shared" si="155"/>
        <v>25629.743384717167</v>
      </c>
      <c r="U334" s="3">
        <f t="shared" si="156"/>
        <v>0.5</v>
      </c>
      <c r="V334" s="3">
        <f t="shared" si="157"/>
        <v>0</v>
      </c>
      <c r="W334" s="3">
        <f t="shared" si="158"/>
        <v>27053.070878002876</v>
      </c>
      <c r="X334" s="3">
        <f t="shared" si="150"/>
        <v>14772.09484408044</v>
      </c>
      <c r="AI334" s="3"/>
      <c r="AJ334" s="3"/>
      <c r="AK334" s="15">
        <f t="shared" si="141"/>
        <v>1</v>
      </c>
      <c r="AL334" s="11">
        <f t="shared" si="145"/>
        <v>1950</v>
      </c>
      <c r="AM334" s="11" t="b">
        <f t="shared" si="140"/>
        <v>0</v>
      </c>
      <c r="AN334" s="11">
        <f t="shared" si="142"/>
        <v>36000</v>
      </c>
      <c r="AO334" s="11">
        <f t="shared" si="143"/>
        <v>0</v>
      </c>
      <c r="AP334" s="11">
        <f t="shared" si="144"/>
        <v>0.46554528922789512</v>
      </c>
      <c r="AQ334" s="11">
        <f t="shared" si="146"/>
        <v>0</v>
      </c>
      <c r="AT334" s="3"/>
      <c r="AU334" s="17"/>
      <c r="AV334" s="19"/>
      <c r="AW334" s="17"/>
      <c r="AX334" s="17">
        <f t="shared" si="139"/>
        <v>325</v>
      </c>
      <c r="AY334" s="17">
        <f t="shared" si="138"/>
        <v>32.5</v>
      </c>
      <c r="AZ334" s="17">
        <v>46.554528922789515</v>
      </c>
      <c r="BA334" s="17"/>
      <c r="BB334" s="17">
        <v>36</v>
      </c>
      <c r="BC334" s="17"/>
      <c r="BD334" s="17"/>
      <c r="BE334" s="17"/>
      <c r="BF334" s="17"/>
      <c r="BG334" s="17"/>
      <c r="BH334" s="17"/>
      <c r="BI334" s="17"/>
      <c r="BJ334" s="17"/>
      <c r="BK334" s="17"/>
      <c r="BL334" s="17"/>
      <c r="BM334" s="17"/>
      <c r="BN334" s="17"/>
      <c r="BO334" s="17"/>
      <c r="BP334" s="17"/>
      <c r="BQ334" s="17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  <c r="CB334" s="17"/>
      <c r="CC334" s="17"/>
      <c r="CD334" s="17"/>
      <c r="CE334" s="17"/>
      <c r="CF334" s="17"/>
      <c r="CG334" s="17"/>
      <c r="CH334" s="17"/>
    </row>
    <row r="335" spans="8:86" x14ac:dyDescent="0.15">
      <c r="H335" s="3">
        <f t="shared" si="159"/>
        <v>0.32300000000000023</v>
      </c>
      <c r="I335" s="3">
        <f t="shared" si="160"/>
        <v>360</v>
      </c>
      <c r="J335" s="14">
        <f t="shared" si="161"/>
        <v>500</v>
      </c>
      <c r="K335" s="3">
        <f t="shared" si="151"/>
        <v>0</v>
      </c>
      <c r="L335" s="3">
        <f t="shared" si="147"/>
        <v>500</v>
      </c>
      <c r="M335" s="15">
        <f t="shared" si="162"/>
        <v>7.0000000000000007E-2</v>
      </c>
      <c r="N335" s="3">
        <f t="shared" si="163"/>
        <v>75.076225373939323</v>
      </c>
      <c r="O335" s="3">
        <f t="shared" si="148"/>
        <v>75.076225373939323</v>
      </c>
      <c r="P335" s="3">
        <f t="shared" si="152"/>
        <v>80.727124057999276</v>
      </c>
      <c r="Q335" s="3">
        <f t="shared" si="153"/>
        <v>29.492930201391445</v>
      </c>
      <c r="R335" s="3">
        <f t="shared" si="154"/>
        <v>55.110027129695361</v>
      </c>
      <c r="S335" s="3">
        <f t="shared" si="149"/>
        <v>1</v>
      </c>
      <c r="T335" s="3">
        <f t="shared" si="155"/>
        <v>25617.096928303916</v>
      </c>
      <c r="U335" s="3">
        <f t="shared" si="156"/>
        <v>0.5</v>
      </c>
      <c r="V335" s="3">
        <f t="shared" si="157"/>
        <v>0</v>
      </c>
      <c r="W335" s="3">
        <f t="shared" si="158"/>
        <v>27027.441134618155</v>
      </c>
      <c r="X335" s="3">
        <f t="shared" si="150"/>
        <v>14746.465100695723</v>
      </c>
      <c r="AI335" s="3"/>
      <c r="AJ335" s="3"/>
      <c r="AK335" s="15">
        <f t="shared" si="141"/>
        <v>1</v>
      </c>
      <c r="AL335" s="11">
        <f t="shared" si="145"/>
        <v>1956</v>
      </c>
      <c r="AM335" s="11" t="b">
        <f t="shared" si="140"/>
        <v>0</v>
      </c>
      <c r="AN335" s="11">
        <f t="shared" si="142"/>
        <v>36000</v>
      </c>
      <c r="AO335" s="11">
        <f t="shared" si="143"/>
        <v>0</v>
      </c>
      <c r="AP335" s="11">
        <f t="shared" si="144"/>
        <v>0.46664760404270994</v>
      </c>
      <c r="AQ335" s="11">
        <f t="shared" si="146"/>
        <v>0</v>
      </c>
      <c r="AT335" s="3"/>
      <c r="AU335" s="17"/>
      <c r="AV335" s="19"/>
      <c r="AW335" s="17"/>
      <c r="AX335" s="17">
        <f t="shared" si="139"/>
        <v>326</v>
      </c>
      <c r="AY335" s="17">
        <f t="shared" si="138"/>
        <v>32.6</v>
      </c>
      <c r="AZ335" s="17">
        <v>46.664760404270993</v>
      </c>
      <c r="BA335" s="17"/>
      <c r="BB335" s="17">
        <v>36</v>
      </c>
      <c r="BC335" s="17"/>
      <c r="BD335" s="17"/>
      <c r="BE335" s="17"/>
      <c r="BF335" s="17"/>
      <c r="BG335" s="17"/>
      <c r="BH335" s="17"/>
      <c r="BI335" s="17"/>
      <c r="BJ335" s="17"/>
      <c r="BK335" s="17"/>
      <c r="BL335" s="17"/>
      <c r="BM335" s="17"/>
      <c r="BN335" s="17"/>
      <c r="BO335" s="17"/>
      <c r="BP335" s="17"/>
      <c r="BQ335" s="17"/>
      <c r="BR335" s="17"/>
      <c r="BS335" s="17"/>
      <c r="BT335" s="17"/>
      <c r="BU335" s="17"/>
      <c r="BV335" s="17"/>
      <c r="BW335" s="17"/>
      <c r="BX335" s="17"/>
      <c r="BY335" s="17"/>
      <c r="BZ335" s="17"/>
      <c r="CA335" s="17"/>
      <c r="CB335" s="17"/>
      <c r="CC335" s="17"/>
      <c r="CD335" s="17"/>
      <c r="CE335" s="17"/>
      <c r="CF335" s="17"/>
      <c r="CG335" s="17"/>
      <c r="CH335" s="17"/>
    </row>
    <row r="336" spans="8:86" x14ac:dyDescent="0.15">
      <c r="H336" s="3">
        <f t="shared" si="159"/>
        <v>0.32400000000000023</v>
      </c>
      <c r="I336" s="3">
        <f t="shared" si="160"/>
        <v>360</v>
      </c>
      <c r="J336" s="14">
        <f t="shared" si="161"/>
        <v>500</v>
      </c>
      <c r="K336" s="3">
        <f t="shared" si="151"/>
        <v>0</v>
      </c>
      <c r="L336" s="3">
        <f t="shared" si="147"/>
        <v>500</v>
      </c>
      <c r="M336" s="15">
        <f t="shared" si="162"/>
        <v>7.0000000000000007E-2</v>
      </c>
      <c r="N336" s="3">
        <f t="shared" si="163"/>
        <v>75.005066771360688</v>
      </c>
      <c r="O336" s="3">
        <f t="shared" si="148"/>
        <v>75.005066771360688</v>
      </c>
      <c r="P336" s="3">
        <f t="shared" si="152"/>
        <v>80.650609431570643</v>
      </c>
      <c r="Q336" s="3">
        <f t="shared" si="153"/>
        <v>29.441696007534837</v>
      </c>
      <c r="R336" s="3">
        <f t="shared" si="154"/>
        <v>55.046152719552737</v>
      </c>
      <c r="S336" s="3">
        <f t="shared" si="149"/>
        <v>1</v>
      </c>
      <c r="T336" s="3">
        <f t="shared" si="155"/>
        <v>25604.456712017902</v>
      </c>
      <c r="U336" s="3">
        <f t="shared" si="156"/>
        <v>0.5</v>
      </c>
      <c r="V336" s="3">
        <f t="shared" si="157"/>
        <v>0</v>
      </c>
      <c r="W336" s="3">
        <f t="shared" si="158"/>
        <v>27001.824037689847</v>
      </c>
      <c r="X336" s="3">
        <f t="shared" si="150"/>
        <v>14720.848003767418</v>
      </c>
      <c r="AI336" s="3"/>
      <c r="AJ336" s="3"/>
      <c r="AK336" s="15">
        <f t="shared" si="141"/>
        <v>1</v>
      </c>
      <c r="AL336" s="11">
        <f t="shared" si="145"/>
        <v>1962</v>
      </c>
      <c r="AM336" s="11" t="b">
        <f t="shared" si="140"/>
        <v>0</v>
      </c>
      <c r="AN336" s="11">
        <f t="shared" si="142"/>
        <v>36000</v>
      </c>
      <c r="AO336" s="11">
        <f t="shared" si="143"/>
        <v>0</v>
      </c>
      <c r="AP336" s="11">
        <f t="shared" si="144"/>
        <v>0.46774991885752482</v>
      </c>
      <c r="AQ336" s="11">
        <f t="shared" si="146"/>
        <v>0</v>
      </c>
      <c r="AT336" s="3"/>
      <c r="AU336" s="17"/>
      <c r="AV336" s="19"/>
      <c r="AW336" s="17"/>
      <c r="AX336" s="17">
        <f t="shared" si="139"/>
        <v>327</v>
      </c>
      <c r="AY336" s="17">
        <f t="shared" si="138"/>
        <v>32.700000000000003</v>
      </c>
      <c r="AZ336" s="17">
        <v>46.774991885752485</v>
      </c>
      <c r="BA336" s="17"/>
      <c r="BB336" s="17">
        <v>36</v>
      </c>
      <c r="BC336" s="17"/>
      <c r="BD336" s="17"/>
      <c r="BE336" s="17"/>
      <c r="BF336" s="17"/>
      <c r="BG336" s="17"/>
      <c r="BH336" s="17"/>
      <c r="BI336" s="17"/>
      <c r="BJ336" s="17"/>
      <c r="BK336" s="17"/>
      <c r="BL336" s="17"/>
      <c r="BM336" s="17"/>
      <c r="BN336" s="17"/>
      <c r="BO336" s="17"/>
      <c r="BP336" s="17"/>
      <c r="BQ336" s="17"/>
      <c r="BR336" s="17"/>
      <c r="BS336" s="17"/>
      <c r="BT336" s="17"/>
      <c r="BU336" s="17"/>
      <c r="BV336" s="17"/>
      <c r="BW336" s="17"/>
      <c r="BX336" s="17"/>
      <c r="BY336" s="17"/>
      <c r="BZ336" s="17"/>
      <c r="CA336" s="17"/>
      <c r="CB336" s="17"/>
      <c r="CC336" s="17"/>
      <c r="CD336" s="17"/>
      <c r="CE336" s="17"/>
      <c r="CF336" s="17"/>
      <c r="CG336" s="17"/>
      <c r="CH336" s="17"/>
    </row>
    <row r="337" spans="8:86" x14ac:dyDescent="0.15">
      <c r="H337" s="3">
        <f t="shared" si="159"/>
        <v>0.32500000000000023</v>
      </c>
      <c r="I337" s="3">
        <f t="shared" si="160"/>
        <v>360</v>
      </c>
      <c r="J337" s="14">
        <f t="shared" si="161"/>
        <v>500</v>
      </c>
      <c r="K337" s="3">
        <f t="shared" si="151"/>
        <v>0</v>
      </c>
      <c r="L337" s="3">
        <f t="shared" si="147"/>
        <v>500</v>
      </c>
      <c r="M337" s="15">
        <f t="shared" si="162"/>
        <v>7.0000000000000007E-2</v>
      </c>
      <c r="N337" s="3">
        <f t="shared" si="163"/>
        <v>74.933943280493963</v>
      </c>
      <c r="O337" s="3">
        <f t="shared" si="148"/>
        <v>74.933943280493963</v>
      </c>
      <c r="P337" s="3">
        <f t="shared" si="152"/>
        <v>80.574132559670929</v>
      </c>
      <c r="Q337" s="3">
        <f t="shared" si="153"/>
        <v>29.390487094110803</v>
      </c>
      <c r="R337" s="3">
        <f t="shared" si="154"/>
        <v>54.982309826890869</v>
      </c>
      <c r="S337" s="3">
        <f t="shared" si="149"/>
        <v>1</v>
      </c>
      <c r="T337" s="3">
        <f t="shared" si="155"/>
        <v>25591.822732780063</v>
      </c>
      <c r="U337" s="3">
        <f t="shared" si="156"/>
        <v>0.5</v>
      </c>
      <c r="V337" s="3">
        <f t="shared" si="157"/>
        <v>0</v>
      </c>
      <c r="W337" s="3">
        <f t="shared" si="158"/>
        <v>26976.219580977828</v>
      </c>
      <c r="X337" s="3">
        <f t="shared" si="150"/>
        <v>14695.243547055401</v>
      </c>
      <c r="AI337" s="3"/>
      <c r="AJ337" s="3"/>
      <c r="AK337" s="15">
        <f t="shared" si="141"/>
        <v>1</v>
      </c>
      <c r="AL337" s="11">
        <f t="shared" si="145"/>
        <v>1968</v>
      </c>
      <c r="AM337" s="11" t="b">
        <f t="shared" si="140"/>
        <v>0</v>
      </c>
      <c r="AN337" s="11">
        <f t="shared" si="142"/>
        <v>36000</v>
      </c>
      <c r="AO337" s="11">
        <f t="shared" si="143"/>
        <v>0</v>
      </c>
      <c r="AP337" s="11">
        <f t="shared" si="144"/>
        <v>0.46885223367233964</v>
      </c>
      <c r="AQ337" s="11">
        <f t="shared" si="146"/>
        <v>0</v>
      </c>
      <c r="AT337" s="3"/>
      <c r="AU337" s="17"/>
      <c r="AV337" s="19"/>
      <c r="AW337" s="17"/>
      <c r="AX337" s="17">
        <f t="shared" si="139"/>
        <v>328</v>
      </c>
      <c r="AY337" s="17">
        <f t="shared" si="138"/>
        <v>32.799999999999997</v>
      </c>
      <c r="AZ337" s="17">
        <v>46.885223367233962</v>
      </c>
      <c r="BA337" s="17"/>
      <c r="BB337" s="17">
        <v>36</v>
      </c>
      <c r="BC337" s="17"/>
      <c r="BD337" s="17"/>
      <c r="BE337" s="17"/>
      <c r="BF337" s="17"/>
      <c r="BG337" s="17"/>
      <c r="BH337" s="17"/>
      <c r="BI337" s="17"/>
      <c r="BJ337" s="17"/>
      <c r="BK337" s="17"/>
      <c r="BL337" s="17"/>
      <c r="BM337" s="17"/>
      <c r="BN337" s="17"/>
      <c r="BO337" s="17"/>
      <c r="BP337" s="17"/>
      <c r="BQ337" s="17"/>
      <c r="BR337" s="17"/>
      <c r="BS337" s="17"/>
      <c r="BT337" s="17"/>
      <c r="BU337" s="17"/>
      <c r="BV337" s="17"/>
      <c r="BW337" s="17"/>
      <c r="BX337" s="17"/>
      <c r="BY337" s="17"/>
      <c r="BZ337" s="17"/>
      <c r="CA337" s="17"/>
      <c r="CB337" s="17"/>
      <c r="CC337" s="17"/>
      <c r="CD337" s="17"/>
      <c r="CE337" s="17"/>
      <c r="CF337" s="17"/>
      <c r="CG337" s="17"/>
      <c r="CH337" s="17"/>
    </row>
    <row r="338" spans="8:86" x14ac:dyDescent="0.15">
      <c r="H338" s="3">
        <f t="shared" si="159"/>
        <v>0.32600000000000023</v>
      </c>
      <c r="I338" s="3">
        <f t="shared" si="160"/>
        <v>360</v>
      </c>
      <c r="J338" s="14">
        <f t="shared" si="161"/>
        <v>500</v>
      </c>
      <c r="K338" s="3">
        <f t="shared" si="151"/>
        <v>0</v>
      </c>
      <c r="L338" s="3">
        <f t="shared" si="147"/>
        <v>500</v>
      </c>
      <c r="M338" s="15">
        <f t="shared" si="162"/>
        <v>7.0000000000000007E-2</v>
      </c>
      <c r="N338" s="3">
        <f t="shared" si="163"/>
        <v>74.862854884014027</v>
      </c>
      <c r="O338" s="3">
        <f t="shared" si="148"/>
        <v>74.862854884014027</v>
      </c>
      <c r="P338" s="3">
        <f t="shared" si="152"/>
        <v>80.497693423670995</v>
      </c>
      <c r="Q338" s="3">
        <f t="shared" si="153"/>
        <v>29.339303448645243</v>
      </c>
      <c r="R338" s="3">
        <f t="shared" si="154"/>
        <v>54.918498436158117</v>
      </c>
      <c r="S338" s="3">
        <f t="shared" si="149"/>
        <v>1</v>
      </c>
      <c r="T338" s="3">
        <f t="shared" si="155"/>
        <v>25579.194987512878</v>
      </c>
      <c r="U338" s="3">
        <f t="shared" si="156"/>
        <v>0.5</v>
      </c>
      <c r="V338" s="3">
        <f t="shared" si="157"/>
        <v>0</v>
      </c>
      <c r="W338" s="3">
        <f t="shared" si="158"/>
        <v>26950.627758245049</v>
      </c>
      <c r="X338" s="3">
        <f t="shared" si="150"/>
        <v>14669.651724322621</v>
      </c>
      <c r="AI338" s="3"/>
      <c r="AJ338" s="3"/>
      <c r="AK338" s="15">
        <f t="shared" si="141"/>
        <v>1</v>
      </c>
      <c r="AL338" s="11">
        <f t="shared" si="145"/>
        <v>1974</v>
      </c>
      <c r="AM338" s="11" t="b">
        <f t="shared" si="140"/>
        <v>0</v>
      </c>
      <c r="AN338" s="11">
        <f t="shared" si="142"/>
        <v>36000</v>
      </c>
      <c r="AO338" s="11">
        <f t="shared" si="143"/>
        <v>0</v>
      </c>
      <c r="AP338" s="11">
        <f t="shared" si="144"/>
        <v>0.46995454848715446</v>
      </c>
      <c r="AQ338" s="11">
        <f t="shared" si="146"/>
        <v>0</v>
      </c>
      <c r="AT338" s="3"/>
      <c r="AU338" s="17"/>
      <c r="AV338" s="19"/>
      <c r="AW338" s="17"/>
      <c r="AX338" s="17">
        <f t="shared" si="139"/>
        <v>329</v>
      </c>
      <c r="AY338" s="17">
        <f t="shared" si="138"/>
        <v>32.9</v>
      </c>
      <c r="AZ338" s="17">
        <v>46.995454848715447</v>
      </c>
      <c r="BA338" s="17"/>
      <c r="BB338" s="17">
        <v>36</v>
      </c>
      <c r="BC338" s="17"/>
      <c r="BD338" s="17"/>
      <c r="BE338" s="17"/>
      <c r="BF338" s="17"/>
      <c r="BG338" s="17"/>
      <c r="BH338" s="17"/>
      <c r="BI338" s="17"/>
      <c r="BJ338" s="17"/>
      <c r="BK338" s="17"/>
      <c r="BL338" s="17"/>
      <c r="BM338" s="17"/>
      <c r="BN338" s="17"/>
      <c r="BO338" s="17"/>
      <c r="BP338" s="17"/>
      <c r="BQ338" s="17"/>
      <c r="BR338" s="17"/>
      <c r="BS338" s="17"/>
      <c r="BT338" s="17"/>
      <c r="BU338" s="17"/>
      <c r="BV338" s="17"/>
      <c r="BW338" s="17"/>
      <c r="BX338" s="17"/>
      <c r="BY338" s="17"/>
      <c r="BZ338" s="17"/>
      <c r="CA338" s="17"/>
      <c r="CB338" s="17"/>
      <c r="CC338" s="17"/>
      <c r="CD338" s="17"/>
      <c r="CE338" s="17"/>
      <c r="CF338" s="17"/>
      <c r="CG338" s="17"/>
      <c r="CH338" s="17"/>
    </row>
    <row r="339" spans="8:86" x14ac:dyDescent="0.15">
      <c r="H339" s="3">
        <f t="shared" si="159"/>
        <v>0.32700000000000023</v>
      </c>
      <c r="I339" s="3">
        <f t="shared" si="160"/>
        <v>360</v>
      </c>
      <c r="J339" s="14">
        <f t="shared" si="161"/>
        <v>500</v>
      </c>
      <c r="K339" s="3">
        <f t="shared" si="151"/>
        <v>0</v>
      </c>
      <c r="L339" s="3">
        <f t="shared" si="147"/>
        <v>500</v>
      </c>
      <c r="M339" s="15">
        <f t="shared" si="162"/>
        <v>7.0000000000000007E-2</v>
      </c>
      <c r="N339" s="3">
        <f t="shared" si="163"/>
        <v>74.79180156460427</v>
      </c>
      <c r="O339" s="3">
        <f t="shared" si="148"/>
        <v>74.79180156460427</v>
      </c>
      <c r="P339" s="3">
        <f t="shared" si="152"/>
        <v>80.421292004950828</v>
      </c>
      <c r="Q339" s="3">
        <f t="shared" si="153"/>
        <v>29.288145058670217</v>
      </c>
      <c r="R339" s="3">
        <f t="shared" si="154"/>
        <v>54.854718531810519</v>
      </c>
      <c r="S339" s="3">
        <f t="shared" si="149"/>
        <v>1</v>
      </c>
      <c r="T339" s="3">
        <f t="shared" si="155"/>
        <v>25566.573473140306</v>
      </c>
      <c r="U339" s="3">
        <f t="shared" si="156"/>
        <v>0.5</v>
      </c>
      <c r="V339" s="3">
        <f t="shared" si="157"/>
        <v>0</v>
      </c>
      <c r="W339" s="3">
        <f t="shared" si="158"/>
        <v>26925.048563257536</v>
      </c>
      <c r="X339" s="3">
        <f t="shared" si="150"/>
        <v>14644.072529335108</v>
      </c>
      <c r="AI339" s="3"/>
      <c r="AJ339" s="3"/>
      <c r="AK339" s="15">
        <f t="shared" si="141"/>
        <v>1</v>
      </c>
      <c r="AL339" s="11">
        <f t="shared" si="145"/>
        <v>1980</v>
      </c>
      <c r="AM339" s="11" t="b">
        <f t="shared" si="140"/>
        <v>0</v>
      </c>
      <c r="AN339" s="11">
        <f t="shared" si="142"/>
        <v>36000</v>
      </c>
      <c r="AO339" s="11">
        <f t="shared" si="143"/>
        <v>0</v>
      </c>
      <c r="AP339" s="11">
        <f t="shared" si="144"/>
        <v>0.47105686330196933</v>
      </c>
      <c r="AQ339" s="11">
        <f t="shared" si="146"/>
        <v>0</v>
      </c>
      <c r="AT339" s="3"/>
      <c r="AU339" s="17"/>
      <c r="AV339" s="19"/>
      <c r="AW339" s="17"/>
      <c r="AX339" s="17">
        <f t="shared" si="139"/>
        <v>330</v>
      </c>
      <c r="AY339" s="17">
        <f t="shared" si="138"/>
        <v>33</v>
      </c>
      <c r="AZ339" s="17">
        <v>47.105686330196932</v>
      </c>
      <c r="BA339" s="17"/>
      <c r="BB339" s="17">
        <v>36</v>
      </c>
      <c r="BC339" s="17"/>
      <c r="BD339" s="17"/>
      <c r="BE339" s="17"/>
      <c r="BF339" s="17"/>
      <c r="BG339" s="17"/>
      <c r="BH339" s="17"/>
      <c r="BI339" s="17"/>
      <c r="BJ339" s="17"/>
      <c r="BK339" s="17"/>
      <c r="BL339" s="17"/>
      <c r="BM339" s="17"/>
      <c r="BN339" s="17"/>
      <c r="BO339" s="17"/>
      <c r="BP339" s="17"/>
      <c r="BQ339" s="17"/>
      <c r="BR339" s="17"/>
      <c r="BS339" s="17"/>
      <c r="BT339" s="17"/>
      <c r="BU339" s="17"/>
      <c r="BV339" s="17"/>
      <c r="BW339" s="17"/>
      <c r="BX339" s="17"/>
      <c r="BY339" s="17"/>
      <c r="BZ339" s="17"/>
      <c r="CA339" s="17"/>
      <c r="CB339" s="17"/>
      <c r="CC339" s="17"/>
      <c r="CD339" s="17"/>
      <c r="CE339" s="17"/>
      <c r="CF339" s="17"/>
      <c r="CG339" s="17"/>
      <c r="CH339" s="17"/>
    </row>
    <row r="340" spans="8:86" x14ac:dyDescent="0.15">
      <c r="H340" s="3">
        <f t="shared" si="159"/>
        <v>0.32800000000000024</v>
      </c>
      <c r="I340" s="3">
        <f t="shared" si="160"/>
        <v>360</v>
      </c>
      <c r="J340" s="14">
        <f t="shared" si="161"/>
        <v>500</v>
      </c>
      <c r="K340" s="3">
        <f t="shared" si="151"/>
        <v>0</v>
      </c>
      <c r="L340" s="3">
        <f t="shared" si="147"/>
        <v>500</v>
      </c>
      <c r="M340" s="15">
        <f t="shared" si="162"/>
        <v>7.0000000000000007E-2</v>
      </c>
      <c r="N340" s="3">
        <f t="shared" si="163"/>
        <v>74.720783304956655</v>
      </c>
      <c r="O340" s="3">
        <f t="shared" si="148"/>
        <v>74.720783304956655</v>
      </c>
      <c r="P340" s="3">
        <f t="shared" si="152"/>
        <v>80.344928284899638</v>
      </c>
      <c r="Q340" s="3">
        <f t="shared" si="153"/>
        <v>29.237011911723933</v>
      </c>
      <c r="R340" s="3">
        <f t="shared" si="154"/>
        <v>54.790970098311789</v>
      </c>
      <c r="S340" s="3">
        <f t="shared" si="149"/>
        <v>1</v>
      </c>
      <c r="T340" s="3">
        <f t="shared" si="155"/>
        <v>25553.958186587854</v>
      </c>
      <c r="U340" s="3">
        <f t="shared" si="156"/>
        <v>0.5</v>
      </c>
      <c r="V340" s="3">
        <f t="shared" si="157"/>
        <v>0</v>
      </c>
      <c r="W340" s="3">
        <f t="shared" si="158"/>
        <v>26899.481989784395</v>
      </c>
      <c r="X340" s="3">
        <f t="shared" si="150"/>
        <v>14618.505955861967</v>
      </c>
      <c r="AI340" s="3"/>
      <c r="AJ340" s="3"/>
      <c r="AK340" s="15">
        <f t="shared" si="141"/>
        <v>1</v>
      </c>
      <c r="AL340" s="11">
        <f t="shared" si="145"/>
        <v>1986</v>
      </c>
      <c r="AM340" s="11" t="b">
        <f t="shared" si="140"/>
        <v>0</v>
      </c>
      <c r="AN340" s="11">
        <f t="shared" si="142"/>
        <v>36000</v>
      </c>
      <c r="AO340" s="11">
        <f t="shared" si="143"/>
        <v>0</v>
      </c>
      <c r="AP340" s="11">
        <f t="shared" si="144"/>
        <v>0.47215917811678415</v>
      </c>
      <c r="AQ340" s="11">
        <f t="shared" si="146"/>
        <v>0</v>
      </c>
      <c r="AT340" s="3"/>
      <c r="AU340" s="17"/>
      <c r="AV340" s="19"/>
      <c r="AW340" s="17"/>
      <c r="AX340" s="17">
        <f t="shared" si="139"/>
        <v>331</v>
      </c>
      <c r="AY340" s="17">
        <f t="shared" ref="AY340:AY403" si="164">IF(ISNUMBER(AX340),IF(ROUND((AX340)*$AG$15*$AB$15,0) &lt;= 10080, ROUND((AX340)*$AG$15,0)*$AB$15/60, 168),168)</f>
        <v>33.1</v>
      </c>
      <c r="AZ340" s="17">
        <v>47.215917811678416</v>
      </c>
      <c r="BA340" s="17"/>
      <c r="BB340" s="17">
        <v>36</v>
      </c>
      <c r="BC340" s="17"/>
      <c r="BD340" s="17"/>
      <c r="BE340" s="17"/>
      <c r="BF340" s="17"/>
      <c r="BG340" s="17"/>
      <c r="BH340" s="17"/>
      <c r="BI340" s="17"/>
      <c r="BJ340" s="17"/>
      <c r="BK340" s="17"/>
      <c r="BL340" s="17"/>
      <c r="BM340" s="17"/>
      <c r="BN340" s="17"/>
      <c r="BO340" s="17"/>
      <c r="BP340" s="17"/>
      <c r="BQ340" s="17"/>
      <c r="BR340" s="17"/>
      <c r="BS340" s="17"/>
      <c r="BT340" s="17"/>
      <c r="BU340" s="17"/>
      <c r="BV340" s="17"/>
      <c r="BW340" s="17"/>
      <c r="BX340" s="17"/>
      <c r="BY340" s="17"/>
      <c r="BZ340" s="17"/>
      <c r="CA340" s="17"/>
      <c r="CB340" s="17"/>
      <c r="CC340" s="17"/>
      <c r="CD340" s="17"/>
      <c r="CE340" s="17"/>
      <c r="CF340" s="17"/>
      <c r="CG340" s="17"/>
      <c r="CH340" s="17"/>
    </row>
    <row r="341" spans="8:86" x14ac:dyDescent="0.15">
      <c r="H341" s="3">
        <f t="shared" si="159"/>
        <v>0.32900000000000024</v>
      </c>
      <c r="I341" s="3">
        <f t="shared" si="160"/>
        <v>360</v>
      </c>
      <c r="J341" s="14">
        <f t="shared" si="161"/>
        <v>500</v>
      </c>
      <c r="K341" s="3">
        <f t="shared" si="151"/>
        <v>0</v>
      </c>
      <c r="L341" s="3">
        <f t="shared" si="147"/>
        <v>500</v>
      </c>
      <c r="M341" s="15">
        <f t="shared" si="162"/>
        <v>7.0000000000000007E-2</v>
      </c>
      <c r="N341" s="3">
        <f t="shared" si="163"/>
        <v>74.649800087771681</v>
      </c>
      <c r="O341" s="3">
        <f t="shared" si="148"/>
        <v>74.649800087771681</v>
      </c>
      <c r="P341" s="3">
        <f t="shared" si="152"/>
        <v>80.268602244915797</v>
      </c>
      <c r="Q341" s="3">
        <f t="shared" si="153"/>
        <v>29.185903995350756</v>
      </c>
      <c r="R341" s="3">
        <f t="shared" si="154"/>
        <v>54.727253120133277</v>
      </c>
      <c r="S341" s="3">
        <f t="shared" si="149"/>
        <v>1</v>
      </c>
      <c r="T341" s="3">
        <f t="shared" si="155"/>
        <v>25541.349124782522</v>
      </c>
      <c r="U341" s="3">
        <f t="shared" si="156"/>
        <v>0.5</v>
      </c>
      <c r="V341" s="3">
        <f t="shared" si="157"/>
        <v>0</v>
      </c>
      <c r="W341" s="3">
        <f t="shared" si="158"/>
        <v>26873.928031597807</v>
      </c>
      <c r="X341" s="3">
        <f t="shared" si="150"/>
        <v>14592.951997675378</v>
      </c>
      <c r="AI341" s="3"/>
      <c r="AJ341" s="3"/>
      <c r="AK341" s="15">
        <f t="shared" si="141"/>
        <v>1</v>
      </c>
      <c r="AL341" s="11">
        <f t="shared" si="145"/>
        <v>1992</v>
      </c>
      <c r="AM341" s="11" t="b">
        <f t="shared" si="140"/>
        <v>0</v>
      </c>
      <c r="AN341" s="11">
        <f t="shared" si="142"/>
        <v>36000</v>
      </c>
      <c r="AO341" s="11">
        <f t="shared" si="143"/>
        <v>0</v>
      </c>
      <c r="AP341" s="11">
        <f t="shared" si="144"/>
        <v>0.47326149293159903</v>
      </c>
      <c r="AQ341" s="11">
        <f t="shared" si="146"/>
        <v>0</v>
      </c>
      <c r="AT341" s="3"/>
      <c r="AU341" s="17"/>
      <c r="AV341" s="19"/>
      <c r="AW341" s="17"/>
      <c r="AX341" s="17">
        <f t="shared" si="139"/>
        <v>332</v>
      </c>
      <c r="AY341" s="17">
        <f t="shared" si="164"/>
        <v>33.200000000000003</v>
      </c>
      <c r="AZ341" s="17">
        <v>47.326149293159901</v>
      </c>
      <c r="BA341" s="17"/>
      <c r="BB341" s="17">
        <v>36</v>
      </c>
      <c r="BC341" s="17"/>
      <c r="BD341" s="17"/>
      <c r="BE341" s="17"/>
      <c r="BF341" s="17"/>
      <c r="BG341" s="17"/>
      <c r="BH341" s="17"/>
      <c r="BI341" s="17"/>
      <c r="BJ341" s="17"/>
      <c r="BK341" s="17"/>
      <c r="BL341" s="17"/>
      <c r="BM341" s="17"/>
      <c r="BN341" s="17"/>
      <c r="BO341" s="17"/>
      <c r="BP341" s="17"/>
      <c r="BQ341" s="17"/>
      <c r="BR341" s="17"/>
      <c r="BS341" s="17"/>
      <c r="BT341" s="17"/>
      <c r="BU341" s="17"/>
      <c r="BV341" s="17"/>
      <c r="BW341" s="17"/>
      <c r="BX341" s="17"/>
      <c r="BY341" s="17"/>
      <c r="BZ341" s="17"/>
      <c r="CA341" s="17"/>
      <c r="CB341" s="17"/>
      <c r="CC341" s="17"/>
      <c r="CD341" s="17"/>
      <c r="CE341" s="17"/>
      <c r="CF341" s="17"/>
      <c r="CG341" s="17"/>
      <c r="CH341" s="17"/>
    </row>
    <row r="342" spans="8:86" x14ac:dyDescent="0.15">
      <c r="H342" s="3">
        <f t="shared" si="159"/>
        <v>0.33000000000000024</v>
      </c>
      <c r="I342" s="3">
        <f t="shared" si="160"/>
        <v>360</v>
      </c>
      <c r="J342" s="14">
        <f t="shared" si="161"/>
        <v>500</v>
      </c>
      <c r="K342" s="3">
        <f t="shared" si="151"/>
        <v>0</v>
      </c>
      <c r="L342" s="3">
        <f t="shared" si="147"/>
        <v>500</v>
      </c>
      <c r="M342" s="15">
        <f t="shared" si="162"/>
        <v>7.0000000000000007E-2</v>
      </c>
      <c r="N342" s="3">
        <f t="shared" si="163"/>
        <v>74.578851895758405</v>
      </c>
      <c r="O342" s="3">
        <f t="shared" si="148"/>
        <v>74.578851895758405</v>
      </c>
      <c r="P342" s="3">
        <f t="shared" si="152"/>
        <v>80.192313866406892</v>
      </c>
      <c r="Q342" s="3">
        <f t="shared" si="153"/>
        <v>29.134821297101194</v>
      </c>
      <c r="R342" s="3">
        <f t="shared" si="154"/>
        <v>54.663567581754045</v>
      </c>
      <c r="S342" s="3">
        <f t="shared" si="149"/>
        <v>1</v>
      </c>
      <c r="T342" s="3">
        <f t="shared" si="155"/>
        <v>25528.746284652847</v>
      </c>
      <c r="U342" s="3">
        <f t="shared" si="156"/>
        <v>0.5</v>
      </c>
      <c r="V342" s="3">
        <f t="shared" si="157"/>
        <v>0</v>
      </c>
      <c r="W342" s="3">
        <f t="shared" si="158"/>
        <v>26848.386682473025</v>
      </c>
      <c r="X342" s="3">
        <f t="shared" si="150"/>
        <v>14567.410648550596</v>
      </c>
      <c r="AI342" s="3"/>
      <c r="AJ342" s="3"/>
      <c r="AK342" s="15">
        <f t="shared" si="141"/>
        <v>1</v>
      </c>
      <c r="AL342" s="11">
        <f t="shared" si="145"/>
        <v>1998</v>
      </c>
      <c r="AM342" s="11" t="b">
        <f t="shared" si="140"/>
        <v>0</v>
      </c>
      <c r="AN342" s="11">
        <f t="shared" si="142"/>
        <v>36000</v>
      </c>
      <c r="AO342" s="11">
        <f t="shared" si="143"/>
        <v>0</v>
      </c>
      <c r="AP342" s="11">
        <f t="shared" si="144"/>
        <v>0.47436380774641385</v>
      </c>
      <c r="AQ342" s="11">
        <f t="shared" si="146"/>
        <v>0</v>
      </c>
      <c r="AT342" s="3"/>
      <c r="AU342" s="17"/>
      <c r="AV342" s="19"/>
      <c r="AW342" s="17"/>
      <c r="AX342" s="17">
        <f t="shared" si="139"/>
        <v>333</v>
      </c>
      <c r="AY342" s="17">
        <f t="shared" si="164"/>
        <v>33.299999999999997</v>
      </c>
      <c r="AZ342" s="17">
        <v>47.436380774641385</v>
      </c>
      <c r="BA342" s="17"/>
      <c r="BB342" s="17">
        <v>36</v>
      </c>
      <c r="BC342" s="17"/>
      <c r="BD342" s="17"/>
      <c r="BE342" s="17"/>
      <c r="BF342" s="17"/>
      <c r="BG342" s="17"/>
      <c r="BH342" s="17"/>
      <c r="BI342" s="17"/>
      <c r="BJ342" s="17"/>
      <c r="BK342" s="17"/>
      <c r="BL342" s="17"/>
      <c r="BM342" s="17"/>
      <c r="BN342" s="17"/>
      <c r="BO342" s="17"/>
      <c r="BP342" s="17"/>
      <c r="BQ342" s="17"/>
      <c r="BR342" s="17"/>
      <c r="BS342" s="17"/>
      <c r="BT342" s="17"/>
      <c r="BU342" s="17"/>
      <c r="BV342" s="17"/>
      <c r="BW342" s="17"/>
      <c r="BX342" s="17"/>
      <c r="BY342" s="17"/>
      <c r="BZ342" s="17"/>
      <c r="CA342" s="17"/>
      <c r="CB342" s="17"/>
      <c r="CC342" s="17"/>
      <c r="CD342" s="17"/>
      <c r="CE342" s="17"/>
      <c r="CF342" s="17"/>
      <c r="CG342" s="17"/>
      <c r="CH342" s="17"/>
    </row>
    <row r="343" spans="8:86" x14ac:dyDescent="0.15">
      <c r="H343" s="3">
        <f t="shared" si="159"/>
        <v>0.33100000000000024</v>
      </c>
      <c r="I343" s="3">
        <f t="shared" si="160"/>
        <v>360</v>
      </c>
      <c r="J343" s="14">
        <f t="shared" si="161"/>
        <v>500</v>
      </c>
      <c r="K343" s="3">
        <f t="shared" si="151"/>
        <v>0</v>
      </c>
      <c r="L343" s="3">
        <f t="shared" si="147"/>
        <v>500</v>
      </c>
      <c r="M343" s="15">
        <f t="shared" si="162"/>
        <v>7.0000000000000007E-2</v>
      </c>
      <c r="N343" s="3">
        <f t="shared" si="163"/>
        <v>74.507938711634367</v>
      </c>
      <c r="O343" s="3">
        <f t="shared" si="148"/>
        <v>74.507938711634367</v>
      </c>
      <c r="P343" s="3">
        <f t="shared" si="152"/>
        <v>80.116063130789641</v>
      </c>
      <c r="Q343" s="3">
        <f t="shared" si="153"/>
        <v>29.083763804531884</v>
      </c>
      <c r="R343" s="3">
        <f t="shared" si="154"/>
        <v>54.599913467660762</v>
      </c>
      <c r="S343" s="3">
        <f t="shared" si="149"/>
        <v>1</v>
      </c>
      <c r="T343" s="3">
        <f t="shared" si="155"/>
        <v>25516.149663128879</v>
      </c>
      <c r="U343" s="3">
        <f t="shared" si="156"/>
        <v>0.5</v>
      </c>
      <c r="V343" s="3">
        <f t="shared" si="157"/>
        <v>0</v>
      </c>
      <c r="W343" s="3">
        <f t="shared" si="158"/>
        <v>26822.857936188371</v>
      </c>
      <c r="X343" s="3">
        <f t="shared" si="150"/>
        <v>14541.881902265943</v>
      </c>
      <c r="AI343" s="3"/>
      <c r="AJ343" s="3"/>
      <c r="AK343" s="15">
        <f t="shared" si="141"/>
        <v>1</v>
      </c>
      <c r="AL343" s="11">
        <f t="shared" si="145"/>
        <v>2004</v>
      </c>
      <c r="AM343" s="11" t="b">
        <f t="shared" si="140"/>
        <v>0</v>
      </c>
      <c r="AN343" s="11">
        <f t="shared" si="142"/>
        <v>36000</v>
      </c>
      <c r="AO343" s="11">
        <f t="shared" si="143"/>
        <v>0</v>
      </c>
      <c r="AP343" s="11">
        <f t="shared" si="144"/>
        <v>0.47546612256122867</v>
      </c>
      <c r="AQ343" s="11">
        <f t="shared" si="146"/>
        <v>0</v>
      </c>
      <c r="AT343" s="3"/>
      <c r="AU343" s="17"/>
      <c r="AV343" s="19"/>
      <c r="AW343" s="17"/>
      <c r="AX343" s="17">
        <f t="shared" si="139"/>
        <v>334</v>
      </c>
      <c r="AY343" s="17">
        <f t="shared" si="164"/>
        <v>33.4</v>
      </c>
      <c r="AZ343" s="17">
        <v>47.54661225612287</v>
      </c>
      <c r="BA343" s="17"/>
      <c r="BB343" s="17">
        <v>36</v>
      </c>
      <c r="BC343" s="17"/>
      <c r="BD343" s="17"/>
      <c r="BE343" s="17"/>
      <c r="BF343" s="17"/>
      <c r="BG343" s="17"/>
      <c r="BH343" s="17"/>
      <c r="BI343" s="17"/>
      <c r="BJ343" s="17"/>
      <c r="BK343" s="17"/>
      <c r="BL343" s="17"/>
      <c r="BM343" s="17"/>
      <c r="BN343" s="17"/>
      <c r="BO343" s="17"/>
      <c r="BP343" s="17"/>
      <c r="BQ343" s="17"/>
      <c r="BR343" s="17"/>
      <c r="BS343" s="17"/>
      <c r="BT343" s="17"/>
      <c r="BU343" s="17"/>
      <c r="BV343" s="17"/>
      <c r="BW343" s="17"/>
      <c r="BX343" s="17"/>
      <c r="BY343" s="17"/>
      <c r="BZ343" s="17"/>
      <c r="CA343" s="17"/>
      <c r="CB343" s="17"/>
      <c r="CC343" s="17"/>
      <c r="CD343" s="17"/>
      <c r="CE343" s="17"/>
      <c r="CF343" s="17"/>
      <c r="CG343" s="17"/>
      <c r="CH343" s="17"/>
    </row>
    <row r="344" spans="8:86" x14ac:dyDescent="0.15">
      <c r="H344" s="3">
        <f t="shared" si="159"/>
        <v>0.33200000000000024</v>
      </c>
      <c r="I344" s="3">
        <f t="shared" si="160"/>
        <v>360</v>
      </c>
      <c r="J344" s="14">
        <f t="shared" si="161"/>
        <v>500</v>
      </c>
      <c r="K344" s="3">
        <f t="shared" si="151"/>
        <v>0</v>
      </c>
      <c r="L344" s="3">
        <f t="shared" si="147"/>
        <v>500</v>
      </c>
      <c r="M344" s="15">
        <f t="shared" si="162"/>
        <v>7.0000000000000007E-2</v>
      </c>
      <c r="N344" s="3">
        <f t="shared" si="163"/>
        <v>74.437060518125676</v>
      </c>
      <c r="O344" s="3">
        <f t="shared" si="148"/>
        <v>74.437060518125676</v>
      </c>
      <c r="P344" s="3">
        <f t="shared" si="152"/>
        <v>80.039850019489975</v>
      </c>
      <c r="Q344" s="3">
        <f t="shared" si="153"/>
        <v>29.032731505205629</v>
      </c>
      <c r="R344" s="3">
        <f t="shared" si="154"/>
        <v>54.536290762347804</v>
      </c>
      <c r="S344" s="3">
        <f t="shared" si="149"/>
        <v>1</v>
      </c>
      <c r="T344" s="3">
        <f t="shared" si="155"/>
        <v>25503.559257142173</v>
      </c>
      <c r="U344" s="3">
        <f t="shared" si="156"/>
        <v>0.5</v>
      </c>
      <c r="V344" s="3">
        <f t="shared" si="157"/>
        <v>0</v>
      </c>
      <c r="W344" s="3">
        <f t="shared" si="158"/>
        <v>26797.341786525245</v>
      </c>
      <c r="X344" s="3">
        <f t="shared" si="150"/>
        <v>14516.365752602815</v>
      </c>
      <c r="AI344" s="3"/>
      <c r="AJ344" s="3"/>
      <c r="AK344" s="15">
        <f t="shared" si="141"/>
        <v>1</v>
      </c>
      <c r="AL344" s="11">
        <f t="shared" si="145"/>
        <v>2010</v>
      </c>
      <c r="AM344" s="11" t="b">
        <f t="shared" si="140"/>
        <v>0</v>
      </c>
      <c r="AN344" s="11">
        <f t="shared" si="142"/>
        <v>36000</v>
      </c>
      <c r="AO344" s="11">
        <f t="shared" si="143"/>
        <v>0</v>
      </c>
      <c r="AP344" s="11">
        <f t="shared" si="144"/>
        <v>0.47656843737604354</v>
      </c>
      <c r="AQ344" s="11">
        <f t="shared" si="146"/>
        <v>0</v>
      </c>
      <c r="AT344" s="3"/>
      <c r="AU344" s="17"/>
      <c r="AV344" s="19"/>
      <c r="AW344" s="17"/>
      <c r="AX344" s="17">
        <f t="shared" si="139"/>
        <v>335</v>
      </c>
      <c r="AY344" s="17">
        <f t="shared" si="164"/>
        <v>33.5</v>
      </c>
      <c r="AZ344" s="17">
        <v>47.656843737604355</v>
      </c>
      <c r="BA344" s="17"/>
      <c r="BB344" s="17">
        <v>36</v>
      </c>
      <c r="BC344" s="17"/>
      <c r="BD344" s="17"/>
      <c r="BE344" s="17"/>
      <c r="BF344" s="17"/>
      <c r="BG344" s="17"/>
      <c r="BH344" s="17"/>
      <c r="BI344" s="17"/>
      <c r="BJ344" s="17"/>
      <c r="BK344" s="17"/>
      <c r="BL344" s="17"/>
      <c r="BM344" s="17"/>
      <c r="BN344" s="17"/>
      <c r="BO344" s="17"/>
      <c r="BP344" s="17"/>
      <c r="BQ344" s="17"/>
      <c r="BR344" s="17"/>
      <c r="BS344" s="17"/>
      <c r="BT344" s="17"/>
      <c r="BU344" s="17"/>
      <c r="BV344" s="17"/>
      <c r="BW344" s="17"/>
      <c r="BX344" s="17"/>
      <c r="BY344" s="17"/>
      <c r="BZ344" s="17"/>
      <c r="CA344" s="17"/>
      <c r="CB344" s="17"/>
      <c r="CC344" s="17"/>
      <c r="CD344" s="17"/>
      <c r="CE344" s="17"/>
      <c r="CF344" s="17"/>
      <c r="CG344" s="17"/>
      <c r="CH344" s="17"/>
    </row>
    <row r="345" spans="8:86" x14ac:dyDescent="0.15">
      <c r="H345" s="3">
        <f t="shared" si="159"/>
        <v>0.33300000000000024</v>
      </c>
      <c r="I345" s="3">
        <f t="shared" si="160"/>
        <v>360</v>
      </c>
      <c r="J345" s="14">
        <f t="shared" si="161"/>
        <v>500</v>
      </c>
      <c r="K345" s="3">
        <f t="shared" si="151"/>
        <v>0</v>
      </c>
      <c r="L345" s="3">
        <f t="shared" si="147"/>
        <v>500</v>
      </c>
      <c r="M345" s="15">
        <f t="shared" si="162"/>
        <v>7.0000000000000007E-2</v>
      </c>
      <c r="N345" s="3">
        <f t="shared" si="163"/>
        <v>74.366217297966941</v>
      </c>
      <c r="O345" s="3">
        <f t="shared" si="148"/>
        <v>74.366217297966941</v>
      </c>
      <c r="P345" s="3">
        <f t="shared" si="152"/>
        <v>79.963674513942948</v>
      </c>
      <c r="Q345" s="3">
        <f t="shared" si="153"/>
        <v>28.981724386691344</v>
      </c>
      <c r="R345" s="3">
        <f t="shared" si="154"/>
        <v>54.472699450317144</v>
      </c>
      <c r="S345" s="3">
        <f t="shared" si="149"/>
        <v>1</v>
      </c>
      <c r="T345" s="3">
        <f t="shared" si="155"/>
        <v>25490.975063625803</v>
      </c>
      <c r="U345" s="3">
        <f t="shared" si="156"/>
        <v>0.5</v>
      </c>
      <c r="V345" s="3">
        <f t="shared" si="157"/>
        <v>0</v>
      </c>
      <c r="W345" s="3">
        <f t="shared" si="158"/>
        <v>26771.838227268097</v>
      </c>
      <c r="X345" s="3">
        <f t="shared" si="150"/>
        <v>14490.862193345672</v>
      </c>
      <c r="AI345" s="3"/>
      <c r="AJ345" s="3"/>
      <c r="AK345" s="15">
        <f t="shared" si="141"/>
        <v>1</v>
      </c>
      <c r="AL345" s="11">
        <f t="shared" si="145"/>
        <v>2016</v>
      </c>
      <c r="AM345" s="11" t="b">
        <f t="shared" si="140"/>
        <v>0</v>
      </c>
      <c r="AN345" s="11">
        <f t="shared" si="142"/>
        <v>36000</v>
      </c>
      <c r="AO345" s="11">
        <f t="shared" si="143"/>
        <v>0</v>
      </c>
      <c r="AP345" s="11">
        <f t="shared" si="144"/>
        <v>0.47767075219085836</v>
      </c>
      <c r="AQ345" s="11">
        <f t="shared" si="146"/>
        <v>0</v>
      </c>
      <c r="AT345" s="3"/>
      <c r="AU345" s="17"/>
      <c r="AV345" s="19"/>
      <c r="AW345" s="17"/>
      <c r="AX345" s="17">
        <f t="shared" si="139"/>
        <v>336</v>
      </c>
      <c r="AY345" s="17">
        <f t="shared" si="164"/>
        <v>33.6</v>
      </c>
      <c r="AZ345" s="17">
        <v>47.767075219085839</v>
      </c>
      <c r="BA345" s="17"/>
      <c r="BB345" s="17">
        <v>36</v>
      </c>
      <c r="BC345" s="17"/>
      <c r="BD345" s="17"/>
      <c r="BE345" s="17"/>
      <c r="BF345" s="17"/>
      <c r="BG345" s="17"/>
      <c r="BH345" s="17"/>
      <c r="BI345" s="17"/>
      <c r="BJ345" s="17"/>
      <c r="BK345" s="17"/>
      <c r="BL345" s="17"/>
      <c r="BM345" s="17"/>
      <c r="BN345" s="17"/>
      <c r="BO345" s="17"/>
      <c r="BP345" s="17"/>
      <c r="BQ345" s="17"/>
      <c r="BR345" s="17"/>
      <c r="BS345" s="17"/>
      <c r="BT345" s="17"/>
      <c r="BU345" s="17"/>
      <c r="BV345" s="17"/>
      <c r="BW345" s="17"/>
      <c r="BX345" s="17"/>
      <c r="BY345" s="17"/>
      <c r="BZ345" s="17"/>
      <c r="CA345" s="17"/>
      <c r="CB345" s="17"/>
      <c r="CC345" s="17"/>
      <c r="CD345" s="17"/>
      <c r="CE345" s="17"/>
      <c r="CF345" s="17"/>
      <c r="CG345" s="17"/>
      <c r="CH345" s="17"/>
    </row>
    <row r="346" spans="8:86" x14ac:dyDescent="0.15">
      <c r="H346" s="3">
        <f t="shared" si="159"/>
        <v>0.33400000000000024</v>
      </c>
      <c r="I346" s="3">
        <f t="shared" si="160"/>
        <v>360</v>
      </c>
      <c r="J346" s="14">
        <f t="shared" si="161"/>
        <v>500</v>
      </c>
      <c r="K346" s="3">
        <f t="shared" si="151"/>
        <v>0</v>
      </c>
      <c r="L346" s="3">
        <f t="shared" si="147"/>
        <v>500</v>
      </c>
      <c r="M346" s="15">
        <f t="shared" si="162"/>
        <v>7.0000000000000007E-2</v>
      </c>
      <c r="N346" s="3">
        <f t="shared" si="163"/>
        <v>74.295409033901308</v>
      </c>
      <c r="O346" s="3">
        <f t="shared" si="148"/>
        <v>74.295409033901308</v>
      </c>
      <c r="P346" s="3">
        <f t="shared" si="152"/>
        <v>79.887536595592806</v>
      </c>
      <c r="Q346" s="3">
        <f t="shared" si="153"/>
        <v>28.930742436564095</v>
      </c>
      <c r="R346" s="3">
        <f t="shared" si="154"/>
        <v>54.409139516078454</v>
      </c>
      <c r="S346" s="3">
        <f t="shared" si="149"/>
        <v>1</v>
      </c>
      <c r="T346" s="3">
        <f t="shared" si="155"/>
        <v>25478.397079514354</v>
      </c>
      <c r="U346" s="3">
        <f t="shared" si="156"/>
        <v>0.5</v>
      </c>
      <c r="V346" s="3">
        <f t="shared" si="157"/>
        <v>0</v>
      </c>
      <c r="W346" s="3">
        <f t="shared" si="158"/>
        <v>26746.347252204472</v>
      </c>
      <c r="X346" s="3">
        <f t="shared" si="150"/>
        <v>14465.371218282047</v>
      </c>
      <c r="AI346" s="3"/>
      <c r="AJ346" s="3"/>
      <c r="AK346" s="15">
        <f t="shared" si="141"/>
        <v>1</v>
      </c>
      <c r="AL346" s="11">
        <f t="shared" si="145"/>
        <v>2022</v>
      </c>
      <c r="AM346" s="11" t="b">
        <f t="shared" si="140"/>
        <v>0</v>
      </c>
      <c r="AN346" s="11">
        <f t="shared" si="142"/>
        <v>36000</v>
      </c>
      <c r="AO346" s="11">
        <f t="shared" si="143"/>
        <v>0</v>
      </c>
      <c r="AP346" s="11">
        <f t="shared" si="144"/>
        <v>0.47877306700567318</v>
      </c>
      <c r="AQ346" s="11">
        <f t="shared" si="146"/>
        <v>0</v>
      </c>
      <c r="AT346" s="3"/>
      <c r="AU346" s="17"/>
      <c r="AV346" s="19"/>
      <c r="AW346" s="17"/>
      <c r="AX346" s="17">
        <f t="shared" si="139"/>
        <v>337</v>
      </c>
      <c r="AY346" s="17">
        <f t="shared" si="164"/>
        <v>33.700000000000003</v>
      </c>
      <c r="AZ346" s="17">
        <v>47.877306700567317</v>
      </c>
      <c r="BA346" s="17"/>
      <c r="BB346" s="17">
        <v>36</v>
      </c>
      <c r="BC346" s="17"/>
      <c r="BD346" s="17"/>
      <c r="BE346" s="17"/>
      <c r="BF346" s="17"/>
      <c r="BG346" s="17"/>
      <c r="BH346" s="17"/>
      <c r="BI346" s="17"/>
      <c r="BJ346" s="17"/>
      <c r="BK346" s="17"/>
      <c r="BL346" s="17"/>
      <c r="BM346" s="17"/>
      <c r="BN346" s="17"/>
      <c r="BO346" s="17"/>
      <c r="BP346" s="17"/>
      <c r="BQ346" s="17"/>
      <c r="BR346" s="17"/>
      <c r="BS346" s="17"/>
      <c r="BT346" s="17"/>
      <c r="BU346" s="17"/>
      <c r="BV346" s="17"/>
      <c r="BW346" s="17"/>
      <c r="BX346" s="17"/>
      <c r="BY346" s="17"/>
      <c r="BZ346" s="17"/>
      <c r="CA346" s="17"/>
      <c r="CB346" s="17"/>
      <c r="CC346" s="17"/>
      <c r="CD346" s="17"/>
      <c r="CE346" s="17"/>
      <c r="CF346" s="17"/>
      <c r="CG346" s="17"/>
      <c r="CH346" s="17"/>
    </row>
    <row r="347" spans="8:86" x14ac:dyDescent="0.15">
      <c r="H347" s="3">
        <f t="shared" si="159"/>
        <v>0.33500000000000024</v>
      </c>
      <c r="I347" s="3">
        <f t="shared" si="160"/>
        <v>360</v>
      </c>
      <c r="J347" s="14">
        <f t="shared" si="161"/>
        <v>500</v>
      </c>
      <c r="K347" s="3">
        <f t="shared" si="151"/>
        <v>0</v>
      </c>
      <c r="L347" s="3">
        <f t="shared" si="147"/>
        <v>500</v>
      </c>
      <c r="M347" s="15">
        <f t="shared" si="162"/>
        <v>7.0000000000000007E-2</v>
      </c>
      <c r="N347" s="3">
        <f t="shared" si="163"/>
        <v>74.224635708680438</v>
      </c>
      <c r="O347" s="3">
        <f t="shared" si="148"/>
        <v>74.224635708680438</v>
      </c>
      <c r="P347" s="3">
        <f t="shared" si="152"/>
        <v>79.811436245892949</v>
      </c>
      <c r="Q347" s="3">
        <f t="shared" si="153"/>
        <v>28.879785642405064</v>
      </c>
      <c r="R347" s="3">
        <f t="shared" si="154"/>
        <v>54.345610944149009</v>
      </c>
      <c r="S347" s="3">
        <f t="shared" si="149"/>
        <v>1</v>
      </c>
      <c r="T347" s="3">
        <f t="shared" si="155"/>
        <v>25465.825301743942</v>
      </c>
      <c r="U347" s="3">
        <f t="shared" si="156"/>
        <v>0.5</v>
      </c>
      <c r="V347" s="3">
        <f t="shared" si="157"/>
        <v>0</v>
      </c>
      <c r="W347" s="3">
        <f t="shared" si="158"/>
        <v>26720.868855124958</v>
      </c>
      <c r="X347" s="3">
        <f t="shared" si="150"/>
        <v>14439.892821202533</v>
      </c>
      <c r="AI347" s="3"/>
      <c r="AJ347" s="3"/>
      <c r="AK347" s="15">
        <f t="shared" si="141"/>
        <v>1</v>
      </c>
      <c r="AL347" s="11">
        <f t="shared" si="145"/>
        <v>2028</v>
      </c>
      <c r="AM347" s="11" t="b">
        <f t="shared" si="140"/>
        <v>0</v>
      </c>
      <c r="AN347" s="11">
        <f t="shared" si="142"/>
        <v>36000</v>
      </c>
      <c r="AO347" s="11">
        <f t="shared" si="143"/>
        <v>0</v>
      </c>
      <c r="AP347" s="11">
        <f t="shared" si="144"/>
        <v>0.47987538182048806</v>
      </c>
      <c r="AQ347" s="11">
        <f t="shared" si="146"/>
        <v>0</v>
      </c>
      <c r="AT347" s="3"/>
      <c r="AU347" s="17"/>
      <c r="AV347" s="19"/>
      <c r="AW347" s="17"/>
      <c r="AX347" s="17">
        <f t="shared" si="139"/>
        <v>338</v>
      </c>
      <c r="AY347" s="17">
        <f t="shared" si="164"/>
        <v>33.799999999999997</v>
      </c>
      <c r="AZ347" s="17">
        <v>47.987538182048809</v>
      </c>
      <c r="BA347" s="17"/>
      <c r="BB347" s="17">
        <v>36</v>
      </c>
      <c r="BC347" s="17"/>
      <c r="BD347" s="17"/>
      <c r="BE347" s="17"/>
      <c r="BF347" s="17"/>
      <c r="BG347" s="17"/>
      <c r="BH347" s="17"/>
      <c r="BI347" s="17"/>
      <c r="BJ347" s="17"/>
      <c r="BK347" s="17"/>
      <c r="BL347" s="17"/>
      <c r="BM347" s="17"/>
      <c r="BN347" s="17"/>
      <c r="BO347" s="17"/>
      <c r="BP347" s="17"/>
      <c r="BQ347" s="17"/>
      <c r="BR347" s="17"/>
      <c r="BS347" s="17"/>
      <c r="BT347" s="17"/>
      <c r="BU347" s="17"/>
      <c r="BV347" s="17"/>
      <c r="BW347" s="17"/>
      <c r="BX347" s="17"/>
      <c r="BY347" s="17"/>
      <c r="BZ347" s="17"/>
      <c r="CA347" s="17"/>
      <c r="CB347" s="17"/>
      <c r="CC347" s="17"/>
      <c r="CD347" s="17"/>
      <c r="CE347" s="17"/>
      <c r="CF347" s="17"/>
      <c r="CG347" s="17"/>
      <c r="CH347" s="17"/>
    </row>
    <row r="348" spans="8:86" x14ac:dyDescent="0.15">
      <c r="H348" s="3">
        <f t="shared" si="159"/>
        <v>0.33600000000000024</v>
      </c>
      <c r="I348" s="3">
        <f t="shared" si="160"/>
        <v>360</v>
      </c>
      <c r="J348" s="14">
        <f t="shared" si="161"/>
        <v>500</v>
      </c>
      <c r="K348" s="3">
        <f t="shared" si="151"/>
        <v>0</v>
      </c>
      <c r="L348" s="3">
        <f t="shared" si="147"/>
        <v>500</v>
      </c>
      <c r="M348" s="15">
        <f t="shared" si="162"/>
        <v>7.0000000000000007E-2</v>
      </c>
      <c r="N348" s="3">
        <f t="shared" si="163"/>
        <v>74.153897305064476</v>
      </c>
      <c r="O348" s="3">
        <f t="shared" si="148"/>
        <v>74.153897305064476</v>
      </c>
      <c r="P348" s="3">
        <f t="shared" si="152"/>
        <v>79.7353734463059</v>
      </c>
      <c r="Q348" s="3">
        <f t="shared" si="153"/>
        <v>28.828853991801576</v>
      </c>
      <c r="R348" s="3">
        <f t="shared" si="154"/>
        <v>54.28211371905374</v>
      </c>
      <c r="S348" s="3">
        <f t="shared" si="149"/>
        <v>1</v>
      </c>
      <c r="T348" s="3">
        <f t="shared" si="155"/>
        <v>25453.25972725216</v>
      </c>
      <c r="U348" s="3">
        <f t="shared" si="156"/>
        <v>0.5</v>
      </c>
      <c r="V348" s="3">
        <f t="shared" si="157"/>
        <v>0</v>
      </c>
      <c r="W348" s="3">
        <f t="shared" si="158"/>
        <v>26695.40302982321</v>
      </c>
      <c r="X348" s="3">
        <f t="shared" si="150"/>
        <v>14414.426995900789</v>
      </c>
      <c r="AI348" s="3"/>
      <c r="AJ348" s="3"/>
      <c r="AK348" s="15">
        <f t="shared" si="141"/>
        <v>1</v>
      </c>
      <c r="AL348" s="11">
        <f t="shared" si="145"/>
        <v>2034</v>
      </c>
      <c r="AM348" s="11" t="b">
        <f t="shared" si="140"/>
        <v>0</v>
      </c>
      <c r="AN348" s="11">
        <f t="shared" si="142"/>
        <v>36000</v>
      </c>
      <c r="AO348" s="11">
        <f t="shared" si="143"/>
        <v>0</v>
      </c>
      <c r="AP348" s="11">
        <f t="shared" si="144"/>
        <v>0.48097769663530288</v>
      </c>
      <c r="AQ348" s="11">
        <f t="shared" si="146"/>
        <v>0</v>
      </c>
      <c r="AT348" s="3"/>
      <c r="AU348" s="17"/>
      <c r="AV348" s="19"/>
      <c r="AW348" s="17"/>
      <c r="AX348" s="17">
        <f t="shared" si="139"/>
        <v>339</v>
      </c>
      <c r="AY348" s="17">
        <f t="shared" si="164"/>
        <v>33.9</v>
      </c>
      <c r="AZ348" s="17">
        <v>48.097769663530286</v>
      </c>
      <c r="BA348" s="17"/>
      <c r="BB348" s="17">
        <v>36</v>
      </c>
      <c r="BC348" s="17"/>
      <c r="BD348" s="17"/>
      <c r="BE348" s="17"/>
      <c r="BF348" s="17"/>
      <c r="BG348" s="17"/>
      <c r="BH348" s="17"/>
      <c r="BI348" s="17"/>
      <c r="BJ348" s="17"/>
      <c r="BK348" s="17"/>
      <c r="BL348" s="17"/>
      <c r="BM348" s="17"/>
      <c r="BN348" s="17"/>
      <c r="BO348" s="17"/>
      <c r="BP348" s="17"/>
      <c r="BQ348" s="17"/>
      <c r="BR348" s="17"/>
      <c r="BS348" s="17"/>
      <c r="BT348" s="17"/>
      <c r="BU348" s="17"/>
      <c r="BV348" s="17"/>
      <c r="BW348" s="17"/>
      <c r="BX348" s="17"/>
      <c r="BY348" s="17"/>
      <c r="BZ348" s="17"/>
      <c r="CA348" s="17"/>
      <c r="CB348" s="17"/>
      <c r="CC348" s="17"/>
      <c r="CD348" s="17"/>
      <c r="CE348" s="17"/>
      <c r="CF348" s="17"/>
      <c r="CG348" s="17"/>
      <c r="CH348" s="17"/>
    </row>
    <row r="349" spans="8:86" x14ac:dyDescent="0.15">
      <c r="H349" s="3">
        <f t="shared" si="159"/>
        <v>0.33700000000000024</v>
      </c>
      <c r="I349" s="3">
        <f t="shared" si="160"/>
        <v>360</v>
      </c>
      <c r="J349" s="14">
        <f t="shared" si="161"/>
        <v>500</v>
      </c>
      <c r="K349" s="3">
        <f t="shared" si="151"/>
        <v>0</v>
      </c>
      <c r="L349" s="3">
        <f t="shared" si="147"/>
        <v>500</v>
      </c>
      <c r="M349" s="15">
        <f t="shared" si="162"/>
        <v>7.0000000000000007E-2</v>
      </c>
      <c r="N349" s="3">
        <f t="shared" si="163"/>
        <v>74.083193805822106</v>
      </c>
      <c r="O349" s="3">
        <f t="shared" si="148"/>
        <v>74.083193805822106</v>
      </c>
      <c r="P349" s="3">
        <f t="shared" si="152"/>
        <v>79.659348178303347</v>
      </c>
      <c r="Q349" s="3">
        <f t="shared" si="153"/>
        <v>28.777947472347073</v>
      </c>
      <c r="R349" s="3">
        <f t="shared" si="154"/>
        <v>54.218647825325206</v>
      </c>
      <c r="S349" s="3">
        <f t="shared" si="149"/>
        <v>1</v>
      </c>
      <c r="T349" s="3">
        <f t="shared" si="155"/>
        <v>25440.700352978136</v>
      </c>
      <c r="U349" s="3">
        <f t="shared" si="156"/>
        <v>0.5</v>
      </c>
      <c r="V349" s="3">
        <f t="shared" si="157"/>
        <v>0</v>
      </c>
      <c r="W349" s="3">
        <f t="shared" si="158"/>
        <v>26669.949770095958</v>
      </c>
      <c r="X349" s="3">
        <f t="shared" si="150"/>
        <v>14388.973736173537</v>
      </c>
      <c r="AI349" s="3"/>
      <c r="AJ349" s="3"/>
      <c r="AK349" s="15">
        <f t="shared" si="141"/>
        <v>1</v>
      </c>
      <c r="AL349" s="11">
        <f t="shared" si="145"/>
        <v>2040</v>
      </c>
      <c r="AM349" s="11" t="b">
        <f t="shared" si="140"/>
        <v>0</v>
      </c>
      <c r="AN349" s="11">
        <f t="shared" si="142"/>
        <v>36000</v>
      </c>
      <c r="AO349" s="11">
        <f t="shared" si="143"/>
        <v>0</v>
      </c>
      <c r="AP349" s="11">
        <f t="shared" si="144"/>
        <v>0.48208001145011775</v>
      </c>
      <c r="AQ349" s="11">
        <f t="shared" si="146"/>
        <v>0</v>
      </c>
      <c r="AT349" s="3"/>
      <c r="AU349" s="17"/>
      <c r="AV349" s="19"/>
      <c r="AW349" s="17"/>
      <c r="AX349" s="17">
        <f t="shared" si="139"/>
        <v>340</v>
      </c>
      <c r="AY349" s="17">
        <f t="shared" si="164"/>
        <v>34</v>
      </c>
      <c r="AZ349" s="17">
        <v>48.208001145011778</v>
      </c>
      <c r="BA349" s="17"/>
      <c r="BB349" s="17">
        <v>36</v>
      </c>
      <c r="BC349" s="17"/>
      <c r="BD349" s="17"/>
      <c r="BE349" s="17"/>
      <c r="BF349" s="17"/>
      <c r="BG349" s="17"/>
      <c r="BH349" s="17"/>
      <c r="BI349" s="17"/>
      <c r="BJ349" s="17"/>
      <c r="BK349" s="17"/>
      <c r="BL349" s="17"/>
      <c r="BM349" s="17"/>
      <c r="BN349" s="17"/>
      <c r="BO349" s="17"/>
      <c r="BP349" s="17"/>
      <c r="BQ349" s="17"/>
      <c r="BR349" s="17"/>
      <c r="BS349" s="17"/>
      <c r="BT349" s="17"/>
      <c r="BU349" s="17"/>
      <c r="BV349" s="17"/>
      <c r="BW349" s="17"/>
      <c r="BX349" s="17"/>
      <c r="BY349" s="17"/>
      <c r="BZ349" s="17"/>
      <c r="CA349" s="17"/>
      <c r="CB349" s="17"/>
      <c r="CC349" s="17"/>
      <c r="CD349" s="17"/>
      <c r="CE349" s="17"/>
      <c r="CF349" s="17"/>
      <c r="CG349" s="17"/>
      <c r="CH349" s="17"/>
    </row>
    <row r="350" spans="8:86" x14ac:dyDescent="0.15">
      <c r="H350" s="3">
        <f t="shared" si="159"/>
        <v>0.33800000000000024</v>
      </c>
      <c r="I350" s="3">
        <f t="shared" si="160"/>
        <v>360</v>
      </c>
      <c r="J350" s="14">
        <f t="shared" si="161"/>
        <v>500</v>
      </c>
      <c r="K350" s="3">
        <f t="shared" si="151"/>
        <v>0</v>
      </c>
      <c r="L350" s="3">
        <f t="shared" si="147"/>
        <v>500</v>
      </c>
      <c r="M350" s="15">
        <f t="shared" si="162"/>
        <v>7.0000000000000007E-2</v>
      </c>
      <c r="N350" s="3">
        <f t="shared" si="163"/>
        <v>74.012525193730497</v>
      </c>
      <c r="O350" s="3">
        <f t="shared" si="148"/>
        <v>74.012525193730497</v>
      </c>
      <c r="P350" s="3">
        <f t="shared" si="152"/>
        <v>79.58336042336613</v>
      </c>
      <c r="Q350" s="3">
        <f t="shared" si="153"/>
        <v>28.727066071641119</v>
      </c>
      <c r="R350" s="3">
        <f t="shared" si="154"/>
        <v>54.155213247503625</v>
      </c>
      <c r="S350" s="3">
        <f t="shared" si="149"/>
        <v>1</v>
      </c>
      <c r="T350" s="3">
        <f t="shared" si="155"/>
        <v>25428.147175862505</v>
      </c>
      <c r="U350" s="3">
        <f t="shared" si="156"/>
        <v>0.5</v>
      </c>
      <c r="V350" s="3">
        <f t="shared" si="157"/>
        <v>0</v>
      </c>
      <c r="W350" s="3">
        <f t="shared" si="158"/>
        <v>26644.509069742981</v>
      </c>
      <c r="X350" s="3">
        <f t="shared" si="150"/>
        <v>14363.533035820559</v>
      </c>
      <c r="AI350" s="3"/>
      <c r="AJ350" s="3"/>
      <c r="AK350" s="15">
        <f t="shared" si="141"/>
        <v>1</v>
      </c>
      <c r="AL350" s="11">
        <f t="shared" si="145"/>
        <v>2046</v>
      </c>
      <c r="AM350" s="11" t="b">
        <f t="shared" si="140"/>
        <v>0</v>
      </c>
      <c r="AN350" s="11">
        <f t="shared" si="142"/>
        <v>36000</v>
      </c>
      <c r="AO350" s="11">
        <f t="shared" si="143"/>
        <v>0</v>
      </c>
      <c r="AP350" s="11">
        <f t="shared" si="144"/>
        <v>0.48318232626493257</v>
      </c>
      <c r="AQ350" s="11">
        <f t="shared" si="146"/>
        <v>0</v>
      </c>
      <c r="AT350" s="3"/>
      <c r="AU350" s="17"/>
      <c r="AV350" s="19"/>
      <c r="AW350" s="17"/>
      <c r="AX350" s="17">
        <f t="shared" si="139"/>
        <v>341</v>
      </c>
      <c r="AY350" s="17">
        <f t="shared" si="164"/>
        <v>34.1</v>
      </c>
      <c r="AZ350" s="17">
        <v>48.318232626493256</v>
      </c>
      <c r="BA350" s="17"/>
      <c r="BB350" s="17">
        <v>36</v>
      </c>
      <c r="BC350" s="17"/>
      <c r="BD350" s="17"/>
      <c r="BE350" s="17"/>
      <c r="BF350" s="17"/>
      <c r="BG350" s="17"/>
      <c r="BH350" s="17"/>
      <c r="BI350" s="17"/>
      <c r="BJ350" s="17"/>
      <c r="BK350" s="17"/>
      <c r="BL350" s="17"/>
      <c r="BM350" s="17"/>
      <c r="BN350" s="17"/>
      <c r="BO350" s="17"/>
      <c r="BP350" s="17"/>
      <c r="BQ350" s="17"/>
      <c r="BR350" s="17"/>
      <c r="BS350" s="17"/>
      <c r="BT350" s="17"/>
      <c r="BU350" s="17"/>
      <c r="BV350" s="17"/>
      <c r="BW350" s="17"/>
      <c r="BX350" s="17"/>
      <c r="BY350" s="17"/>
      <c r="BZ350" s="17"/>
      <c r="CA350" s="17"/>
      <c r="CB350" s="17"/>
      <c r="CC350" s="17"/>
      <c r="CD350" s="17"/>
      <c r="CE350" s="17"/>
      <c r="CF350" s="17"/>
      <c r="CG350" s="17"/>
      <c r="CH350" s="17"/>
    </row>
    <row r="351" spans="8:86" x14ac:dyDescent="0.15">
      <c r="H351" s="3">
        <f t="shared" si="159"/>
        <v>0.33900000000000025</v>
      </c>
      <c r="I351" s="3">
        <f t="shared" si="160"/>
        <v>360</v>
      </c>
      <c r="J351" s="14">
        <f t="shared" si="161"/>
        <v>500</v>
      </c>
      <c r="K351" s="3">
        <f t="shared" si="151"/>
        <v>0</v>
      </c>
      <c r="L351" s="3">
        <f t="shared" si="147"/>
        <v>500</v>
      </c>
      <c r="M351" s="15">
        <f t="shared" si="162"/>
        <v>7.0000000000000007E-2</v>
      </c>
      <c r="N351" s="3">
        <f t="shared" si="163"/>
        <v>73.94189145157533</v>
      </c>
      <c r="O351" s="3">
        <f t="shared" si="148"/>
        <v>73.94189145157533</v>
      </c>
      <c r="P351" s="3">
        <f t="shared" si="152"/>
        <v>79.507410162984229</v>
      </c>
      <c r="Q351" s="3">
        <f t="shared" si="153"/>
        <v>28.676209777289394</v>
      </c>
      <c r="R351" s="3">
        <f t="shared" si="154"/>
        <v>54.091809970136808</v>
      </c>
      <c r="S351" s="3">
        <f t="shared" si="149"/>
        <v>1</v>
      </c>
      <c r="T351" s="3">
        <f t="shared" si="155"/>
        <v>25415.600192847418</v>
      </c>
      <c r="U351" s="3">
        <f t="shared" si="156"/>
        <v>0.5</v>
      </c>
      <c r="V351" s="3">
        <f t="shared" si="157"/>
        <v>0</v>
      </c>
      <c r="W351" s="3">
        <f t="shared" si="158"/>
        <v>26619.080922567118</v>
      </c>
      <c r="X351" s="3">
        <f t="shared" si="150"/>
        <v>14338.104888644697</v>
      </c>
      <c r="AI351" s="3"/>
      <c r="AJ351" s="3"/>
      <c r="AK351" s="15">
        <f t="shared" si="141"/>
        <v>1</v>
      </c>
      <c r="AL351" s="11">
        <f t="shared" si="145"/>
        <v>2052</v>
      </c>
      <c r="AM351" s="11" t="b">
        <f t="shared" si="140"/>
        <v>0</v>
      </c>
      <c r="AN351" s="11">
        <f t="shared" si="142"/>
        <v>36000</v>
      </c>
      <c r="AO351" s="11">
        <f t="shared" si="143"/>
        <v>0</v>
      </c>
      <c r="AP351" s="11">
        <f t="shared" si="144"/>
        <v>0.48428464107974739</v>
      </c>
      <c r="AQ351" s="11">
        <f t="shared" si="146"/>
        <v>0</v>
      </c>
      <c r="AT351" s="3"/>
      <c r="AU351" s="17"/>
      <c r="AV351" s="19"/>
      <c r="AW351" s="17"/>
      <c r="AX351" s="17">
        <f t="shared" si="139"/>
        <v>342</v>
      </c>
      <c r="AY351" s="17">
        <f t="shared" si="164"/>
        <v>34.200000000000003</v>
      </c>
      <c r="AZ351" s="17">
        <v>48.42846410797474</v>
      </c>
      <c r="BA351" s="17"/>
      <c r="BB351" s="17">
        <v>36</v>
      </c>
      <c r="BC351" s="17"/>
      <c r="BD351" s="17"/>
      <c r="BE351" s="17"/>
      <c r="BF351" s="17"/>
      <c r="BG351" s="17"/>
      <c r="BH351" s="17"/>
      <c r="BI351" s="17"/>
      <c r="BJ351" s="17"/>
      <c r="BK351" s="17"/>
      <c r="BL351" s="17"/>
      <c r="BM351" s="17"/>
      <c r="BN351" s="17"/>
      <c r="BO351" s="17"/>
      <c r="BP351" s="17"/>
      <c r="BQ351" s="17"/>
      <c r="BR351" s="17"/>
      <c r="BS351" s="17"/>
      <c r="BT351" s="17"/>
      <c r="BU351" s="17"/>
      <c r="BV351" s="17"/>
      <c r="BW351" s="17"/>
      <c r="BX351" s="17"/>
      <c r="BY351" s="17"/>
      <c r="BZ351" s="17"/>
      <c r="CA351" s="17"/>
      <c r="CB351" s="17"/>
      <c r="CC351" s="17"/>
      <c r="CD351" s="17"/>
      <c r="CE351" s="17"/>
      <c r="CF351" s="17"/>
      <c r="CG351" s="17"/>
      <c r="CH351" s="17"/>
    </row>
    <row r="352" spans="8:86" x14ac:dyDescent="0.15">
      <c r="H352" s="3">
        <f t="shared" si="159"/>
        <v>0.34000000000000025</v>
      </c>
      <c r="I352" s="3">
        <f t="shared" si="160"/>
        <v>360</v>
      </c>
      <c r="J352" s="14">
        <f t="shared" si="161"/>
        <v>500</v>
      </c>
      <c r="K352" s="3">
        <f t="shared" si="151"/>
        <v>0</v>
      </c>
      <c r="L352" s="3">
        <f t="shared" si="147"/>
        <v>500</v>
      </c>
      <c r="M352" s="15">
        <f t="shared" si="162"/>
        <v>7.0000000000000007E-2</v>
      </c>
      <c r="N352" s="3">
        <f t="shared" si="163"/>
        <v>73.871292562150757</v>
      </c>
      <c r="O352" s="3">
        <f t="shared" si="148"/>
        <v>73.871292562150757</v>
      </c>
      <c r="P352" s="3">
        <f t="shared" si="152"/>
        <v>79.431497378656729</v>
      </c>
      <c r="Q352" s="3">
        <f t="shared" si="153"/>
        <v>28.625378576903699</v>
      </c>
      <c r="R352" s="3">
        <f t="shared" si="154"/>
        <v>54.028437977780214</v>
      </c>
      <c r="S352" s="3">
        <f t="shared" si="149"/>
        <v>1</v>
      </c>
      <c r="T352" s="3">
        <f t="shared" si="155"/>
        <v>25403.059400876515</v>
      </c>
      <c r="U352" s="3">
        <f t="shared" si="156"/>
        <v>0.5</v>
      </c>
      <c r="V352" s="3">
        <f t="shared" si="157"/>
        <v>0</v>
      </c>
      <c r="W352" s="3">
        <f t="shared" si="158"/>
        <v>26593.665322374272</v>
      </c>
      <c r="X352" s="3">
        <f t="shared" si="150"/>
        <v>14312.689288451849</v>
      </c>
      <c r="AI352" s="3"/>
      <c r="AJ352" s="3"/>
      <c r="AK352" s="15">
        <f t="shared" si="141"/>
        <v>1</v>
      </c>
      <c r="AL352" s="11">
        <f t="shared" si="145"/>
        <v>2058</v>
      </c>
      <c r="AM352" s="11" t="b">
        <f t="shared" si="140"/>
        <v>0</v>
      </c>
      <c r="AN352" s="11">
        <f t="shared" si="142"/>
        <v>36000</v>
      </c>
      <c r="AO352" s="11">
        <f t="shared" si="143"/>
        <v>0</v>
      </c>
      <c r="AP352" s="11">
        <f t="shared" si="144"/>
        <v>0.48538695589456227</v>
      </c>
      <c r="AQ352" s="11">
        <f t="shared" si="146"/>
        <v>0</v>
      </c>
      <c r="AT352" s="3"/>
      <c r="AU352" s="17"/>
      <c r="AV352" s="19"/>
      <c r="AW352" s="17"/>
      <c r="AX352" s="17">
        <f t="shared" si="139"/>
        <v>343</v>
      </c>
      <c r="AY352" s="17">
        <f t="shared" si="164"/>
        <v>34.299999999999997</v>
      </c>
      <c r="AZ352" s="17">
        <v>48.538695589456225</v>
      </c>
      <c r="BA352" s="17"/>
      <c r="BB352" s="17">
        <v>36</v>
      </c>
      <c r="BC352" s="17"/>
      <c r="BD352" s="17"/>
      <c r="BE352" s="17"/>
      <c r="BF352" s="17"/>
      <c r="BG352" s="17"/>
      <c r="BH352" s="17"/>
      <c r="BI352" s="17"/>
      <c r="BJ352" s="17"/>
      <c r="BK352" s="17"/>
      <c r="BL352" s="17"/>
      <c r="BM352" s="17"/>
      <c r="BN352" s="17"/>
      <c r="BO352" s="17"/>
      <c r="BP352" s="17"/>
      <c r="BQ352" s="17"/>
      <c r="BR352" s="17"/>
      <c r="BS352" s="17"/>
      <c r="BT352" s="17"/>
      <c r="BU352" s="17"/>
      <c r="BV352" s="17"/>
      <c r="BW352" s="17"/>
      <c r="BX352" s="17"/>
      <c r="BY352" s="17"/>
      <c r="BZ352" s="17"/>
      <c r="CA352" s="17"/>
      <c r="CB352" s="17"/>
      <c r="CC352" s="17"/>
      <c r="CD352" s="17"/>
      <c r="CE352" s="17"/>
      <c r="CF352" s="17"/>
      <c r="CG352" s="17"/>
      <c r="CH352" s="17"/>
    </row>
    <row r="353" spans="8:86" x14ac:dyDescent="0.15">
      <c r="H353" s="3">
        <f t="shared" si="159"/>
        <v>0.34100000000000025</v>
      </c>
      <c r="I353" s="3">
        <f t="shared" si="160"/>
        <v>360</v>
      </c>
      <c r="J353" s="14">
        <f t="shared" si="161"/>
        <v>500</v>
      </c>
      <c r="K353" s="3">
        <f t="shared" si="151"/>
        <v>0</v>
      </c>
      <c r="L353" s="3">
        <f t="shared" si="147"/>
        <v>500</v>
      </c>
      <c r="M353" s="15">
        <f t="shared" si="162"/>
        <v>7.0000000000000007E-2</v>
      </c>
      <c r="N353" s="3">
        <f t="shared" si="163"/>
        <v>73.800728508259439</v>
      </c>
      <c r="O353" s="3">
        <f t="shared" si="148"/>
        <v>73.800728508259439</v>
      </c>
      <c r="P353" s="3">
        <f t="shared" si="152"/>
        <v>79.355622051891871</v>
      </c>
      <c r="Q353" s="3">
        <f t="shared" si="153"/>
        <v>28.574572458101947</v>
      </c>
      <c r="R353" s="3">
        <f t="shared" si="154"/>
        <v>53.965097254996905</v>
      </c>
      <c r="S353" s="3">
        <f t="shared" si="149"/>
        <v>1</v>
      </c>
      <c r="T353" s="3">
        <f t="shared" si="155"/>
        <v>25390.524796894962</v>
      </c>
      <c r="U353" s="3">
        <f t="shared" si="156"/>
        <v>0.5</v>
      </c>
      <c r="V353" s="3">
        <f t="shared" si="157"/>
        <v>0</v>
      </c>
      <c r="W353" s="3">
        <f t="shared" si="158"/>
        <v>26568.2622629734</v>
      </c>
      <c r="X353" s="3">
        <f t="shared" si="150"/>
        <v>14287.286229050973</v>
      </c>
      <c r="AI353" s="3"/>
      <c r="AJ353" s="3"/>
      <c r="AK353" s="15">
        <f t="shared" si="141"/>
        <v>1</v>
      </c>
      <c r="AL353" s="11">
        <f t="shared" si="145"/>
        <v>2064</v>
      </c>
      <c r="AM353" s="11" t="b">
        <f t="shared" si="140"/>
        <v>0</v>
      </c>
      <c r="AN353" s="11">
        <f t="shared" si="142"/>
        <v>36000</v>
      </c>
      <c r="AO353" s="11">
        <f t="shared" si="143"/>
        <v>0</v>
      </c>
      <c r="AP353" s="11">
        <f t="shared" si="144"/>
        <v>0.48648927070937709</v>
      </c>
      <c r="AQ353" s="11">
        <f t="shared" si="146"/>
        <v>0</v>
      </c>
      <c r="AT353" s="3"/>
      <c r="AU353" s="17"/>
      <c r="AV353" s="19"/>
      <c r="AW353" s="17"/>
      <c r="AX353" s="17">
        <f t="shared" si="139"/>
        <v>344</v>
      </c>
      <c r="AY353" s="17">
        <f t="shared" si="164"/>
        <v>34.4</v>
      </c>
      <c r="AZ353" s="17">
        <v>48.64892707093771</v>
      </c>
      <c r="BA353" s="17"/>
      <c r="BB353" s="17">
        <v>36</v>
      </c>
      <c r="BC353" s="17"/>
      <c r="BD353" s="17"/>
      <c r="BE353" s="17"/>
      <c r="BF353" s="17"/>
      <c r="BG353" s="17"/>
      <c r="BH353" s="17"/>
      <c r="BI353" s="17"/>
      <c r="BJ353" s="17"/>
      <c r="BK353" s="17"/>
      <c r="BL353" s="17"/>
      <c r="BM353" s="17"/>
      <c r="BN353" s="17"/>
      <c r="BO353" s="17"/>
      <c r="BP353" s="17"/>
      <c r="BQ353" s="17"/>
      <c r="BR353" s="17"/>
      <c r="BS353" s="17"/>
      <c r="BT353" s="17"/>
      <c r="BU353" s="17"/>
      <c r="BV353" s="17"/>
      <c r="BW353" s="17"/>
      <c r="BX353" s="17"/>
      <c r="BY353" s="17"/>
      <c r="BZ353" s="17"/>
      <c r="CA353" s="17"/>
      <c r="CB353" s="17"/>
      <c r="CC353" s="17"/>
      <c r="CD353" s="17"/>
      <c r="CE353" s="17"/>
      <c r="CF353" s="17"/>
      <c r="CG353" s="17"/>
      <c r="CH353" s="17"/>
    </row>
    <row r="354" spans="8:86" x14ac:dyDescent="0.15">
      <c r="H354" s="3">
        <f t="shared" si="159"/>
        <v>0.34200000000000025</v>
      </c>
      <c r="I354" s="3">
        <f t="shared" si="160"/>
        <v>360</v>
      </c>
      <c r="J354" s="14">
        <f t="shared" si="161"/>
        <v>500</v>
      </c>
      <c r="K354" s="3">
        <f t="shared" si="151"/>
        <v>0</v>
      </c>
      <c r="L354" s="3">
        <f t="shared" si="147"/>
        <v>500</v>
      </c>
      <c r="M354" s="15">
        <f t="shared" si="162"/>
        <v>7.0000000000000007E-2</v>
      </c>
      <c r="N354" s="3">
        <f t="shared" si="163"/>
        <v>73.730199272712511</v>
      </c>
      <c r="O354" s="3">
        <f t="shared" si="148"/>
        <v>73.730199272712511</v>
      </c>
      <c r="P354" s="3">
        <f t="shared" si="152"/>
        <v>79.279784164207001</v>
      </c>
      <c r="Q354" s="3">
        <f t="shared" si="153"/>
        <v>28.523791408508156</v>
      </c>
      <c r="R354" s="3">
        <f t="shared" si="154"/>
        <v>53.901787786357581</v>
      </c>
      <c r="S354" s="3">
        <f t="shared" si="149"/>
        <v>1</v>
      </c>
      <c r="T354" s="3">
        <f t="shared" si="155"/>
        <v>25377.99637784942</v>
      </c>
      <c r="U354" s="3">
        <f t="shared" si="156"/>
        <v>0.5</v>
      </c>
      <c r="V354" s="3">
        <f t="shared" si="157"/>
        <v>0</v>
      </c>
      <c r="W354" s="3">
        <f t="shared" si="158"/>
        <v>26542.871738176505</v>
      </c>
      <c r="X354" s="3">
        <f t="shared" si="150"/>
        <v>14261.895704254079</v>
      </c>
      <c r="AI354" s="3"/>
      <c r="AJ354" s="3"/>
      <c r="AK354" s="15">
        <f t="shared" si="141"/>
        <v>1</v>
      </c>
      <c r="AL354" s="11">
        <f t="shared" si="145"/>
        <v>2070</v>
      </c>
      <c r="AM354" s="11" t="b">
        <f t="shared" si="140"/>
        <v>0</v>
      </c>
      <c r="AN354" s="11">
        <f t="shared" si="142"/>
        <v>36000</v>
      </c>
      <c r="AO354" s="11">
        <f t="shared" si="143"/>
        <v>0</v>
      </c>
      <c r="AP354" s="11">
        <f t="shared" si="144"/>
        <v>0.48759158552419196</v>
      </c>
      <c r="AQ354" s="11">
        <f t="shared" si="146"/>
        <v>0</v>
      </c>
      <c r="AT354" s="3"/>
      <c r="AU354" s="17"/>
      <c r="AV354" s="19"/>
      <c r="AW354" s="17"/>
      <c r="AX354" s="17">
        <f t="shared" si="139"/>
        <v>345</v>
      </c>
      <c r="AY354" s="17">
        <f t="shared" si="164"/>
        <v>34.5</v>
      </c>
      <c r="AZ354" s="17">
        <v>48.759158552419194</v>
      </c>
      <c r="BA354" s="17"/>
      <c r="BB354" s="17">
        <v>36</v>
      </c>
      <c r="BC354" s="17"/>
      <c r="BD354" s="17"/>
      <c r="BE354" s="17"/>
      <c r="BF354" s="17"/>
      <c r="BG354" s="17"/>
      <c r="BH354" s="17"/>
      <c r="BI354" s="17"/>
      <c r="BJ354" s="17"/>
      <c r="BK354" s="17"/>
      <c r="BL354" s="17"/>
      <c r="BM354" s="17"/>
      <c r="BN354" s="17"/>
      <c r="BO354" s="17"/>
      <c r="BP354" s="17"/>
      <c r="BQ354" s="17"/>
      <c r="BR354" s="17"/>
      <c r="BS354" s="17"/>
      <c r="BT354" s="17"/>
      <c r="BU354" s="17"/>
      <c r="BV354" s="17"/>
      <c r="BW354" s="17"/>
      <c r="BX354" s="17"/>
      <c r="BY354" s="17"/>
      <c r="BZ354" s="17"/>
      <c r="CA354" s="17"/>
      <c r="CB354" s="17"/>
      <c r="CC354" s="17"/>
      <c r="CD354" s="17"/>
      <c r="CE354" s="17"/>
      <c r="CF354" s="17"/>
      <c r="CG354" s="17"/>
      <c r="CH354" s="17"/>
    </row>
    <row r="355" spans="8:86" x14ac:dyDescent="0.15">
      <c r="H355" s="3">
        <f t="shared" si="159"/>
        <v>0.34300000000000025</v>
      </c>
      <c r="I355" s="3">
        <f t="shared" si="160"/>
        <v>360</v>
      </c>
      <c r="J355" s="14">
        <f t="shared" si="161"/>
        <v>500</v>
      </c>
      <c r="K355" s="3">
        <f t="shared" si="151"/>
        <v>0</v>
      </c>
      <c r="L355" s="3">
        <f t="shared" si="147"/>
        <v>500</v>
      </c>
      <c r="M355" s="15">
        <f t="shared" si="162"/>
        <v>7.0000000000000007E-2</v>
      </c>
      <c r="N355" s="3">
        <f t="shared" si="163"/>
        <v>73.659704838329603</v>
      </c>
      <c r="O355" s="3">
        <f t="shared" si="148"/>
        <v>73.659704838329603</v>
      </c>
      <c r="P355" s="3">
        <f t="shared" si="152"/>
        <v>79.203983697128606</v>
      </c>
      <c r="Q355" s="3">
        <f t="shared" si="153"/>
        <v>28.473035415752459</v>
      </c>
      <c r="R355" s="3">
        <f t="shared" si="154"/>
        <v>53.838509556440535</v>
      </c>
      <c r="S355" s="3">
        <f t="shared" si="149"/>
        <v>1</v>
      </c>
      <c r="T355" s="3">
        <f t="shared" si="155"/>
        <v>25365.474140688071</v>
      </c>
      <c r="U355" s="3">
        <f t="shared" si="156"/>
        <v>0.5</v>
      </c>
      <c r="V355" s="3">
        <f t="shared" si="157"/>
        <v>0</v>
      </c>
      <c r="W355" s="3">
        <f t="shared" si="158"/>
        <v>26517.493741798658</v>
      </c>
      <c r="X355" s="3">
        <f t="shared" si="150"/>
        <v>14236.51770787623</v>
      </c>
      <c r="AI355" s="3"/>
      <c r="AJ355" s="3"/>
      <c r="AK355" s="15">
        <f t="shared" si="141"/>
        <v>1</v>
      </c>
      <c r="AL355" s="11">
        <f t="shared" si="145"/>
        <v>2076</v>
      </c>
      <c r="AM355" s="11" t="b">
        <f t="shared" si="140"/>
        <v>0</v>
      </c>
      <c r="AN355" s="11">
        <f t="shared" si="142"/>
        <v>36000</v>
      </c>
      <c r="AO355" s="11">
        <f t="shared" si="143"/>
        <v>0</v>
      </c>
      <c r="AP355" s="11">
        <f t="shared" si="144"/>
        <v>0.48869390033900678</v>
      </c>
      <c r="AQ355" s="11">
        <f t="shared" si="146"/>
        <v>0</v>
      </c>
      <c r="AT355" s="3"/>
      <c r="AU355" s="17"/>
      <c r="AV355" s="19"/>
      <c r="AW355" s="17"/>
      <c r="AX355" s="17">
        <f t="shared" si="139"/>
        <v>346</v>
      </c>
      <c r="AY355" s="17">
        <f t="shared" si="164"/>
        <v>34.6</v>
      </c>
      <c r="AZ355" s="17">
        <v>48.869390033900679</v>
      </c>
      <c r="BA355" s="17"/>
      <c r="BB355" s="17">
        <v>36</v>
      </c>
      <c r="BC355" s="17"/>
      <c r="BD355" s="17"/>
      <c r="BE355" s="17"/>
      <c r="BF355" s="17"/>
      <c r="BG355" s="17"/>
      <c r="BH355" s="17"/>
      <c r="BI355" s="17"/>
      <c r="BJ355" s="17"/>
      <c r="BK355" s="17"/>
      <c r="BL355" s="17"/>
      <c r="BM355" s="17"/>
      <c r="BN355" s="17"/>
      <c r="BO355" s="17"/>
      <c r="BP355" s="17"/>
      <c r="BQ355" s="17"/>
      <c r="BR355" s="17"/>
      <c r="BS355" s="17"/>
      <c r="BT355" s="17"/>
      <c r="BU355" s="17"/>
      <c r="BV355" s="17"/>
      <c r="BW355" s="17"/>
      <c r="BX355" s="17"/>
      <c r="BY355" s="17"/>
      <c r="BZ355" s="17"/>
      <c r="CA355" s="17"/>
      <c r="CB355" s="17"/>
      <c r="CC355" s="17"/>
      <c r="CD355" s="17"/>
      <c r="CE355" s="17"/>
      <c r="CF355" s="17"/>
      <c r="CG355" s="17"/>
      <c r="CH355" s="17"/>
    </row>
    <row r="356" spans="8:86" x14ac:dyDescent="0.15">
      <c r="H356" s="3">
        <f t="shared" si="159"/>
        <v>0.34400000000000025</v>
      </c>
      <c r="I356" s="3">
        <f t="shared" si="160"/>
        <v>360</v>
      </c>
      <c r="J356" s="14">
        <f t="shared" si="161"/>
        <v>500</v>
      </c>
      <c r="K356" s="3">
        <f t="shared" si="151"/>
        <v>0</v>
      </c>
      <c r="L356" s="3">
        <f t="shared" si="147"/>
        <v>500</v>
      </c>
      <c r="M356" s="15">
        <f t="shared" si="162"/>
        <v>7.0000000000000007E-2</v>
      </c>
      <c r="N356" s="3">
        <f t="shared" si="163"/>
        <v>73.589245187938815</v>
      </c>
      <c r="O356" s="3">
        <f t="shared" si="148"/>
        <v>73.589245187938815</v>
      </c>
      <c r="P356" s="3">
        <f t="shared" si="152"/>
        <v>79.128220632192281</v>
      </c>
      <c r="Q356" s="3">
        <f t="shared" si="153"/>
        <v>28.422304467471083</v>
      </c>
      <c r="R356" s="3">
        <f t="shared" si="154"/>
        <v>53.77526254983168</v>
      </c>
      <c r="S356" s="3">
        <f t="shared" si="149"/>
        <v>1</v>
      </c>
      <c r="T356" s="3">
        <f t="shared" si="155"/>
        <v>25352.958082360601</v>
      </c>
      <c r="U356" s="3">
        <f t="shared" si="156"/>
        <v>0.5</v>
      </c>
      <c r="V356" s="3">
        <f t="shared" si="157"/>
        <v>0</v>
      </c>
      <c r="W356" s="3">
        <f t="shared" si="158"/>
        <v>26492.128267657972</v>
      </c>
      <c r="X356" s="3">
        <f t="shared" si="150"/>
        <v>14211.152233735542</v>
      </c>
      <c r="AI356" s="3"/>
      <c r="AJ356" s="3"/>
      <c r="AK356" s="15">
        <f t="shared" si="141"/>
        <v>1</v>
      </c>
      <c r="AL356" s="11">
        <f t="shared" si="145"/>
        <v>2082</v>
      </c>
      <c r="AM356" s="11" t="b">
        <f t="shared" si="140"/>
        <v>0</v>
      </c>
      <c r="AN356" s="11">
        <f t="shared" si="142"/>
        <v>36000</v>
      </c>
      <c r="AO356" s="11">
        <f t="shared" si="143"/>
        <v>0</v>
      </c>
      <c r="AP356" s="11">
        <f t="shared" si="144"/>
        <v>0.4897962151538216</v>
      </c>
      <c r="AQ356" s="11">
        <f t="shared" si="146"/>
        <v>0</v>
      </c>
      <c r="AT356" s="3"/>
      <c r="AU356" s="17"/>
      <c r="AV356" s="19"/>
      <c r="AW356" s="17"/>
      <c r="AX356" s="17">
        <f t="shared" si="139"/>
        <v>347</v>
      </c>
      <c r="AY356" s="17">
        <f t="shared" si="164"/>
        <v>34.700000000000003</v>
      </c>
      <c r="AZ356" s="17">
        <v>48.979621515382163</v>
      </c>
      <c r="BA356" s="17"/>
      <c r="BB356" s="17">
        <v>36</v>
      </c>
      <c r="BC356" s="17"/>
      <c r="BD356" s="17"/>
      <c r="BE356" s="17"/>
      <c r="BF356" s="17"/>
      <c r="BG356" s="17"/>
      <c r="BH356" s="17"/>
      <c r="BI356" s="17"/>
      <c r="BJ356" s="17"/>
      <c r="BK356" s="17"/>
      <c r="BL356" s="17"/>
      <c r="BM356" s="17"/>
      <c r="BN356" s="17"/>
      <c r="BO356" s="17"/>
      <c r="BP356" s="17"/>
      <c r="BQ356" s="17"/>
      <c r="BR356" s="17"/>
      <c r="BS356" s="17"/>
      <c r="BT356" s="17"/>
      <c r="BU356" s="17"/>
      <c r="BV356" s="17"/>
      <c r="BW356" s="17"/>
      <c r="BX356" s="17"/>
      <c r="BY356" s="17"/>
      <c r="BZ356" s="17"/>
      <c r="CA356" s="17"/>
      <c r="CB356" s="17"/>
      <c r="CC356" s="17"/>
      <c r="CD356" s="17"/>
      <c r="CE356" s="17"/>
      <c r="CF356" s="17"/>
      <c r="CG356" s="17"/>
      <c r="CH356" s="17"/>
    </row>
    <row r="357" spans="8:86" x14ac:dyDescent="0.15">
      <c r="H357" s="3">
        <f t="shared" si="159"/>
        <v>0.34500000000000025</v>
      </c>
      <c r="I357" s="3">
        <f t="shared" si="160"/>
        <v>360</v>
      </c>
      <c r="J357" s="14">
        <f t="shared" si="161"/>
        <v>500</v>
      </c>
      <c r="K357" s="3">
        <f t="shared" si="151"/>
        <v>0</v>
      </c>
      <c r="L357" s="3">
        <f t="shared" si="147"/>
        <v>500</v>
      </c>
      <c r="M357" s="15">
        <f t="shared" si="162"/>
        <v>7.0000000000000007E-2</v>
      </c>
      <c r="N357" s="3">
        <f t="shared" si="163"/>
        <v>73.518820304376703</v>
      </c>
      <c r="O357" s="3">
        <f t="shared" si="148"/>
        <v>73.518820304376703</v>
      </c>
      <c r="P357" s="3">
        <f t="shared" si="152"/>
        <v>79.052494950942702</v>
      </c>
      <c r="Q357" s="3">
        <f t="shared" si="153"/>
        <v>28.371598551306363</v>
      </c>
      <c r="R357" s="3">
        <f t="shared" si="154"/>
        <v>53.712046751124532</v>
      </c>
      <c r="S357" s="3">
        <f t="shared" si="149"/>
        <v>1</v>
      </c>
      <c r="T357" s="3">
        <f t="shared" si="155"/>
        <v>25340.448199818169</v>
      </c>
      <c r="U357" s="3">
        <f t="shared" si="156"/>
        <v>0.5</v>
      </c>
      <c r="V357" s="3">
        <f t="shared" si="157"/>
        <v>0</v>
      </c>
      <c r="W357" s="3">
        <f t="shared" si="158"/>
        <v>26466.775309575612</v>
      </c>
      <c r="X357" s="3">
        <f t="shared" si="150"/>
        <v>14185.799275653182</v>
      </c>
      <c r="AI357" s="3"/>
      <c r="AJ357" s="3"/>
      <c r="AK357" s="15">
        <f t="shared" si="141"/>
        <v>1</v>
      </c>
      <c r="AL357" s="11">
        <f t="shared" si="145"/>
        <v>2088</v>
      </c>
      <c r="AM357" s="11" t="b">
        <f t="shared" si="140"/>
        <v>0</v>
      </c>
      <c r="AN357" s="11">
        <f t="shared" si="142"/>
        <v>36000</v>
      </c>
      <c r="AO357" s="11">
        <f t="shared" si="143"/>
        <v>0</v>
      </c>
      <c r="AP357" s="11">
        <f t="shared" si="144"/>
        <v>0.49089852996863648</v>
      </c>
      <c r="AQ357" s="11">
        <f t="shared" si="146"/>
        <v>0</v>
      </c>
      <c r="AT357" s="3"/>
      <c r="AU357" s="17"/>
      <c r="AV357" s="19"/>
      <c r="AW357" s="17"/>
      <c r="AX357" s="17">
        <f t="shared" si="139"/>
        <v>348</v>
      </c>
      <c r="AY357" s="17">
        <f t="shared" si="164"/>
        <v>34.799999999999997</v>
      </c>
      <c r="AZ357" s="17">
        <v>49.089852996863648</v>
      </c>
      <c r="BA357" s="17"/>
      <c r="BB357" s="17">
        <v>36</v>
      </c>
      <c r="BC357" s="17"/>
      <c r="BD357" s="17"/>
      <c r="BE357" s="17"/>
      <c r="BF357" s="17"/>
      <c r="BG357" s="17"/>
      <c r="BH357" s="17"/>
      <c r="BI357" s="17"/>
      <c r="BJ357" s="17"/>
      <c r="BK357" s="17"/>
      <c r="BL357" s="17"/>
      <c r="BM357" s="17"/>
      <c r="BN357" s="17"/>
      <c r="BO357" s="17"/>
      <c r="BP357" s="17"/>
      <c r="BQ357" s="17"/>
      <c r="BR357" s="17"/>
      <c r="BS357" s="17"/>
      <c r="BT357" s="17"/>
      <c r="BU357" s="17"/>
      <c r="BV357" s="17"/>
      <c r="BW357" s="17"/>
      <c r="BX357" s="17"/>
      <c r="BY357" s="17"/>
      <c r="BZ357" s="17"/>
      <c r="CA357" s="17"/>
      <c r="CB357" s="17"/>
      <c r="CC357" s="17"/>
      <c r="CD357" s="17"/>
      <c r="CE357" s="17"/>
      <c r="CF357" s="17"/>
      <c r="CG357" s="17"/>
      <c r="CH357" s="17"/>
    </row>
    <row r="358" spans="8:86" x14ac:dyDescent="0.15">
      <c r="H358" s="3">
        <f t="shared" si="159"/>
        <v>0.34600000000000025</v>
      </c>
      <c r="I358" s="3">
        <f t="shared" si="160"/>
        <v>360</v>
      </c>
      <c r="J358" s="14">
        <f t="shared" si="161"/>
        <v>500</v>
      </c>
      <c r="K358" s="3">
        <f t="shared" si="151"/>
        <v>0</v>
      </c>
      <c r="L358" s="3">
        <f t="shared" si="147"/>
        <v>500</v>
      </c>
      <c r="M358" s="15">
        <f t="shared" si="162"/>
        <v>7.0000000000000007E-2</v>
      </c>
      <c r="N358" s="3">
        <f t="shared" si="163"/>
        <v>73.448430170488322</v>
      </c>
      <c r="O358" s="3">
        <f t="shared" si="148"/>
        <v>73.448430170488322</v>
      </c>
      <c r="P358" s="3">
        <f t="shared" si="152"/>
        <v>78.976806634933681</v>
      </c>
      <c r="Q358" s="3">
        <f t="shared" si="153"/>
        <v>28.320917654906726</v>
      </c>
      <c r="R358" s="3">
        <f t="shared" si="154"/>
        <v>53.648862144920201</v>
      </c>
      <c r="S358" s="3">
        <f t="shared" si="149"/>
        <v>1</v>
      </c>
      <c r="T358" s="3">
        <f t="shared" si="155"/>
        <v>25327.94449001348</v>
      </c>
      <c r="U358" s="3">
        <f t="shared" si="156"/>
        <v>0.5</v>
      </c>
      <c r="V358" s="3">
        <f t="shared" si="157"/>
        <v>0</v>
      </c>
      <c r="W358" s="3">
        <f t="shared" si="158"/>
        <v>26441.434861375797</v>
      </c>
      <c r="X358" s="3">
        <f t="shared" si="150"/>
        <v>14160.458827453363</v>
      </c>
      <c r="AI358" s="3"/>
      <c r="AJ358" s="3"/>
      <c r="AK358" s="15">
        <f t="shared" si="141"/>
        <v>1</v>
      </c>
      <c r="AL358" s="11">
        <f t="shared" si="145"/>
        <v>2094</v>
      </c>
      <c r="AM358" s="11" t="b">
        <f t="shared" si="140"/>
        <v>0</v>
      </c>
      <c r="AN358" s="11">
        <f t="shared" si="142"/>
        <v>36000</v>
      </c>
      <c r="AO358" s="11">
        <f t="shared" si="143"/>
        <v>0</v>
      </c>
      <c r="AP358" s="11">
        <f t="shared" si="144"/>
        <v>0.4920008447834513</v>
      </c>
      <c r="AQ358" s="11">
        <f t="shared" si="146"/>
        <v>0</v>
      </c>
      <c r="AT358" s="3"/>
      <c r="AU358" s="17"/>
      <c r="AV358" s="19"/>
      <c r="AW358" s="17"/>
      <c r="AX358" s="17">
        <f t="shared" si="139"/>
        <v>349</v>
      </c>
      <c r="AY358" s="17">
        <f t="shared" si="164"/>
        <v>34.9</v>
      </c>
      <c r="AZ358" s="17">
        <v>49.200084478345133</v>
      </c>
      <c r="BA358" s="17"/>
      <c r="BB358" s="17">
        <v>36</v>
      </c>
      <c r="BC358" s="17"/>
      <c r="BD358" s="17"/>
      <c r="BE358" s="17"/>
      <c r="BF358" s="17"/>
      <c r="BG358" s="17"/>
      <c r="BH358" s="17"/>
      <c r="BI358" s="17"/>
      <c r="BJ358" s="17"/>
      <c r="BK358" s="17"/>
      <c r="BL358" s="17"/>
      <c r="BM358" s="17"/>
      <c r="BN358" s="17"/>
      <c r="BO358" s="17"/>
      <c r="BP358" s="17"/>
      <c r="BQ358" s="17"/>
      <c r="BR358" s="17"/>
      <c r="BS358" s="17"/>
      <c r="BT358" s="17"/>
      <c r="BU358" s="17"/>
      <c r="BV358" s="17"/>
      <c r="BW358" s="17"/>
      <c r="BX358" s="17"/>
      <c r="BY358" s="17"/>
      <c r="BZ358" s="17"/>
      <c r="CA358" s="17"/>
      <c r="CB358" s="17"/>
      <c r="CC358" s="17"/>
      <c r="CD358" s="17"/>
      <c r="CE358" s="17"/>
      <c r="CF358" s="17"/>
      <c r="CG358" s="17"/>
      <c r="CH358" s="17"/>
    </row>
    <row r="359" spans="8:86" x14ac:dyDescent="0.15">
      <c r="H359" s="3">
        <f t="shared" si="159"/>
        <v>0.34700000000000025</v>
      </c>
      <c r="I359" s="3">
        <f t="shared" si="160"/>
        <v>360</v>
      </c>
      <c r="J359" s="14">
        <f t="shared" si="161"/>
        <v>500</v>
      </c>
      <c r="K359" s="3">
        <f t="shared" si="151"/>
        <v>0</v>
      </c>
      <c r="L359" s="3">
        <f t="shared" si="147"/>
        <v>500</v>
      </c>
      <c r="M359" s="15">
        <f t="shared" si="162"/>
        <v>7.0000000000000007E-2</v>
      </c>
      <c r="N359" s="3">
        <f t="shared" si="163"/>
        <v>73.378074769127181</v>
      </c>
      <c r="O359" s="3">
        <f t="shared" si="148"/>
        <v>73.378074769127181</v>
      </c>
      <c r="P359" s="3">
        <f t="shared" si="152"/>
        <v>78.901155665728155</v>
      </c>
      <c r="Q359" s="3">
        <f t="shared" si="153"/>
        <v>28.270261765926701</v>
      </c>
      <c r="R359" s="3">
        <f t="shared" si="154"/>
        <v>53.58570871582743</v>
      </c>
      <c r="S359" s="3">
        <f t="shared" si="149"/>
        <v>1</v>
      </c>
      <c r="T359" s="3">
        <f t="shared" si="155"/>
        <v>25315.446949900725</v>
      </c>
      <c r="U359" s="3">
        <f t="shared" si="156"/>
        <v>0.5</v>
      </c>
      <c r="V359" s="3">
        <f t="shared" si="157"/>
        <v>0</v>
      </c>
      <c r="W359" s="3">
        <f t="shared" si="158"/>
        <v>26416.106916885787</v>
      </c>
      <c r="X359" s="3">
        <f t="shared" si="150"/>
        <v>14135.130882963351</v>
      </c>
      <c r="AI359" s="3"/>
      <c r="AJ359" s="3"/>
      <c r="AK359" s="15">
        <f t="shared" si="141"/>
        <v>1</v>
      </c>
      <c r="AL359" s="11">
        <f t="shared" si="145"/>
        <v>2100</v>
      </c>
      <c r="AM359" s="11" t="b">
        <f t="shared" si="140"/>
        <v>0</v>
      </c>
      <c r="AN359" s="11">
        <f t="shared" si="142"/>
        <v>36000</v>
      </c>
      <c r="AO359" s="11">
        <f t="shared" si="143"/>
        <v>0</v>
      </c>
      <c r="AP359" s="11">
        <f t="shared" si="144"/>
        <v>0.49310315959826617</v>
      </c>
      <c r="AQ359" s="11">
        <f t="shared" si="146"/>
        <v>0</v>
      </c>
      <c r="AT359" s="3"/>
      <c r="AU359" s="17"/>
      <c r="AV359" s="19"/>
      <c r="AW359" s="17"/>
      <c r="AX359" s="17">
        <f t="shared" si="139"/>
        <v>350</v>
      </c>
      <c r="AY359" s="17">
        <f t="shared" si="164"/>
        <v>35</v>
      </c>
      <c r="AZ359" s="17">
        <v>49.310315959826617</v>
      </c>
      <c r="BA359" s="17"/>
      <c r="BB359" s="17">
        <v>36</v>
      </c>
      <c r="BC359" s="17"/>
      <c r="BD359" s="17"/>
      <c r="BE359" s="17"/>
      <c r="BF359" s="17"/>
      <c r="BG359" s="17"/>
      <c r="BH359" s="17"/>
      <c r="BI359" s="17"/>
      <c r="BJ359" s="17"/>
      <c r="BK359" s="17"/>
      <c r="BL359" s="17"/>
      <c r="BM359" s="17"/>
      <c r="BN359" s="17"/>
      <c r="BO359" s="17"/>
      <c r="BP359" s="17"/>
      <c r="BQ359" s="17"/>
      <c r="BR359" s="17"/>
      <c r="BS359" s="17"/>
      <c r="BT359" s="17"/>
      <c r="BU359" s="17"/>
      <c r="BV359" s="17"/>
      <c r="BW359" s="17"/>
      <c r="BX359" s="17"/>
      <c r="BY359" s="17"/>
      <c r="BZ359" s="17"/>
      <c r="CA359" s="17"/>
      <c r="CB359" s="17"/>
      <c r="CC359" s="17"/>
      <c r="CD359" s="17"/>
      <c r="CE359" s="17"/>
      <c r="CF359" s="17"/>
      <c r="CG359" s="17"/>
      <c r="CH359" s="17"/>
    </row>
    <row r="360" spans="8:86" x14ac:dyDescent="0.15">
      <c r="H360" s="3">
        <f t="shared" si="159"/>
        <v>0.34800000000000025</v>
      </c>
      <c r="I360" s="3">
        <f t="shared" si="160"/>
        <v>360</v>
      </c>
      <c r="J360" s="14">
        <f t="shared" si="161"/>
        <v>500</v>
      </c>
      <c r="K360" s="3">
        <f t="shared" si="151"/>
        <v>0</v>
      </c>
      <c r="L360" s="3">
        <f t="shared" si="147"/>
        <v>500</v>
      </c>
      <c r="M360" s="15">
        <f t="shared" si="162"/>
        <v>7.0000000000000007E-2</v>
      </c>
      <c r="N360" s="3">
        <f t="shared" si="163"/>
        <v>73.307754083155231</v>
      </c>
      <c r="O360" s="3">
        <f t="shared" si="148"/>
        <v>73.307754083155231</v>
      </c>
      <c r="P360" s="3">
        <f t="shared" si="152"/>
        <v>78.825542024898098</v>
      </c>
      <c r="Q360" s="3">
        <f t="shared" si="153"/>
        <v>28.219630872026901</v>
      </c>
      <c r="R360" s="3">
        <f t="shared" si="154"/>
        <v>53.522586448462498</v>
      </c>
      <c r="S360" s="3">
        <f t="shared" si="149"/>
        <v>1</v>
      </c>
      <c r="T360" s="3">
        <f t="shared" si="155"/>
        <v>25302.955576435601</v>
      </c>
      <c r="U360" s="3">
        <f t="shared" si="156"/>
        <v>0.5</v>
      </c>
      <c r="V360" s="3">
        <f t="shared" si="157"/>
        <v>0</v>
      </c>
      <c r="W360" s="3">
        <f t="shared" si="158"/>
        <v>26390.791469935884</v>
      </c>
      <c r="X360" s="3">
        <f t="shared" si="150"/>
        <v>14109.81543601345</v>
      </c>
      <c r="AI360" s="3"/>
      <c r="AJ360" s="3"/>
      <c r="AK360" s="15">
        <f t="shared" si="141"/>
        <v>1</v>
      </c>
      <c r="AL360" s="11">
        <f t="shared" si="145"/>
        <v>2106</v>
      </c>
      <c r="AM360" s="11" t="b">
        <f t="shared" si="140"/>
        <v>0</v>
      </c>
      <c r="AN360" s="11">
        <f t="shared" si="142"/>
        <v>36000</v>
      </c>
      <c r="AO360" s="11">
        <f t="shared" si="143"/>
        <v>0</v>
      </c>
      <c r="AP360" s="11">
        <f t="shared" si="144"/>
        <v>0.49420547441308099</v>
      </c>
      <c r="AQ360" s="11">
        <f t="shared" si="146"/>
        <v>0</v>
      </c>
      <c r="AT360" s="3"/>
      <c r="AU360" s="17"/>
      <c r="AV360" s="19"/>
      <c r="AW360" s="17"/>
      <c r="AX360" s="17">
        <f t="shared" si="139"/>
        <v>351</v>
      </c>
      <c r="AY360" s="17">
        <f t="shared" si="164"/>
        <v>35.1</v>
      </c>
      <c r="AZ360" s="17">
        <v>49.420547441308102</v>
      </c>
      <c r="BA360" s="17"/>
      <c r="BB360" s="17">
        <v>36</v>
      </c>
      <c r="BC360" s="17"/>
      <c r="BD360" s="17"/>
      <c r="BE360" s="17"/>
      <c r="BF360" s="17"/>
      <c r="BG360" s="17"/>
      <c r="BH360" s="17"/>
      <c r="BI360" s="17"/>
      <c r="BJ360" s="17"/>
      <c r="BK360" s="17"/>
      <c r="BL360" s="17"/>
      <c r="BM360" s="17"/>
      <c r="BN360" s="17"/>
      <c r="BO360" s="17"/>
      <c r="BP360" s="17"/>
      <c r="BQ360" s="17"/>
      <c r="BR360" s="17"/>
      <c r="BS360" s="17"/>
      <c r="BT360" s="17"/>
      <c r="BU360" s="17"/>
      <c r="BV360" s="17"/>
      <c r="BW360" s="17"/>
      <c r="BX360" s="17"/>
      <c r="BY360" s="17"/>
      <c r="BZ360" s="17"/>
      <c r="CA360" s="17"/>
      <c r="CB360" s="17"/>
      <c r="CC360" s="17"/>
      <c r="CD360" s="17"/>
      <c r="CE360" s="17"/>
      <c r="CF360" s="17"/>
      <c r="CG360" s="17"/>
      <c r="CH360" s="17"/>
    </row>
    <row r="361" spans="8:86" x14ac:dyDescent="0.15">
      <c r="H361" s="3">
        <f t="shared" si="159"/>
        <v>0.34900000000000025</v>
      </c>
      <c r="I361" s="3">
        <f t="shared" si="160"/>
        <v>360</v>
      </c>
      <c r="J361" s="14">
        <f t="shared" si="161"/>
        <v>500</v>
      </c>
      <c r="K361" s="3">
        <f t="shared" si="151"/>
        <v>0</v>
      </c>
      <c r="L361" s="3">
        <f t="shared" si="147"/>
        <v>500</v>
      </c>
      <c r="M361" s="15">
        <f t="shared" si="162"/>
        <v>7.0000000000000007E-2</v>
      </c>
      <c r="N361" s="3">
        <f t="shared" si="163"/>
        <v>73.237468095442907</v>
      </c>
      <c r="O361" s="3">
        <f t="shared" si="148"/>
        <v>73.237468095442907</v>
      </c>
      <c r="P361" s="3">
        <f t="shared" si="152"/>
        <v>78.749965694024638</v>
      </c>
      <c r="Q361" s="3">
        <f t="shared" si="153"/>
        <v>28.16902496087403</v>
      </c>
      <c r="R361" s="3">
        <f t="shared" si="154"/>
        <v>53.459495327449332</v>
      </c>
      <c r="S361" s="3">
        <f t="shared" si="149"/>
        <v>1</v>
      </c>
      <c r="T361" s="3">
        <f t="shared" si="155"/>
        <v>25290.470366575308</v>
      </c>
      <c r="U361" s="3">
        <f t="shared" si="156"/>
        <v>0.5</v>
      </c>
      <c r="V361" s="3">
        <f t="shared" si="157"/>
        <v>0</v>
      </c>
      <c r="W361" s="3">
        <f t="shared" si="158"/>
        <v>26365.488514359447</v>
      </c>
      <c r="X361" s="3">
        <f t="shared" si="150"/>
        <v>14084.512480437015</v>
      </c>
      <c r="AI361" s="3"/>
      <c r="AJ361" s="3"/>
      <c r="AK361" s="15">
        <f t="shared" si="141"/>
        <v>1</v>
      </c>
      <c r="AL361" s="11">
        <f t="shared" si="145"/>
        <v>2112</v>
      </c>
      <c r="AM361" s="11" t="b">
        <f t="shared" si="140"/>
        <v>0</v>
      </c>
      <c r="AN361" s="11">
        <f t="shared" si="142"/>
        <v>36000</v>
      </c>
      <c r="AO361" s="11">
        <f t="shared" si="143"/>
        <v>0</v>
      </c>
      <c r="AP361" s="11">
        <f t="shared" si="144"/>
        <v>0.49530778922789581</v>
      </c>
      <c r="AQ361" s="11">
        <f t="shared" si="146"/>
        <v>0</v>
      </c>
      <c r="AT361" s="3"/>
      <c r="AU361" s="17"/>
      <c r="AV361" s="19"/>
      <c r="AW361" s="17"/>
      <c r="AX361" s="17">
        <f t="shared" si="139"/>
        <v>352</v>
      </c>
      <c r="AY361" s="17">
        <f t="shared" si="164"/>
        <v>35.200000000000003</v>
      </c>
      <c r="AZ361" s="17">
        <v>49.53077892278958</v>
      </c>
      <c r="BA361" s="17"/>
      <c r="BB361" s="17">
        <v>36</v>
      </c>
      <c r="BC361" s="17"/>
      <c r="BD361" s="17"/>
      <c r="BE361" s="17"/>
      <c r="BF361" s="17"/>
      <c r="BG361" s="17"/>
      <c r="BH361" s="17"/>
      <c r="BI361" s="17"/>
      <c r="BJ361" s="17"/>
      <c r="BK361" s="17"/>
      <c r="BL361" s="17"/>
      <c r="BM361" s="17"/>
      <c r="BN361" s="17"/>
      <c r="BO361" s="17"/>
      <c r="BP361" s="17"/>
      <c r="BQ361" s="17"/>
      <c r="BR361" s="17"/>
      <c r="BS361" s="17"/>
      <c r="BT361" s="17"/>
      <c r="BU361" s="17"/>
      <c r="BV361" s="17"/>
      <c r="BW361" s="17"/>
      <c r="BX361" s="17"/>
      <c r="BY361" s="17"/>
      <c r="BZ361" s="17"/>
      <c r="CA361" s="17"/>
      <c r="CB361" s="17"/>
      <c r="CC361" s="17"/>
      <c r="CD361" s="17"/>
      <c r="CE361" s="17"/>
      <c r="CF361" s="17"/>
      <c r="CG361" s="17"/>
      <c r="CH361" s="17"/>
    </row>
    <row r="362" spans="8:86" x14ac:dyDescent="0.15">
      <c r="H362" s="3">
        <f t="shared" si="159"/>
        <v>0.35000000000000026</v>
      </c>
      <c r="I362" s="3">
        <f t="shared" si="160"/>
        <v>360</v>
      </c>
      <c r="J362" s="14">
        <f t="shared" si="161"/>
        <v>500</v>
      </c>
      <c r="K362" s="3">
        <f t="shared" si="151"/>
        <v>0</v>
      </c>
      <c r="L362" s="3">
        <f t="shared" si="147"/>
        <v>500</v>
      </c>
      <c r="M362" s="15">
        <f t="shared" si="162"/>
        <v>7.0000000000000007E-2</v>
      </c>
      <c r="N362" s="3">
        <f t="shared" si="163"/>
        <v>73.167216788869098</v>
      </c>
      <c r="O362" s="3">
        <f t="shared" si="148"/>
        <v>73.167216788869098</v>
      </c>
      <c r="P362" s="3">
        <f t="shared" si="152"/>
        <v>78.674426654697953</v>
      </c>
      <c r="Q362" s="3">
        <f t="shared" si="153"/>
        <v>28.118444020140881</v>
      </c>
      <c r="R362" s="3">
        <f t="shared" si="154"/>
        <v>53.396435337419419</v>
      </c>
      <c r="S362" s="3">
        <f t="shared" si="149"/>
        <v>1</v>
      </c>
      <c r="T362" s="3">
        <f t="shared" si="155"/>
        <v>25277.991317278535</v>
      </c>
      <c r="U362" s="3">
        <f t="shared" si="156"/>
        <v>0.5</v>
      </c>
      <c r="V362" s="3">
        <f t="shared" si="157"/>
        <v>0</v>
      </c>
      <c r="W362" s="3">
        <f t="shared" si="158"/>
        <v>26340.198043992874</v>
      </c>
      <c r="X362" s="3">
        <f t="shared" si="150"/>
        <v>14059.22201007044</v>
      </c>
      <c r="AI362" s="3"/>
      <c r="AJ362" s="3"/>
      <c r="AK362" s="15">
        <f t="shared" si="141"/>
        <v>1</v>
      </c>
      <c r="AL362" s="11">
        <f t="shared" si="145"/>
        <v>2118</v>
      </c>
      <c r="AM362" s="11" t="b">
        <f t="shared" si="140"/>
        <v>0</v>
      </c>
      <c r="AN362" s="11">
        <f t="shared" si="142"/>
        <v>36000</v>
      </c>
      <c r="AO362" s="11">
        <f t="shared" si="143"/>
        <v>0</v>
      </c>
      <c r="AP362" s="11">
        <f t="shared" si="144"/>
        <v>0.49641010404271069</v>
      </c>
      <c r="AQ362" s="11">
        <f t="shared" si="146"/>
        <v>0</v>
      </c>
      <c r="AT362" s="3"/>
      <c r="AU362" s="17"/>
      <c r="AV362" s="19"/>
      <c r="AW362" s="17"/>
      <c r="AX362" s="17">
        <f t="shared" si="139"/>
        <v>353</v>
      </c>
      <c r="AY362" s="17">
        <f t="shared" si="164"/>
        <v>35.299999999999997</v>
      </c>
      <c r="AZ362" s="17">
        <v>49.641010404271071</v>
      </c>
      <c r="BA362" s="17"/>
      <c r="BB362" s="17">
        <v>36</v>
      </c>
      <c r="BC362" s="17"/>
      <c r="BD362" s="17"/>
      <c r="BE362" s="17"/>
      <c r="BF362" s="17"/>
      <c r="BG362" s="17"/>
      <c r="BH362" s="17"/>
      <c r="BI362" s="17"/>
      <c r="BJ362" s="17"/>
      <c r="BK362" s="17"/>
      <c r="BL362" s="17"/>
      <c r="BM362" s="17"/>
      <c r="BN362" s="17"/>
      <c r="BO362" s="17"/>
      <c r="BP362" s="17"/>
      <c r="BQ362" s="17"/>
      <c r="BR362" s="17"/>
      <c r="BS362" s="17"/>
      <c r="BT362" s="17"/>
      <c r="BU362" s="17"/>
      <c r="BV362" s="17"/>
      <c r="BW362" s="17"/>
      <c r="BX362" s="17"/>
      <c r="BY362" s="17"/>
      <c r="BZ362" s="17"/>
      <c r="CA362" s="17"/>
      <c r="CB362" s="17"/>
      <c r="CC362" s="17"/>
      <c r="CD362" s="17"/>
      <c r="CE362" s="17"/>
      <c r="CF362" s="17"/>
      <c r="CG362" s="17"/>
      <c r="CH362" s="17"/>
    </row>
    <row r="363" spans="8:86" x14ac:dyDescent="0.15">
      <c r="H363" s="3">
        <f t="shared" si="159"/>
        <v>0.35100000000000026</v>
      </c>
      <c r="I363" s="3">
        <f t="shared" si="160"/>
        <v>360</v>
      </c>
      <c r="J363" s="14">
        <f t="shared" si="161"/>
        <v>500</v>
      </c>
      <c r="K363" s="3">
        <f t="shared" si="151"/>
        <v>0</v>
      </c>
      <c r="L363" s="3">
        <f t="shared" si="147"/>
        <v>500</v>
      </c>
      <c r="M363" s="15">
        <f t="shared" si="162"/>
        <v>7.0000000000000007E-2</v>
      </c>
      <c r="N363" s="3">
        <f t="shared" si="163"/>
        <v>73.097000146321093</v>
      </c>
      <c r="O363" s="3">
        <f t="shared" si="148"/>
        <v>73.097000146321093</v>
      </c>
      <c r="P363" s="3">
        <f t="shared" si="152"/>
        <v>78.598924888517317</v>
      </c>
      <c r="Q363" s="3">
        <f t="shared" si="153"/>
        <v>28.067888037506325</v>
      </c>
      <c r="R363" s="3">
        <f t="shared" si="154"/>
        <v>53.333406463011819</v>
      </c>
      <c r="S363" s="3">
        <f t="shared" si="149"/>
        <v>1</v>
      </c>
      <c r="T363" s="3">
        <f t="shared" si="155"/>
        <v>25265.518425505499</v>
      </c>
      <c r="U363" s="3">
        <f t="shared" si="156"/>
        <v>0.5</v>
      </c>
      <c r="V363" s="3">
        <f t="shared" si="157"/>
        <v>0</v>
      </c>
      <c r="W363" s="3">
        <f t="shared" si="158"/>
        <v>26314.920052675592</v>
      </c>
      <c r="X363" s="3">
        <f t="shared" si="150"/>
        <v>14033.944018753162</v>
      </c>
      <c r="AI363" s="3"/>
      <c r="AJ363" s="3"/>
      <c r="AK363" s="15">
        <f t="shared" si="141"/>
        <v>1</v>
      </c>
      <c r="AL363" s="11">
        <f t="shared" si="145"/>
        <v>2124</v>
      </c>
      <c r="AM363" s="11" t="b">
        <f t="shared" si="140"/>
        <v>0</v>
      </c>
      <c r="AN363" s="11">
        <f t="shared" si="142"/>
        <v>36000</v>
      </c>
      <c r="AO363" s="11">
        <f t="shared" si="143"/>
        <v>0</v>
      </c>
      <c r="AP363" s="11">
        <f t="shared" si="144"/>
        <v>0.49751241885752551</v>
      </c>
      <c r="AQ363" s="11">
        <f t="shared" si="146"/>
        <v>0</v>
      </c>
      <c r="AT363" s="3"/>
      <c r="AU363" s="17"/>
      <c r="AV363" s="19"/>
      <c r="AW363" s="17"/>
      <c r="AX363" s="17">
        <f t="shared" si="139"/>
        <v>354</v>
      </c>
      <c r="AY363" s="17">
        <f t="shared" si="164"/>
        <v>35.4</v>
      </c>
      <c r="AZ363" s="17">
        <v>49.751241885752549</v>
      </c>
      <c r="BA363" s="17"/>
      <c r="BB363" s="17">
        <v>36</v>
      </c>
      <c r="BC363" s="17"/>
      <c r="BD363" s="17"/>
      <c r="BE363" s="17"/>
      <c r="BF363" s="17"/>
      <c r="BG363" s="17"/>
      <c r="BH363" s="17"/>
      <c r="BI363" s="17"/>
      <c r="BJ363" s="17"/>
      <c r="BK363" s="17"/>
      <c r="BL363" s="17"/>
      <c r="BM363" s="17"/>
      <c r="BN363" s="17"/>
      <c r="BO363" s="17"/>
      <c r="BP363" s="17"/>
      <c r="BQ363" s="17"/>
      <c r="BR363" s="17"/>
      <c r="BS363" s="17"/>
      <c r="BT363" s="17"/>
      <c r="BU363" s="17"/>
      <c r="BV363" s="17"/>
      <c r="BW363" s="17"/>
      <c r="BX363" s="17"/>
      <c r="BY363" s="17"/>
      <c r="BZ363" s="17"/>
      <c r="CA363" s="17"/>
      <c r="CB363" s="17"/>
      <c r="CC363" s="17"/>
      <c r="CD363" s="17"/>
      <c r="CE363" s="17"/>
      <c r="CF363" s="17"/>
      <c r="CG363" s="17"/>
      <c r="CH363" s="17"/>
    </row>
    <row r="364" spans="8:86" x14ac:dyDescent="0.15">
      <c r="H364" s="3">
        <f t="shared" si="159"/>
        <v>0.35200000000000026</v>
      </c>
      <c r="I364" s="3">
        <f t="shared" si="160"/>
        <v>360</v>
      </c>
      <c r="J364" s="14">
        <f t="shared" si="161"/>
        <v>500</v>
      </c>
      <c r="K364" s="3">
        <f t="shared" si="151"/>
        <v>0</v>
      </c>
      <c r="L364" s="3">
        <f t="shared" si="147"/>
        <v>500</v>
      </c>
      <c r="M364" s="15">
        <f t="shared" si="162"/>
        <v>7.0000000000000007E-2</v>
      </c>
      <c r="N364" s="3">
        <f t="shared" si="163"/>
        <v>73.02681815069468</v>
      </c>
      <c r="O364" s="3">
        <f t="shared" si="148"/>
        <v>73.02681815069468</v>
      </c>
      <c r="P364" s="3">
        <f t="shared" si="152"/>
        <v>78.523460377091055</v>
      </c>
      <c r="Q364" s="3">
        <f t="shared" si="153"/>
        <v>28.017357000655313</v>
      </c>
      <c r="R364" s="3">
        <f t="shared" si="154"/>
        <v>53.270408688873182</v>
      </c>
      <c r="S364" s="3">
        <f t="shared" si="149"/>
        <v>1</v>
      </c>
      <c r="T364" s="3">
        <f t="shared" si="155"/>
        <v>25253.051688217874</v>
      </c>
      <c r="U364" s="3">
        <f t="shared" si="156"/>
        <v>0.5</v>
      </c>
      <c r="V364" s="3">
        <f t="shared" si="157"/>
        <v>0</v>
      </c>
      <c r="W364" s="3">
        <f t="shared" si="158"/>
        <v>26289.654534250083</v>
      </c>
      <c r="X364" s="3">
        <f t="shared" si="150"/>
        <v>14008.678500327656</v>
      </c>
      <c r="AI364" s="3"/>
      <c r="AJ364" s="3"/>
      <c r="AK364" s="15">
        <f t="shared" si="141"/>
        <v>1</v>
      </c>
      <c r="AL364" s="11">
        <f t="shared" si="145"/>
        <v>2130</v>
      </c>
      <c r="AM364" s="11" t="b">
        <f t="shared" si="140"/>
        <v>0</v>
      </c>
      <c r="AN364" s="11">
        <f t="shared" si="142"/>
        <v>36000</v>
      </c>
      <c r="AO364" s="11">
        <f t="shared" si="143"/>
        <v>0</v>
      </c>
      <c r="AP364" s="11">
        <f t="shared" si="144"/>
        <v>0.49861473367234038</v>
      </c>
      <c r="AQ364" s="11">
        <f t="shared" si="146"/>
        <v>0</v>
      </c>
      <c r="AT364" s="3"/>
      <c r="AU364" s="17"/>
      <c r="AV364" s="19"/>
      <c r="AW364" s="17"/>
      <c r="AX364" s="17">
        <f t="shared" si="139"/>
        <v>355</v>
      </c>
      <c r="AY364" s="17">
        <f t="shared" si="164"/>
        <v>35.5</v>
      </c>
      <c r="AZ364" s="17">
        <v>49.861473367234041</v>
      </c>
      <c r="BA364" s="17"/>
      <c r="BB364" s="17">
        <v>36</v>
      </c>
      <c r="BC364" s="17"/>
      <c r="BD364" s="17"/>
      <c r="BE364" s="17"/>
      <c r="BF364" s="17"/>
      <c r="BG364" s="17"/>
      <c r="BH364" s="17"/>
      <c r="BI364" s="17"/>
      <c r="BJ364" s="17"/>
      <c r="BK364" s="17"/>
      <c r="BL364" s="17"/>
      <c r="BM364" s="17"/>
      <c r="BN364" s="17"/>
      <c r="BO364" s="17"/>
      <c r="BP364" s="17"/>
      <c r="BQ364" s="17"/>
      <c r="BR364" s="17"/>
      <c r="BS364" s="17"/>
      <c r="BT364" s="17"/>
      <c r="BU364" s="17"/>
      <c r="BV364" s="17"/>
      <c r="BW364" s="17"/>
      <c r="BX364" s="17"/>
      <c r="BY364" s="17"/>
      <c r="BZ364" s="17"/>
      <c r="CA364" s="17"/>
      <c r="CB364" s="17"/>
      <c r="CC364" s="17"/>
      <c r="CD364" s="17"/>
      <c r="CE364" s="17"/>
      <c r="CF364" s="17"/>
      <c r="CG364" s="17"/>
      <c r="CH364" s="17"/>
    </row>
    <row r="365" spans="8:86" x14ac:dyDescent="0.15">
      <c r="H365" s="3">
        <f t="shared" si="159"/>
        <v>0.35300000000000026</v>
      </c>
      <c r="I365" s="3">
        <f t="shared" si="160"/>
        <v>360</v>
      </c>
      <c r="J365" s="14">
        <f t="shared" si="161"/>
        <v>500</v>
      </c>
      <c r="K365" s="3">
        <f t="shared" si="151"/>
        <v>0</v>
      </c>
      <c r="L365" s="3">
        <f t="shared" si="147"/>
        <v>500</v>
      </c>
      <c r="M365" s="15">
        <f t="shared" si="162"/>
        <v>7.0000000000000007E-2</v>
      </c>
      <c r="N365" s="3">
        <f t="shared" si="163"/>
        <v>72.956670784894072</v>
      </c>
      <c r="O365" s="3">
        <f t="shared" si="148"/>
        <v>72.956670784894072</v>
      </c>
      <c r="P365" s="3">
        <f t="shared" si="152"/>
        <v>78.448033102036646</v>
      </c>
      <c r="Q365" s="3">
        <f t="shared" si="153"/>
        <v>27.966850897278878</v>
      </c>
      <c r="R365" s="3">
        <f t="shared" si="154"/>
        <v>53.20744199965776</v>
      </c>
      <c r="S365" s="3">
        <f t="shared" si="149"/>
        <v>1</v>
      </c>
      <c r="T365" s="3">
        <f t="shared" si="155"/>
        <v>25240.591102378887</v>
      </c>
      <c r="U365" s="3">
        <f t="shared" si="156"/>
        <v>0.5</v>
      </c>
      <c r="V365" s="3">
        <f t="shared" si="157"/>
        <v>0</v>
      </c>
      <c r="W365" s="3">
        <f t="shared" si="158"/>
        <v>26264.401482561865</v>
      </c>
      <c r="X365" s="3">
        <f t="shared" si="150"/>
        <v>13983.425448639438</v>
      </c>
      <c r="AI365" s="3"/>
      <c r="AJ365" s="3"/>
      <c r="AK365" s="15">
        <f t="shared" si="141"/>
        <v>1</v>
      </c>
      <c r="AL365" s="11">
        <f t="shared" si="145"/>
        <v>2136</v>
      </c>
      <c r="AM365" s="11" t="b">
        <f t="shared" si="140"/>
        <v>0</v>
      </c>
      <c r="AN365" s="11">
        <f t="shared" si="142"/>
        <v>36000</v>
      </c>
      <c r="AO365" s="11">
        <f t="shared" si="143"/>
        <v>0</v>
      </c>
      <c r="AP365" s="11">
        <f t="shared" si="144"/>
        <v>0.4997170484871552</v>
      </c>
      <c r="AQ365" s="11">
        <f t="shared" si="146"/>
        <v>0</v>
      </c>
      <c r="AT365" s="3"/>
      <c r="AU365" s="17"/>
      <c r="AV365" s="19"/>
      <c r="AW365" s="17"/>
      <c r="AX365" s="17">
        <f t="shared" si="139"/>
        <v>356</v>
      </c>
      <c r="AY365" s="17">
        <f t="shared" si="164"/>
        <v>35.6</v>
      </c>
      <c r="AZ365" s="17">
        <v>49.971704848715518</v>
      </c>
      <c r="BA365" s="17"/>
      <c r="BB365" s="17">
        <v>36</v>
      </c>
      <c r="BC365" s="17"/>
      <c r="BD365" s="17"/>
      <c r="BE365" s="17"/>
      <c r="BF365" s="17"/>
      <c r="BG365" s="17"/>
      <c r="BH365" s="17"/>
      <c r="BI365" s="17"/>
      <c r="BJ365" s="17"/>
      <c r="BK365" s="17"/>
      <c r="BL365" s="17"/>
      <c r="BM365" s="17"/>
      <c r="BN365" s="17"/>
      <c r="BO365" s="17"/>
      <c r="BP365" s="17"/>
      <c r="BQ365" s="17"/>
      <c r="BR365" s="17"/>
      <c r="BS365" s="17"/>
      <c r="BT365" s="17"/>
      <c r="BU365" s="17"/>
      <c r="BV365" s="17"/>
      <c r="BW365" s="17"/>
      <c r="BX365" s="17"/>
      <c r="BY365" s="17"/>
      <c r="BZ365" s="17"/>
      <c r="CA365" s="17"/>
      <c r="CB365" s="17"/>
      <c r="CC365" s="17"/>
      <c r="CD365" s="17"/>
      <c r="CE365" s="17"/>
      <c r="CF365" s="17"/>
      <c r="CG365" s="17"/>
      <c r="CH365" s="17"/>
    </row>
    <row r="366" spans="8:86" x14ac:dyDescent="0.15">
      <c r="H366" s="3">
        <f t="shared" si="159"/>
        <v>0.35400000000000026</v>
      </c>
      <c r="I366" s="3">
        <f t="shared" si="160"/>
        <v>360</v>
      </c>
      <c r="J366" s="14">
        <f t="shared" si="161"/>
        <v>500</v>
      </c>
      <c r="K366" s="3">
        <f t="shared" si="151"/>
        <v>0</v>
      </c>
      <c r="L366" s="3">
        <f t="shared" si="147"/>
        <v>500</v>
      </c>
      <c r="M366" s="15">
        <f t="shared" si="162"/>
        <v>7.0000000000000007E-2</v>
      </c>
      <c r="N366" s="3">
        <f t="shared" si="163"/>
        <v>72.88655803183191</v>
      </c>
      <c r="O366" s="3">
        <f t="shared" si="148"/>
        <v>72.88655803183191</v>
      </c>
      <c r="P366" s="3">
        <f t="shared" si="152"/>
        <v>78.372643044980549</v>
      </c>
      <c r="Q366" s="3">
        <f t="shared" si="153"/>
        <v>27.916369715074119</v>
      </c>
      <c r="R366" s="3">
        <f t="shared" si="154"/>
        <v>53.144506380027337</v>
      </c>
      <c r="S366" s="3">
        <f t="shared" si="149"/>
        <v>1</v>
      </c>
      <c r="T366" s="3">
        <f t="shared" si="155"/>
        <v>25228.136664953214</v>
      </c>
      <c r="U366" s="3">
        <f t="shared" si="156"/>
        <v>0.5</v>
      </c>
      <c r="V366" s="3">
        <f t="shared" si="157"/>
        <v>0</v>
      </c>
      <c r="W366" s="3">
        <f t="shared" si="158"/>
        <v>26239.160891459487</v>
      </c>
      <c r="X366" s="3">
        <f t="shared" si="150"/>
        <v>13958.184857537059</v>
      </c>
      <c r="AI366" s="3"/>
      <c r="AJ366" s="3"/>
      <c r="AK366" s="15">
        <f t="shared" si="141"/>
        <v>1</v>
      </c>
      <c r="AL366" s="11">
        <f t="shared" si="145"/>
        <v>2142</v>
      </c>
      <c r="AM366" s="11" t="b">
        <f t="shared" si="140"/>
        <v>0</v>
      </c>
      <c r="AN366" s="11">
        <f t="shared" si="142"/>
        <v>36000</v>
      </c>
      <c r="AO366" s="11">
        <f t="shared" si="143"/>
        <v>0</v>
      </c>
      <c r="AP366" s="11">
        <f t="shared" si="144"/>
        <v>0.50081936330197008</v>
      </c>
      <c r="AQ366" s="11">
        <f t="shared" si="146"/>
        <v>0</v>
      </c>
      <c r="AT366" s="3"/>
      <c r="AU366" s="17"/>
      <c r="AV366" s="19"/>
      <c r="AW366" s="17"/>
      <c r="AX366" s="17">
        <f t="shared" ref="AX366:AX429" si="165">IF(AX365&gt;=$AG$14,$AG$14,AX365+1)</f>
        <v>357</v>
      </c>
      <c r="AY366" s="17">
        <f t="shared" si="164"/>
        <v>35.700000000000003</v>
      </c>
      <c r="AZ366" s="17">
        <v>50.08193633019701</v>
      </c>
      <c r="BA366" s="17"/>
      <c r="BB366" s="17">
        <v>36</v>
      </c>
      <c r="BC366" s="17"/>
      <c r="BD366" s="17"/>
      <c r="BE366" s="17"/>
      <c r="BF366" s="17"/>
      <c r="BG366" s="17"/>
      <c r="BH366" s="17"/>
      <c r="BI366" s="17"/>
      <c r="BJ366" s="17"/>
      <c r="BK366" s="17"/>
      <c r="BL366" s="17"/>
      <c r="BM366" s="17"/>
      <c r="BN366" s="17"/>
      <c r="BO366" s="17"/>
      <c r="BP366" s="17"/>
      <c r="BQ366" s="17"/>
      <c r="BR366" s="17"/>
      <c r="BS366" s="17"/>
      <c r="BT366" s="17"/>
      <c r="BU366" s="17"/>
      <c r="BV366" s="17"/>
      <c r="BW366" s="17"/>
      <c r="BX366" s="17"/>
      <c r="BY366" s="17"/>
      <c r="BZ366" s="17"/>
      <c r="CA366" s="17"/>
      <c r="CB366" s="17"/>
      <c r="CC366" s="17"/>
      <c r="CD366" s="17"/>
      <c r="CE366" s="17"/>
      <c r="CF366" s="17"/>
      <c r="CG366" s="17"/>
      <c r="CH366" s="17"/>
    </row>
    <row r="367" spans="8:86" x14ac:dyDescent="0.15">
      <c r="H367" s="3">
        <f t="shared" si="159"/>
        <v>0.35500000000000026</v>
      </c>
      <c r="I367" s="3">
        <f t="shared" si="160"/>
        <v>360</v>
      </c>
      <c r="J367" s="14">
        <f t="shared" si="161"/>
        <v>500</v>
      </c>
      <c r="K367" s="3">
        <f t="shared" si="151"/>
        <v>0</v>
      </c>
      <c r="L367" s="3">
        <f t="shared" si="147"/>
        <v>500</v>
      </c>
      <c r="M367" s="15">
        <f t="shared" si="162"/>
        <v>7.0000000000000007E-2</v>
      </c>
      <c r="N367" s="3">
        <f t="shared" si="163"/>
        <v>72.816479874429263</v>
      </c>
      <c r="O367" s="3">
        <f t="shared" si="148"/>
        <v>72.816479874429263</v>
      </c>
      <c r="P367" s="3">
        <f t="shared" si="152"/>
        <v>78.297290187558346</v>
      </c>
      <c r="Q367" s="3">
        <f t="shared" si="153"/>
        <v>27.865913441744212</v>
      </c>
      <c r="R367" s="3">
        <f t="shared" si="154"/>
        <v>53.081601814651279</v>
      </c>
      <c r="S367" s="3">
        <f t="shared" si="149"/>
        <v>1</v>
      </c>
      <c r="T367" s="3">
        <f t="shared" si="155"/>
        <v>25215.688372907069</v>
      </c>
      <c r="U367" s="3">
        <f t="shared" si="156"/>
        <v>0.5</v>
      </c>
      <c r="V367" s="3">
        <f t="shared" si="157"/>
        <v>0</v>
      </c>
      <c r="W367" s="3">
        <f t="shared" si="158"/>
        <v>26213.932754794536</v>
      </c>
      <c r="X367" s="3">
        <f t="shared" si="150"/>
        <v>13932.956720872106</v>
      </c>
      <c r="AI367" s="3"/>
      <c r="AJ367" s="3"/>
      <c r="AK367" s="15">
        <f t="shared" si="141"/>
        <v>1</v>
      </c>
      <c r="AL367" s="11">
        <f t="shared" si="145"/>
        <v>2148</v>
      </c>
      <c r="AM367" s="11" t="b">
        <f t="shared" si="140"/>
        <v>0</v>
      </c>
      <c r="AN367" s="11">
        <f t="shared" si="142"/>
        <v>36000</v>
      </c>
      <c r="AO367" s="11">
        <f t="shared" si="143"/>
        <v>0</v>
      </c>
      <c r="AP367" s="11">
        <f t="shared" si="144"/>
        <v>0.5019216781167849</v>
      </c>
      <c r="AQ367" s="11">
        <f t="shared" si="146"/>
        <v>0</v>
      </c>
      <c r="AT367" s="3"/>
      <c r="AU367" s="17"/>
      <c r="AV367" s="19"/>
      <c r="AW367" s="17"/>
      <c r="AX367" s="17">
        <f t="shared" si="165"/>
        <v>358</v>
      </c>
      <c r="AY367" s="17">
        <f t="shared" si="164"/>
        <v>35.799999999999997</v>
      </c>
      <c r="AZ367" s="17">
        <v>50.192167811678488</v>
      </c>
      <c r="BA367" s="17"/>
      <c r="BB367" s="17">
        <v>36</v>
      </c>
      <c r="BC367" s="17"/>
      <c r="BD367" s="17"/>
      <c r="BE367" s="17"/>
      <c r="BF367" s="17"/>
      <c r="BG367" s="17"/>
      <c r="BH367" s="17"/>
      <c r="BI367" s="17"/>
      <c r="BJ367" s="17"/>
      <c r="BK367" s="17"/>
      <c r="BL367" s="17"/>
      <c r="BM367" s="17"/>
      <c r="BN367" s="17"/>
      <c r="BO367" s="17"/>
      <c r="BP367" s="17"/>
      <c r="BQ367" s="17"/>
      <c r="BR367" s="17"/>
      <c r="BS367" s="17"/>
      <c r="BT367" s="17"/>
      <c r="BU367" s="17"/>
      <c r="BV367" s="17"/>
      <c r="BW367" s="17"/>
      <c r="BX367" s="17"/>
      <c r="BY367" s="17"/>
      <c r="BZ367" s="17"/>
      <c r="CA367" s="17"/>
      <c r="CB367" s="17"/>
      <c r="CC367" s="17"/>
      <c r="CD367" s="17"/>
      <c r="CE367" s="17"/>
      <c r="CF367" s="17"/>
      <c r="CG367" s="17"/>
      <c r="CH367" s="17"/>
    </row>
    <row r="368" spans="8:86" x14ac:dyDescent="0.15">
      <c r="H368" s="3">
        <f t="shared" si="159"/>
        <v>0.35600000000000026</v>
      </c>
      <c r="I368" s="3">
        <f t="shared" si="160"/>
        <v>360</v>
      </c>
      <c r="J368" s="14">
        <f t="shared" si="161"/>
        <v>500</v>
      </c>
      <c r="K368" s="3">
        <f t="shared" si="151"/>
        <v>0</v>
      </c>
      <c r="L368" s="3">
        <f t="shared" si="147"/>
        <v>500</v>
      </c>
      <c r="M368" s="15">
        <f t="shared" si="162"/>
        <v>7.0000000000000007E-2</v>
      </c>
      <c r="N368" s="3">
        <f t="shared" si="163"/>
        <v>72.746436295615638</v>
      </c>
      <c r="O368" s="3">
        <f t="shared" si="148"/>
        <v>72.746436295615638</v>
      </c>
      <c r="P368" s="3">
        <f t="shared" si="152"/>
        <v>78.221974511414672</v>
      </c>
      <c r="Q368" s="3">
        <f t="shared" si="153"/>
        <v>27.815482064998395</v>
      </c>
      <c r="R368" s="3">
        <f t="shared" si="154"/>
        <v>53.018728288206532</v>
      </c>
      <c r="S368" s="3">
        <f t="shared" si="149"/>
        <v>1</v>
      </c>
      <c r="T368" s="3">
        <f t="shared" si="155"/>
        <v>25203.246223208142</v>
      </c>
      <c r="U368" s="3">
        <f t="shared" si="156"/>
        <v>0.5</v>
      </c>
      <c r="V368" s="3">
        <f t="shared" si="157"/>
        <v>0</v>
      </c>
      <c r="W368" s="3">
        <f t="shared" si="158"/>
        <v>26188.717066421628</v>
      </c>
      <c r="X368" s="3">
        <f t="shared" si="150"/>
        <v>13907.741032499198</v>
      </c>
      <c r="AI368" s="3"/>
      <c r="AJ368" s="3"/>
      <c r="AK368" s="15">
        <f t="shared" si="141"/>
        <v>1</v>
      </c>
      <c r="AL368" s="11">
        <f t="shared" si="145"/>
        <v>2154</v>
      </c>
      <c r="AM368" s="11" t="b">
        <f t="shared" si="140"/>
        <v>0</v>
      </c>
      <c r="AN368" s="11">
        <f t="shared" si="142"/>
        <v>36000</v>
      </c>
      <c r="AO368" s="11">
        <f t="shared" si="143"/>
        <v>0</v>
      </c>
      <c r="AP368" s="11">
        <f t="shared" si="144"/>
        <v>0.50302399293159972</v>
      </c>
      <c r="AQ368" s="11">
        <f t="shared" si="146"/>
        <v>0</v>
      </c>
      <c r="AT368" s="3"/>
      <c r="AU368" s="17"/>
      <c r="AV368" s="19"/>
      <c r="AW368" s="17"/>
      <c r="AX368" s="17">
        <f t="shared" si="165"/>
        <v>359</v>
      </c>
      <c r="AY368" s="17">
        <f t="shared" si="164"/>
        <v>35.9</v>
      </c>
      <c r="AZ368" s="17">
        <v>50.302399293159972</v>
      </c>
      <c r="BA368" s="17"/>
      <c r="BB368" s="17">
        <v>36</v>
      </c>
      <c r="BC368" s="17"/>
      <c r="BD368" s="17"/>
      <c r="BE368" s="17"/>
      <c r="BF368" s="17"/>
      <c r="BG368" s="17"/>
      <c r="BH368" s="17"/>
      <c r="BI368" s="17"/>
      <c r="BJ368" s="17"/>
      <c r="BK368" s="17"/>
      <c r="BL368" s="17"/>
      <c r="BM368" s="17"/>
      <c r="BN368" s="17"/>
      <c r="BO368" s="17"/>
      <c r="BP368" s="17"/>
      <c r="BQ368" s="17"/>
      <c r="BR368" s="17"/>
      <c r="BS368" s="17"/>
      <c r="BT368" s="17"/>
      <c r="BU368" s="17"/>
      <c r="BV368" s="17"/>
      <c r="BW368" s="17"/>
      <c r="BX368" s="17"/>
      <c r="BY368" s="17"/>
      <c r="BZ368" s="17"/>
      <c r="CA368" s="17"/>
      <c r="CB368" s="17"/>
      <c r="CC368" s="17"/>
      <c r="CD368" s="17"/>
      <c r="CE368" s="17"/>
      <c r="CF368" s="17"/>
      <c r="CG368" s="17"/>
      <c r="CH368" s="17"/>
    </row>
    <row r="369" spans="8:86" x14ac:dyDescent="0.15">
      <c r="H369" s="3">
        <f t="shared" si="159"/>
        <v>0.35700000000000026</v>
      </c>
      <c r="I369" s="3">
        <f t="shared" si="160"/>
        <v>360</v>
      </c>
      <c r="J369" s="14">
        <f t="shared" si="161"/>
        <v>500</v>
      </c>
      <c r="K369" s="3">
        <f t="shared" si="151"/>
        <v>0</v>
      </c>
      <c r="L369" s="3">
        <f t="shared" si="147"/>
        <v>500</v>
      </c>
      <c r="M369" s="15">
        <f t="shared" si="162"/>
        <v>7.0000000000000007E-2</v>
      </c>
      <c r="N369" s="3">
        <f t="shared" si="163"/>
        <v>72.676427278328944</v>
      </c>
      <c r="O369" s="3">
        <f t="shared" si="148"/>
        <v>72.676427278328944</v>
      </c>
      <c r="P369" s="3">
        <f t="shared" si="152"/>
        <v>78.146695998203171</v>
      </c>
      <c r="Q369" s="3">
        <f t="shared" si="153"/>
        <v>27.765075572551982</v>
      </c>
      <c r="R369" s="3">
        <f t="shared" si="154"/>
        <v>52.955885785377575</v>
      </c>
      <c r="S369" s="3">
        <f t="shared" si="149"/>
        <v>1</v>
      </c>
      <c r="T369" s="3">
        <f t="shared" si="155"/>
        <v>25190.810212825596</v>
      </c>
      <c r="U369" s="3">
        <f t="shared" si="156"/>
        <v>0.5</v>
      </c>
      <c r="V369" s="3">
        <f t="shared" si="157"/>
        <v>0</v>
      </c>
      <c r="W369" s="3">
        <f t="shared" si="158"/>
        <v>26163.513820198419</v>
      </c>
      <c r="X369" s="3">
        <f t="shared" si="150"/>
        <v>13882.537786275991</v>
      </c>
      <c r="AI369" s="3"/>
      <c r="AJ369" s="3"/>
      <c r="AK369" s="15">
        <f t="shared" si="141"/>
        <v>2</v>
      </c>
      <c r="AL369" s="11">
        <f t="shared" si="145"/>
        <v>2160</v>
      </c>
      <c r="AM369" s="11" t="b">
        <f t="shared" si="140"/>
        <v>0</v>
      </c>
      <c r="AN369" s="11">
        <f t="shared" si="142"/>
        <v>36000</v>
      </c>
      <c r="AO369" s="11">
        <f t="shared" si="143"/>
        <v>0</v>
      </c>
      <c r="AP369" s="11">
        <f t="shared" si="144"/>
        <v>0.50412630774641454</v>
      </c>
      <c r="AQ369" s="11">
        <f t="shared" si="146"/>
        <v>0</v>
      </c>
      <c r="AT369" s="3"/>
      <c r="AU369" s="17"/>
      <c r="AV369" s="19"/>
      <c r="AW369" s="17"/>
      <c r="AX369" s="17">
        <f t="shared" si="165"/>
        <v>360</v>
      </c>
      <c r="AY369" s="17">
        <f t="shared" si="164"/>
        <v>36</v>
      </c>
      <c r="AZ369" s="17">
        <v>50.412630774641457</v>
      </c>
      <c r="BA369" s="17"/>
      <c r="BB369" s="17">
        <v>36</v>
      </c>
      <c r="BC369" s="17"/>
      <c r="BD369" s="17"/>
      <c r="BE369" s="17"/>
      <c r="BF369" s="17"/>
      <c r="BG369" s="17"/>
      <c r="BH369" s="17"/>
      <c r="BI369" s="17"/>
      <c r="BJ369" s="17"/>
      <c r="BK369" s="17"/>
      <c r="BL369" s="17"/>
      <c r="BM369" s="17"/>
      <c r="BN369" s="17"/>
      <c r="BO369" s="17"/>
      <c r="BP369" s="17"/>
      <c r="BQ369" s="17"/>
      <c r="BR369" s="17"/>
      <c r="BS369" s="17"/>
      <c r="BT369" s="17"/>
      <c r="BU369" s="17"/>
      <c r="BV369" s="17"/>
      <c r="BW369" s="17"/>
      <c r="BX369" s="17"/>
      <c r="BY369" s="17"/>
      <c r="BZ369" s="17"/>
      <c r="CA369" s="17"/>
      <c r="CB369" s="17"/>
      <c r="CC369" s="17"/>
      <c r="CD369" s="17"/>
      <c r="CE369" s="17"/>
      <c r="CF369" s="17"/>
      <c r="CG369" s="17"/>
      <c r="CH369" s="17"/>
    </row>
    <row r="370" spans="8:86" x14ac:dyDescent="0.15">
      <c r="H370" s="3">
        <f t="shared" si="159"/>
        <v>0.35800000000000026</v>
      </c>
      <c r="I370" s="3">
        <f t="shared" si="160"/>
        <v>360</v>
      </c>
      <c r="J370" s="14">
        <f t="shared" si="161"/>
        <v>500</v>
      </c>
      <c r="K370" s="3">
        <f t="shared" si="151"/>
        <v>0</v>
      </c>
      <c r="L370" s="3">
        <f t="shared" si="147"/>
        <v>500</v>
      </c>
      <c r="M370" s="15">
        <f t="shared" si="162"/>
        <v>7.0000000000000007E-2</v>
      </c>
      <c r="N370" s="3">
        <f t="shared" si="163"/>
        <v>72.606452805515545</v>
      </c>
      <c r="O370" s="3">
        <f t="shared" si="148"/>
        <v>72.606452805515545</v>
      </c>
      <c r="P370" s="3">
        <f t="shared" si="152"/>
        <v>78.071454629586611</v>
      </c>
      <c r="Q370" s="3">
        <f t="shared" si="153"/>
        <v>27.714693952126332</v>
      </c>
      <c r="R370" s="3">
        <f t="shared" si="154"/>
        <v>52.893074290856475</v>
      </c>
      <c r="S370" s="3">
        <f t="shared" si="149"/>
        <v>1</v>
      </c>
      <c r="T370" s="3">
        <f t="shared" si="155"/>
        <v>25178.380338730141</v>
      </c>
      <c r="U370" s="3">
        <f t="shared" si="156"/>
        <v>0.5</v>
      </c>
      <c r="V370" s="3">
        <f t="shared" si="157"/>
        <v>0</v>
      </c>
      <c r="W370" s="3">
        <f t="shared" si="158"/>
        <v>26138.323009985597</v>
      </c>
      <c r="X370" s="3">
        <f t="shared" si="150"/>
        <v>13857.346976063165</v>
      </c>
      <c r="AI370" s="3"/>
      <c r="AJ370" s="3"/>
      <c r="AK370" s="15">
        <f t="shared" si="141"/>
        <v>2</v>
      </c>
      <c r="AL370" s="11">
        <f t="shared" si="145"/>
        <v>2166</v>
      </c>
      <c r="AM370" s="11" t="b">
        <f t="shared" si="140"/>
        <v>0</v>
      </c>
      <c r="AN370" s="11">
        <f t="shared" si="142"/>
        <v>36000</v>
      </c>
      <c r="AO370" s="11">
        <f t="shared" si="143"/>
        <v>0</v>
      </c>
      <c r="AP370" s="11">
        <f t="shared" si="144"/>
        <v>0.50522862256122936</v>
      </c>
      <c r="AQ370" s="11">
        <f t="shared" si="146"/>
        <v>0</v>
      </c>
      <c r="AT370" s="3"/>
      <c r="AU370" s="17"/>
      <c r="AV370" s="19"/>
      <c r="AW370" s="17"/>
      <c r="AX370" s="17">
        <f t="shared" si="165"/>
        <v>361</v>
      </c>
      <c r="AY370" s="17">
        <f t="shared" si="164"/>
        <v>36.1</v>
      </c>
      <c r="AZ370" s="17">
        <v>50.522862256122934</v>
      </c>
      <c r="BA370" s="17"/>
      <c r="BB370" s="17">
        <v>36</v>
      </c>
      <c r="BC370" s="17"/>
      <c r="BD370" s="17"/>
      <c r="BE370" s="17"/>
      <c r="BF370" s="17"/>
      <c r="BG370" s="17"/>
      <c r="BH370" s="17"/>
      <c r="BI370" s="17"/>
      <c r="BJ370" s="17"/>
      <c r="BK370" s="17"/>
      <c r="BL370" s="17"/>
      <c r="BM370" s="17"/>
      <c r="BN370" s="17"/>
      <c r="BO370" s="17"/>
      <c r="BP370" s="17"/>
      <c r="BQ370" s="17"/>
      <c r="BR370" s="17"/>
      <c r="BS370" s="17"/>
      <c r="BT370" s="17"/>
      <c r="BU370" s="17"/>
      <c r="BV370" s="17"/>
      <c r="BW370" s="17"/>
      <c r="BX370" s="17"/>
      <c r="BY370" s="17"/>
      <c r="BZ370" s="17"/>
      <c r="CA370" s="17"/>
      <c r="CB370" s="17"/>
      <c r="CC370" s="17"/>
      <c r="CD370" s="17"/>
      <c r="CE370" s="17"/>
      <c r="CF370" s="17"/>
      <c r="CG370" s="17"/>
      <c r="CH370" s="17"/>
    </row>
    <row r="371" spans="8:86" x14ac:dyDescent="0.15">
      <c r="H371" s="3">
        <f t="shared" si="159"/>
        <v>0.35900000000000026</v>
      </c>
      <c r="I371" s="3">
        <f t="shared" si="160"/>
        <v>360</v>
      </c>
      <c r="J371" s="14">
        <f t="shared" si="161"/>
        <v>500</v>
      </c>
      <c r="K371" s="3">
        <f t="shared" si="151"/>
        <v>0</v>
      </c>
      <c r="L371" s="3">
        <f t="shared" si="147"/>
        <v>500</v>
      </c>
      <c r="M371" s="15">
        <f t="shared" si="162"/>
        <v>7.0000000000000007E-2</v>
      </c>
      <c r="N371" s="3">
        <f t="shared" si="163"/>
        <v>72.536512860130188</v>
      </c>
      <c r="O371" s="3">
        <f t="shared" si="148"/>
        <v>72.536512860130188</v>
      </c>
      <c r="P371" s="3">
        <f t="shared" si="152"/>
        <v>77.996250387236771</v>
      </c>
      <c r="Q371" s="3">
        <f t="shared" si="153"/>
        <v>27.664337191448872</v>
      </c>
      <c r="R371" s="3">
        <f t="shared" si="154"/>
        <v>52.830293789342818</v>
      </c>
      <c r="S371" s="3">
        <f t="shared" si="149"/>
        <v>1</v>
      </c>
      <c r="T371" s="3">
        <f t="shared" si="155"/>
        <v>25165.95659789395</v>
      </c>
      <c r="U371" s="3">
        <f t="shared" si="156"/>
        <v>0.5</v>
      </c>
      <c r="V371" s="3">
        <f t="shared" si="157"/>
        <v>0</v>
      </c>
      <c r="W371" s="3">
        <f t="shared" si="158"/>
        <v>26113.144629646868</v>
      </c>
      <c r="X371" s="3">
        <f t="shared" si="150"/>
        <v>13832.168595724435</v>
      </c>
      <c r="AI371" s="3"/>
      <c r="AJ371" s="3"/>
      <c r="AK371" s="15">
        <f t="shared" si="141"/>
        <v>2</v>
      </c>
      <c r="AL371" s="11">
        <f t="shared" si="145"/>
        <v>2172</v>
      </c>
      <c r="AM371" s="11" t="b">
        <f t="shared" si="140"/>
        <v>0</v>
      </c>
      <c r="AN371" s="11">
        <f t="shared" si="142"/>
        <v>36000</v>
      </c>
      <c r="AO371" s="11">
        <f t="shared" si="143"/>
        <v>0</v>
      </c>
      <c r="AP371" s="11">
        <f t="shared" si="144"/>
        <v>0.50633093737604418</v>
      </c>
      <c r="AQ371" s="11">
        <f t="shared" si="146"/>
        <v>0</v>
      </c>
      <c r="AT371" s="3"/>
      <c r="AU371" s="17"/>
      <c r="AV371" s="19"/>
      <c r="AW371" s="17"/>
      <c r="AX371" s="17">
        <f t="shared" si="165"/>
        <v>362</v>
      </c>
      <c r="AY371" s="17">
        <f t="shared" si="164"/>
        <v>36.200000000000003</v>
      </c>
      <c r="AZ371" s="17">
        <v>50.633093737604419</v>
      </c>
      <c r="BA371" s="17"/>
      <c r="BB371" s="17">
        <v>36</v>
      </c>
      <c r="BC371" s="17"/>
      <c r="BD371" s="17"/>
      <c r="BE371" s="17"/>
      <c r="BF371" s="17"/>
      <c r="BG371" s="17"/>
      <c r="BH371" s="17"/>
      <c r="BI371" s="17"/>
      <c r="BJ371" s="17"/>
      <c r="BK371" s="17"/>
      <c r="BL371" s="17"/>
      <c r="BM371" s="17"/>
      <c r="BN371" s="17"/>
      <c r="BO371" s="17"/>
      <c r="BP371" s="17"/>
      <c r="BQ371" s="17"/>
      <c r="BR371" s="17"/>
      <c r="BS371" s="17"/>
      <c r="BT371" s="17"/>
      <c r="BU371" s="17"/>
      <c r="BV371" s="17"/>
      <c r="BW371" s="17"/>
      <c r="BX371" s="17"/>
      <c r="BY371" s="17"/>
      <c r="BZ371" s="17"/>
      <c r="CA371" s="17"/>
      <c r="CB371" s="17"/>
      <c r="CC371" s="17"/>
      <c r="CD371" s="17"/>
      <c r="CE371" s="17"/>
      <c r="CF371" s="17"/>
      <c r="CG371" s="17"/>
      <c r="CH371" s="17"/>
    </row>
    <row r="372" spans="8:86" x14ac:dyDescent="0.15">
      <c r="H372" s="3">
        <f t="shared" si="159"/>
        <v>0.36000000000000026</v>
      </c>
      <c r="I372" s="3">
        <f t="shared" si="160"/>
        <v>360</v>
      </c>
      <c r="J372" s="14">
        <f t="shared" si="161"/>
        <v>500</v>
      </c>
      <c r="K372" s="3">
        <f t="shared" si="151"/>
        <v>0</v>
      </c>
      <c r="L372" s="3">
        <f t="shared" si="147"/>
        <v>500</v>
      </c>
      <c r="M372" s="15">
        <f t="shared" si="162"/>
        <v>7.0000000000000007E-2</v>
      </c>
      <c r="N372" s="3">
        <f t="shared" si="163"/>
        <v>72.466607425136033</v>
      </c>
      <c r="O372" s="3">
        <f t="shared" si="148"/>
        <v>72.466607425136033</v>
      </c>
      <c r="P372" s="3">
        <f t="shared" si="152"/>
        <v>77.92108325283445</v>
      </c>
      <c r="Q372" s="3">
        <f t="shared" si="153"/>
        <v>27.614005278253085</v>
      </c>
      <c r="R372" s="3">
        <f t="shared" si="154"/>
        <v>52.767544265543769</v>
      </c>
      <c r="S372" s="3">
        <f t="shared" si="149"/>
        <v>1</v>
      </c>
      <c r="T372" s="3">
        <f t="shared" si="155"/>
        <v>25153.538987290682</v>
      </c>
      <c r="U372" s="3">
        <f t="shared" si="156"/>
        <v>0.5</v>
      </c>
      <c r="V372" s="3">
        <f t="shared" si="157"/>
        <v>0</v>
      </c>
      <c r="W372" s="3">
        <f t="shared" si="158"/>
        <v>26087.978673048972</v>
      </c>
      <c r="X372" s="3">
        <f t="shared" si="150"/>
        <v>13807.002639126542</v>
      </c>
      <c r="AI372" s="3"/>
      <c r="AJ372" s="3"/>
      <c r="AK372" s="15">
        <f t="shared" si="141"/>
        <v>2</v>
      </c>
      <c r="AL372" s="11">
        <f t="shared" si="145"/>
        <v>2178</v>
      </c>
      <c r="AM372" s="11" t="b">
        <f t="shared" si="140"/>
        <v>0</v>
      </c>
      <c r="AN372" s="11">
        <f t="shared" si="142"/>
        <v>36000</v>
      </c>
      <c r="AO372" s="11">
        <f t="shared" si="143"/>
        <v>0</v>
      </c>
      <c r="AP372" s="11">
        <f t="shared" si="144"/>
        <v>0.507433252190859</v>
      </c>
      <c r="AQ372" s="11">
        <f t="shared" si="146"/>
        <v>0</v>
      </c>
      <c r="AT372" s="3"/>
      <c r="AU372" s="17"/>
      <c r="AV372" s="19"/>
      <c r="AW372" s="17"/>
      <c r="AX372" s="17">
        <f t="shared" si="165"/>
        <v>363</v>
      </c>
      <c r="AY372" s="17">
        <f t="shared" si="164"/>
        <v>36.299999999999997</v>
      </c>
      <c r="AZ372" s="17">
        <v>50.743325219085897</v>
      </c>
      <c r="BA372" s="17"/>
      <c r="BB372" s="17">
        <v>36</v>
      </c>
      <c r="BC372" s="17"/>
      <c r="BD372" s="17"/>
      <c r="BE372" s="17"/>
      <c r="BF372" s="17"/>
      <c r="BG372" s="17"/>
      <c r="BH372" s="17"/>
      <c r="BI372" s="17"/>
      <c r="BJ372" s="17"/>
      <c r="BK372" s="17"/>
      <c r="BL372" s="17"/>
      <c r="BM372" s="17"/>
      <c r="BN372" s="17"/>
      <c r="BO372" s="17"/>
      <c r="BP372" s="17"/>
      <c r="BQ372" s="17"/>
      <c r="BR372" s="17"/>
      <c r="BS372" s="17"/>
      <c r="BT372" s="17"/>
      <c r="BU372" s="17"/>
      <c r="BV372" s="17"/>
      <c r="BW372" s="17"/>
      <c r="BX372" s="17"/>
      <c r="BY372" s="17"/>
      <c r="BZ372" s="17"/>
      <c r="CA372" s="17"/>
      <c r="CB372" s="17"/>
      <c r="CC372" s="17"/>
      <c r="CD372" s="17"/>
      <c r="CE372" s="17"/>
      <c r="CF372" s="17"/>
      <c r="CG372" s="17"/>
      <c r="CH372" s="17"/>
    </row>
    <row r="373" spans="8:86" x14ac:dyDescent="0.15">
      <c r="H373" s="3">
        <f t="shared" si="159"/>
        <v>0.36100000000000027</v>
      </c>
      <c r="I373" s="3">
        <f t="shared" si="160"/>
        <v>360</v>
      </c>
      <c r="J373" s="14">
        <f t="shared" si="161"/>
        <v>500</v>
      </c>
      <c r="K373" s="3">
        <f t="shared" si="151"/>
        <v>0</v>
      </c>
      <c r="L373" s="3">
        <f t="shared" si="147"/>
        <v>500</v>
      </c>
      <c r="M373" s="15">
        <f t="shared" si="162"/>
        <v>7.0000000000000007E-2</v>
      </c>
      <c r="N373" s="3">
        <f t="shared" si="163"/>
        <v>72.396736483504668</v>
      </c>
      <c r="O373" s="3">
        <f t="shared" si="148"/>
        <v>72.396736483504668</v>
      </c>
      <c r="P373" s="3">
        <f t="shared" si="152"/>
        <v>77.845953208069545</v>
      </c>
      <c r="Q373" s="3">
        <f t="shared" si="153"/>
        <v>27.563698200278502</v>
      </c>
      <c r="R373" s="3">
        <f t="shared" si="154"/>
        <v>52.704825704174027</v>
      </c>
      <c r="S373" s="3">
        <f t="shared" si="149"/>
        <v>1</v>
      </c>
      <c r="T373" s="3">
        <f t="shared" si="155"/>
        <v>25141.127503895521</v>
      </c>
      <c r="U373" s="3">
        <f t="shared" si="156"/>
        <v>0.5</v>
      </c>
      <c r="V373" s="3">
        <f t="shared" si="157"/>
        <v>0</v>
      </c>
      <c r="W373" s="3">
        <f t="shared" si="158"/>
        <v>26062.825134061681</v>
      </c>
      <c r="X373" s="3">
        <f t="shared" si="150"/>
        <v>13781.84910013925</v>
      </c>
      <c r="AI373" s="3"/>
      <c r="AJ373" s="3"/>
      <c r="AK373" s="15">
        <f t="shared" si="141"/>
        <v>2</v>
      </c>
      <c r="AL373" s="11">
        <f t="shared" si="145"/>
        <v>2184</v>
      </c>
      <c r="AM373" s="11" t="b">
        <f t="shared" si="140"/>
        <v>0</v>
      </c>
      <c r="AN373" s="11">
        <f t="shared" si="142"/>
        <v>36000</v>
      </c>
      <c r="AO373" s="11">
        <f t="shared" si="143"/>
        <v>0</v>
      </c>
      <c r="AP373" s="11">
        <f t="shared" si="144"/>
        <v>0.50853556700567382</v>
      </c>
      <c r="AQ373" s="11">
        <f t="shared" si="146"/>
        <v>0</v>
      </c>
      <c r="AT373" s="3"/>
      <c r="AU373" s="17"/>
      <c r="AV373" s="19"/>
      <c r="AW373" s="17"/>
      <c r="AX373" s="17">
        <f t="shared" si="165"/>
        <v>364</v>
      </c>
      <c r="AY373" s="17">
        <f t="shared" si="164"/>
        <v>36.4</v>
      </c>
      <c r="AZ373" s="17">
        <v>50.853556700567381</v>
      </c>
      <c r="BA373" s="17"/>
      <c r="BB373" s="17">
        <v>36</v>
      </c>
      <c r="BC373" s="17"/>
      <c r="BD373" s="17"/>
      <c r="BE373" s="17"/>
      <c r="BF373" s="17"/>
      <c r="BG373" s="17"/>
      <c r="BH373" s="17"/>
      <c r="BI373" s="17"/>
      <c r="BJ373" s="17"/>
      <c r="BK373" s="17"/>
      <c r="BL373" s="17"/>
      <c r="BM373" s="17"/>
      <c r="BN373" s="17"/>
      <c r="BO373" s="17"/>
      <c r="BP373" s="17"/>
      <c r="BQ373" s="17"/>
      <c r="BR373" s="17"/>
      <c r="BS373" s="17"/>
      <c r="BT373" s="17"/>
      <c r="BU373" s="17"/>
      <c r="BV373" s="17"/>
      <c r="BW373" s="17"/>
      <c r="BX373" s="17"/>
      <c r="BY373" s="17"/>
      <c r="BZ373" s="17"/>
      <c r="CA373" s="17"/>
      <c r="CB373" s="17"/>
      <c r="CC373" s="17"/>
      <c r="CD373" s="17"/>
      <c r="CE373" s="17"/>
      <c r="CF373" s="17"/>
      <c r="CG373" s="17"/>
      <c r="CH373" s="17"/>
    </row>
    <row r="374" spans="8:86" x14ac:dyDescent="0.15">
      <c r="H374" s="3">
        <f t="shared" si="159"/>
        <v>0.36200000000000027</v>
      </c>
      <c r="I374" s="3">
        <f t="shared" si="160"/>
        <v>360</v>
      </c>
      <c r="J374" s="14">
        <f t="shared" si="161"/>
        <v>500</v>
      </c>
      <c r="K374" s="3">
        <f t="shared" si="151"/>
        <v>0</v>
      </c>
      <c r="L374" s="3">
        <f t="shared" si="147"/>
        <v>500</v>
      </c>
      <c r="M374" s="15">
        <f t="shared" si="162"/>
        <v>7.0000000000000007E-2</v>
      </c>
      <c r="N374" s="3">
        <f t="shared" si="163"/>
        <v>72.326900018216065</v>
      </c>
      <c r="O374" s="3">
        <f t="shared" si="148"/>
        <v>72.326900018216065</v>
      </c>
      <c r="P374" s="3">
        <f t="shared" si="152"/>
        <v>77.770860234640935</v>
      </c>
      <c r="Q374" s="3">
        <f t="shared" si="153"/>
        <v>27.513415945270712</v>
      </c>
      <c r="R374" s="3">
        <f t="shared" si="154"/>
        <v>52.642138089955822</v>
      </c>
      <c r="S374" s="3">
        <f t="shared" si="149"/>
        <v>1</v>
      </c>
      <c r="T374" s="3">
        <f t="shared" si="155"/>
        <v>25128.722144685114</v>
      </c>
      <c r="U374" s="3">
        <f t="shared" si="156"/>
        <v>0.5</v>
      </c>
      <c r="V374" s="3">
        <f t="shared" si="157"/>
        <v>0</v>
      </c>
      <c r="W374" s="3">
        <f t="shared" si="158"/>
        <v>26037.684006557785</v>
      </c>
      <c r="X374" s="3">
        <f t="shared" si="150"/>
        <v>13756.707972635355</v>
      </c>
      <c r="AI374" s="3"/>
      <c r="AJ374" s="3"/>
      <c r="AK374" s="15">
        <f t="shared" si="141"/>
        <v>2</v>
      </c>
      <c r="AL374" s="11">
        <f t="shared" si="145"/>
        <v>2190</v>
      </c>
      <c r="AM374" s="11" t="b">
        <f t="shared" si="140"/>
        <v>0</v>
      </c>
      <c r="AN374" s="11">
        <f t="shared" si="142"/>
        <v>36000</v>
      </c>
      <c r="AO374" s="11">
        <f t="shared" si="143"/>
        <v>0</v>
      </c>
      <c r="AP374" s="11">
        <f t="shared" si="144"/>
        <v>0.50963788182048864</v>
      </c>
      <c r="AQ374" s="11">
        <f t="shared" si="146"/>
        <v>0</v>
      </c>
      <c r="AT374" s="3"/>
      <c r="AU374" s="17"/>
      <c r="AV374" s="19"/>
      <c r="AW374" s="17"/>
      <c r="AX374" s="17">
        <f t="shared" si="165"/>
        <v>365</v>
      </c>
      <c r="AY374" s="17">
        <f t="shared" si="164"/>
        <v>36.5</v>
      </c>
      <c r="AZ374" s="17">
        <v>50.963788182048866</v>
      </c>
      <c r="BA374" s="17"/>
      <c r="BB374" s="17">
        <v>36</v>
      </c>
      <c r="BC374" s="17"/>
      <c r="BD374" s="17"/>
      <c r="BE374" s="17"/>
      <c r="BF374" s="17"/>
      <c r="BG374" s="17"/>
      <c r="BH374" s="17"/>
      <c r="BI374" s="17"/>
      <c r="BJ374" s="17"/>
      <c r="BK374" s="17"/>
      <c r="BL374" s="17"/>
      <c r="BM374" s="17"/>
      <c r="BN374" s="17"/>
      <c r="BO374" s="17"/>
      <c r="BP374" s="17"/>
      <c r="BQ374" s="17"/>
      <c r="BR374" s="17"/>
      <c r="BS374" s="17"/>
      <c r="BT374" s="17"/>
      <c r="BU374" s="17"/>
      <c r="BV374" s="17"/>
      <c r="BW374" s="17"/>
      <c r="BX374" s="17"/>
      <c r="BY374" s="17"/>
      <c r="BZ374" s="17"/>
      <c r="CA374" s="17"/>
      <c r="CB374" s="17"/>
      <c r="CC374" s="17"/>
      <c r="CD374" s="17"/>
      <c r="CE374" s="17"/>
      <c r="CF374" s="17"/>
      <c r="CG374" s="17"/>
      <c r="CH374" s="17"/>
    </row>
    <row r="375" spans="8:86" x14ac:dyDescent="0.15">
      <c r="H375" s="3">
        <f t="shared" si="159"/>
        <v>0.36300000000000027</v>
      </c>
      <c r="I375" s="3">
        <f t="shared" si="160"/>
        <v>360</v>
      </c>
      <c r="J375" s="14">
        <f t="shared" si="161"/>
        <v>500</v>
      </c>
      <c r="K375" s="3">
        <f t="shared" si="151"/>
        <v>0</v>
      </c>
      <c r="L375" s="3">
        <f t="shared" si="147"/>
        <v>500</v>
      </c>
      <c r="M375" s="15">
        <f t="shared" si="162"/>
        <v>7.0000000000000007E-2</v>
      </c>
      <c r="N375" s="3">
        <f t="shared" si="163"/>
        <v>72.257098012258609</v>
      </c>
      <c r="O375" s="3">
        <f t="shared" si="148"/>
        <v>72.257098012258609</v>
      </c>
      <c r="P375" s="3">
        <f t="shared" si="152"/>
        <v>77.695804314256577</v>
      </c>
      <c r="Q375" s="3">
        <f t="shared" si="153"/>
        <v>27.46315850098134</v>
      </c>
      <c r="R375" s="3">
        <f t="shared" si="154"/>
        <v>52.579481407618957</v>
      </c>
      <c r="S375" s="3">
        <f t="shared" si="149"/>
        <v>1</v>
      </c>
      <c r="T375" s="3">
        <f t="shared" si="155"/>
        <v>25116.322906637619</v>
      </c>
      <c r="U375" s="3">
        <f t="shared" si="156"/>
        <v>0.5</v>
      </c>
      <c r="V375" s="3">
        <f t="shared" si="157"/>
        <v>0</v>
      </c>
      <c r="W375" s="3">
        <f t="shared" si="158"/>
        <v>26012.555284413098</v>
      </c>
      <c r="X375" s="3">
        <f t="shared" si="150"/>
        <v>13731.579250490669</v>
      </c>
      <c r="AI375" s="3"/>
      <c r="AJ375" s="3"/>
      <c r="AK375" s="15">
        <f t="shared" si="141"/>
        <v>2</v>
      </c>
      <c r="AL375" s="11">
        <f t="shared" si="145"/>
        <v>2196</v>
      </c>
      <c r="AM375" s="11" t="b">
        <f t="shared" si="140"/>
        <v>0</v>
      </c>
      <c r="AN375" s="11">
        <f t="shared" si="142"/>
        <v>36000</v>
      </c>
      <c r="AO375" s="11">
        <f t="shared" si="143"/>
        <v>0</v>
      </c>
      <c r="AP375" s="11">
        <f t="shared" si="144"/>
        <v>0.51074019663530357</v>
      </c>
      <c r="AQ375" s="11">
        <f t="shared" si="146"/>
        <v>0</v>
      </c>
      <c r="AT375" s="3"/>
      <c r="AU375" s="17"/>
      <c r="AV375" s="19"/>
      <c r="AW375" s="17"/>
      <c r="AX375" s="17">
        <f t="shared" si="165"/>
        <v>366</v>
      </c>
      <c r="AY375" s="17">
        <f t="shared" si="164"/>
        <v>36.6</v>
      </c>
      <c r="AZ375" s="17">
        <v>51.074019663530358</v>
      </c>
      <c r="BA375" s="17"/>
      <c r="BB375" s="17">
        <v>36</v>
      </c>
      <c r="BC375" s="17"/>
      <c r="BD375" s="17"/>
      <c r="BE375" s="17"/>
      <c r="BF375" s="17"/>
      <c r="BG375" s="17"/>
      <c r="BH375" s="17"/>
      <c r="BI375" s="17"/>
      <c r="BJ375" s="17"/>
      <c r="BK375" s="17"/>
      <c r="BL375" s="17"/>
      <c r="BM375" s="17"/>
      <c r="BN375" s="17"/>
      <c r="BO375" s="17"/>
      <c r="BP375" s="17"/>
      <c r="BQ375" s="17"/>
      <c r="BR375" s="17"/>
      <c r="BS375" s="17"/>
      <c r="BT375" s="17"/>
      <c r="BU375" s="17"/>
      <c r="BV375" s="17"/>
      <c r="BW375" s="17"/>
      <c r="BX375" s="17"/>
      <c r="BY375" s="17"/>
      <c r="BZ375" s="17"/>
      <c r="CA375" s="17"/>
      <c r="CB375" s="17"/>
      <c r="CC375" s="17"/>
      <c r="CD375" s="17"/>
      <c r="CE375" s="17"/>
      <c r="CF375" s="17"/>
      <c r="CG375" s="17"/>
      <c r="CH375" s="17"/>
    </row>
    <row r="376" spans="8:86" x14ac:dyDescent="0.15">
      <c r="H376" s="3">
        <f t="shared" si="159"/>
        <v>0.36400000000000027</v>
      </c>
      <c r="I376" s="3">
        <f t="shared" si="160"/>
        <v>360</v>
      </c>
      <c r="J376" s="14">
        <f t="shared" si="161"/>
        <v>500</v>
      </c>
      <c r="K376" s="3">
        <f t="shared" si="151"/>
        <v>0</v>
      </c>
      <c r="L376" s="3">
        <f t="shared" si="147"/>
        <v>500</v>
      </c>
      <c r="M376" s="15">
        <f t="shared" si="162"/>
        <v>7.0000000000000007E-2</v>
      </c>
      <c r="N376" s="3">
        <f t="shared" si="163"/>
        <v>72.187330448629055</v>
      </c>
      <c r="O376" s="3">
        <f t="shared" si="148"/>
        <v>72.187330448629055</v>
      </c>
      <c r="P376" s="3">
        <f t="shared" si="152"/>
        <v>77.620785428633397</v>
      </c>
      <c r="Q376" s="3">
        <f t="shared" si="153"/>
        <v>27.412925855168066</v>
      </c>
      <c r="R376" s="3">
        <f t="shared" si="154"/>
        <v>52.516855641900733</v>
      </c>
      <c r="S376" s="3">
        <f t="shared" si="149"/>
        <v>1</v>
      </c>
      <c r="T376" s="3">
        <f t="shared" si="155"/>
        <v>25103.929786732664</v>
      </c>
      <c r="U376" s="3">
        <f t="shared" si="156"/>
        <v>0.5</v>
      </c>
      <c r="V376" s="3">
        <f t="shared" si="157"/>
        <v>0</v>
      </c>
      <c r="W376" s="3">
        <f t="shared" si="158"/>
        <v>25987.438961506461</v>
      </c>
      <c r="X376" s="3">
        <f t="shared" si="150"/>
        <v>13706.462927584033</v>
      </c>
      <c r="AI376" s="3"/>
      <c r="AJ376" s="3"/>
      <c r="AK376" s="15">
        <f t="shared" si="141"/>
        <v>2</v>
      </c>
      <c r="AL376" s="11">
        <f t="shared" si="145"/>
        <v>2202</v>
      </c>
      <c r="AM376" s="11" t="b">
        <f t="shared" si="140"/>
        <v>0</v>
      </c>
      <c r="AN376" s="11">
        <f t="shared" si="142"/>
        <v>36000</v>
      </c>
      <c r="AO376" s="11">
        <f t="shared" si="143"/>
        <v>0</v>
      </c>
      <c r="AP376" s="11">
        <f t="shared" si="144"/>
        <v>0.51184251145011839</v>
      </c>
      <c r="AQ376" s="11">
        <f t="shared" si="146"/>
        <v>0</v>
      </c>
      <c r="AT376" s="3"/>
      <c r="AU376" s="17"/>
      <c r="AV376" s="19"/>
      <c r="AW376" s="17"/>
      <c r="AX376" s="17">
        <f t="shared" si="165"/>
        <v>367</v>
      </c>
      <c r="AY376" s="17">
        <f t="shared" si="164"/>
        <v>36.700000000000003</v>
      </c>
      <c r="AZ376" s="17">
        <v>51.184251145011842</v>
      </c>
      <c r="BA376" s="17"/>
      <c r="BB376" s="17">
        <v>36</v>
      </c>
      <c r="BC376" s="17"/>
      <c r="BD376" s="17"/>
      <c r="BE376" s="17"/>
      <c r="BF376" s="17"/>
      <c r="BG376" s="17"/>
      <c r="BH376" s="17"/>
      <c r="BI376" s="17"/>
      <c r="BJ376" s="17"/>
      <c r="BK376" s="17"/>
      <c r="BL376" s="17"/>
      <c r="BM376" s="17"/>
      <c r="BN376" s="17"/>
      <c r="BO376" s="17"/>
      <c r="BP376" s="17"/>
      <c r="BQ376" s="17"/>
      <c r="BR376" s="17"/>
      <c r="BS376" s="17"/>
      <c r="BT376" s="17"/>
      <c r="BU376" s="17"/>
      <c r="BV376" s="17"/>
      <c r="BW376" s="17"/>
      <c r="BX376" s="17"/>
      <c r="BY376" s="17"/>
      <c r="BZ376" s="17"/>
      <c r="CA376" s="17"/>
      <c r="CB376" s="17"/>
      <c r="CC376" s="17"/>
      <c r="CD376" s="17"/>
      <c r="CE376" s="17"/>
      <c r="CF376" s="17"/>
      <c r="CG376" s="17"/>
      <c r="CH376" s="17"/>
    </row>
    <row r="377" spans="8:86" x14ac:dyDescent="0.15">
      <c r="H377" s="3">
        <f t="shared" si="159"/>
        <v>0.36500000000000027</v>
      </c>
      <c r="I377" s="3">
        <f t="shared" si="160"/>
        <v>360</v>
      </c>
      <c r="J377" s="14">
        <f t="shared" si="161"/>
        <v>500</v>
      </c>
      <c r="K377" s="3">
        <f t="shared" si="151"/>
        <v>0</v>
      </c>
      <c r="L377" s="3">
        <f t="shared" si="147"/>
        <v>500</v>
      </c>
      <c r="M377" s="15">
        <f t="shared" si="162"/>
        <v>7.0000000000000007E-2</v>
      </c>
      <c r="N377" s="3">
        <f t="shared" si="163"/>
        <v>72.117597310332584</v>
      </c>
      <c r="O377" s="3">
        <f t="shared" si="148"/>
        <v>72.117597310332584</v>
      </c>
      <c r="P377" s="3">
        <f t="shared" si="152"/>
        <v>77.545803559497415</v>
      </c>
      <c r="Q377" s="3">
        <f t="shared" si="153"/>
        <v>27.3627179955946</v>
      </c>
      <c r="R377" s="3">
        <f t="shared" si="154"/>
        <v>52.454260777546011</v>
      </c>
      <c r="S377" s="3">
        <f t="shared" si="149"/>
        <v>1</v>
      </c>
      <c r="T377" s="3">
        <f t="shared" si="155"/>
        <v>25091.542781951408</v>
      </c>
      <c r="U377" s="3">
        <f t="shared" si="156"/>
        <v>0.5</v>
      </c>
      <c r="V377" s="3">
        <f t="shared" si="157"/>
        <v>0</v>
      </c>
      <c r="W377" s="3">
        <f t="shared" si="158"/>
        <v>25962.335031719729</v>
      </c>
      <c r="X377" s="3">
        <f t="shared" si="150"/>
        <v>13681.358997797301</v>
      </c>
      <c r="AI377" s="3"/>
      <c r="AJ377" s="3"/>
      <c r="AK377" s="15">
        <f t="shared" si="141"/>
        <v>2</v>
      </c>
      <c r="AL377" s="11">
        <f t="shared" si="145"/>
        <v>2208</v>
      </c>
      <c r="AM377" s="11" t="b">
        <f t="shared" si="140"/>
        <v>0</v>
      </c>
      <c r="AN377" s="11">
        <f t="shared" si="142"/>
        <v>36000</v>
      </c>
      <c r="AO377" s="11">
        <f t="shared" si="143"/>
        <v>0</v>
      </c>
      <c r="AP377" s="11">
        <f t="shared" si="144"/>
        <v>0.51294482626493321</v>
      </c>
      <c r="AQ377" s="11">
        <f t="shared" si="146"/>
        <v>0</v>
      </c>
      <c r="AT377" s="3"/>
      <c r="AU377" s="17"/>
      <c r="AV377" s="19"/>
      <c r="AW377" s="17"/>
      <c r="AX377" s="17">
        <f t="shared" si="165"/>
        <v>368</v>
      </c>
      <c r="AY377" s="17">
        <f t="shared" si="164"/>
        <v>36.799999999999997</v>
      </c>
      <c r="AZ377" s="17">
        <v>51.29448262649332</v>
      </c>
      <c r="BA377" s="17"/>
      <c r="BB377" s="17">
        <v>36</v>
      </c>
      <c r="BC377" s="17"/>
      <c r="BD377" s="17"/>
      <c r="BE377" s="17"/>
      <c r="BF377" s="17"/>
      <c r="BG377" s="17"/>
      <c r="BH377" s="17"/>
      <c r="BI377" s="17"/>
      <c r="BJ377" s="17"/>
      <c r="BK377" s="17"/>
      <c r="BL377" s="17"/>
      <c r="BM377" s="17"/>
      <c r="BN377" s="17"/>
      <c r="BO377" s="17"/>
      <c r="BP377" s="17"/>
      <c r="BQ377" s="17"/>
      <c r="BR377" s="17"/>
      <c r="BS377" s="17"/>
      <c r="BT377" s="17"/>
      <c r="BU377" s="17"/>
      <c r="BV377" s="17"/>
      <c r="BW377" s="17"/>
      <c r="BX377" s="17"/>
      <c r="BY377" s="17"/>
      <c r="BZ377" s="17"/>
      <c r="CA377" s="17"/>
      <c r="CB377" s="17"/>
      <c r="CC377" s="17"/>
      <c r="CD377" s="17"/>
      <c r="CE377" s="17"/>
      <c r="CF377" s="17"/>
      <c r="CG377" s="17"/>
      <c r="CH377" s="17"/>
    </row>
    <row r="378" spans="8:86" x14ac:dyDescent="0.15">
      <c r="H378" s="3">
        <f t="shared" si="159"/>
        <v>0.36600000000000027</v>
      </c>
      <c r="I378" s="3">
        <f t="shared" si="160"/>
        <v>360</v>
      </c>
      <c r="J378" s="14">
        <f t="shared" si="161"/>
        <v>500</v>
      </c>
      <c r="K378" s="3">
        <f t="shared" si="151"/>
        <v>0</v>
      </c>
      <c r="L378" s="3">
        <f t="shared" si="147"/>
        <v>500</v>
      </c>
      <c r="M378" s="15">
        <f t="shared" si="162"/>
        <v>7.0000000000000007E-2</v>
      </c>
      <c r="N378" s="3">
        <f t="shared" si="163"/>
        <v>72.047898580382707</v>
      </c>
      <c r="O378" s="3">
        <f t="shared" si="148"/>
        <v>72.047898580382707</v>
      </c>
      <c r="P378" s="3">
        <f t="shared" si="152"/>
        <v>77.470858688583562</v>
      </c>
      <c r="Q378" s="3">
        <f t="shared" si="153"/>
        <v>27.312534910030699</v>
      </c>
      <c r="R378" s="3">
        <f t="shared" si="154"/>
        <v>52.391696799307127</v>
      </c>
      <c r="S378" s="3">
        <f t="shared" si="149"/>
        <v>1</v>
      </c>
      <c r="T378" s="3">
        <f t="shared" si="155"/>
        <v>25079.161889276431</v>
      </c>
      <c r="U378" s="3">
        <f t="shared" si="156"/>
        <v>0.5</v>
      </c>
      <c r="V378" s="3">
        <f t="shared" si="157"/>
        <v>0</v>
      </c>
      <c r="W378" s="3">
        <f t="shared" si="158"/>
        <v>25937.243488937776</v>
      </c>
      <c r="X378" s="3">
        <f t="shared" si="150"/>
        <v>13656.26745501535</v>
      </c>
      <c r="AI378" s="3"/>
      <c r="AJ378" s="3"/>
      <c r="AK378" s="15">
        <f t="shared" si="141"/>
        <v>2</v>
      </c>
      <c r="AL378" s="11">
        <f t="shared" si="145"/>
        <v>2214</v>
      </c>
      <c r="AM378" s="11" t="b">
        <f t="shared" si="140"/>
        <v>0</v>
      </c>
      <c r="AN378" s="11">
        <f t="shared" si="142"/>
        <v>36000</v>
      </c>
      <c r="AO378" s="11">
        <f t="shared" si="143"/>
        <v>0</v>
      </c>
      <c r="AP378" s="11">
        <f t="shared" si="144"/>
        <v>0.51404714107974803</v>
      </c>
      <c r="AQ378" s="11">
        <f t="shared" si="146"/>
        <v>0</v>
      </c>
      <c r="AT378" s="3"/>
      <c r="AU378" s="17"/>
      <c r="AV378" s="19"/>
      <c r="AW378" s="17"/>
      <c r="AX378" s="17">
        <f t="shared" si="165"/>
        <v>369</v>
      </c>
      <c r="AY378" s="17">
        <f t="shared" si="164"/>
        <v>36.9</v>
      </c>
      <c r="AZ378" s="17">
        <v>51.404714107974804</v>
      </c>
      <c r="BA378" s="17"/>
      <c r="BB378" s="17">
        <v>36</v>
      </c>
      <c r="BC378" s="17"/>
      <c r="BD378" s="17"/>
      <c r="BE378" s="17"/>
      <c r="BF378" s="17"/>
      <c r="BG378" s="17"/>
      <c r="BH378" s="17"/>
      <c r="BI378" s="17"/>
      <c r="BJ378" s="17"/>
      <c r="BK378" s="17"/>
      <c r="BL378" s="17"/>
      <c r="BM378" s="17"/>
      <c r="BN378" s="17"/>
      <c r="BO378" s="17"/>
      <c r="BP378" s="17"/>
      <c r="BQ378" s="17"/>
      <c r="BR378" s="17"/>
      <c r="BS378" s="17"/>
      <c r="BT378" s="17"/>
      <c r="BU378" s="17"/>
      <c r="BV378" s="17"/>
      <c r="BW378" s="17"/>
      <c r="BX378" s="17"/>
      <c r="BY378" s="17"/>
      <c r="BZ378" s="17"/>
      <c r="CA378" s="17"/>
      <c r="CB378" s="17"/>
      <c r="CC378" s="17"/>
      <c r="CD378" s="17"/>
      <c r="CE378" s="17"/>
      <c r="CF378" s="17"/>
      <c r="CG378" s="17"/>
      <c r="CH378" s="17"/>
    </row>
    <row r="379" spans="8:86" x14ac:dyDescent="0.15">
      <c r="H379" s="3">
        <f t="shared" si="159"/>
        <v>0.36700000000000027</v>
      </c>
      <c r="I379" s="3">
        <f t="shared" si="160"/>
        <v>360</v>
      </c>
      <c r="J379" s="14">
        <f t="shared" si="161"/>
        <v>500</v>
      </c>
      <c r="K379" s="3">
        <f t="shared" si="151"/>
        <v>0</v>
      </c>
      <c r="L379" s="3">
        <f t="shared" si="147"/>
        <v>500</v>
      </c>
      <c r="M379" s="15">
        <f t="shared" si="162"/>
        <v>7.0000000000000007E-2</v>
      </c>
      <c r="N379" s="3">
        <f t="shared" si="163"/>
        <v>71.978234241801388</v>
      </c>
      <c r="O379" s="3">
        <f t="shared" si="148"/>
        <v>71.978234241801388</v>
      </c>
      <c r="P379" s="3">
        <f t="shared" si="152"/>
        <v>77.395950797635905</v>
      </c>
      <c r="Q379" s="3">
        <f t="shared" si="153"/>
        <v>27.262376586252145</v>
      </c>
      <c r="R379" s="3">
        <f t="shared" si="154"/>
        <v>52.329163691944025</v>
      </c>
      <c r="S379" s="3">
        <f t="shared" si="149"/>
        <v>1</v>
      </c>
      <c r="T379" s="3">
        <f t="shared" si="155"/>
        <v>25066.787105691881</v>
      </c>
      <c r="U379" s="3">
        <f t="shared" si="156"/>
        <v>0.5</v>
      </c>
      <c r="V379" s="3">
        <f t="shared" si="157"/>
        <v>0</v>
      </c>
      <c r="W379" s="3">
        <f t="shared" si="158"/>
        <v>25912.1643270485</v>
      </c>
      <c r="X379" s="3">
        <f t="shared" si="150"/>
        <v>13631.188293126073</v>
      </c>
      <c r="AI379" s="3"/>
      <c r="AJ379" s="3"/>
      <c r="AK379" s="15">
        <f t="shared" si="141"/>
        <v>2</v>
      </c>
      <c r="AL379" s="11">
        <f t="shared" si="145"/>
        <v>2220</v>
      </c>
      <c r="AM379" s="11" t="b">
        <f t="shared" si="140"/>
        <v>0</v>
      </c>
      <c r="AN379" s="11">
        <f t="shared" si="142"/>
        <v>36000</v>
      </c>
      <c r="AO379" s="11">
        <f t="shared" si="143"/>
        <v>0</v>
      </c>
      <c r="AP379" s="11">
        <f t="shared" si="144"/>
        <v>0.51514945589456285</v>
      </c>
      <c r="AQ379" s="11">
        <f t="shared" si="146"/>
        <v>0</v>
      </c>
      <c r="AT379" s="3"/>
      <c r="AU379" s="17"/>
      <c r="AV379" s="19"/>
      <c r="AW379" s="17"/>
      <c r="AX379" s="17">
        <f t="shared" si="165"/>
        <v>370</v>
      </c>
      <c r="AY379" s="17">
        <f t="shared" si="164"/>
        <v>37</v>
      </c>
      <c r="AZ379" s="17">
        <v>51.514945589456282</v>
      </c>
      <c r="BA379" s="17"/>
      <c r="BB379" s="17">
        <v>36</v>
      </c>
      <c r="BC379" s="17"/>
      <c r="BD379" s="17"/>
      <c r="BE379" s="17"/>
      <c r="BF379" s="17"/>
      <c r="BG379" s="17"/>
      <c r="BH379" s="17"/>
      <c r="BI379" s="17"/>
      <c r="BJ379" s="17"/>
      <c r="BK379" s="17"/>
      <c r="BL379" s="17"/>
      <c r="BM379" s="17"/>
      <c r="BN379" s="17"/>
      <c r="BO379" s="17"/>
      <c r="BP379" s="17"/>
      <c r="BQ379" s="17"/>
      <c r="BR379" s="17"/>
      <c r="BS379" s="17"/>
      <c r="BT379" s="17"/>
      <c r="BU379" s="17"/>
      <c r="BV379" s="17"/>
      <c r="BW379" s="17"/>
      <c r="BX379" s="17"/>
      <c r="BY379" s="17"/>
      <c r="BZ379" s="17"/>
      <c r="CA379" s="17"/>
      <c r="CB379" s="17"/>
      <c r="CC379" s="17"/>
      <c r="CD379" s="17"/>
      <c r="CE379" s="17"/>
      <c r="CF379" s="17"/>
      <c r="CG379" s="17"/>
      <c r="CH379" s="17"/>
    </row>
    <row r="380" spans="8:86" x14ac:dyDescent="0.15">
      <c r="H380" s="3">
        <f t="shared" si="159"/>
        <v>0.36800000000000027</v>
      </c>
      <c r="I380" s="3">
        <f t="shared" si="160"/>
        <v>360</v>
      </c>
      <c r="J380" s="14">
        <f t="shared" si="161"/>
        <v>500</v>
      </c>
      <c r="K380" s="3">
        <f t="shared" si="151"/>
        <v>0</v>
      </c>
      <c r="L380" s="3">
        <f t="shared" si="147"/>
        <v>500</v>
      </c>
      <c r="M380" s="15">
        <f t="shared" si="162"/>
        <v>7.0000000000000007E-2</v>
      </c>
      <c r="N380" s="3">
        <f t="shared" si="163"/>
        <v>71.90860427761892</v>
      </c>
      <c r="O380" s="3">
        <f t="shared" si="148"/>
        <v>71.90860427761892</v>
      </c>
      <c r="P380" s="3">
        <f t="shared" si="152"/>
        <v>77.321079868407452</v>
      </c>
      <c r="Q380" s="3">
        <f t="shared" si="153"/>
        <v>27.212243012040762</v>
      </c>
      <c r="R380" s="3">
        <f t="shared" si="154"/>
        <v>52.266661440224105</v>
      </c>
      <c r="S380" s="3">
        <f t="shared" si="149"/>
        <v>1</v>
      </c>
      <c r="T380" s="3">
        <f t="shared" si="155"/>
        <v>25054.418428183348</v>
      </c>
      <c r="U380" s="3">
        <f t="shared" si="156"/>
        <v>0.5</v>
      </c>
      <c r="V380" s="3">
        <f t="shared" si="157"/>
        <v>0</v>
      </c>
      <c r="W380" s="3">
        <f t="shared" si="158"/>
        <v>25887.09753994281</v>
      </c>
      <c r="X380" s="3">
        <f t="shared" si="150"/>
        <v>13606.121506020381</v>
      </c>
      <c r="AI380" s="3"/>
      <c r="AJ380" s="3"/>
      <c r="AK380" s="15">
        <f t="shared" si="141"/>
        <v>2</v>
      </c>
      <c r="AL380" s="11">
        <f t="shared" si="145"/>
        <v>2226</v>
      </c>
      <c r="AM380" s="11" t="b">
        <f t="shared" si="140"/>
        <v>0</v>
      </c>
      <c r="AN380" s="11">
        <f t="shared" si="142"/>
        <v>36000</v>
      </c>
      <c r="AO380" s="11">
        <f t="shared" si="143"/>
        <v>0</v>
      </c>
      <c r="AP380" s="11">
        <f t="shared" si="144"/>
        <v>0.51625177070937778</v>
      </c>
      <c r="AQ380" s="11">
        <f t="shared" si="146"/>
        <v>0</v>
      </c>
      <c r="AT380" s="3"/>
      <c r="AU380" s="17"/>
      <c r="AV380" s="19"/>
      <c r="AW380" s="17"/>
      <c r="AX380" s="17">
        <f t="shared" si="165"/>
        <v>371</v>
      </c>
      <c r="AY380" s="17">
        <f t="shared" si="164"/>
        <v>37.1</v>
      </c>
      <c r="AZ380" s="17">
        <v>51.625177070937781</v>
      </c>
      <c r="BA380" s="17"/>
      <c r="BB380" s="17">
        <v>36</v>
      </c>
      <c r="BC380" s="17"/>
      <c r="BD380" s="17"/>
      <c r="BE380" s="17"/>
      <c r="BF380" s="17"/>
      <c r="BG380" s="17"/>
      <c r="BH380" s="17"/>
      <c r="BI380" s="17"/>
      <c r="BJ380" s="17"/>
      <c r="BK380" s="17"/>
      <c r="BL380" s="17"/>
      <c r="BM380" s="17"/>
      <c r="BN380" s="17"/>
      <c r="BO380" s="17"/>
      <c r="BP380" s="17"/>
      <c r="BQ380" s="17"/>
      <c r="BR380" s="17"/>
      <c r="BS380" s="17"/>
      <c r="BT380" s="17"/>
      <c r="BU380" s="17"/>
      <c r="BV380" s="17"/>
      <c r="BW380" s="17"/>
      <c r="BX380" s="17"/>
      <c r="BY380" s="17"/>
      <c r="BZ380" s="17"/>
      <c r="CA380" s="17"/>
      <c r="CB380" s="17"/>
      <c r="CC380" s="17"/>
      <c r="CD380" s="17"/>
      <c r="CE380" s="17"/>
      <c r="CF380" s="17"/>
      <c r="CG380" s="17"/>
      <c r="CH380" s="17"/>
    </row>
    <row r="381" spans="8:86" x14ac:dyDescent="0.15">
      <c r="H381" s="3">
        <f t="shared" si="159"/>
        <v>0.36900000000000027</v>
      </c>
      <c r="I381" s="3">
        <f t="shared" si="160"/>
        <v>360</v>
      </c>
      <c r="J381" s="14">
        <f t="shared" si="161"/>
        <v>500</v>
      </c>
      <c r="K381" s="3">
        <f t="shared" si="151"/>
        <v>0</v>
      </c>
      <c r="L381" s="3">
        <f t="shared" si="147"/>
        <v>500</v>
      </c>
      <c r="M381" s="15">
        <f t="shared" si="162"/>
        <v>7.0000000000000007E-2</v>
      </c>
      <c r="N381" s="3">
        <f t="shared" si="163"/>
        <v>71.839008670873966</v>
      </c>
      <c r="O381" s="3">
        <f t="shared" si="148"/>
        <v>71.839008670873966</v>
      </c>
      <c r="P381" s="3">
        <f t="shared" si="152"/>
        <v>77.24624588266019</v>
      </c>
      <c r="Q381" s="3">
        <f t="shared" si="153"/>
        <v>27.162134175184399</v>
      </c>
      <c r="R381" s="3">
        <f t="shared" si="154"/>
        <v>52.204190028922298</v>
      </c>
      <c r="S381" s="3">
        <f t="shared" si="149"/>
        <v>1</v>
      </c>
      <c r="T381" s="3">
        <f t="shared" si="155"/>
        <v>25042.055853737897</v>
      </c>
      <c r="U381" s="3">
        <f t="shared" si="156"/>
        <v>0.5</v>
      </c>
      <c r="V381" s="3">
        <f t="shared" si="157"/>
        <v>0</v>
      </c>
      <c r="W381" s="3">
        <f t="shared" si="158"/>
        <v>25862.043121514627</v>
      </c>
      <c r="X381" s="3">
        <f t="shared" si="150"/>
        <v>13581.067087592199</v>
      </c>
      <c r="AI381" s="3"/>
      <c r="AJ381" s="3"/>
      <c r="AK381" s="15">
        <f t="shared" si="141"/>
        <v>2</v>
      </c>
      <c r="AL381" s="11">
        <f t="shared" si="145"/>
        <v>2232</v>
      </c>
      <c r="AM381" s="11" t="b">
        <f t="shared" si="140"/>
        <v>0</v>
      </c>
      <c r="AN381" s="11">
        <f t="shared" si="142"/>
        <v>36000</v>
      </c>
      <c r="AO381" s="11">
        <f t="shared" si="143"/>
        <v>0</v>
      </c>
      <c r="AP381" s="11">
        <f t="shared" si="144"/>
        <v>0.51735408552419271</v>
      </c>
      <c r="AQ381" s="11">
        <f t="shared" si="146"/>
        <v>0</v>
      </c>
      <c r="AT381" s="3"/>
      <c r="AU381" s="17"/>
      <c r="AV381" s="19"/>
      <c r="AW381" s="17"/>
      <c r="AX381" s="17">
        <f t="shared" si="165"/>
        <v>372</v>
      </c>
      <c r="AY381" s="17">
        <f t="shared" si="164"/>
        <v>37.200000000000003</v>
      </c>
      <c r="AZ381" s="17">
        <v>51.735408552419273</v>
      </c>
      <c r="BA381" s="17"/>
      <c r="BB381" s="17">
        <v>36</v>
      </c>
      <c r="BC381" s="17"/>
      <c r="BD381" s="17"/>
      <c r="BE381" s="17"/>
      <c r="BF381" s="17"/>
      <c r="BG381" s="17"/>
      <c r="BH381" s="17"/>
      <c r="BI381" s="17"/>
      <c r="BJ381" s="17"/>
      <c r="BK381" s="17"/>
      <c r="BL381" s="17"/>
      <c r="BM381" s="17"/>
      <c r="BN381" s="17"/>
      <c r="BO381" s="17"/>
      <c r="BP381" s="17"/>
      <c r="BQ381" s="17"/>
      <c r="BR381" s="17"/>
      <c r="BS381" s="17"/>
      <c r="BT381" s="17"/>
      <c r="BU381" s="17"/>
      <c r="BV381" s="17"/>
      <c r="BW381" s="17"/>
      <c r="BX381" s="17"/>
      <c r="BY381" s="17"/>
      <c r="BZ381" s="17"/>
      <c r="CA381" s="17"/>
      <c r="CB381" s="17"/>
      <c r="CC381" s="17"/>
      <c r="CD381" s="17"/>
      <c r="CE381" s="17"/>
      <c r="CF381" s="17"/>
      <c r="CG381" s="17"/>
      <c r="CH381" s="17"/>
    </row>
    <row r="382" spans="8:86" x14ac:dyDescent="0.15">
      <c r="H382" s="3">
        <f t="shared" si="159"/>
        <v>0.37000000000000027</v>
      </c>
      <c r="I382" s="3">
        <f t="shared" si="160"/>
        <v>360</v>
      </c>
      <c r="J382" s="14">
        <f t="shared" si="161"/>
        <v>500</v>
      </c>
      <c r="K382" s="3">
        <f t="shared" si="151"/>
        <v>0</v>
      </c>
      <c r="L382" s="3">
        <f t="shared" si="147"/>
        <v>500</v>
      </c>
      <c r="M382" s="15">
        <f t="shared" si="162"/>
        <v>7.0000000000000007E-2</v>
      </c>
      <c r="N382" s="3">
        <f t="shared" si="163"/>
        <v>71.769447404613587</v>
      </c>
      <c r="O382" s="3">
        <f t="shared" si="148"/>
        <v>71.769447404613587</v>
      </c>
      <c r="P382" s="3">
        <f t="shared" si="152"/>
        <v>77.171448822165146</v>
      </c>
      <c r="Q382" s="3">
        <f t="shared" si="153"/>
        <v>27.112050063476921</v>
      </c>
      <c r="R382" s="3">
        <f t="shared" si="154"/>
        <v>52.141749442821038</v>
      </c>
      <c r="S382" s="3">
        <f t="shared" si="149"/>
        <v>1</v>
      </c>
      <c r="T382" s="3">
        <f t="shared" si="155"/>
        <v>25029.699379344114</v>
      </c>
      <c r="U382" s="3">
        <f t="shared" si="156"/>
        <v>0.5</v>
      </c>
      <c r="V382" s="3">
        <f t="shared" si="157"/>
        <v>0</v>
      </c>
      <c r="W382" s="3">
        <f t="shared" si="158"/>
        <v>25837.00106566089</v>
      </c>
      <c r="X382" s="3">
        <f t="shared" si="150"/>
        <v>13556.025031738462</v>
      </c>
      <c r="AI382" s="3"/>
      <c r="AJ382" s="3"/>
      <c r="AK382" s="15">
        <f t="shared" si="141"/>
        <v>2</v>
      </c>
      <c r="AL382" s="11">
        <f t="shared" si="145"/>
        <v>2238</v>
      </c>
      <c r="AM382" s="11" t="b">
        <f t="shared" si="140"/>
        <v>0</v>
      </c>
      <c r="AN382" s="11">
        <f t="shared" si="142"/>
        <v>36000</v>
      </c>
      <c r="AO382" s="11">
        <f t="shared" si="143"/>
        <v>0</v>
      </c>
      <c r="AP382" s="11">
        <f t="shared" si="144"/>
        <v>0.51845640033900753</v>
      </c>
      <c r="AQ382" s="11">
        <f t="shared" si="146"/>
        <v>0</v>
      </c>
      <c r="AT382" s="3"/>
      <c r="AU382" s="17"/>
      <c r="AV382" s="19"/>
      <c r="AW382" s="17"/>
      <c r="AX382" s="17">
        <f t="shared" si="165"/>
        <v>373</v>
      </c>
      <c r="AY382" s="17">
        <f t="shared" si="164"/>
        <v>37.299999999999997</v>
      </c>
      <c r="AZ382" s="17">
        <v>51.84564003390075</v>
      </c>
      <c r="BA382" s="17"/>
      <c r="BB382" s="17">
        <v>36</v>
      </c>
      <c r="BC382" s="17"/>
      <c r="BD382" s="17"/>
      <c r="BE382" s="17"/>
      <c r="BF382" s="17"/>
      <c r="BG382" s="17"/>
      <c r="BH382" s="17"/>
      <c r="BI382" s="17"/>
      <c r="BJ382" s="17"/>
      <c r="BK382" s="17"/>
      <c r="BL382" s="17"/>
      <c r="BM382" s="17"/>
      <c r="BN382" s="17"/>
      <c r="BO382" s="17"/>
      <c r="BP382" s="17"/>
      <c r="BQ382" s="17"/>
      <c r="BR382" s="17"/>
      <c r="BS382" s="17"/>
      <c r="BT382" s="17"/>
      <c r="BU382" s="17"/>
      <c r="BV382" s="17"/>
      <c r="BW382" s="17"/>
      <c r="BX382" s="17"/>
      <c r="BY382" s="17"/>
      <c r="BZ382" s="17"/>
      <c r="CA382" s="17"/>
      <c r="CB382" s="17"/>
      <c r="CC382" s="17"/>
      <c r="CD382" s="17"/>
      <c r="CE382" s="17"/>
      <c r="CF382" s="17"/>
      <c r="CG382" s="17"/>
      <c r="CH382" s="17"/>
    </row>
    <row r="383" spans="8:86" x14ac:dyDescent="0.15">
      <c r="H383" s="3">
        <f t="shared" si="159"/>
        <v>0.37100000000000027</v>
      </c>
      <c r="I383" s="3">
        <f t="shared" si="160"/>
        <v>360</v>
      </c>
      <c r="J383" s="14">
        <f t="shared" si="161"/>
        <v>500</v>
      </c>
      <c r="K383" s="3">
        <f t="shared" si="151"/>
        <v>0</v>
      </c>
      <c r="L383" s="3">
        <f t="shared" si="147"/>
        <v>500</v>
      </c>
      <c r="M383" s="15">
        <f t="shared" si="162"/>
        <v>7.0000000000000007E-2</v>
      </c>
      <c r="N383" s="3">
        <f t="shared" si="163"/>
        <v>71.699920461893186</v>
      </c>
      <c r="O383" s="3">
        <f t="shared" si="148"/>
        <v>71.699920461893186</v>
      </c>
      <c r="P383" s="3">
        <f t="shared" si="152"/>
        <v>77.096688668702356</v>
      </c>
      <c r="Q383" s="3">
        <f t="shared" si="153"/>
        <v>27.061990664718238</v>
      </c>
      <c r="R383" s="3">
        <f t="shared" si="154"/>
        <v>52.079339666710297</v>
      </c>
      <c r="S383" s="3">
        <f t="shared" si="149"/>
        <v>1</v>
      </c>
      <c r="T383" s="3">
        <f t="shared" si="155"/>
        <v>25017.349001992061</v>
      </c>
      <c r="U383" s="3">
        <f t="shared" si="156"/>
        <v>0.5</v>
      </c>
      <c r="V383" s="3">
        <f t="shared" si="157"/>
        <v>0</v>
      </c>
      <c r="W383" s="3">
        <f t="shared" si="158"/>
        <v>25811.971366281548</v>
      </c>
      <c r="X383" s="3">
        <f t="shared" si="150"/>
        <v>13530.995332359118</v>
      </c>
      <c r="AI383" s="3"/>
      <c r="AJ383" s="3"/>
      <c r="AK383" s="15">
        <f t="shared" si="141"/>
        <v>2</v>
      </c>
      <c r="AL383" s="11">
        <f t="shared" si="145"/>
        <v>2244</v>
      </c>
      <c r="AM383" s="11" t="b">
        <f t="shared" si="140"/>
        <v>0</v>
      </c>
      <c r="AN383" s="11">
        <f t="shared" si="142"/>
        <v>36000</v>
      </c>
      <c r="AO383" s="11">
        <f t="shared" si="143"/>
        <v>0</v>
      </c>
      <c r="AP383" s="11">
        <f t="shared" si="144"/>
        <v>0.51955871515382235</v>
      </c>
      <c r="AQ383" s="11">
        <f t="shared" si="146"/>
        <v>0</v>
      </c>
      <c r="AT383" s="3"/>
      <c r="AU383" s="17"/>
      <c r="AV383" s="19"/>
      <c r="AW383" s="17"/>
      <c r="AX383" s="17">
        <f t="shared" si="165"/>
        <v>374</v>
      </c>
      <c r="AY383" s="17">
        <f t="shared" si="164"/>
        <v>37.4</v>
      </c>
      <c r="AZ383" s="17">
        <v>51.955871515382235</v>
      </c>
      <c r="BA383" s="17"/>
      <c r="BB383" s="17">
        <v>36</v>
      </c>
      <c r="BC383" s="17"/>
      <c r="BD383" s="17"/>
      <c r="BE383" s="17"/>
      <c r="BF383" s="17"/>
      <c r="BG383" s="17"/>
      <c r="BH383" s="17"/>
      <c r="BI383" s="17"/>
      <c r="BJ383" s="17"/>
      <c r="BK383" s="17"/>
      <c r="BL383" s="17"/>
      <c r="BM383" s="17"/>
      <c r="BN383" s="17"/>
      <c r="BO383" s="17"/>
      <c r="BP383" s="17"/>
      <c r="BQ383" s="17"/>
      <c r="BR383" s="17"/>
      <c r="BS383" s="17"/>
      <c r="BT383" s="17"/>
      <c r="BU383" s="17"/>
      <c r="BV383" s="17"/>
      <c r="BW383" s="17"/>
      <c r="BX383" s="17"/>
      <c r="BY383" s="17"/>
      <c r="BZ383" s="17"/>
      <c r="CA383" s="17"/>
      <c r="CB383" s="17"/>
      <c r="CC383" s="17"/>
      <c r="CD383" s="17"/>
      <c r="CE383" s="17"/>
      <c r="CF383" s="17"/>
      <c r="CG383" s="17"/>
      <c r="CH383" s="17"/>
    </row>
    <row r="384" spans="8:86" x14ac:dyDescent="0.15">
      <c r="H384" s="3">
        <f t="shared" si="159"/>
        <v>0.37200000000000027</v>
      </c>
      <c r="I384" s="3">
        <f t="shared" si="160"/>
        <v>360</v>
      </c>
      <c r="J384" s="14">
        <f t="shared" si="161"/>
        <v>500</v>
      </c>
      <c r="K384" s="3">
        <f t="shared" si="151"/>
        <v>0</v>
      </c>
      <c r="L384" s="3">
        <f t="shared" si="147"/>
        <v>500</v>
      </c>
      <c r="M384" s="15">
        <f t="shared" si="162"/>
        <v>7.0000000000000007E-2</v>
      </c>
      <c r="N384" s="3">
        <f t="shared" si="163"/>
        <v>71.63042782577655</v>
      </c>
      <c r="O384" s="3">
        <f t="shared" si="148"/>
        <v>71.63042782577655</v>
      </c>
      <c r="P384" s="3">
        <f t="shared" si="152"/>
        <v>77.021965404060808</v>
      </c>
      <c r="Q384" s="3">
        <f t="shared" si="153"/>
        <v>27.011955966714254</v>
      </c>
      <c r="R384" s="3">
        <f t="shared" si="154"/>
        <v>52.016960685387531</v>
      </c>
      <c r="S384" s="3">
        <f t="shared" si="149"/>
        <v>1</v>
      </c>
      <c r="T384" s="3">
        <f t="shared" si="155"/>
        <v>25005.004718673277</v>
      </c>
      <c r="U384" s="3">
        <f t="shared" si="156"/>
        <v>0.5</v>
      </c>
      <c r="V384" s="3">
        <f t="shared" si="157"/>
        <v>0</v>
      </c>
      <c r="W384" s="3">
        <f t="shared" si="158"/>
        <v>25786.954017279557</v>
      </c>
      <c r="X384" s="3">
        <f t="shared" si="150"/>
        <v>13505.977983357127</v>
      </c>
      <c r="AI384" s="3"/>
      <c r="AJ384" s="3"/>
      <c r="AK384" s="15">
        <f t="shared" si="141"/>
        <v>2</v>
      </c>
      <c r="AL384" s="11">
        <f t="shared" si="145"/>
        <v>2250</v>
      </c>
      <c r="AM384" s="11" t="b">
        <f t="shared" si="140"/>
        <v>0</v>
      </c>
      <c r="AN384" s="11">
        <f t="shared" si="142"/>
        <v>36000</v>
      </c>
      <c r="AO384" s="11">
        <f t="shared" si="143"/>
        <v>0</v>
      </c>
      <c r="AP384" s="11">
        <f t="shared" si="144"/>
        <v>0.52066102996863717</v>
      </c>
      <c r="AQ384" s="11">
        <f t="shared" si="146"/>
        <v>0</v>
      </c>
      <c r="AT384" s="3"/>
      <c r="AU384" s="17"/>
      <c r="AV384" s="19"/>
      <c r="AW384" s="17"/>
      <c r="AX384" s="17">
        <f t="shared" si="165"/>
        <v>375</v>
      </c>
      <c r="AY384" s="17">
        <f t="shared" si="164"/>
        <v>37.5</v>
      </c>
      <c r="AZ384" s="17">
        <v>52.066102996863719</v>
      </c>
      <c r="BA384" s="17"/>
      <c r="BB384" s="17">
        <v>36</v>
      </c>
      <c r="BC384" s="17"/>
      <c r="BD384" s="17"/>
      <c r="BE384" s="17"/>
      <c r="BF384" s="17"/>
      <c r="BG384" s="17"/>
      <c r="BH384" s="17"/>
      <c r="BI384" s="17"/>
      <c r="BJ384" s="17"/>
      <c r="BK384" s="17"/>
      <c r="BL384" s="17"/>
      <c r="BM384" s="17"/>
      <c r="BN384" s="17"/>
      <c r="BO384" s="17"/>
      <c r="BP384" s="17"/>
      <c r="BQ384" s="17"/>
      <c r="BR384" s="17"/>
      <c r="BS384" s="17"/>
      <c r="BT384" s="17"/>
      <c r="BU384" s="17"/>
      <c r="BV384" s="17"/>
      <c r="BW384" s="17"/>
      <c r="BX384" s="17"/>
      <c r="BY384" s="17"/>
      <c r="BZ384" s="17"/>
      <c r="CA384" s="17"/>
      <c r="CB384" s="17"/>
      <c r="CC384" s="17"/>
      <c r="CD384" s="17"/>
      <c r="CE384" s="17"/>
      <c r="CF384" s="17"/>
      <c r="CG384" s="17"/>
      <c r="CH384" s="17"/>
    </row>
    <row r="385" spans="8:86" x14ac:dyDescent="0.15">
      <c r="H385" s="3">
        <f t="shared" si="159"/>
        <v>0.37300000000000028</v>
      </c>
      <c r="I385" s="3">
        <f t="shared" si="160"/>
        <v>360</v>
      </c>
      <c r="J385" s="14">
        <f t="shared" si="161"/>
        <v>500</v>
      </c>
      <c r="K385" s="3">
        <f t="shared" si="151"/>
        <v>0</v>
      </c>
      <c r="L385" s="3">
        <f t="shared" si="147"/>
        <v>500</v>
      </c>
      <c r="M385" s="15">
        <f t="shared" si="162"/>
        <v>7.0000000000000007E-2</v>
      </c>
      <c r="N385" s="3">
        <f t="shared" si="163"/>
        <v>71.560969479335782</v>
      </c>
      <c r="O385" s="3">
        <f t="shared" si="148"/>
        <v>71.560969479335782</v>
      </c>
      <c r="P385" s="3">
        <f t="shared" si="152"/>
        <v>76.947279010038486</v>
      </c>
      <c r="Q385" s="3">
        <f t="shared" si="153"/>
        <v>26.961945957276903</v>
      </c>
      <c r="R385" s="3">
        <f t="shared" si="154"/>
        <v>51.954612483657698</v>
      </c>
      <c r="S385" s="3">
        <f t="shared" si="149"/>
        <v>1</v>
      </c>
      <c r="T385" s="3">
        <f t="shared" si="155"/>
        <v>24992.666526380792</v>
      </c>
      <c r="U385" s="3">
        <f t="shared" si="156"/>
        <v>0.5</v>
      </c>
      <c r="V385" s="3">
        <f t="shared" si="157"/>
        <v>0</v>
      </c>
      <c r="W385" s="3">
        <f t="shared" si="158"/>
        <v>25761.949012560883</v>
      </c>
      <c r="X385" s="3">
        <f t="shared" si="150"/>
        <v>13480.972978638452</v>
      </c>
      <c r="AI385" s="3"/>
      <c r="AJ385" s="3"/>
      <c r="AK385" s="15">
        <f t="shared" si="141"/>
        <v>2</v>
      </c>
      <c r="AL385" s="11">
        <f t="shared" si="145"/>
        <v>2256</v>
      </c>
      <c r="AM385" s="11" t="b">
        <f t="shared" si="140"/>
        <v>0</v>
      </c>
      <c r="AN385" s="11">
        <f t="shared" si="142"/>
        <v>36000</v>
      </c>
      <c r="AO385" s="11">
        <f t="shared" si="143"/>
        <v>0</v>
      </c>
      <c r="AP385" s="11">
        <f t="shared" si="144"/>
        <v>0.52176334478345199</v>
      </c>
      <c r="AQ385" s="11">
        <f t="shared" si="146"/>
        <v>0</v>
      </c>
      <c r="AT385" s="3"/>
      <c r="AU385" s="17"/>
      <c r="AV385" s="19"/>
      <c r="AW385" s="17"/>
      <c r="AX385" s="17">
        <f t="shared" si="165"/>
        <v>376</v>
      </c>
      <c r="AY385" s="17">
        <f t="shared" si="164"/>
        <v>37.6</v>
      </c>
      <c r="AZ385" s="17">
        <v>52.176334478345197</v>
      </c>
      <c r="BA385" s="17"/>
      <c r="BB385" s="17">
        <v>36</v>
      </c>
      <c r="BC385" s="17"/>
      <c r="BD385" s="17"/>
      <c r="BE385" s="17"/>
      <c r="BF385" s="17"/>
      <c r="BG385" s="17"/>
      <c r="BH385" s="17"/>
      <c r="BI385" s="17"/>
      <c r="BJ385" s="17"/>
      <c r="BK385" s="17"/>
      <c r="BL385" s="17"/>
      <c r="BM385" s="17"/>
      <c r="BN385" s="17"/>
      <c r="BO385" s="17"/>
      <c r="BP385" s="17"/>
      <c r="BQ385" s="17"/>
      <c r="BR385" s="17"/>
      <c r="BS385" s="17"/>
      <c r="BT385" s="17"/>
      <c r="BU385" s="17"/>
      <c r="BV385" s="17"/>
      <c r="BW385" s="17"/>
      <c r="BX385" s="17"/>
      <c r="BY385" s="17"/>
      <c r="BZ385" s="17"/>
      <c r="CA385" s="17"/>
      <c r="CB385" s="17"/>
      <c r="CC385" s="17"/>
      <c r="CD385" s="17"/>
      <c r="CE385" s="17"/>
      <c r="CF385" s="17"/>
      <c r="CG385" s="17"/>
      <c r="CH385" s="17"/>
    </row>
    <row r="386" spans="8:86" x14ac:dyDescent="0.15">
      <c r="H386" s="3">
        <f t="shared" si="159"/>
        <v>0.37400000000000028</v>
      </c>
      <c r="I386" s="3">
        <f t="shared" si="160"/>
        <v>360</v>
      </c>
      <c r="J386" s="14">
        <f t="shared" si="161"/>
        <v>500</v>
      </c>
      <c r="K386" s="3">
        <f t="shared" si="151"/>
        <v>0</v>
      </c>
      <c r="L386" s="3">
        <f t="shared" si="147"/>
        <v>500</v>
      </c>
      <c r="M386" s="15">
        <f t="shared" si="162"/>
        <v>7.0000000000000007E-2</v>
      </c>
      <c r="N386" s="3">
        <f t="shared" si="163"/>
        <v>71.491545405651394</v>
      </c>
      <c r="O386" s="3">
        <f t="shared" si="148"/>
        <v>71.491545405651394</v>
      </c>
      <c r="P386" s="3">
        <f t="shared" si="152"/>
        <v>76.872629468442369</v>
      </c>
      <c r="Q386" s="3">
        <f t="shared" si="153"/>
        <v>26.911960624224143</v>
      </c>
      <c r="R386" s="3">
        <f t="shared" si="154"/>
        <v>51.89229504633326</v>
      </c>
      <c r="S386" s="3">
        <f t="shared" si="149"/>
        <v>1</v>
      </c>
      <c r="T386" s="3">
        <f t="shared" si="155"/>
        <v>24980.334422109114</v>
      </c>
      <c r="U386" s="3">
        <f t="shared" si="156"/>
        <v>0.5</v>
      </c>
      <c r="V386" s="3">
        <f t="shared" si="157"/>
        <v>0</v>
      </c>
      <c r="W386" s="3">
        <f t="shared" si="158"/>
        <v>25736.956346034502</v>
      </c>
      <c r="X386" s="3">
        <f t="shared" si="150"/>
        <v>13455.980312112071</v>
      </c>
      <c r="AI386" s="3"/>
      <c r="AJ386" s="3"/>
      <c r="AK386" s="15">
        <f t="shared" si="141"/>
        <v>2</v>
      </c>
      <c r="AL386" s="11">
        <f t="shared" si="145"/>
        <v>2262</v>
      </c>
      <c r="AM386" s="11" t="b">
        <f t="shared" si="140"/>
        <v>0</v>
      </c>
      <c r="AN386" s="11">
        <f t="shared" si="142"/>
        <v>36000</v>
      </c>
      <c r="AO386" s="11">
        <f t="shared" si="143"/>
        <v>0</v>
      </c>
      <c r="AP386" s="11">
        <f t="shared" si="144"/>
        <v>0.52286565959826692</v>
      </c>
      <c r="AQ386" s="11">
        <f t="shared" si="146"/>
        <v>0</v>
      </c>
      <c r="AT386" s="3"/>
      <c r="AU386" s="17"/>
      <c r="AV386" s="19"/>
      <c r="AW386" s="17"/>
      <c r="AX386" s="17">
        <f t="shared" si="165"/>
        <v>377</v>
      </c>
      <c r="AY386" s="17">
        <f t="shared" si="164"/>
        <v>37.700000000000003</v>
      </c>
      <c r="AZ386" s="17">
        <v>52.286565959826689</v>
      </c>
      <c r="BA386" s="17"/>
      <c r="BB386" s="17">
        <v>36</v>
      </c>
      <c r="BC386" s="17"/>
      <c r="BD386" s="17"/>
      <c r="BE386" s="17"/>
      <c r="BF386" s="17"/>
      <c r="BG386" s="17"/>
      <c r="BH386" s="17"/>
      <c r="BI386" s="17"/>
      <c r="BJ386" s="17"/>
      <c r="BK386" s="17"/>
      <c r="BL386" s="17"/>
      <c r="BM386" s="17"/>
      <c r="BN386" s="17"/>
      <c r="BO386" s="17"/>
      <c r="BP386" s="17"/>
      <c r="BQ386" s="17"/>
      <c r="BR386" s="17"/>
      <c r="BS386" s="17"/>
      <c r="BT386" s="17"/>
      <c r="BU386" s="17"/>
      <c r="BV386" s="17"/>
      <c r="BW386" s="17"/>
      <c r="BX386" s="17"/>
      <c r="BY386" s="17"/>
      <c r="BZ386" s="17"/>
      <c r="CA386" s="17"/>
      <c r="CB386" s="17"/>
      <c r="CC386" s="17"/>
      <c r="CD386" s="17"/>
      <c r="CE386" s="17"/>
      <c r="CF386" s="17"/>
      <c r="CG386" s="17"/>
      <c r="CH386" s="17"/>
    </row>
    <row r="387" spans="8:86" x14ac:dyDescent="0.15">
      <c r="H387" s="3">
        <f t="shared" si="159"/>
        <v>0.37500000000000028</v>
      </c>
      <c r="I387" s="3">
        <f t="shared" si="160"/>
        <v>360</v>
      </c>
      <c r="J387" s="14">
        <f t="shared" si="161"/>
        <v>500</v>
      </c>
      <c r="K387" s="3">
        <f t="shared" si="151"/>
        <v>0</v>
      </c>
      <c r="L387" s="3">
        <f t="shared" si="147"/>
        <v>500</v>
      </c>
      <c r="M387" s="15">
        <f t="shared" si="162"/>
        <v>7.0000000000000007E-2</v>
      </c>
      <c r="N387" s="3">
        <f t="shared" si="163"/>
        <v>71.422155587812199</v>
      </c>
      <c r="O387" s="3">
        <f t="shared" si="148"/>
        <v>71.422155587812199</v>
      </c>
      <c r="P387" s="3">
        <f t="shared" si="152"/>
        <v>76.798016761088391</v>
      </c>
      <c r="Q387" s="3">
        <f t="shared" si="153"/>
        <v>26.861999955379925</v>
      </c>
      <c r="R387" s="3">
        <f t="shared" si="154"/>
        <v>51.83000835823416</v>
      </c>
      <c r="S387" s="3">
        <f t="shared" si="149"/>
        <v>1</v>
      </c>
      <c r="T387" s="3">
        <f t="shared" si="155"/>
        <v>24968.00840285423</v>
      </c>
      <c r="U387" s="3">
        <f t="shared" si="156"/>
        <v>0.5</v>
      </c>
      <c r="V387" s="3">
        <f t="shared" si="157"/>
        <v>0</v>
      </c>
      <c r="W387" s="3">
        <f t="shared" si="158"/>
        <v>25711.976011612391</v>
      </c>
      <c r="X387" s="3">
        <f t="shared" si="150"/>
        <v>13430.999977689962</v>
      </c>
      <c r="AI387" s="3"/>
      <c r="AJ387" s="3"/>
      <c r="AK387" s="15">
        <f t="shared" si="141"/>
        <v>2</v>
      </c>
      <c r="AL387" s="11">
        <f t="shared" si="145"/>
        <v>2268</v>
      </c>
      <c r="AM387" s="11" t="b">
        <f t="shared" si="140"/>
        <v>0</v>
      </c>
      <c r="AN387" s="11">
        <f t="shared" si="142"/>
        <v>36000</v>
      </c>
      <c r="AO387" s="11">
        <f t="shared" si="143"/>
        <v>0</v>
      </c>
      <c r="AP387" s="11">
        <f t="shared" si="144"/>
        <v>0.52396797441308174</v>
      </c>
      <c r="AQ387" s="11">
        <f t="shared" si="146"/>
        <v>0</v>
      </c>
      <c r="AT387" s="3"/>
      <c r="AU387" s="17"/>
      <c r="AV387" s="19"/>
      <c r="AW387" s="17"/>
      <c r="AX387" s="17">
        <f t="shared" si="165"/>
        <v>378</v>
      </c>
      <c r="AY387" s="17">
        <f t="shared" si="164"/>
        <v>37.799999999999997</v>
      </c>
      <c r="AZ387" s="17">
        <v>52.396797441308173</v>
      </c>
      <c r="BA387" s="17"/>
      <c r="BB387" s="17">
        <v>36</v>
      </c>
      <c r="BC387" s="17"/>
      <c r="BD387" s="17"/>
      <c r="BE387" s="17"/>
      <c r="BF387" s="17"/>
      <c r="BG387" s="17"/>
      <c r="BH387" s="17"/>
      <c r="BI387" s="17"/>
      <c r="BJ387" s="17"/>
      <c r="BK387" s="17"/>
      <c r="BL387" s="17"/>
      <c r="BM387" s="17"/>
      <c r="BN387" s="17"/>
      <c r="BO387" s="17"/>
      <c r="BP387" s="17"/>
      <c r="BQ387" s="17"/>
      <c r="BR387" s="17"/>
      <c r="BS387" s="17"/>
      <c r="BT387" s="17"/>
      <c r="BU387" s="17"/>
      <c r="BV387" s="17"/>
      <c r="BW387" s="17"/>
      <c r="BX387" s="17"/>
      <c r="BY387" s="17"/>
      <c r="BZ387" s="17"/>
      <c r="CA387" s="17"/>
      <c r="CB387" s="17"/>
      <c r="CC387" s="17"/>
      <c r="CD387" s="17"/>
      <c r="CE387" s="17"/>
      <c r="CF387" s="17"/>
      <c r="CG387" s="17"/>
      <c r="CH387" s="17"/>
    </row>
    <row r="388" spans="8:86" x14ac:dyDescent="0.15">
      <c r="H388" s="3">
        <f t="shared" si="159"/>
        <v>0.37600000000000028</v>
      </c>
      <c r="I388" s="3">
        <f t="shared" si="160"/>
        <v>360</v>
      </c>
      <c r="J388" s="14">
        <f t="shared" si="161"/>
        <v>500</v>
      </c>
      <c r="K388" s="3">
        <f t="shared" si="151"/>
        <v>0</v>
      </c>
      <c r="L388" s="3">
        <f t="shared" si="147"/>
        <v>500</v>
      </c>
      <c r="M388" s="15">
        <f t="shared" si="162"/>
        <v>7.0000000000000007E-2</v>
      </c>
      <c r="N388" s="3">
        <f t="shared" si="163"/>
        <v>71.352800008915381</v>
      </c>
      <c r="O388" s="3">
        <f t="shared" si="148"/>
        <v>71.352800008915381</v>
      </c>
      <c r="P388" s="3">
        <f t="shared" si="152"/>
        <v>76.723440869801493</v>
      </c>
      <c r="Q388" s="3">
        <f t="shared" si="153"/>
        <v>26.812063938574216</v>
      </c>
      <c r="R388" s="3">
        <f t="shared" si="154"/>
        <v>51.767752404187853</v>
      </c>
      <c r="S388" s="3">
        <f t="shared" si="149"/>
        <v>1</v>
      </c>
      <c r="T388" s="3">
        <f t="shared" si="155"/>
        <v>24955.688465613639</v>
      </c>
      <c r="U388" s="3">
        <f t="shared" si="156"/>
        <v>0.5</v>
      </c>
      <c r="V388" s="3">
        <f t="shared" si="157"/>
        <v>0</v>
      </c>
      <c r="W388" s="3">
        <f t="shared" si="158"/>
        <v>25687.008003209536</v>
      </c>
      <c r="X388" s="3">
        <f t="shared" si="150"/>
        <v>13406.031969287107</v>
      </c>
      <c r="AI388" s="3"/>
      <c r="AJ388" s="3"/>
      <c r="AK388" s="15">
        <f t="shared" si="141"/>
        <v>2</v>
      </c>
      <c r="AL388" s="11">
        <f t="shared" si="145"/>
        <v>2274</v>
      </c>
      <c r="AM388" s="11" t="b">
        <f t="shared" si="140"/>
        <v>0</v>
      </c>
      <c r="AN388" s="11">
        <f t="shared" si="142"/>
        <v>36000</v>
      </c>
      <c r="AO388" s="11">
        <f t="shared" si="143"/>
        <v>0</v>
      </c>
      <c r="AP388" s="11">
        <f t="shared" si="144"/>
        <v>0.52507028922789656</v>
      </c>
      <c r="AQ388" s="11">
        <f t="shared" si="146"/>
        <v>0</v>
      </c>
      <c r="AT388" s="3"/>
      <c r="AU388" s="17"/>
      <c r="AV388" s="19"/>
      <c r="AW388" s="17"/>
      <c r="AX388" s="17">
        <f t="shared" si="165"/>
        <v>379</v>
      </c>
      <c r="AY388" s="17">
        <f t="shared" si="164"/>
        <v>37.9</v>
      </c>
      <c r="AZ388" s="17">
        <v>52.507028922789658</v>
      </c>
      <c r="BA388" s="17"/>
      <c r="BB388" s="17">
        <v>36</v>
      </c>
      <c r="BC388" s="17"/>
      <c r="BD388" s="17"/>
      <c r="BE388" s="17"/>
      <c r="BF388" s="17"/>
      <c r="BG388" s="17"/>
      <c r="BH388" s="17"/>
      <c r="BI388" s="17"/>
      <c r="BJ388" s="17"/>
      <c r="BK388" s="17"/>
      <c r="BL388" s="17"/>
      <c r="BM388" s="17"/>
      <c r="BN388" s="17"/>
      <c r="BO388" s="17"/>
      <c r="BP388" s="17"/>
      <c r="BQ388" s="17"/>
      <c r="BR388" s="17"/>
      <c r="BS388" s="17"/>
      <c r="BT388" s="17"/>
      <c r="BU388" s="17"/>
      <c r="BV388" s="17"/>
      <c r="BW388" s="17"/>
      <c r="BX388" s="17"/>
      <c r="BY388" s="17"/>
      <c r="BZ388" s="17"/>
      <c r="CA388" s="17"/>
      <c r="CB388" s="17"/>
      <c r="CC388" s="17"/>
      <c r="CD388" s="17"/>
      <c r="CE388" s="17"/>
      <c r="CF388" s="17"/>
      <c r="CG388" s="17"/>
      <c r="CH388" s="17"/>
    </row>
    <row r="389" spans="8:86" x14ac:dyDescent="0.15">
      <c r="H389" s="3">
        <f t="shared" si="159"/>
        <v>0.37700000000000028</v>
      </c>
      <c r="I389" s="3">
        <f t="shared" si="160"/>
        <v>360</v>
      </c>
      <c r="J389" s="14">
        <f t="shared" si="161"/>
        <v>500</v>
      </c>
      <c r="K389" s="3">
        <f t="shared" si="151"/>
        <v>0</v>
      </c>
      <c r="L389" s="3">
        <f t="shared" si="147"/>
        <v>500</v>
      </c>
      <c r="M389" s="15">
        <f t="shared" si="162"/>
        <v>7.0000000000000007E-2</v>
      </c>
      <c r="N389" s="3">
        <f t="shared" si="163"/>
        <v>71.283478652066449</v>
      </c>
      <c r="O389" s="3">
        <f t="shared" si="148"/>
        <v>71.283478652066449</v>
      </c>
      <c r="P389" s="3">
        <f t="shared" si="152"/>
        <v>76.648901776415542</v>
      </c>
      <c r="Q389" s="3">
        <f t="shared" si="153"/>
        <v>26.762152561642985</v>
      </c>
      <c r="R389" s="3">
        <f t="shared" si="154"/>
        <v>51.705527169029267</v>
      </c>
      <c r="S389" s="3">
        <f t="shared" si="149"/>
        <v>1</v>
      </c>
      <c r="T389" s="3">
        <f t="shared" si="155"/>
        <v>24943.374607386279</v>
      </c>
      <c r="U389" s="3">
        <f t="shared" si="156"/>
        <v>0.5</v>
      </c>
      <c r="V389" s="3">
        <f t="shared" si="157"/>
        <v>0</v>
      </c>
      <c r="W389" s="3">
        <f t="shared" si="158"/>
        <v>25662.052314743923</v>
      </c>
      <c r="X389" s="3">
        <f t="shared" si="150"/>
        <v>13381.076280821493</v>
      </c>
      <c r="AI389" s="3"/>
      <c r="AJ389" s="3"/>
      <c r="AK389" s="15">
        <f t="shared" si="141"/>
        <v>2</v>
      </c>
      <c r="AL389" s="11">
        <f t="shared" si="145"/>
        <v>2280</v>
      </c>
      <c r="AM389" s="11" t="b">
        <f t="shared" si="140"/>
        <v>0</v>
      </c>
      <c r="AN389" s="11">
        <f t="shared" si="142"/>
        <v>36000</v>
      </c>
      <c r="AO389" s="11">
        <f t="shared" si="143"/>
        <v>0</v>
      </c>
      <c r="AP389" s="11">
        <f t="shared" si="144"/>
        <v>0.52617260404271138</v>
      </c>
      <c r="AQ389" s="11">
        <f t="shared" si="146"/>
        <v>0</v>
      </c>
      <c r="AT389" s="3"/>
      <c r="AU389" s="17"/>
      <c r="AV389" s="19"/>
      <c r="AW389" s="17"/>
      <c r="AX389" s="17">
        <f t="shared" si="165"/>
        <v>380</v>
      </c>
      <c r="AY389" s="17">
        <f t="shared" si="164"/>
        <v>38</v>
      </c>
      <c r="AZ389" s="17">
        <v>52.617260404271136</v>
      </c>
      <c r="BA389" s="17"/>
      <c r="BB389" s="17">
        <v>36</v>
      </c>
      <c r="BC389" s="17"/>
      <c r="BD389" s="17"/>
      <c r="BE389" s="17"/>
      <c r="BF389" s="17"/>
      <c r="BG389" s="17"/>
      <c r="BH389" s="17"/>
      <c r="BI389" s="17"/>
      <c r="BJ389" s="17"/>
      <c r="BK389" s="17"/>
      <c r="BL389" s="17"/>
      <c r="BM389" s="17"/>
      <c r="BN389" s="17"/>
      <c r="BO389" s="17"/>
      <c r="BP389" s="17"/>
      <c r="BQ389" s="17"/>
      <c r="BR389" s="17"/>
      <c r="BS389" s="17"/>
      <c r="BT389" s="17"/>
      <c r="BU389" s="17"/>
      <c r="BV389" s="17"/>
      <c r="BW389" s="17"/>
      <c r="BX389" s="17"/>
      <c r="BY389" s="17"/>
      <c r="BZ389" s="17"/>
      <c r="CA389" s="17"/>
      <c r="CB389" s="17"/>
      <c r="CC389" s="17"/>
      <c r="CD389" s="17"/>
      <c r="CE389" s="17"/>
      <c r="CF389" s="17"/>
      <c r="CG389" s="17"/>
      <c r="CH389" s="17"/>
    </row>
    <row r="390" spans="8:86" x14ac:dyDescent="0.15">
      <c r="H390" s="3">
        <f t="shared" si="159"/>
        <v>0.37800000000000028</v>
      </c>
      <c r="I390" s="3">
        <f t="shared" si="160"/>
        <v>360</v>
      </c>
      <c r="J390" s="14">
        <f t="shared" si="161"/>
        <v>500</v>
      </c>
      <c r="K390" s="3">
        <f t="shared" si="151"/>
        <v>0</v>
      </c>
      <c r="L390" s="3">
        <f t="shared" si="147"/>
        <v>500</v>
      </c>
      <c r="M390" s="15">
        <f t="shared" si="162"/>
        <v>7.0000000000000007E-2</v>
      </c>
      <c r="N390" s="3">
        <f t="shared" si="163"/>
        <v>71.214191500379272</v>
      </c>
      <c r="O390" s="3">
        <f t="shared" si="148"/>
        <v>71.214191500379272</v>
      </c>
      <c r="P390" s="3">
        <f t="shared" si="152"/>
        <v>76.574399462773414</v>
      </c>
      <c r="Q390" s="3">
        <f t="shared" si="153"/>
        <v>26.712265812428214</v>
      </c>
      <c r="R390" s="3">
        <f t="shared" si="154"/>
        <v>51.643332637600814</v>
      </c>
      <c r="S390" s="3">
        <f t="shared" si="149"/>
        <v>1</v>
      </c>
      <c r="T390" s="3">
        <f t="shared" si="155"/>
        <v>24931.066825172598</v>
      </c>
      <c r="U390" s="3">
        <f t="shared" si="156"/>
        <v>0.5</v>
      </c>
      <c r="V390" s="3">
        <f t="shared" si="157"/>
        <v>0</v>
      </c>
      <c r="W390" s="3">
        <f t="shared" si="158"/>
        <v>25637.108940136539</v>
      </c>
      <c r="X390" s="3">
        <f t="shared" si="150"/>
        <v>13356.132906214107</v>
      </c>
      <c r="AI390" s="3"/>
      <c r="AJ390" s="3"/>
      <c r="AK390" s="15">
        <f t="shared" si="141"/>
        <v>2</v>
      </c>
      <c r="AL390" s="11">
        <f t="shared" si="145"/>
        <v>2286</v>
      </c>
      <c r="AM390" s="11" t="b">
        <f t="shared" si="140"/>
        <v>0</v>
      </c>
      <c r="AN390" s="11">
        <f t="shared" si="142"/>
        <v>36000</v>
      </c>
      <c r="AO390" s="11">
        <f t="shared" si="143"/>
        <v>0</v>
      </c>
      <c r="AP390" s="11">
        <f t="shared" si="144"/>
        <v>0.5272749188575262</v>
      </c>
      <c r="AQ390" s="11">
        <f t="shared" si="146"/>
        <v>0</v>
      </c>
      <c r="AT390" s="3"/>
      <c r="AU390" s="17"/>
      <c r="AV390" s="19"/>
      <c r="AW390" s="17"/>
      <c r="AX390" s="17">
        <f t="shared" si="165"/>
        <v>381</v>
      </c>
      <c r="AY390" s="17">
        <f t="shared" si="164"/>
        <v>38.1</v>
      </c>
      <c r="AZ390" s="17">
        <v>52.72749188575262</v>
      </c>
      <c r="BA390" s="17"/>
      <c r="BB390" s="17">
        <v>36</v>
      </c>
      <c r="BC390" s="17"/>
      <c r="BD390" s="17"/>
      <c r="BE390" s="17"/>
      <c r="BF390" s="17"/>
      <c r="BG390" s="17"/>
      <c r="BH390" s="17"/>
      <c r="BI390" s="17"/>
      <c r="BJ390" s="17"/>
      <c r="BK390" s="17"/>
      <c r="BL390" s="17"/>
      <c r="BM390" s="17"/>
      <c r="BN390" s="17"/>
      <c r="BO390" s="17"/>
      <c r="BP390" s="17"/>
      <c r="BQ390" s="17"/>
      <c r="BR390" s="17"/>
      <c r="BS390" s="17"/>
      <c r="BT390" s="17"/>
      <c r="BU390" s="17"/>
      <c r="BV390" s="17"/>
      <c r="BW390" s="17"/>
      <c r="BX390" s="17"/>
      <c r="BY390" s="17"/>
      <c r="BZ390" s="17"/>
      <c r="CA390" s="17"/>
      <c r="CB390" s="17"/>
      <c r="CC390" s="17"/>
      <c r="CD390" s="17"/>
      <c r="CE390" s="17"/>
      <c r="CF390" s="17"/>
      <c r="CG390" s="17"/>
      <c r="CH390" s="17"/>
    </row>
    <row r="391" spans="8:86" x14ac:dyDescent="0.15">
      <c r="H391" s="3">
        <f t="shared" si="159"/>
        <v>0.37900000000000028</v>
      </c>
      <c r="I391" s="3">
        <f t="shared" si="160"/>
        <v>360</v>
      </c>
      <c r="J391" s="14">
        <f t="shared" si="161"/>
        <v>500</v>
      </c>
      <c r="K391" s="3">
        <f t="shared" si="151"/>
        <v>0</v>
      </c>
      <c r="L391" s="3">
        <f t="shared" si="147"/>
        <v>500</v>
      </c>
      <c r="M391" s="15">
        <f t="shared" si="162"/>
        <v>7.0000000000000007E-2</v>
      </c>
      <c r="N391" s="3">
        <f t="shared" si="163"/>
        <v>71.144938536976028</v>
      </c>
      <c r="O391" s="3">
        <f t="shared" si="148"/>
        <v>71.144938536976028</v>
      </c>
      <c r="P391" s="3">
        <f t="shared" si="152"/>
        <v>76.499933910726924</v>
      </c>
      <c r="Q391" s="3">
        <f t="shared" si="153"/>
        <v>26.662403678777867</v>
      </c>
      <c r="R391" s="3">
        <f t="shared" si="154"/>
        <v>51.581168794752394</v>
      </c>
      <c r="S391" s="3">
        <f t="shared" si="149"/>
        <v>1</v>
      </c>
      <c r="T391" s="3">
        <f t="shared" si="155"/>
        <v>24918.765115974529</v>
      </c>
      <c r="U391" s="3">
        <f t="shared" si="156"/>
        <v>0.5</v>
      </c>
      <c r="V391" s="3">
        <f t="shared" si="157"/>
        <v>0</v>
      </c>
      <c r="W391" s="3">
        <f t="shared" si="158"/>
        <v>25612.177873311372</v>
      </c>
      <c r="X391" s="3">
        <f t="shared" si="150"/>
        <v>13331.201839388934</v>
      </c>
      <c r="AI391" s="3"/>
      <c r="AJ391" s="3"/>
      <c r="AK391" s="15">
        <f t="shared" si="141"/>
        <v>2</v>
      </c>
      <c r="AL391" s="11">
        <f t="shared" si="145"/>
        <v>2292</v>
      </c>
      <c r="AM391" s="11" t="b">
        <f t="shared" si="140"/>
        <v>0</v>
      </c>
      <c r="AN391" s="11">
        <f t="shared" si="142"/>
        <v>36000</v>
      </c>
      <c r="AO391" s="11">
        <f t="shared" si="143"/>
        <v>0</v>
      </c>
      <c r="AP391" s="11">
        <f t="shared" si="144"/>
        <v>0.52837723367234113</v>
      </c>
      <c r="AQ391" s="11">
        <f t="shared" si="146"/>
        <v>0</v>
      </c>
      <c r="AT391" s="3"/>
      <c r="AU391" s="17"/>
      <c r="AV391" s="19"/>
      <c r="AW391" s="17"/>
      <c r="AX391" s="17">
        <f t="shared" si="165"/>
        <v>382</v>
      </c>
      <c r="AY391" s="17">
        <f t="shared" si="164"/>
        <v>38.200000000000003</v>
      </c>
      <c r="AZ391" s="17">
        <v>52.837723367234112</v>
      </c>
      <c r="BA391" s="17"/>
      <c r="BB391" s="17">
        <v>36</v>
      </c>
      <c r="BC391" s="17"/>
      <c r="BD391" s="17"/>
      <c r="BE391" s="17"/>
      <c r="BF391" s="17"/>
      <c r="BG391" s="17"/>
      <c r="BH391" s="17"/>
      <c r="BI391" s="17"/>
      <c r="BJ391" s="17"/>
      <c r="BK391" s="17"/>
      <c r="BL391" s="17"/>
      <c r="BM391" s="17"/>
      <c r="BN391" s="17"/>
      <c r="BO391" s="17"/>
      <c r="BP391" s="17"/>
      <c r="BQ391" s="17"/>
      <c r="BR391" s="17"/>
      <c r="BS391" s="17"/>
      <c r="BT391" s="17"/>
      <c r="BU391" s="17"/>
      <c r="BV391" s="17"/>
      <c r="BW391" s="17"/>
      <c r="BX391" s="17"/>
      <c r="BY391" s="17"/>
      <c r="BZ391" s="17"/>
      <c r="CA391" s="17"/>
      <c r="CB391" s="17"/>
      <c r="CC391" s="17"/>
      <c r="CD391" s="17"/>
      <c r="CE391" s="17"/>
      <c r="CF391" s="17"/>
      <c r="CG391" s="17"/>
      <c r="CH391" s="17"/>
    </row>
    <row r="392" spans="8:86" x14ac:dyDescent="0.15">
      <c r="H392" s="3">
        <f t="shared" si="159"/>
        <v>0.38000000000000028</v>
      </c>
      <c r="I392" s="3">
        <f t="shared" si="160"/>
        <v>360</v>
      </c>
      <c r="J392" s="14">
        <f t="shared" si="161"/>
        <v>500</v>
      </c>
      <c r="K392" s="3">
        <f t="shared" si="151"/>
        <v>0</v>
      </c>
      <c r="L392" s="3">
        <f t="shared" si="147"/>
        <v>500</v>
      </c>
      <c r="M392" s="15">
        <f t="shared" si="162"/>
        <v>7.0000000000000007E-2</v>
      </c>
      <c r="N392" s="3">
        <f t="shared" si="163"/>
        <v>71.075719744987211</v>
      </c>
      <c r="O392" s="3">
        <f t="shared" si="148"/>
        <v>71.075719744987211</v>
      </c>
      <c r="P392" s="3">
        <f t="shared" si="152"/>
        <v>76.425505102136796</v>
      </c>
      <c r="Q392" s="3">
        <f t="shared" si="153"/>
        <v>26.61256614854592</v>
      </c>
      <c r="R392" s="3">
        <f t="shared" si="154"/>
        <v>51.51903562534136</v>
      </c>
      <c r="S392" s="3">
        <f t="shared" si="149"/>
        <v>1</v>
      </c>
      <c r="T392" s="3">
        <f t="shared" si="155"/>
        <v>24906.469476795435</v>
      </c>
      <c r="U392" s="3">
        <f t="shared" si="156"/>
        <v>0.5</v>
      </c>
      <c r="V392" s="3">
        <f t="shared" si="157"/>
        <v>0</v>
      </c>
      <c r="W392" s="3">
        <f t="shared" si="158"/>
        <v>25587.259108195394</v>
      </c>
      <c r="X392" s="3">
        <f t="shared" si="150"/>
        <v>13306.28307427296</v>
      </c>
      <c r="AI392" s="3"/>
      <c r="AJ392" s="3"/>
      <c r="AK392" s="15">
        <f t="shared" si="141"/>
        <v>2</v>
      </c>
      <c r="AL392" s="11">
        <f t="shared" si="145"/>
        <v>2298</v>
      </c>
      <c r="AM392" s="11" t="b">
        <f t="shared" si="140"/>
        <v>0</v>
      </c>
      <c r="AN392" s="11">
        <f t="shared" si="142"/>
        <v>36000</v>
      </c>
      <c r="AO392" s="11">
        <f t="shared" si="143"/>
        <v>0</v>
      </c>
      <c r="AP392" s="11">
        <f t="shared" si="144"/>
        <v>0.52947954848715595</v>
      </c>
      <c r="AQ392" s="11">
        <f t="shared" si="146"/>
        <v>0</v>
      </c>
      <c r="AT392" s="3"/>
      <c r="AU392" s="17"/>
      <c r="AV392" s="19"/>
      <c r="AW392" s="17"/>
      <c r="AX392" s="17">
        <f t="shared" si="165"/>
        <v>383</v>
      </c>
      <c r="AY392" s="17">
        <f t="shared" si="164"/>
        <v>38.299999999999997</v>
      </c>
      <c r="AZ392" s="17">
        <v>52.947954848715597</v>
      </c>
      <c r="BA392" s="17"/>
      <c r="BB392" s="17">
        <v>36</v>
      </c>
      <c r="BC392" s="17"/>
      <c r="BD392" s="17"/>
      <c r="BE392" s="17"/>
      <c r="BF392" s="17"/>
      <c r="BG392" s="17"/>
      <c r="BH392" s="17"/>
      <c r="BI392" s="17"/>
      <c r="BJ392" s="17"/>
      <c r="BK392" s="17"/>
      <c r="BL392" s="17"/>
      <c r="BM392" s="17"/>
      <c r="BN392" s="17"/>
      <c r="BO392" s="17"/>
      <c r="BP392" s="17"/>
      <c r="BQ392" s="17"/>
      <c r="BR392" s="17"/>
      <c r="BS392" s="17"/>
      <c r="BT392" s="17"/>
      <c r="BU392" s="17"/>
      <c r="BV392" s="17"/>
      <c r="BW392" s="17"/>
      <c r="BX392" s="17"/>
      <c r="BY392" s="17"/>
      <c r="BZ392" s="17"/>
      <c r="CA392" s="17"/>
      <c r="CB392" s="17"/>
      <c r="CC392" s="17"/>
      <c r="CD392" s="17"/>
      <c r="CE392" s="17"/>
      <c r="CF392" s="17"/>
      <c r="CG392" s="17"/>
      <c r="CH392" s="17"/>
    </row>
    <row r="393" spans="8:86" x14ac:dyDescent="0.15">
      <c r="H393" s="3">
        <f t="shared" si="159"/>
        <v>0.38100000000000028</v>
      </c>
      <c r="I393" s="3">
        <f t="shared" si="160"/>
        <v>360</v>
      </c>
      <c r="J393" s="14">
        <f t="shared" si="161"/>
        <v>500</v>
      </c>
      <c r="K393" s="3">
        <f t="shared" si="151"/>
        <v>0</v>
      </c>
      <c r="L393" s="3">
        <f t="shared" si="147"/>
        <v>500</v>
      </c>
      <c r="M393" s="15">
        <f t="shared" si="162"/>
        <v>7.0000000000000007E-2</v>
      </c>
      <c r="N393" s="3">
        <f t="shared" si="163"/>
        <v>71.00653510755167</v>
      </c>
      <c r="O393" s="3">
        <f t="shared" si="148"/>
        <v>71.00653510755167</v>
      </c>
      <c r="P393" s="3">
        <f t="shared" si="152"/>
        <v>76.351113018872766</v>
      </c>
      <c r="Q393" s="3">
        <f t="shared" si="153"/>
        <v>26.56275320959233</v>
      </c>
      <c r="R393" s="3">
        <f t="shared" si="154"/>
        <v>51.456933114232548</v>
      </c>
      <c r="S393" s="3">
        <f t="shared" si="149"/>
        <v>1</v>
      </c>
      <c r="T393" s="3">
        <f t="shared" si="155"/>
        <v>24894.179904640219</v>
      </c>
      <c r="U393" s="3">
        <f t="shared" si="156"/>
        <v>0.5</v>
      </c>
      <c r="V393" s="3">
        <f t="shared" si="157"/>
        <v>0</v>
      </c>
      <c r="W393" s="3">
        <f t="shared" si="158"/>
        <v>25562.352638718603</v>
      </c>
      <c r="X393" s="3">
        <f t="shared" si="150"/>
        <v>13281.376604796165</v>
      </c>
      <c r="AI393" s="3"/>
      <c r="AJ393" s="3"/>
      <c r="AK393" s="15">
        <f t="shared" si="141"/>
        <v>2</v>
      </c>
      <c r="AL393" s="11">
        <f t="shared" si="145"/>
        <v>2304</v>
      </c>
      <c r="AM393" s="11" t="b">
        <f t="shared" ref="AM393:AM456" si="166">OR(AND(AL393&gt;=$AC$5,AL393&lt;=$AD$5),AND(AL393&gt;=$AC$6,AL393&lt;=$AD$6),AND(AL393&gt;=$AC$7,AL393&lt;=$AD$7),AND(AL393&gt;=$AC$8,AL393&lt;=$AD$8),AND(AL393&gt;=$AC$9,AL393&lt;=$AD$9),AND(AL393&gt;=$AC$10,AL393&lt;=$AD$10),AND(AL393&gt;=$AC$11,AL393&lt;=$AD$11),AND($AD$11&lt;$AC$11,OR(AL393&lt;$AD$11,AL393&gt;$AC$11)))</f>
        <v>0</v>
      </c>
      <c r="AN393" s="11">
        <f t="shared" si="142"/>
        <v>36000</v>
      </c>
      <c r="AO393" s="11">
        <f t="shared" si="143"/>
        <v>0</v>
      </c>
      <c r="AP393" s="11">
        <f t="shared" si="144"/>
        <v>0.53058186330197077</v>
      </c>
      <c r="AQ393" s="11">
        <f t="shared" si="146"/>
        <v>0</v>
      </c>
      <c r="AT393" s="3"/>
      <c r="AU393" s="17"/>
      <c r="AV393" s="19"/>
      <c r="AW393" s="17"/>
      <c r="AX393" s="17">
        <f t="shared" si="165"/>
        <v>384</v>
      </c>
      <c r="AY393" s="17">
        <f t="shared" si="164"/>
        <v>38.4</v>
      </c>
      <c r="AZ393" s="17">
        <v>53.058186330197074</v>
      </c>
      <c r="BA393" s="17"/>
      <c r="BB393" s="17">
        <v>36</v>
      </c>
      <c r="BC393" s="17"/>
      <c r="BD393" s="17"/>
      <c r="BE393" s="17"/>
      <c r="BF393" s="17"/>
      <c r="BG393" s="17"/>
      <c r="BH393" s="17"/>
      <c r="BI393" s="17"/>
      <c r="BJ393" s="17"/>
      <c r="BK393" s="17"/>
      <c r="BL393" s="17"/>
      <c r="BM393" s="17"/>
      <c r="BN393" s="17"/>
      <c r="BO393" s="17"/>
      <c r="BP393" s="17"/>
      <c r="BQ393" s="17"/>
      <c r="BR393" s="17"/>
      <c r="BS393" s="17"/>
      <c r="BT393" s="17"/>
      <c r="BU393" s="17"/>
      <c r="BV393" s="17"/>
      <c r="BW393" s="17"/>
      <c r="BX393" s="17"/>
      <c r="BY393" s="17"/>
      <c r="BZ393" s="17"/>
      <c r="CA393" s="17"/>
      <c r="CB393" s="17"/>
      <c r="CC393" s="17"/>
      <c r="CD393" s="17"/>
      <c r="CE393" s="17"/>
      <c r="CF393" s="17"/>
      <c r="CG393" s="17"/>
      <c r="CH393" s="17"/>
    </row>
    <row r="394" spans="8:86" x14ac:dyDescent="0.15">
      <c r="H394" s="3">
        <f t="shared" si="159"/>
        <v>0.38200000000000028</v>
      </c>
      <c r="I394" s="3">
        <f t="shared" si="160"/>
        <v>360</v>
      </c>
      <c r="J394" s="14">
        <f t="shared" si="161"/>
        <v>500</v>
      </c>
      <c r="K394" s="3">
        <f t="shared" si="151"/>
        <v>0</v>
      </c>
      <c r="L394" s="3">
        <f t="shared" si="147"/>
        <v>500</v>
      </c>
      <c r="M394" s="15">
        <f t="shared" si="162"/>
        <v>7.0000000000000007E-2</v>
      </c>
      <c r="N394" s="3">
        <f t="shared" si="163"/>
        <v>70.937384607816568</v>
      </c>
      <c r="O394" s="3">
        <f t="shared" si="148"/>
        <v>70.937384607816568</v>
      </c>
      <c r="P394" s="3">
        <f t="shared" si="152"/>
        <v>76.276757642813521</v>
      </c>
      <c r="Q394" s="3">
        <f t="shared" si="153"/>
        <v>26.512964849783049</v>
      </c>
      <c r="R394" s="3">
        <f t="shared" si="154"/>
        <v>51.394861246298284</v>
      </c>
      <c r="S394" s="3">
        <f t="shared" si="149"/>
        <v>1</v>
      </c>
      <c r="T394" s="3">
        <f t="shared" si="155"/>
        <v>24881.896396515236</v>
      </c>
      <c r="U394" s="3">
        <f t="shared" si="156"/>
        <v>0.5</v>
      </c>
      <c r="V394" s="3">
        <f t="shared" si="157"/>
        <v>0</v>
      </c>
      <c r="W394" s="3">
        <f t="shared" si="158"/>
        <v>25537.458458813966</v>
      </c>
      <c r="X394" s="3">
        <f t="shared" si="150"/>
        <v>13256.482424891525</v>
      </c>
      <c r="AI394" s="3"/>
      <c r="AJ394" s="3"/>
      <c r="AK394" s="15">
        <f t="shared" ref="AK394:AK457" si="167">1+INT(MOD(AL394/60/24-0.5,7))</f>
        <v>2</v>
      </c>
      <c r="AL394" s="11">
        <f t="shared" si="145"/>
        <v>2310</v>
      </c>
      <c r="AM394" s="11" t="b">
        <f t="shared" si="166"/>
        <v>0</v>
      </c>
      <c r="AN394" s="11">
        <f t="shared" ref="AN394:AN457" si="168">IF(AND(AM394,NOT(AM395)),$AB$26,AN393+($AB$28-IF(AND(AM393,AM394),CHOOSE(AK394,$AG$5,$AG$6,$AG$7,$AG$8,$AG$9,$AG$10,$AG$11)*$AA$22/$AA$24,0))*$AB$15)</f>
        <v>36000</v>
      </c>
      <c r="AO394" s="11">
        <f t="shared" ref="AO394:AO457" si="169">IF(AND(AM394,NOT(AM395)),$AB$27,AO393+($AB$29-IF(AND(AM393,AM394),CHOOSE(AK394,$AG$5,$AG$6,$AG$7,$AG$8,$AG$9,$AG$10,$AG$11)*$AA$23/$AA$24,0))*$AB$15)</f>
        <v>0</v>
      </c>
      <c r="AP394" s="11">
        <f t="shared" ref="AP394:AP457" si="170">IF(AN393&lt;=0,0,(AP393*AN393-(IF(AND(AM393,AM394),CHOOSE(AK394,$AI$5,$AI$6,$AI$7,$AI$8,$AI$9,$AI$10,$AI$11),$AA$37))*AP393*$AB$15+$AA$34*(AQ393-AP393)*$AB$15+$AA$33*$AB$15)/AN393)</f>
        <v>0.53168417811678559</v>
      </c>
      <c r="AQ394" s="11">
        <f t="shared" si="146"/>
        <v>0</v>
      </c>
      <c r="AT394" s="3"/>
      <c r="AU394" s="17"/>
      <c r="AV394" s="19"/>
      <c r="AW394" s="17"/>
      <c r="AX394" s="17">
        <f t="shared" si="165"/>
        <v>385</v>
      </c>
      <c r="AY394" s="17">
        <f t="shared" si="164"/>
        <v>38.5</v>
      </c>
      <c r="AZ394" s="17">
        <v>53.168417811678559</v>
      </c>
      <c r="BA394" s="17"/>
      <c r="BB394" s="17">
        <v>36</v>
      </c>
      <c r="BC394" s="17"/>
      <c r="BD394" s="17"/>
      <c r="BE394" s="17"/>
      <c r="BF394" s="17"/>
      <c r="BG394" s="17"/>
      <c r="BH394" s="17"/>
      <c r="BI394" s="17"/>
      <c r="BJ394" s="17"/>
      <c r="BK394" s="17"/>
      <c r="BL394" s="17"/>
      <c r="BM394" s="17"/>
      <c r="BN394" s="17"/>
      <c r="BO394" s="17"/>
      <c r="BP394" s="17"/>
      <c r="BQ394" s="17"/>
      <c r="BR394" s="17"/>
      <c r="BS394" s="17"/>
      <c r="BT394" s="17"/>
      <c r="BU394" s="17"/>
      <c r="BV394" s="17"/>
      <c r="BW394" s="17"/>
      <c r="BX394" s="17"/>
      <c r="BY394" s="17"/>
      <c r="BZ394" s="17"/>
      <c r="CA394" s="17"/>
      <c r="CB394" s="17"/>
      <c r="CC394" s="17"/>
      <c r="CD394" s="17"/>
      <c r="CE394" s="17"/>
      <c r="CF394" s="17"/>
      <c r="CG394" s="17"/>
      <c r="CH394" s="17"/>
    </row>
    <row r="395" spans="8:86" x14ac:dyDescent="0.15">
      <c r="H395" s="3">
        <f t="shared" si="159"/>
        <v>0.38300000000000028</v>
      </c>
      <c r="I395" s="3">
        <f t="shared" si="160"/>
        <v>360</v>
      </c>
      <c r="J395" s="14">
        <f t="shared" si="161"/>
        <v>500</v>
      </c>
      <c r="K395" s="3">
        <f t="shared" si="151"/>
        <v>0</v>
      </c>
      <c r="L395" s="3">
        <f t="shared" si="147"/>
        <v>500</v>
      </c>
      <c r="M395" s="15">
        <f t="shared" si="162"/>
        <v>7.0000000000000007E-2</v>
      </c>
      <c r="N395" s="3">
        <f t="shared" si="163"/>
        <v>70.868268228937353</v>
      </c>
      <c r="O395" s="3">
        <f t="shared" si="148"/>
        <v>70.868268228937353</v>
      </c>
      <c r="P395" s="3">
        <f t="shared" si="152"/>
        <v>76.202438955846617</v>
      </c>
      <c r="Q395" s="3">
        <f t="shared" si="153"/>
        <v>26.46320105699002</v>
      </c>
      <c r="R395" s="3">
        <f t="shared" si="154"/>
        <v>51.332820006418316</v>
      </c>
      <c r="S395" s="3">
        <f t="shared" si="149"/>
        <v>1</v>
      </c>
      <c r="T395" s="3">
        <f t="shared" si="155"/>
        <v>24869.618949428299</v>
      </c>
      <c r="U395" s="3">
        <f t="shared" si="156"/>
        <v>0.5</v>
      </c>
      <c r="V395" s="3">
        <f t="shared" si="157"/>
        <v>0</v>
      </c>
      <c r="W395" s="3">
        <f t="shared" si="158"/>
        <v>25512.576562417446</v>
      </c>
      <c r="X395" s="3">
        <f t="shared" si="150"/>
        <v>13231.60052849501</v>
      </c>
      <c r="AI395" s="3"/>
      <c r="AJ395" s="3"/>
      <c r="AK395" s="15">
        <f t="shared" si="167"/>
        <v>2</v>
      </c>
      <c r="AL395" s="11">
        <f t="shared" ref="AL395:AL458" si="171">AL394+$AB$15</f>
        <v>2316</v>
      </c>
      <c r="AM395" s="11" t="b">
        <f t="shared" si="166"/>
        <v>0</v>
      </c>
      <c r="AN395" s="11">
        <f t="shared" si="168"/>
        <v>36000</v>
      </c>
      <c r="AO395" s="11">
        <f t="shared" si="169"/>
        <v>0</v>
      </c>
      <c r="AP395" s="11">
        <f t="shared" si="170"/>
        <v>0.53278649293160041</v>
      </c>
      <c r="AQ395" s="11">
        <f t="shared" ref="AQ395:AQ458" si="172">IF(AO394&lt;=0,0,(AQ394*AO394-$AA$34*(AQ394-AP394)*$AB$15)/AO394)</f>
        <v>0</v>
      </c>
      <c r="AT395" s="3"/>
      <c r="AU395" s="17"/>
      <c r="AV395" s="19"/>
      <c r="AW395" s="17"/>
      <c r="AX395" s="17">
        <f t="shared" si="165"/>
        <v>386</v>
      </c>
      <c r="AY395" s="17">
        <f t="shared" si="164"/>
        <v>38.6</v>
      </c>
      <c r="AZ395" s="17">
        <v>53.278649293160043</v>
      </c>
      <c r="BA395" s="17"/>
      <c r="BB395" s="17">
        <v>36</v>
      </c>
      <c r="BC395" s="17"/>
      <c r="BD395" s="17"/>
      <c r="BE395" s="17"/>
      <c r="BF395" s="17"/>
      <c r="BG395" s="17"/>
      <c r="BH395" s="17"/>
      <c r="BI395" s="17"/>
      <c r="BJ395" s="17"/>
      <c r="BK395" s="17"/>
      <c r="BL395" s="17"/>
      <c r="BM395" s="17"/>
      <c r="BN395" s="17"/>
      <c r="BO395" s="17"/>
      <c r="BP395" s="17"/>
      <c r="BQ395" s="17"/>
      <c r="BR395" s="17"/>
      <c r="BS395" s="17"/>
      <c r="BT395" s="17"/>
      <c r="BU395" s="17"/>
      <c r="BV395" s="17"/>
      <c r="BW395" s="17"/>
      <c r="BX395" s="17"/>
      <c r="BY395" s="17"/>
      <c r="BZ395" s="17"/>
      <c r="CA395" s="17"/>
      <c r="CB395" s="17"/>
      <c r="CC395" s="17"/>
      <c r="CD395" s="17"/>
      <c r="CE395" s="17"/>
      <c r="CF395" s="17"/>
      <c r="CG395" s="17"/>
      <c r="CH395" s="17"/>
    </row>
    <row r="396" spans="8:86" x14ac:dyDescent="0.15">
      <c r="H396" s="3">
        <f t="shared" si="159"/>
        <v>0.38400000000000029</v>
      </c>
      <c r="I396" s="3">
        <f t="shared" si="160"/>
        <v>360</v>
      </c>
      <c r="J396" s="14">
        <f t="shared" si="161"/>
        <v>500</v>
      </c>
      <c r="K396" s="3">
        <f t="shared" si="151"/>
        <v>0</v>
      </c>
      <c r="L396" s="3">
        <f t="shared" ref="L396:L459" si="173">$L$8*$L$6/I396</f>
        <v>500</v>
      </c>
      <c r="M396" s="15">
        <f t="shared" si="162"/>
        <v>7.0000000000000007E-2</v>
      </c>
      <c r="N396" s="3">
        <f t="shared" si="163"/>
        <v>70.799185954077828</v>
      </c>
      <c r="O396" s="3">
        <f t="shared" ref="O396:O459" si="174">N396*S396</f>
        <v>70.799185954077828</v>
      </c>
      <c r="P396" s="3">
        <f t="shared" si="152"/>
        <v>76.128156939868632</v>
      </c>
      <c r="Q396" s="3">
        <f t="shared" si="153"/>
        <v>26.413461819091165</v>
      </c>
      <c r="R396" s="3">
        <f t="shared" si="154"/>
        <v>51.2708093794799</v>
      </c>
      <c r="S396" s="3">
        <f t="shared" ref="S396:S459" si="175">IF($F$10=0,0,IF($F$10=1,1,(N396-L396-1/$I$5+((L396-N396+1/$I$5)^2+4*N396/$I$5)^0.5)/2/N396))</f>
        <v>1</v>
      </c>
      <c r="T396" s="3">
        <f t="shared" si="155"/>
        <v>24857.347560388731</v>
      </c>
      <c r="U396" s="3">
        <f t="shared" si="156"/>
        <v>0.5</v>
      </c>
      <c r="V396" s="3">
        <f t="shared" si="157"/>
        <v>0</v>
      </c>
      <c r="W396" s="3">
        <f t="shared" si="158"/>
        <v>25487.70694346802</v>
      </c>
      <c r="X396" s="3">
        <f t="shared" ref="X396:X459" si="176">IF($F$19,W396-W397+X397,J396*Q396)</f>
        <v>13206.730909545582</v>
      </c>
      <c r="AI396" s="3"/>
      <c r="AJ396" s="3"/>
      <c r="AK396" s="15">
        <f t="shared" si="167"/>
        <v>2</v>
      </c>
      <c r="AL396" s="11">
        <f t="shared" si="171"/>
        <v>2322</v>
      </c>
      <c r="AM396" s="11" t="b">
        <f t="shared" si="166"/>
        <v>0</v>
      </c>
      <c r="AN396" s="11">
        <f t="shared" si="168"/>
        <v>36000</v>
      </c>
      <c r="AO396" s="11">
        <f t="shared" si="169"/>
        <v>0</v>
      </c>
      <c r="AP396" s="11">
        <f t="shared" si="170"/>
        <v>0.53388880774641534</v>
      </c>
      <c r="AQ396" s="11">
        <f t="shared" si="172"/>
        <v>0</v>
      </c>
      <c r="AT396" s="3"/>
      <c r="AU396" s="17"/>
      <c r="AV396" s="19"/>
      <c r="AW396" s="17"/>
      <c r="AX396" s="17">
        <f t="shared" si="165"/>
        <v>387</v>
      </c>
      <c r="AY396" s="17">
        <f t="shared" si="164"/>
        <v>38.700000000000003</v>
      </c>
      <c r="AZ396" s="17">
        <v>53.388880774641535</v>
      </c>
      <c r="BA396" s="17"/>
      <c r="BB396" s="17">
        <v>36</v>
      </c>
      <c r="BC396" s="17"/>
      <c r="BD396" s="17"/>
      <c r="BE396" s="17"/>
      <c r="BF396" s="17"/>
      <c r="BG396" s="17"/>
      <c r="BH396" s="17"/>
      <c r="BI396" s="17"/>
      <c r="BJ396" s="17"/>
      <c r="BK396" s="17"/>
      <c r="BL396" s="17"/>
      <c r="BM396" s="17"/>
      <c r="BN396" s="17"/>
      <c r="BO396" s="17"/>
      <c r="BP396" s="17"/>
      <c r="BQ396" s="17"/>
      <c r="BR396" s="17"/>
      <c r="BS396" s="17"/>
      <c r="BT396" s="17"/>
      <c r="BU396" s="17"/>
      <c r="BV396" s="17"/>
      <c r="BW396" s="17"/>
      <c r="BX396" s="17"/>
      <c r="BY396" s="17"/>
      <c r="BZ396" s="17"/>
      <c r="CA396" s="17"/>
      <c r="CB396" s="17"/>
      <c r="CC396" s="17"/>
      <c r="CD396" s="17"/>
      <c r="CE396" s="17"/>
      <c r="CF396" s="17"/>
      <c r="CG396" s="17"/>
      <c r="CH396" s="17"/>
    </row>
    <row r="397" spans="8:86" x14ac:dyDescent="0.15">
      <c r="H397" s="3">
        <f t="shared" si="159"/>
        <v>0.38500000000000029</v>
      </c>
      <c r="I397" s="3">
        <f t="shared" si="160"/>
        <v>360</v>
      </c>
      <c r="J397" s="14">
        <f t="shared" si="161"/>
        <v>500</v>
      </c>
      <c r="K397" s="3">
        <f t="shared" ref="K397:K460" si="177">2*$F$6*$I$6*H397+$F$6*$I$7</f>
        <v>0</v>
      </c>
      <c r="L397" s="3">
        <f t="shared" si="173"/>
        <v>500</v>
      </c>
      <c r="M397" s="15">
        <f t="shared" si="162"/>
        <v>7.0000000000000007E-2</v>
      </c>
      <c r="N397" s="3">
        <f t="shared" si="163"/>
        <v>70.730137766410081</v>
      </c>
      <c r="O397" s="3">
        <f t="shared" si="174"/>
        <v>70.730137766410081</v>
      </c>
      <c r="P397" s="3">
        <f t="shared" ref="P397:P460" si="178">O397/(1-M397)</f>
        <v>76.05391157678504</v>
      </c>
      <c r="Q397" s="3">
        <f t="shared" ref="Q397:Q460" si="179">IF($F$19,IF($F$20,0,X397/J397),(Q396*J396-T396*$I$4)/J397)</f>
        <v>26.363747123970388</v>
      </c>
      <c r="R397" s="3">
        <f t="shared" ref="R397:R460" si="180">IF($F$19,P397,(1-U397)*P397+U397*Q397)</f>
        <v>51.208829350377712</v>
      </c>
      <c r="S397" s="3">
        <f t="shared" si="175"/>
        <v>1</v>
      </c>
      <c r="T397" s="3">
        <f t="shared" ref="T397:T460" si="181">IF($F$19,0,$F$8*(P397-Q397))+R397*K397*(1-$F$11)</f>
        <v>24845.082226407329</v>
      </c>
      <c r="U397" s="3">
        <f t="shared" ref="U397:U460" si="182">IF($F$8=0,0,IF(V397=0,0.5,IF(ISERROR(EXP(V397)),0,1/V397-1/(EXP(V397)-1))))</f>
        <v>0.5</v>
      </c>
      <c r="V397" s="3">
        <f t="shared" ref="V397:V460" si="183">K397*(1-$F$11)/$F$8</f>
        <v>0</v>
      </c>
      <c r="W397" s="3">
        <f t="shared" ref="W397:W460" si="184">(I397+$L$5)*N397</f>
        <v>25462.849595907628</v>
      </c>
      <c r="X397" s="3">
        <f t="shared" si="176"/>
        <v>13181.873561985194</v>
      </c>
      <c r="AI397" s="3"/>
      <c r="AJ397" s="3"/>
      <c r="AK397" s="15">
        <f t="shared" si="167"/>
        <v>2</v>
      </c>
      <c r="AL397" s="11">
        <f t="shared" si="171"/>
        <v>2328</v>
      </c>
      <c r="AM397" s="11" t="b">
        <f t="shared" si="166"/>
        <v>0</v>
      </c>
      <c r="AN397" s="11">
        <f t="shared" si="168"/>
        <v>36000</v>
      </c>
      <c r="AO397" s="11">
        <f t="shared" si="169"/>
        <v>0</v>
      </c>
      <c r="AP397" s="11">
        <f t="shared" si="170"/>
        <v>0.53499112256123016</v>
      </c>
      <c r="AQ397" s="11">
        <f t="shared" si="172"/>
        <v>0</v>
      </c>
      <c r="AT397" s="3"/>
      <c r="AU397" s="17"/>
      <c r="AV397" s="19"/>
      <c r="AW397" s="17"/>
      <c r="AX397" s="17">
        <f t="shared" si="165"/>
        <v>388</v>
      </c>
      <c r="AY397" s="17">
        <f t="shared" si="164"/>
        <v>38.799999999999997</v>
      </c>
      <c r="AZ397" s="17">
        <v>53.499112256123013</v>
      </c>
      <c r="BA397" s="17"/>
      <c r="BB397" s="17">
        <v>36</v>
      </c>
      <c r="BC397" s="17"/>
      <c r="BD397" s="17"/>
      <c r="BE397" s="17"/>
      <c r="BF397" s="17"/>
      <c r="BG397" s="17"/>
      <c r="BH397" s="17"/>
      <c r="BI397" s="17"/>
      <c r="BJ397" s="17"/>
      <c r="BK397" s="17"/>
      <c r="BL397" s="17"/>
      <c r="BM397" s="17"/>
      <c r="BN397" s="17"/>
      <c r="BO397" s="17"/>
      <c r="BP397" s="17"/>
      <c r="BQ397" s="17"/>
      <c r="BR397" s="17"/>
      <c r="BS397" s="17"/>
      <c r="BT397" s="17"/>
      <c r="BU397" s="17"/>
      <c r="BV397" s="17"/>
      <c r="BW397" s="17"/>
      <c r="BX397" s="17"/>
      <c r="BY397" s="17"/>
      <c r="BZ397" s="17"/>
      <c r="CA397" s="17"/>
      <c r="CB397" s="17"/>
      <c r="CC397" s="17"/>
      <c r="CD397" s="17"/>
      <c r="CE397" s="17"/>
      <c r="CF397" s="17"/>
      <c r="CG397" s="17"/>
      <c r="CH397" s="17"/>
    </row>
    <row r="398" spans="8:86" x14ac:dyDescent="0.15">
      <c r="H398" s="3">
        <f t="shared" ref="H398:H461" si="185">H397+$I$4</f>
        <v>0.38600000000000029</v>
      </c>
      <c r="I398" s="3">
        <f t="shared" ref="I398:I461" si="186">$I$12-$F$6*($I$6*H398^2+$I$7*H398)</f>
        <v>360</v>
      </c>
      <c r="J398" s="14">
        <f t="shared" ref="J398:J461" si="187">$J$12-$F$6*($I$6*H398^2+$I$7*H398)</f>
        <v>500</v>
      </c>
      <c r="K398" s="3">
        <f t="shared" si="177"/>
        <v>0</v>
      </c>
      <c r="L398" s="3">
        <f t="shared" si="173"/>
        <v>500</v>
      </c>
      <c r="M398" s="15">
        <f t="shared" ref="M398:M461" si="188">$M$12*L398/$L$12</f>
        <v>7.0000000000000007E-2</v>
      </c>
      <c r="N398" s="3">
        <f t="shared" ref="N398:N461" si="189">(N397*I397+P397*$L$5-T397*$I$4)/(I398+$L$5/(1-M398))</f>
        <v>70.661123649114501</v>
      </c>
      <c r="O398" s="3">
        <f t="shared" si="174"/>
        <v>70.661123649114501</v>
      </c>
      <c r="P398" s="3">
        <f t="shared" si="178"/>
        <v>75.979702848510215</v>
      </c>
      <c r="Q398" s="3">
        <f t="shared" si="179"/>
        <v>26.314056959517572</v>
      </c>
      <c r="R398" s="3">
        <f t="shared" si="180"/>
        <v>51.146879904013893</v>
      </c>
      <c r="S398" s="3">
        <f t="shared" si="175"/>
        <v>1</v>
      </c>
      <c r="T398" s="3">
        <f t="shared" si="181"/>
        <v>24832.822944496322</v>
      </c>
      <c r="U398" s="3">
        <f t="shared" si="182"/>
        <v>0.5</v>
      </c>
      <c r="V398" s="3">
        <f t="shared" si="183"/>
        <v>0</v>
      </c>
      <c r="W398" s="3">
        <f t="shared" si="184"/>
        <v>25438.004513681219</v>
      </c>
      <c r="X398" s="3">
        <f t="shared" si="176"/>
        <v>13157.028479758786</v>
      </c>
      <c r="AI398" s="3"/>
      <c r="AJ398" s="3"/>
      <c r="AK398" s="15">
        <f t="shared" si="167"/>
        <v>2</v>
      </c>
      <c r="AL398" s="11">
        <f t="shared" si="171"/>
        <v>2334</v>
      </c>
      <c r="AM398" s="11" t="b">
        <f t="shared" si="166"/>
        <v>0</v>
      </c>
      <c r="AN398" s="11">
        <f t="shared" si="168"/>
        <v>36000</v>
      </c>
      <c r="AO398" s="11">
        <f t="shared" si="169"/>
        <v>0</v>
      </c>
      <c r="AP398" s="11">
        <f t="shared" si="170"/>
        <v>0.53609343737604498</v>
      </c>
      <c r="AQ398" s="11">
        <f t="shared" si="172"/>
        <v>0</v>
      </c>
      <c r="AT398" s="3"/>
      <c r="AU398" s="17"/>
      <c r="AV398" s="19"/>
      <c r="AW398" s="17"/>
      <c r="AX398" s="17">
        <f t="shared" si="165"/>
        <v>389</v>
      </c>
      <c r="AY398" s="17">
        <f t="shared" si="164"/>
        <v>38.9</v>
      </c>
      <c r="AZ398" s="17">
        <v>53.609343737604497</v>
      </c>
      <c r="BA398" s="17"/>
      <c r="BB398" s="17">
        <v>36</v>
      </c>
      <c r="BC398" s="17"/>
      <c r="BD398" s="17"/>
      <c r="BE398" s="17"/>
      <c r="BF398" s="17"/>
      <c r="BG398" s="17"/>
      <c r="BH398" s="17"/>
      <c r="BI398" s="17"/>
      <c r="BJ398" s="17"/>
      <c r="BK398" s="17"/>
      <c r="BL398" s="17"/>
      <c r="BM398" s="17"/>
      <c r="BN398" s="17"/>
      <c r="BO398" s="17"/>
      <c r="BP398" s="17"/>
      <c r="BQ398" s="17"/>
      <c r="BR398" s="17"/>
      <c r="BS398" s="17"/>
      <c r="BT398" s="17"/>
      <c r="BU398" s="17"/>
      <c r="BV398" s="17"/>
      <c r="BW398" s="17"/>
      <c r="BX398" s="17"/>
      <c r="BY398" s="17"/>
      <c r="BZ398" s="17"/>
      <c r="CA398" s="17"/>
      <c r="CB398" s="17"/>
      <c r="CC398" s="17"/>
      <c r="CD398" s="17"/>
      <c r="CE398" s="17"/>
      <c r="CF398" s="17"/>
      <c r="CG398" s="17"/>
      <c r="CH398" s="17"/>
    </row>
    <row r="399" spans="8:86" x14ac:dyDescent="0.15">
      <c r="H399" s="3">
        <f t="shared" si="185"/>
        <v>0.38700000000000029</v>
      </c>
      <c r="I399" s="3">
        <f t="shared" si="186"/>
        <v>360</v>
      </c>
      <c r="J399" s="14">
        <f t="shared" si="187"/>
        <v>500</v>
      </c>
      <c r="K399" s="3">
        <f t="shared" si="177"/>
        <v>0</v>
      </c>
      <c r="L399" s="3">
        <f t="shared" si="173"/>
        <v>500</v>
      </c>
      <c r="M399" s="15">
        <f t="shared" si="188"/>
        <v>7.0000000000000007E-2</v>
      </c>
      <c r="N399" s="3">
        <f t="shared" si="189"/>
        <v>70.592143585379787</v>
      </c>
      <c r="O399" s="3">
        <f t="shared" si="174"/>
        <v>70.592143585379787</v>
      </c>
      <c r="P399" s="3">
        <f t="shared" si="178"/>
        <v>75.905530736967521</v>
      </c>
      <c r="Q399" s="3">
        <f t="shared" si="179"/>
        <v>26.264391313628582</v>
      </c>
      <c r="R399" s="3">
        <f t="shared" si="180"/>
        <v>51.08496102529805</v>
      </c>
      <c r="S399" s="3">
        <f t="shared" si="175"/>
        <v>1</v>
      </c>
      <c r="T399" s="3">
        <f t="shared" si="181"/>
        <v>24820.569711669472</v>
      </c>
      <c r="U399" s="3">
        <f t="shared" si="182"/>
        <v>0.5</v>
      </c>
      <c r="V399" s="3">
        <f t="shared" si="183"/>
        <v>0</v>
      </c>
      <c r="W399" s="3">
        <f t="shared" si="184"/>
        <v>25413.171690736723</v>
      </c>
      <c r="X399" s="3">
        <f t="shared" si="176"/>
        <v>13132.19565681429</v>
      </c>
      <c r="AI399" s="3"/>
      <c r="AJ399" s="3"/>
      <c r="AK399" s="15">
        <f t="shared" si="167"/>
        <v>2</v>
      </c>
      <c r="AL399" s="11">
        <f t="shared" si="171"/>
        <v>2340</v>
      </c>
      <c r="AM399" s="11" t="b">
        <f t="shared" si="166"/>
        <v>0</v>
      </c>
      <c r="AN399" s="11">
        <f t="shared" si="168"/>
        <v>36000</v>
      </c>
      <c r="AO399" s="11">
        <f t="shared" si="169"/>
        <v>0</v>
      </c>
      <c r="AP399" s="11">
        <f t="shared" si="170"/>
        <v>0.5371957521908598</v>
      </c>
      <c r="AQ399" s="11">
        <f t="shared" si="172"/>
        <v>0</v>
      </c>
      <c r="AT399" s="3"/>
      <c r="AU399" s="17"/>
      <c r="AV399" s="19"/>
      <c r="AW399" s="17"/>
      <c r="AX399" s="17">
        <f t="shared" si="165"/>
        <v>390</v>
      </c>
      <c r="AY399" s="17">
        <f t="shared" si="164"/>
        <v>39</v>
      </c>
      <c r="AZ399" s="17">
        <v>53.719575219085982</v>
      </c>
      <c r="BA399" s="17"/>
      <c r="BB399" s="17">
        <v>36</v>
      </c>
      <c r="BC399" s="17"/>
      <c r="BD399" s="17"/>
      <c r="BE399" s="17"/>
      <c r="BF399" s="17"/>
      <c r="BG399" s="17"/>
      <c r="BH399" s="17"/>
      <c r="BI399" s="17"/>
      <c r="BJ399" s="17"/>
      <c r="BK399" s="17"/>
      <c r="BL399" s="17"/>
      <c r="BM399" s="17"/>
      <c r="BN399" s="17"/>
      <c r="BO399" s="17"/>
      <c r="BP399" s="17"/>
      <c r="BQ399" s="17"/>
      <c r="BR399" s="17"/>
      <c r="BS399" s="17"/>
      <c r="BT399" s="17"/>
      <c r="BU399" s="17"/>
      <c r="BV399" s="17"/>
      <c r="BW399" s="17"/>
      <c r="BX399" s="17"/>
      <c r="BY399" s="17"/>
      <c r="BZ399" s="17"/>
      <c r="CA399" s="17"/>
      <c r="CB399" s="17"/>
      <c r="CC399" s="17"/>
      <c r="CD399" s="17"/>
      <c r="CE399" s="17"/>
      <c r="CF399" s="17"/>
      <c r="CG399" s="17"/>
      <c r="CH399" s="17"/>
    </row>
    <row r="400" spans="8:86" x14ac:dyDescent="0.15">
      <c r="H400" s="3">
        <f t="shared" si="185"/>
        <v>0.38800000000000029</v>
      </c>
      <c r="I400" s="3">
        <f t="shared" si="186"/>
        <v>360</v>
      </c>
      <c r="J400" s="14">
        <f t="shared" si="187"/>
        <v>500</v>
      </c>
      <c r="K400" s="3">
        <f t="shared" si="177"/>
        <v>0</v>
      </c>
      <c r="L400" s="3">
        <f t="shared" si="173"/>
        <v>500</v>
      </c>
      <c r="M400" s="15">
        <f t="shared" si="188"/>
        <v>7.0000000000000007E-2</v>
      </c>
      <c r="N400" s="3">
        <f t="shared" si="189"/>
        <v>70.523197558402927</v>
      </c>
      <c r="O400" s="3">
        <f t="shared" si="174"/>
        <v>70.523197558402927</v>
      </c>
      <c r="P400" s="3">
        <f t="shared" si="178"/>
        <v>75.831395224089178</v>
      </c>
      <c r="Q400" s="3">
        <f t="shared" si="179"/>
        <v>26.214750174205243</v>
      </c>
      <c r="R400" s="3">
        <f t="shared" si="180"/>
        <v>51.023072699147207</v>
      </c>
      <c r="S400" s="3">
        <f t="shared" si="175"/>
        <v>1</v>
      </c>
      <c r="T400" s="3">
        <f t="shared" si="181"/>
        <v>24808.322524941967</v>
      </c>
      <c r="U400" s="3">
        <f t="shared" si="182"/>
        <v>0.5</v>
      </c>
      <c r="V400" s="3">
        <f t="shared" si="183"/>
        <v>0</v>
      </c>
      <c r="W400" s="3">
        <f t="shared" si="184"/>
        <v>25388.351121025054</v>
      </c>
      <c r="X400" s="3">
        <f t="shared" si="176"/>
        <v>13107.37508710262</v>
      </c>
      <c r="AI400" s="3"/>
      <c r="AJ400" s="3"/>
      <c r="AK400" s="15">
        <f t="shared" si="167"/>
        <v>2</v>
      </c>
      <c r="AL400" s="11">
        <f t="shared" si="171"/>
        <v>2346</v>
      </c>
      <c r="AM400" s="11" t="b">
        <f t="shared" si="166"/>
        <v>0</v>
      </c>
      <c r="AN400" s="11">
        <f t="shared" si="168"/>
        <v>36000</v>
      </c>
      <c r="AO400" s="11">
        <f t="shared" si="169"/>
        <v>0</v>
      </c>
      <c r="AP400" s="11">
        <f t="shared" si="170"/>
        <v>0.53829806700567462</v>
      </c>
      <c r="AQ400" s="11">
        <f t="shared" si="172"/>
        <v>0</v>
      </c>
      <c r="AT400" s="3"/>
      <c r="AU400" s="17"/>
      <c r="AV400" s="19"/>
      <c r="AW400" s="17"/>
      <c r="AX400" s="17">
        <f t="shared" si="165"/>
        <v>391</v>
      </c>
      <c r="AY400" s="17">
        <f t="shared" si="164"/>
        <v>39.1</v>
      </c>
      <c r="AZ400" s="17">
        <v>53.82980670056746</v>
      </c>
      <c r="BA400" s="17"/>
      <c r="BB400" s="17">
        <v>36</v>
      </c>
      <c r="BC400" s="17"/>
      <c r="BD400" s="17"/>
      <c r="BE400" s="17"/>
      <c r="BF400" s="17"/>
      <c r="BG400" s="17"/>
      <c r="BH400" s="17"/>
      <c r="BI400" s="17"/>
      <c r="BJ400" s="17"/>
      <c r="BK400" s="17"/>
      <c r="BL400" s="17"/>
      <c r="BM400" s="17"/>
      <c r="BN400" s="17"/>
      <c r="BO400" s="17"/>
      <c r="BP400" s="17"/>
      <c r="BQ400" s="17"/>
      <c r="BR400" s="17"/>
      <c r="BS400" s="17"/>
      <c r="BT400" s="17"/>
      <c r="BU400" s="17"/>
      <c r="BV400" s="17"/>
      <c r="BW400" s="17"/>
      <c r="BX400" s="17"/>
      <c r="BY400" s="17"/>
      <c r="BZ400" s="17"/>
      <c r="CA400" s="17"/>
      <c r="CB400" s="17"/>
      <c r="CC400" s="17"/>
      <c r="CD400" s="17"/>
      <c r="CE400" s="17"/>
      <c r="CF400" s="17"/>
      <c r="CG400" s="17"/>
      <c r="CH400" s="17"/>
    </row>
    <row r="401" spans="8:86" x14ac:dyDescent="0.15">
      <c r="H401" s="3">
        <f t="shared" si="185"/>
        <v>0.38900000000000029</v>
      </c>
      <c r="I401" s="3">
        <f t="shared" si="186"/>
        <v>360</v>
      </c>
      <c r="J401" s="14">
        <f t="shared" si="187"/>
        <v>500</v>
      </c>
      <c r="K401" s="3">
        <f t="shared" si="177"/>
        <v>0</v>
      </c>
      <c r="L401" s="3">
        <f t="shared" si="173"/>
        <v>500</v>
      </c>
      <c r="M401" s="15">
        <f t="shared" si="188"/>
        <v>7.0000000000000007E-2</v>
      </c>
      <c r="N401" s="3">
        <f t="shared" si="189"/>
        <v>70.454285551389205</v>
      </c>
      <c r="O401" s="3">
        <f t="shared" si="174"/>
        <v>70.454285551389205</v>
      </c>
      <c r="P401" s="3">
        <f t="shared" si="178"/>
        <v>75.75729629181636</v>
      </c>
      <c r="Q401" s="3">
        <f t="shared" si="179"/>
        <v>26.165133529155359</v>
      </c>
      <c r="R401" s="3">
        <f t="shared" si="180"/>
        <v>50.961214910485857</v>
      </c>
      <c r="S401" s="3">
        <f t="shared" si="175"/>
        <v>1</v>
      </c>
      <c r="T401" s="3">
        <f t="shared" si="181"/>
        <v>24796.081381330503</v>
      </c>
      <c r="U401" s="3">
        <f t="shared" si="182"/>
        <v>0.5</v>
      </c>
      <c r="V401" s="3">
        <f t="shared" si="183"/>
        <v>0</v>
      </c>
      <c r="W401" s="3">
        <f t="shared" si="184"/>
        <v>25363.542798500115</v>
      </c>
      <c r="X401" s="3">
        <f t="shared" si="176"/>
        <v>13082.566764577679</v>
      </c>
      <c r="AI401" s="3"/>
      <c r="AJ401" s="3"/>
      <c r="AK401" s="15">
        <f t="shared" si="167"/>
        <v>2</v>
      </c>
      <c r="AL401" s="11">
        <f t="shared" si="171"/>
        <v>2352</v>
      </c>
      <c r="AM401" s="11" t="b">
        <f t="shared" si="166"/>
        <v>0</v>
      </c>
      <c r="AN401" s="11">
        <f t="shared" si="168"/>
        <v>36000</v>
      </c>
      <c r="AO401" s="11">
        <f t="shared" si="169"/>
        <v>0</v>
      </c>
      <c r="AP401" s="11">
        <f t="shared" si="170"/>
        <v>0.53940038182048955</v>
      </c>
      <c r="AQ401" s="11">
        <f t="shared" si="172"/>
        <v>0</v>
      </c>
      <c r="AT401" s="3"/>
      <c r="AU401" s="17"/>
      <c r="AV401" s="19"/>
      <c r="AW401" s="17"/>
      <c r="AX401" s="17">
        <f t="shared" si="165"/>
        <v>392</v>
      </c>
      <c r="AY401" s="17">
        <f t="shared" si="164"/>
        <v>39.200000000000003</v>
      </c>
      <c r="AZ401" s="17">
        <v>53.940038182048951</v>
      </c>
      <c r="BA401" s="17"/>
      <c r="BB401" s="17">
        <v>36</v>
      </c>
      <c r="BC401" s="17"/>
      <c r="BD401" s="17"/>
      <c r="BE401" s="17"/>
      <c r="BF401" s="17"/>
      <c r="BG401" s="17"/>
      <c r="BH401" s="17"/>
      <c r="BI401" s="17"/>
      <c r="BJ401" s="17"/>
      <c r="BK401" s="17"/>
      <c r="BL401" s="17"/>
      <c r="BM401" s="17"/>
      <c r="BN401" s="17"/>
      <c r="BO401" s="17"/>
      <c r="BP401" s="17"/>
      <c r="BQ401" s="17"/>
      <c r="BR401" s="17"/>
      <c r="BS401" s="17"/>
      <c r="BT401" s="17"/>
      <c r="BU401" s="17"/>
      <c r="BV401" s="17"/>
      <c r="BW401" s="17"/>
      <c r="BX401" s="17"/>
      <c r="BY401" s="17"/>
      <c r="BZ401" s="17"/>
      <c r="CA401" s="17"/>
      <c r="CB401" s="17"/>
      <c r="CC401" s="17"/>
      <c r="CD401" s="17"/>
      <c r="CE401" s="17"/>
      <c r="CF401" s="17"/>
      <c r="CG401" s="17"/>
      <c r="CH401" s="17"/>
    </row>
    <row r="402" spans="8:86" x14ac:dyDescent="0.15">
      <c r="H402" s="3">
        <f t="shared" si="185"/>
        <v>0.39000000000000029</v>
      </c>
      <c r="I402" s="3">
        <f t="shared" si="186"/>
        <v>360</v>
      </c>
      <c r="J402" s="14">
        <f t="shared" si="187"/>
        <v>500</v>
      </c>
      <c r="K402" s="3">
        <f t="shared" si="177"/>
        <v>0</v>
      </c>
      <c r="L402" s="3">
        <f t="shared" si="173"/>
        <v>500</v>
      </c>
      <c r="M402" s="15">
        <f t="shared" si="188"/>
        <v>7.0000000000000007E-2</v>
      </c>
      <c r="N402" s="3">
        <f t="shared" si="189"/>
        <v>70.385407547552177</v>
      </c>
      <c r="O402" s="3">
        <f t="shared" si="174"/>
        <v>70.385407547552177</v>
      </c>
      <c r="P402" s="3">
        <f t="shared" si="178"/>
        <v>75.68323392209912</v>
      </c>
      <c r="Q402" s="3">
        <f t="shared" si="179"/>
        <v>26.115541366392698</v>
      </c>
      <c r="R402" s="3">
        <f t="shared" si="180"/>
        <v>50.899387644245905</v>
      </c>
      <c r="S402" s="3">
        <f t="shared" si="175"/>
        <v>1</v>
      </c>
      <c r="T402" s="3">
        <f t="shared" si="181"/>
        <v>24783.846277853212</v>
      </c>
      <c r="U402" s="3">
        <f t="shared" si="182"/>
        <v>0.5</v>
      </c>
      <c r="V402" s="3">
        <f t="shared" si="183"/>
        <v>0</v>
      </c>
      <c r="W402" s="3">
        <f t="shared" si="184"/>
        <v>25338.746717118782</v>
      </c>
      <c r="X402" s="3">
        <f t="shared" si="176"/>
        <v>13057.77068319635</v>
      </c>
      <c r="AI402" s="3"/>
      <c r="AJ402" s="3"/>
      <c r="AK402" s="15">
        <f t="shared" si="167"/>
        <v>2</v>
      </c>
      <c r="AL402" s="11">
        <f t="shared" si="171"/>
        <v>2358</v>
      </c>
      <c r="AM402" s="11" t="b">
        <f t="shared" si="166"/>
        <v>0</v>
      </c>
      <c r="AN402" s="11">
        <f t="shared" si="168"/>
        <v>36000</v>
      </c>
      <c r="AO402" s="11">
        <f t="shared" si="169"/>
        <v>0</v>
      </c>
      <c r="AP402" s="11">
        <f t="shared" si="170"/>
        <v>0.54050269663530437</v>
      </c>
      <c r="AQ402" s="11">
        <f t="shared" si="172"/>
        <v>0</v>
      </c>
      <c r="AT402" s="3"/>
      <c r="AU402" s="17"/>
      <c r="AV402" s="19"/>
      <c r="AW402" s="17"/>
      <c r="AX402" s="17">
        <f t="shared" si="165"/>
        <v>393</v>
      </c>
      <c r="AY402" s="17">
        <f t="shared" si="164"/>
        <v>39.299999999999997</v>
      </c>
      <c r="AZ402" s="17">
        <v>54.050269663530436</v>
      </c>
      <c r="BA402" s="17"/>
      <c r="BB402" s="17">
        <v>36</v>
      </c>
      <c r="BC402" s="17"/>
      <c r="BD402" s="17"/>
      <c r="BE402" s="17"/>
      <c r="BF402" s="17"/>
      <c r="BG402" s="17"/>
      <c r="BH402" s="17"/>
      <c r="BI402" s="17"/>
      <c r="BJ402" s="17"/>
      <c r="BK402" s="17"/>
      <c r="BL402" s="17"/>
      <c r="BM402" s="17"/>
      <c r="BN402" s="17"/>
      <c r="BO402" s="17"/>
      <c r="BP402" s="17"/>
      <c r="BQ402" s="17"/>
      <c r="BR402" s="17"/>
      <c r="BS402" s="17"/>
      <c r="BT402" s="17"/>
      <c r="BU402" s="17"/>
      <c r="BV402" s="17"/>
      <c r="BW402" s="17"/>
      <c r="BX402" s="17"/>
      <c r="BY402" s="17"/>
      <c r="BZ402" s="17"/>
      <c r="CA402" s="17"/>
      <c r="CB402" s="17"/>
      <c r="CC402" s="17"/>
      <c r="CD402" s="17"/>
      <c r="CE402" s="17"/>
      <c r="CF402" s="17"/>
      <c r="CG402" s="17"/>
      <c r="CH402" s="17"/>
    </row>
    <row r="403" spans="8:86" x14ac:dyDescent="0.15">
      <c r="H403" s="3">
        <f t="shared" si="185"/>
        <v>0.39100000000000029</v>
      </c>
      <c r="I403" s="3">
        <f t="shared" si="186"/>
        <v>360</v>
      </c>
      <c r="J403" s="14">
        <f t="shared" si="187"/>
        <v>500</v>
      </c>
      <c r="K403" s="3">
        <f t="shared" si="177"/>
        <v>0</v>
      </c>
      <c r="L403" s="3">
        <f t="shared" si="173"/>
        <v>500</v>
      </c>
      <c r="M403" s="15">
        <f t="shared" si="188"/>
        <v>7.0000000000000007E-2</v>
      </c>
      <c r="N403" s="3">
        <f t="shared" si="189"/>
        <v>70.316563530113697</v>
      </c>
      <c r="O403" s="3">
        <f t="shared" si="174"/>
        <v>70.316563530113697</v>
      </c>
      <c r="P403" s="3">
        <f t="shared" si="178"/>
        <v>75.609208096896452</v>
      </c>
      <c r="Q403" s="3">
        <f t="shared" si="179"/>
        <v>26.065973673836993</v>
      </c>
      <c r="R403" s="3">
        <f t="shared" si="180"/>
        <v>50.837590885366723</v>
      </c>
      <c r="S403" s="3">
        <f t="shared" si="175"/>
        <v>1</v>
      </c>
      <c r="T403" s="3">
        <f t="shared" si="181"/>
        <v>24771.61721152973</v>
      </c>
      <c r="U403" s="3">
        <f t="shared" si="182"/>
        <v>0.5</v>
      </c>
      <c r="V403" s="3">
        <f t="shared" si="183"/>
        <v>0</v>
      </c>
      <c r="W403" s="3">
        <f t="shared" si="184"/>
        <v>25313.962870840933</v>
      </c>
      <c r="X403" s="3">
        <f t="shared" si="176"/>
        <v>13032.986836918497</v>
      </c>
      <c r="AI403" s="3"/>
      <c r="AJ403" s="3"/>
      <c r="AK403" s="15">
        <f t="shared" si="167"/>
        <v>2</v>
      </c>
      <c r="AL403" s="11">
        <f t="shared" si="171"/>
        <v>2364</v>
      </c>
      <c r="AM403" s="11" t="b">
        <f t="shared" si="166"/>
        <v>0</v>
      </c>
      <c r="AN403" s="11">
        <f t="shared" si="168"/>
        <v>36000</v>
      </c>
      <c r="AO403" s="11">
        <f t="shared" si="169"/>
        <v>0</v>
      </c>
      <c r="AP403" s="11">
        <f t="shared" si="170"/>
        <v>0.54160501145011919</v>
      </c>
      <c r="AQ403" s="11">
        <f t="shared" si="172"/>
        <v>0</v>
      </c>
      <c r="AT403" s="3"/>
      <c r="AU403" s="17"/>
      <c r="AV403" s="19"/>
      <c r="AW403" s="17"/>
      <c r="AX403" s="17">
        <f t="shared" si="165"/>
        <v>394</v>
      </c>
      <c r="AY403" s="17">
        <f t="shared" si="164"/>
        <v>39.4</v>
      </c>
      <c r="AZ403" s="17">
        <v>54.160501145011921</v>
      </c>
      <c r="BA403" s="17"/>
      <c r="BB403" s="17">
        <v>36</v>
      </c>
      <c r="BC403" s="17"/>
      <c r="BD403" s="17"/>
      <c r="BE403" s="17"/>
      <c r="BF403" s="17"/>
      <c r="BG403" s="17"/>
      <c r="BH403" s="17"/>
      <c r="BI403" s="17"/>
      <c r="BJ403" s="17"/>
      <c r="BK403" s="17"/>
      <c r="BL403" s="17"/>
      <c r="BM403" s="17"/>
      <c r="BN403" s="17"/>
      <c r="BO403" s="17"/>
      <c r="BP403" s="17"/>
      <c r="BQ403" s="17"/>
      <c r="BR403" s="17"/>
      <c r="BS403" s="17"/>
      <c r="BT403" s="17"/>
      <c r="BU403" s="17"/>
      <c r="BV403" s="17"/>
      <c r="BW403" s="17"/>
      <c r="BX403" s="17"/>
      <c r="BY403" s="17"/>
      <c r="BZ403" s="17"/>
      <c r="CA403" s="17"/>
      <c r="CB403" s="17"/>
      <c r="CC403" s="17"/>
      <c r="CD403" s="17"/>
      <c r="CE403" s="17"/>
      <c r="CF403" s="17"/>
      <c r="CG403" s="17"/>
      <c r="CH403" s="17"/>
    </row>
    <row r="404" spans="8:86" x14ac:dyDescent="0.15">
      <c r="H404" s="3">
        <f t="shared" si="185"/>
        <v>0.39200000000000029</v>
      </c>
      <c r="I404" s="3">
        <f t="shared" si="186"/>
        <v>360</v>
      </c>
      <c r="J404" s="14">
        <f t="shared" si="187"/>
        <v>500</v>
      </c>
      <c r="K404" s="3">
        <f t="shared" si="177"/>
        <v>0</v>
      </c>
      <c r="L404" s="3">
        <f t="shared" si="173"/>
        <v>500</v>
      </c>
      <c r="M404" s="15">
        <f t="shared" si="188"/>
        <v>7.0000000000000007E-2</v>
      </c>
      <c r="N404" s="3">
        <f t="shared" si="189"/>
        <v>70.247753482303906</v>
      </c>
      <c r="O404" s="3">
        <f t="shared" si="174"/>
        <v>70.247753482303906</v>
      </c>
      <c r="P404" s="3">
        <f t="shared" si="178"/>
        <v>75.535218798176246</v>
      </c>
      <c r="Q404" s="3">
        <f t="shared" si="179"/>
        <v>26.016430439413934</v>
      </c>
      <c r="R404" s="3">
        <f t="shared" si="180"/>
        <v>50.775824618795092</v>
      </c>
      <c r="S404" s="3">
        <f t="shared" si="175"/>
        <v>1</v>
      </c>
      <c r="T404" s="3">
        <f t="shared" si="181"/>
        <v>24759.394179381154</v>
      </c>
      <c r="U404" s="3">
        <f t="shared" si="182"/>
        <v>0.5</v>
      </c>
      <c r="V404" s="3">
        <f t="shared" si="183"/>
        <v>0</v>
      </c>
      <c r="W404" s="3">
        <f t="shared" si="184"/>
        <v>25289.191253629408</v>
      </c>
      <c r="X404" s="3">
        <f t="shared" si="176"/>
        <v>13008.215219706966</v>
      </c>
      <c r="AI404" s="3"/>
      <c r="AJ404" s="3"/>
      <c r="AK404" s="15">
        <f t="shared" si="167"/>
        <v>2</v>
      </c>
      <c r="AL404" s="11">
        <f t="shared" si="171"/>
        <v>2370</v>
      </c>
      <c r="AM404" s="11" t="b">
        <f t="shared" si="166"/>
        <v>0</v>
      </c>
      <c r="AN404" s="11">
        <f t="shared" si="168"/>
        <v>36000</v>
      </c>
      <c r="AO404" s="11">
        <f t="shared" si="169"/>
        <v>0</v>
      </c>
      <c r="AP404" s="11">
        <f t="shared" si="170"/>
        <v>0.54270732626493401</v>
      </c>
      <c r="AQ404" s="11">
        <f t="shared" si="172"/>
        <v>0</v>
      </c>
      <c r="AT404" s="3"/>
      <c r="AU404" s="17"/>
      <c r="AV404" s="19"/>
      <c r="AW404" s="17"/>
      <c r="AX404" s="17">
        <f t="shared" si="165"/>
        <v>395</v>
      </c>
      <c r="AY404" s="17">
        <f t="shared" ref="AY404:AY467" si="190">IF(ISNUMBER(AX404),IF(ROUND((AX404)*$AG$15*$AB$15,0) &lt;= 10080, ROUND((AX404)*$AG$15,0)*$AB$15/60, 168),168)</f>
        <v>39.5</v>
      </c>
      <c r="AZ404" s="17">
        <v>54.270732626493398</v>
      </c>
      <c r="BA404" s="17"/>
      <c r="BB404" s="17">
        <v>36</v>
      </c>
      <c r="BC404" s="17"/>
      <c r="BD404" s="17"/>
      <c r="BE404" s="17"/>
      <c r="BF404" s="17"/>
      <c r="BG404" s="17"/>
      <c r="BH404" s="17"/>
      <c r="BI404" s="17"/>
      <c r="BJ404" s="17"/>
      <c r="BK404" s="17"/>
      <c r="BL404" s="17"/>
      <c r="BM404" s="17"/>
      <c r="BN404" s="17"/>
      <c r="BO404" s="17"/>
      <c r="BP404" s="17"/>
      <c r="BQ404" s="17"/>
      <c r="BR404" s="17"/>
      <c r="BS404" s="17"/>
      <c r="BT404" s="17"/>
      <c r="BU404" s="17"/>
      <c r="BV404" s="17"/>
      <c r="BW404" s="17"/>
      <c r="BX404" s="17"/>
      <c r="BY404" s="17"/>
      <c r="BZ404" s="17"/>
      <c r="CA404" s="17"/>
      <c r="CB404" s="17"/>
      <c r="CC404" s="17"/>
      <c r="CD404" s="17"/>
      <c r="CE404" s="17"/>
      <c r="CF404" s="17"/>
      <c r="CG404" s="17"/>
      <c r="CH404" s="17"/>
    </row>
    <row r="405" spans="8:86" x14ac:dyDescent="0.15">
      <c r="H405" s="3">
        <f t="shared" si="185"/>
        <v>0.39300000000000029</v>
      </c>
      <c r="I405" s="3">
        <f t="shared" si="186"/>
        <v>360</v>
      </c>
      <c r="J405" s="14">
        <f t="shared" si="187"/>
        <v>500</v>
      </c>
      <c r="K405" s="3">
        <f t="shared" si="177"/>
        <v>0</v>
      </c>
      <c r="L405" s="3">
        <f t="shared" si="173"/>
        <v>500</v>
      </c>
      <c r="M405" s="15">
        <f t="shared" si="188"/>
        <v>7.0000000000000007E-2</v>
      </c>
      <c r="N405" s="3">
        <f t="shared" si="189"/>
        <v>70.178977387361186</v>
      </c>
      <c r="O405" s="3">
        <f t="shared" si="174"/>
        <v>70.178977387361186</v>
      </c>
      <c r="P405" s="3">
        <f t="shared" si="178"/>
        <v>75.461266007915256</v>
      </c>
      <c r="Q405" s="3">
        <f t="shared" si="179"/>
        <v>25.966911651055174</v>
      </c>
      <c r="R405" s="3">
        <f t="shared" si="180"/>
        <v>50.714088829485213</v>
      </c>
      <c r="S405" s="3">
        <f t="shared" si="175"/>
        <v>1</v>
      </c>
      <c r="T405" s="3">
        <f t="shared" si="181"/>
        <v>24747.177178430044</v>
      </c>
      <c r="U405" s="3">
        <f t="shared" si="182"/>
        <v>0.5</v>
      </c>
      <c r="V405" s="3">
        <f t="shared" si="183"/>
        <v>0</v>
      </c>
      <c r="W405" s="3">
        <f t="shared" si="184"/>
        <v>25264.431859450026</v>
      </c>
      <c r="X405" s="3">
        <f t="shared" si="176"/>
        <v>12983.455825527586</v>
      </c>
      <c r="AI405" s="3"/>
      <c r="AJ405" s="3"/>
      <c r="AK405" s="15">
        <f t="shared" si="167"/>
        <v>2</v>
      </c>
      <c r="AL405" s="11">
        <f t="shared" si="171"/>
        <v>2376</v>
      </c>
      <c r="AM405" s="11" t="b">
        <f t="shared" si="166"/>
        <v>0</v>
      </c>
      <c r="AN405" s="11">
        <f t="shared" si="168"/>
        <v>36000</v>
      </c>
      <c r="AO405" s="11">
        <f t="shared" si="169"/>
        <v>0</v>
      </c>
      <c r="AP405" s="11">
        <f t="shared" si="170"/>
        <v>0.54380964107974883</v>
      </c>
      <c r="AQ405" s="11">
        <f t="shared" si="172"/>
        <v>0</v>
      </c>
      <c r="AT405" s="3"/>
      <c r="AU405" s="17"/>
      <c r="AV405" s="19"/>
      <c r="AW405" s="17"/>
      <c r="AX405" s="17">
        <f t="shared" si="165"/>
        <v>396</v>
      </c>
      <c r="AY405" s="17">
        <f t="shared" si="190"/>
        <v>39.6</v>
      </c>
      <c r="AZ405" s="17">
        <v>54.380964107974883</v>
      </c>
      <c r="BA405" s="17"/>
      <c r="BB405" s="17">
        <v>36</v>
      </c>
      <c r="BC405" s="17"/>
      <c r="BD405" s="17"/>
      <c r="BE405" s="17"/>
      <c r="BF405" s="17"/>
      <c r="BG405" s="17"/>
      <c r="BH405" s="17"/>
      <c r="BI405" s="17"/>
      <c r="BJ405" s="17"/>
      <c r="BK405" s="17"/>
      <c r="BL405" s="17"/>
      <c r="BM405" s="17"/>
      <c r="BN405" s="17"/>
      <c r="BO405" s="17"/>
      <c r="BP405" s="17"/>
      <c r="BQ405" s="17"/>
      <c r="BR405" s="17"/>
      <c r="BS405" s="17"/>
      <c r="BT405" s="17"/>
      <c r="BU405" s="17"/>
      <c r="BV405" s="17"/>
      <c r="BW405" s="17"/>
      <c r="BX405" s="17"/>
      <c r="BY405" s="17"/>
      <c r="BZ405" s="17"/>
      <c r="CA405" s="17"/>
      <c r="CB405" s="17"/>
      <c r="CC405" s="17"/>
      <c r="CD405" s="17"/>
      <c r="CE405" s="17"/>
      <c r="CF405" s="17"/>
      <c r="CG405" s="17"/>
      <c r="CH405" s="17"/>
    </row>
    <row r="406" spans="8:86" x14ac:dyDescent="0.15">
      <c r="H406" s="3">
        <f t="shared" si="185"/>
        <v>0.39400000000000029</v>
      </c>
      <c r="I406" s="3">
        <f t="shared" si="186"/>
        <v>360</v>
      </c>
      <c r="J406" s="14">
        <f t="shared" si="187"/>
        <v>500</v>
      </c>
      <c r="K406" s="3">
        <f t="shared" si="177"/>
        <v>0</v>
      </c>
      <c r="L406" s="3">
        <f t="shared" si="173"/>
        <v>500</v>
      </c>
      <c r="M406" s="15">
        <f t="shared" si="188"/>
        <v>7.0000000000000007E-2</v>
      </c>
      <c r="N406" s="3">
        <f t="shared" si="189"/>
        <v>70.110235228532218</v>
      </c>
      <c r="O406" s="3">
        <f t="shared" si="174"/>
        <v>70.110235228532218</v>
      </c>
      <c r="P406" s="3">
        <f t="shared" si="178"/>
        <v>75.387349708099165</v>
      </c>
      <c r="Q406" s="3">
        <f t="shared" si="179"/>
        <v>25.917417296698314</v>
      </c>
      <c r="R406" s="3">
        <f t="shared" si="180"/>
        <v>50.652383502398742</v>
      </c>
      <c r="S406" s="3">
        <f t="shared" si="175"/>
        <v>1</v>
      </c>
      <c r="T406" s="3">
        <f t="shared" si="181"/>
        <v>24734.966205700424</v>
      </c>
      <c r="U406" s="3">
        <f t="shared" si="182"/>
        <v>0.5</v>
      </c>
      <c r="V406" s="3">
        <f t="shared" si="183"/>
        <v>0</v>
      </c>
      <c r="W406" s="3">
        <f t="shared" si="184"/>
        <v>25239.6846822716</v>
      </c>
      <c r="X406" s="3">
        <f t="shared" si="176"/>
        <v>12958.708648349157</v>
      </c>
      <c r="AI406" s="3"/>
      <c r="AJ406" s="3"/>
      <c r="AK406" s="15">
        <f t="shared" si="167"/>
        <v>2</v>
      </c>
      <c r="AL406" s="11">
        <f t="shared" si="171"/>
        <v>2382</v>
      </c>
      <c r="AM406" s="11" t="b">
        <f t="shared" si="166"/>
        <v>0</v>
      </c>
      <c r="AN406" s="11">
        <f t="shared" si="168"/>
        <v>36000</v>
      </c>
      <c r="AO406" s="11">
        <f t="shared" si="169"/>
        <v>0</v>
      </c>
      <c r="AP406" s="11">
        <f t="shared" si="170"/>
        <v>0.54491195589456376</v>
      </c>
      <c r="AQ406" s="11">
        <f t="shared" si="172"/>
        <v>0</v>
      </c>
      <c r="AT406" s="3"/>
      <c r="AU406" s="17"/>
      <c r="AV406" s="19"/>
      <c r="AW406" s="17"/>
      <c r="AX406" s="17">
        <f t="shared" si="165"/>
        <v>397</v>
      </c>
      <c r="AY406" s="17">
        <f t="shared" si="190"/>
        <v>39.700000000000003</v>
      </c>
      <c r="AZ406" s="17">
        <v>54.491195589456375</v>
      </c>
      <c r="BA406" s="17"/>
      <c r="BB406" s="17">
        <v>36</v>
      </c>
      <c r="BC406" s="17"/>
      <c r="BD406" s="17"/>
      <c r="BE406" s="17"/>
      <c r="BF406" s="17"/>
      <c r="BG406" s="17"/>
      <c r="BH406" s="17"/>
      <c r="BI406" s="17"/>
      <c r="BJ406" s="17"/>
      <c r="BK406" s="17"/>
      <c r="BL406" s="17"/>
      <c r="BM406" s="17"/>
      <c r="BN406" s="17"/>
      <c r="BO406" s="17"/>
      <c r="BP406" s="17"/>
      <c r="BQ406" s="17"/>
      <c r="BR406" s="17"/>
      <c r="BS406" s="17"/>
      <c r="BT406" s="17"/>
      <c r="BU406" s="17"/>
      <c r="BV406" s="17"/>
      <c r="BW406" s="17"/>
      <c r="BX406" s="17"/>
      <c r="BY406" s="17"/>
      <c r="BZ406" s="17"/>
      <c r="CA406" s="17"/>
      <c r="CB406" s="17"/>
      <c r="CC406" s="17"/>
      <c r="CD406" s="17"/>
      <c r="CE406" s="17"/>
      <c r="CF406" s="17"/>
      <c r="CG406" s="17"/>
      <c r="CH406" s="17"/>
    </row>
    <row r="407" spans="8:86" x14ac:dyDescent="0.15">
      <c r="H407" s="3">
        <f t="shared" si="185"/>
        <v>0.3950000000000003</v>
      </c>
      <c r="I407" s="3">
        <f t="shared" si="186"/>
        <v>360</v>
      </c>
      <c r="J407" s="14">
        <f t="shared" si="187"/>
        <v>500</v>
      </c>
      <c r="K407" s="3">
        <f t="shared" si="177"/>
        <v>0</v>
      </c>
      <c r="L407" s="3">
        <f t="shared" si="173"/>
        <v>500</v>
      </c>
      <c r="M407" s="15">
        <f t="shared" si="188"/>
        <v>7.0000000000000007E-2</v>
      </c>
      <c r="N407" s="3">
        <f t="shared" si="189"/>
        <v>70.04152698907194</v>
      </c>
      <c r="O407" s="3">
        <f t="shared" si="174"/>
        <v>70.04152698907194</v>
      </c>
      <c r="P407" s="3">
        <f t="shared" si="178"/>
        <v>75.313469880722522</v>
      </c>
      <c r="Q407" s="3">
        <f t="shared" si="179"/>
        <v>25.867947364286913</v>
      </c>
      <c r="R407" s="3">
        <f t="shared" si="180"/>
        <v>50.590708622504721</v>
      </c>
      <c r="S407" s="3">
        <f t="shared" si="175"/>
        <v>1</v>
      </c>
      <c r="T407" s="3">
        <f t="shared" si="181"/>
        <v>24722.761258217804</v>
      </c>
      <c r="U407" s="3">
        <f t="shared" si="182"/>
        <v>0.5</v>
      </c>
      <c r="V407" s="3">
        <f t="shared" si="183"/>
        <v>0</v>
      </c>
      <c r="W407" s="3">
        <f t="shared" si="184"/>
        <v>25214.949716065898</v>
      </c>
      <c r="X407" s="3">
        <f t="shared" si="176"/>
        <v>12933.973682143456</v>
      </c>
      <c r="AI407" s="3"/>
      <c r="AJ407" s="3"/>
      <c r="AK407" s="15">
        <f t="shared" si="167"/>
        <v>2</v>
      </c>
      <c r="AL407" s="11">
        <f t="shared" si="171"/>
        <v>2388</v>
      </c>
      <c r="AM407" s="11" t="b">
        <f t="shared" si="166"/>
        <v>0</v>
      </c>
      <c r="AN407" s="11">
        <f t="shared" si="168"/>
        <v>36000</v>
      </c>
      <c r="AO407" s="11">
        <f t="shared" si="169"/>
        <v>0</v>
      </c>
      <c r="AP407" s="11">
        <f t="shared" si="170"/>
        <v>0.54601427070937858</v>
      </c>
      <c r="AQ407" s="11">
        <f t="shared" si="172"/>
        <v>0</v>
      </c>
      <c r="AT407" s="3"/>
      <c r="AU407" s="17"/>
      <c r="AV407" s="19"/>
      <c r="AW407" s="17"/>
      <c r="AX407" s="17">
        <f t="shared" si="165"/>
        <v>398</v>
      </c>
      <c r="AY407" s="17">
        <f t="shared" si="190"/>
        <v>39.799999999999997</v>
      </c>
      <c r="AZ407" s="17">
        <v>54.601427070937859</v>
      </c>
      <c r="BA407" s="17"/>
      <c r="BB407" s="17">
        <v>36</v>
      </c>
      <c r="BC407" s="17"/>
      <c r="BD407" s="17"/>
      <c r="BE407" s="17"/>
      <c r="BF407" s="17"/>
      <c r="BG407" s="17"/>
      <c r="BH407" s="17"/>
      <c r="BI407" s="17"/>
      <c r="BJ407" s="17"/>
      <c r="BK407" s="17"/>
      <c r="BL407" s="17"/>
      <c r="BM407" s="17"/>
      <c r="BN407" s="17"/>
      <c r="BO407" s="17"/>
      <c r="BP407" s="17"/>
      <c r="BQ407" s="17"/>
      <c r="BR407" s="17"/>
      <c r="BS407" s="17"/>
      <c r="BT407" s="17"/>
      <c r="BU407" s="17"/>
      <c r="BV407" s="17"/>
      <c r="BW407" s="17"/>
      <c r="BX407" s="17"/>
      <c r="BY407" s="17"/>
      <c r="BZ407" s="17"/>
      <c r="CA407" s="17"/>
      <c r="CB407" s="17"/>
      <c r="CC407" s="17"/>
      <c r="CD407" s="17"/>
      <c r="CE407" s="17"/>
      <c r="CF407" s="17"/>
      <c r="CG407" s="17"/>
      <c r="CH407" s="17"/>
    </row>
    <row r="408" spans="8:86" x14ac:dyDescent="0.15">
      <c r="H408" s="3">
        <f t="shared" si="185"/>
        <v>0.3960000000000003</v>
      </c>
      <c r="I408" s="3">
        <f t="shared" si="186"/>
        <v>360</v>
      </c>
      <c r="J408" s="14">
        <f t="shared" si="187"/>
        <v>500</v>
      </c>
      <c r="K408" s="3">
        <f t="shared" si="177"/>
        <v>0</v>
      </c>
      <c r="L408" s="3">
        <f t="shared" si="173"/>
        <v>500</v>
      </c>
      <c r="M408" s="15">
        <f t="shared" si="188"/>
        <v>7.0000000000000007E-2</v>
      </c>
      <c r="N408" s="3">
        <f t="shared" si="189"/>
        <v>69.97285265224356</v>
      </c>
      <c r="O408" s="3">
        <f t="shared" si="174"/>
        <v>69.97285265224356</v>
      </c>
      <c r="P408" s="3">
        <f t="shared" si="178"/>
        <v>75.239626507788785</v>
      </c>
      <c r="Q408" s="3">
        <f t="shared" si="179"/>
        <v>25.818501841770477</v>
      </c>
      <c r="R408" s="3">
        <f t="shared" si="180"/>
        <v>50.529064174779634</v>
      </c>
      <c r="S408" s="3">
        <f t="shared" si="175"/>
        <v>1</v>
      </c>
      <c r="T408" s="3">
        <f t="shared" si="181"/>
        <v>24710.562333009155</v>
      </c>
      <c r="U408" s="3">
        <f t="shared" si="182"/>
        <v>0.5</v>
      </c>
      <c r="V408" s="3">
        <f t="shared" si="183"/>
        <v>0</v>
      </c>
      <c r="W408" s="3">
        <f t="shared" si="184"/>
        <v>25190.22695480768</v>
      </c>
      <c r="X408" s="3">
        <f t="shared" si="176"/>
        <v>12909.250920885239</v>
      </c>
      <c r="AI408" s="3"/>
      <c r="AJ408" s="3"/>
      <c r="AK408" s="15">
        <f t="shared" si="167"/>
        <v>2</v>
      </c>
      <c r="AL408" s="11">
        <f t="shared" si="171"/>
        <v>2394</v>
      </c>
      <c r="AM408" s="11" t="b">
        <f t="shared" si="166"/>
        <v>0</v>
      </c>
      <c r="AN408" s="11">
        <f t="shared" si="168"/>
        <v>36000</v>
      </c>
      <c r="AO408" s="11">
        <f t="shared" si="169"/>
        <v>0</v>
      </c>
      <c r="AP408" s="11">
        <f t="shared" si="170"/>
        <v>0.5471165855241934</v>
      </c>
      <c r="AQ408" s="11">
        <f t="shared" si="172"/>
        <v>0</v>
      </c>
      <c r="AT408" s="3"/>
      <c r="AU408" s="17"/>
      <c r="AV408" s="19"/>
      <c r="AW408" s="17"/>
      <c r="AX408" s="17">
        <f t="shared" si="165"/>
        <v>399</v>
      </c>
      <c r="AY408" s="17">
        <f t="shared" si="190"/>
        <v>39.9</v>
      </c>
      <c r="AZ408" s="17">
        <v>54.711658552419337</v>
      </c>
      <c r="BA408" s="17"/>
      <c r="BB408" s="17">
        <v>36</v>
      </c>
      <c r="BC408" s="17"/>
      <c r="BD408" s="17"/>
      <c r="BE408" s="17"/>
      <c r="BF408" s="17"/>
      <c r="BG408" s="17"/>
      <c r="BH408" s="17"/>
      <c r="BI408" s="17"/>
      <c r="BJ408" s="17"/>
      <c r="BK408" s="17"/>
      <c r="BL408" s="17"/>
      <c r="BM408" s="17"/>
      <c r="BN408" s="17"/>
      <c r="BO408" s="17"/>
      <c r="BP408" s="17"/>
      <c r="BQ408" s="17"/>
      <c r="BR408" s="17"/>
      <c r="BS408" s="17"/>
      <c r="BT408" s="17"/>
      <c r="BU408" s="17"/>
      <c r="BV408" s="17"/>
      <c r="BW408" s="17"/>
      <c r="BX408" s="17"/>
      <c r="BY408" s="17"/>
      <c r="BZ408" s="17"/>
      <c r="CA408" s="17"/>
      <c r="CB408" s="17"/>
      <c r="CC408" s="17"/>
      <c r="CD408" s="17"/>
      <c r="CE408" s="17"/>
      <c r="CF408" s="17"/>
      <c r="CG408" s="17"/>
      <c r="CH408" s="17"/>
    </row>
    <row r="409" spans="8:86" x14ac:dyDescent="0.15">
      <c r="H409" s="3">
        <f t="shared" si="185"/>
        <v>0.3970000000000003</v>
      </c>
      <c r="I409" s="3">
        <f t="shared" si="186"/>
        <v>360</v>
      </c>
      <c r="J409" s="14">
        <f t="shared" si="187"/>
        <v>500</v>
      </c>
      <c r="K409" s="3">
        <f t="shared" si="177"/>
        <v>0</v>
      </c>
      <c r="L409" s="3">
        <f t="shared" si="173"/>
        <v>500</v>
      </c>
      <c r="M409" s="15">
        <f t="shared" si="188"/>
        <v>7.0000000000000007E-2</v>
      </c>
      <c r="N409" s="3">
        <f t="shared" si="189"/>
        <v>69.904212201318529</v>
      </c>
      <c r="O409" s="3">
        <f t="shared" si="174"/>
        <v>69.904212201318529</v>
      </c>
      <c r="P409" s="3">
        <f t="shared" si="178"/>
        <v>75.165819571310251</v>
      </c>
      <c r="Q409" s="3">
        <f t="shared" si="179"/>
        <v>25.769080717104458</v>
      </c>
      <c r="R409" s="3">
        <f t="shared" si="180"/>
        <v>50.467450144207355</v>
      </c>
      <c r="S409" s="3">
        <f t="shared" si="175"/>
        <v>1</v>
      </c>
      <c r="T409" s="3">
        <f t="shared" si="181"/>
        <v>24698.369427102898</v>
      </c>
      <c r="U409" s="3">
        <f t="shared" si="182"/>
        <v>0.5</v>
      </c>
      <c r="V409" s="3">
        <f t="shared" si="183"/>
        <v>0</v>
      </c>
      <c r="W409" s="3">
        <f t="shared" si="184"/>
        <v>25165.51639247467</v>
      </c>
      <c r="X409" s="3">
        <f t="shared" si="176"/>
        <v>12884.540358552229</v>
      </c>
      <c r="AI409" s="3"/>
      <c r="AJ409" s="3"/>
      <c r="AK409" s="15">
        <f t="shared" si="167"/>
        <v>2</v>
      </c>
      <c r="AL409" s="11">
        <f t="shared" si="171"/>
        <v>2400</v>
      </c>
      <c r="AM409" s="11" t="b">
        <f t="shared" si="166"/>
        <v>0</v>
      </c>
      <c r="AN409" s="11">
        <f t="shared" si="168"/>
        <v>36000</v>
      </c>
      <c r="AO409" s="11">
        <f t="shared" si="169"/>
        <v>0</v>
      </c>
      <c r="AP409" s="11">
        <f t="shared" si="170"/>
        <v>0.54821890033900822</v>
      </c>
      <c r="AQ409" s="11">
        <f t="shared" si="172"/>
        <v>0</v>
      </c>
      <c r="AT409" s="3"/>
      <c r="AU409" s="17"/>
      <c r="AV409" s="19"/>
      <c r="AW409" s="17"/>
      <c r="AX409" s="17">
        <f t="shared" si="165"/>
        <v>400</v>
      </c>
      <c r="AY409" s="17">
        <f t="shared" si="190"/>
        <v>40</v>
      </c>
      <c r="AZ409" s="17">
        <v>54.821890033900821</v>
      </c>
      <c r="BA409" s="17"/>
      <c r="BB409" s="17">
        <v>36</v>
      </c>
      <c r="BC409" s="17"/>
      <c r="BD409" s="17"/>
      <c r="BE409" s="17"/>
      <c r="BF409" s="17"/>
      <c r="BG409" s="17"/>
      <c r="BH409" s="17"/>
      <c r="BI409" s="17"/>
      <c r="BJ409" s="17"/>
      <c r="BK409" s="17"/>
      <c r="BL409" s="17"/>
      <c r="BM409" s="17"/>
      <c r="BN409" s="17"/>
      <c r="BO409" s="17"/>
      <c r="BP409" s="17"/>
      <c r="BQ409" s="17"/>
      <c r="BR409" s="17"/>
      <c r="BS409" s="17"/>
      <c r="BT409" s="17"/>
      <c r="BU409" s="17"/>
      <c r="BV409" s="17"/>
      <c r="BW409" s="17"/>
      <c r="BX409" s="17"/>
      <c r="BY409" s="17"/>
      <c r="BZ409" s="17"/>
      <c r="CA409" s="17"/>
      <c r="CB409" s="17"/>
      <c r="CC409" s="17"/>
      <c r="CD409" s="17"/>
      <c r="CE409" s="17"/>
      <c r="CF409" s="17"/>
      <c r="CG409" s="17"/>
      <c r="CH409" s="17"/>
    </row>
    <row r="410" spans="8:86" x14ac:dyDescent="0.15">
      <c r="H410" s="3">
        <f t="shared" si="185"/>
        <v>0.3980000000000003</v>
      </c>
      <c r="I410" s="3">
        <f t="shared" si="186"/>
        <v>360</v>
      </c>
      <c r="J410" s="14">
        <f t="shared" si="187"/>
        <v>500</v>
      </c>
      <c r="K410" s="3">
        <f t="shared" si="177"/>
        <v>0</v>
      </c>
      <c r="L410" s="3">
        <f t="shared" si="173"/>
        <v>500</v>
      </c>
      <c r="M410" s="15">
        <f t="shared" si="188"/>
        <v>7.0000000000000007E-2</v>
      </c>
      <c r="N410" s="3">
        <f t="shared" si="189"/>
        <v>69.835605619576569</v>
      </c>
      <c r="O410" s="3">
        <f t="shared" si="174"/>
        <v>69.835605619576569</v>
      </c>
      <c r="P410" s="3">
        <f t="shared" si="178"/>
        <v>75.092049053308145</v>
      </c>
      <c r="Q410" s="3">
        <f t="shared" si="179"/>
        <v>25.719683978250252</v>
      </c>
      <c r="R410" s="3">
        <f t="shared" si="180"/>
        <v>50.405866515779195</v>
      </c>
      <c r="S410" s="3">
        <f t="shared" si="175"/>
        <v>1</v>
      </c>
      <c r="T410" s="3">
        <f t="shared" si="181"/>
        <v>24686.182537528945</v>
      </c>
      <c r="U410" s="3">
        <f t="shared" si="182"/>
        <v>0.5</v>
      </c>
      <c r="V410" s="3">
        <f t="shared" si="183"/>
        <v>0</v>
      </c>
      <c r="W410" s="3">
        <f t="shared" si="184"/>
        <v>25140.818023047566</v>
      </c>
      <c r="X410" s="3">
        <f t="shared" si="176"/>
        <v>12859.841989125127</v>
      </c>
      <c r="AI410" s="3"/>
      <c r="AJ410" s="3"/>
      <c r="AK410" s="15">
        <f t="shared" si="167"/>
        <v>2</v>
      </c>
      <c r="AL410" s="11">
        <f t="shared" si="171"/>
        <v>2406</v>
      </c>
      <c r="AM410" s="11" t="b">
        <f t="shared" si="166"/>
        <v>0</v>
      </c>
      <c r="AN410" s="11">
        <f t="shared" si="168"/>
        <v>36000</v>
      </c>
      <c r="AO410" s="11">
        <f t="shared" si="169"/>
        <v>0</v>
      </c>
      <c r="AP410" s="11">
        <f t="shared" si="170"/>
        <v>0.54932121515382304</v>
      </c>
      <c r="AQ410" s="11">
        <f t="shared" si="172"/>
        <v>0</v>
      </c>
      <c r="AT410" s="3"/>
      <c r="AU410" s="17"/>
      <c r="AV410" s="19"/>
      <c r="AW410" s="17"/>
      <c r="AX410" s="17">
        <f t="shared" si="165"/>
        <v>401</v>
      </c>
      <c r="AY410" s="17">
        <f t="shared" si="190"/>
        <v>40.1</v>
      </c>
      <c r="AZ410" s="17">
        <v>54.932121515382306</v>
      </c>
      <c r="BA410" s="17"/>
      <c r="BB410" s="17">
        <v>36</v>
      </c>
      <c r="BC410" s="17"/>
      <c r="BD410" s="17"/>
      <c r="BE410" s="17"/>
      <c r="BF410" s="17"/>
      <c r="BG410" s="17"/>
      <c r="BH410" s="17"/>
      <c r="BI410" s="17"/>
      <c r="BJ410" s="17"/>
      <c r="BK410" s="17"/>
      <c r="BL410" s="17"/>
      <c r="BM410" s="17"/>
      <c r="BN410" s="17"/>
      <c r="BO410" s="17"/>
      <c r="BP410" s="17"/>
      <c r="BQ410" s="17"/>
      <c r="BR410" s="17"/>
      <c r="BS410" s="17"/>
      <c r="BT410" s="17"/>
      <c r="BU410" s="17"/>
      <c r="BV410" s="17"/>
      <c r="BW410" s="17"/>
      <c r="BX410" s="17"/>
      <c r="BY410" s="17"/>
      <c r="BZ410" s="17"/>
      <c r="CA410" s="17"/>
      <c r="CB410" s="17"/>
      <c r="CC410" s="17"/>
      <c r="CD410" s="17"/>
      <c r="CE410" s="17"/>
      <c r="CF410" s="17"/>
      <c r="CG410" s="17"/>
      <c r="CH410" s="17"/>
    </row>
    <row r="411" spans="8:86" x14ac:dyDescent="0.15">
      <c r="H411" s="3">
        <f t="shared" si="185"/>
        <v>0.3990000000000003</v>
      </c>
      <c r="I411" s="3">
        <f t="shared" si="186"/>
        <v>360</v>
      </c>
      <c r="J411" s="14">
        <f t="shared" si="187"/>
        <v>500</v>
      </c>
      <c r="K411" s="3">
        <f t="shared" si="177"/>
        <v>0</v>
      </c>
      <c r="L411" s="3">
        <f t="shared" si="173"/>
        <v>500</v>
      </c>
      <c r="M411" s="15">
        <f t="shared" si="188"/>
        <v>7.0000000000000007E-2</v>
      </c>
      <c r="N411" s="3">
        <f t="shared" si="189"/>
        <v>69.767032890305671</v>
      </c>
      <c r="O411" s="3">
        <f t="shared" si="174"/>
        <v>69.767032890305671</v>
      </c>
      <c r="P411" s="3">
        <f t="shared" si="178"/>
        <v>75.018314935812555</v>
      </c>
      <c r="Q411" s="3">
        <f t="shared" si="179"/>
        <v>25.670311613175194</v>
      </c>
      <c r="R411" s="3">
        <f t="shared" si="180"/>
        <v>50.344313274493871</v>
      </c>
      <c r="S411" s="3">
        <f t="shared" si="175"/>
        <v>1</v>
      </c>
      <c r="T411" s="3">
        <f t="shared" si="181"/>
        <v>24674.001661318682</v>
      </c>
      <c r="U411" s="3">
        <f t="shared" si="182"/>
        <v>0.5</v>
      </c>
      <c r="V411" s="3">
        <f t="shared" si="183"/>
        <v>0</v>
      </c>
      <c r="W411" s="3">
        <f t="shared" si="184"/>
        <v>25116.131840510043</v>
      </c>
      <c r="X411" s="3">
        <f t="shared" si="176"/>
        <v>12835.155806587598</v>
      </c>
      <c r="AI411" s="3"/>
      <c r="AJ411" s="3"/>
      <c r="AK411" s="15">
        <f t="shared" si="167"/>
        <v>2</v>
      </c>
      <c r="AL411" s="11">
        <f t="shared" si="171"/>
        <v>2412</v>
      </c>
      <c r="AM411" s="11" t="b">
        <f t="shared" si="166"/>
        <v>0</v>
      </c>
      <c r="AN411" s="11">
        <f t="shared" si="168"/>
        <v>36000</v>
      </c>
      <c r="AO411" s="11">
        <f t="shared" si="169"/>
        <v>0</v>
      </c>
      <c r="AP411" s="11">
        <f t="shared" si="170"/>
        <v>0.55042352996863797</v>
      </c>
      <c r="AQ411" s="11">
        <f t="shared" si="172"/>
        <v>0</v>
      </c>
      <c r="AT411" s="3"/>
      <c r="AU411" s="17"/>
      <c r="AV411" s="19"/>
      <c r="AW411" s="17"/>
      <c r="AX411" s="17">
        <f t="shared" si="165"/>
        <v>402</v>
      </c>
      <c r="AY411" s="17">
        <f t="shared" si="190"/>
        <v>40.200000000000003</v>
      </c>
      <c r="AZ411" s="17">
        <v>55.042352996863798</v>
      </c>
      <c r="BA411" s="17"/>
      <c r="BB411" s="17">
        <v>36</v>
      </c>
      <c r="BC411" s="17"/>
      <c r="BD411" s="17"/>
      <c r="BE411" s="17"/>
      <c r="BF411" s="17"/>
      <c r="BG411" s="17"/>
      <c r="BH411" s="17"/>
      <c r="BI411" s="17"/>
      <c r="BJ411" s="17"/>
      <c r="BK411" s="17"/>
      <c r="BL411" s="17"/>
      <c r="BM411" s="17"/>
      <c r="BN411" s="17"/>
      <c r="BO411" s="17"/>
      <c r="BP411" s="17"/>
      <c r="BQ411" s="17"/>
      <c r="BR411" s="17"/>
      <c r="BS411" s="17"/>
      <c r="BT411" s="17"/>
      <c r="BU411" s="17"/>
      <c r="BV411" s="17"/>
      <c r="BW411" s="17"/>
      <c r="BX411" s="17"/>
      <c r="BY411" s="17"/>
      <c r="BZ411" s="17"/>
      <c r="CA411" s="17"/>
      <c r="CB411" s="17"/>
      <c r="CC411" s="17"/>
      <c r="CD411" s="17"/>
      <c r="CE411" s="17"/>
      <c r="CF411" s="17"/>
      <c r="CG411" s="17"/>
      <c r="CH411" s="17"/>
    </row>
    <row r="412" spans="8:86" x14ac:dyDescent="0.15">
      <c r="H412" s="3">
        <f t="shared" si="185"/>
        <v>0.4000000000000003</v>
      </c>
      <c r="I412" s="3">
        <f t="shared" si="186"/>
        <v>360</v>
      </c>
      <c r="J412" s="14">
        <f t="shared" si="187"/>
        <v>500</v>
      </c>
      <c r="K412" s="3">
        <f t="shared" si="177"/>
        <v>0</v>
      </c>
      <c r="L412" s="3">
        <f t="shared" si="173"/>
        <v>500</v>
      </c>
      <c r="M412" s="15">
        <f t="shared" si="188"/>
        <v>7.0000000000000007E-2</v>
      </c>
      <c r="N412" s="3">
        <f t="shared" si="189"/>
        <v>69.698493996802014</v>
      </c>
      <c r="O412" s="3">
        <f t="shared" si="174"/>
        <v>69.698493996802014</v>
      </c>
      <c r="P412" s="3">
        <f t="shared" si="178"/>
        <v>74.944617200862382</v>
      </c>
      <c r="Q412" s="3">
        <f t="shared" si="179"/>
        <v>25.620963609852559</v>
      </c>
      <c r="R412" s="3">
        <f t="shared" si="180"/>
        <v>50.282790405357474</v>
      </c>
      <c r="S412" s="3">
        <f t="shared" si="175"/>
        <v>1</v>
      </c>
      <c r="T412" s="3">
        <f t="shared" si="181"/>
        <v>24661.826795504912</v>
      </c>
      <c r="U412" s="3">
        <f t="shared" si="182"/>
        <v>0.5</v>
      </c>
      <c r="V412" s="3">
        <f t="shared" si="183"/>
        <v>0</v>
      </c>
      <c r="W412" s="3">
        <f t="shared" si="184"/>
        <v>25091.457838848724</v>
      </c>
      <c r="X412" s="3">
        <f t="shared" si="176"/>
        <v>12810.481804926279</v>
      </c>
      <c r="AI412" s="3"/>
      <c r="AJ412" s="3"/>
      <c r="AK412" s="15">
        <f t="shared" si="167"/>
        <v>2</v>
      </c>
      <c r="AL412" s="11">
        <f t="shared" si="171"/>
        <v>2418</v>
      </c>
      <c r="AM412" s="11" t="b">
        <f t="shared" si="166"/>
        <v>0</v>
      </c>
      <c r="AN412" s="11">
        <f t="shared" si="168"/>
        <v>36000</v>
      </c>
      <c r="AO412" s="11">
        <f t="shared" si="169"/>
        <v>0</v>
      </c>
      <c r="AP412" s="11">
        <f t="shared" si="170"/>
        <v>0.55152584478345279</v>
      </c>
      <c r="AQ412" s="11">
        <f t="shared" si="172"/>
        <v>0</v>
      </c>
      <c r="AT412" s="3"/>
      <c r="AU412" s="17"/>
      <c r="AV412" s="19"/>
      <c r="AW412" s="17"/>
      <c r="AX412" s="17">
        <f t="shared" si="165"/>
        <v>403</v>
      </c>
      <c r="AY412" s="17">
        <f t="shared" si="190"/>
        <v>40.299999999999997</v>
      </c>
      <c r="AZ412" s="17">
        <v>55.152584478345275</v>
      </c>
      <c r="BA412" s="17"/>
      <c r="BB412" s="17">
        <v>36</v>
      </c>
      <c r="BC412" s="17"/>
      <c r="BD412" s="17"/>
      <c r="BE412" s="17"/>
      <c r="BF412" s="17"/>
      <c r="BG412" s="17"/>
      <c r="BH412" s="17"/>
      <c r="BI412" s="17"/>
      <c r="BJ412" s="17"/>
      <c r="BK412" s="17"/>
      <c r="BL412" s="17"/>
      <c r="BM412" s="17"/>
      <c r="BN412" s="17"/>
      <c r="BO412" s="17"/>
      <c r="BP412" s="17"/>
      <c r="BQ412" s="17"/>
      <c r="BR412" s="17"/>
      <c r="BS412" s="17"/>
      <c r="BT412" s="17"/>
      <c r="BU412" s="17"/>
      <c r="BV412" s="17"/>
      <c r="BW412" s="17"/>
      <c r="BX412" s="17"/>
      <c r="BY412" s="17"/>
      <c r="BZ412" s="17"/>
      <c r="CA412" s="17"/>
      <c r="CB412" s="17"/>
      <c r="CC412" s="17"/>
      <c r="CD412" s="17"/>
      <c r="CE412" s="17"/>
      <c r="CF412" s="17"/>
      <c r="CG412" s="17"/>
      <c r="CH412" s="17"/>
    </row>
    <row r="413" spans="8:86" x14ac:dyDescent="0.15">
      <c r="H413" s="3">
        <f t="shared" si="185"/>
        <v>0.4010000000000003</v>
      </c>
      <c r="I413" s="3">
        <f t="shared" si="186"/>
        <v>360</v>
      </c>
      <c r="J413" s="14">
        <f t="shared" si="187"/>
        <v>500</v>
      </c>
      <c r="K413" s="3">
        <f t="shared" si="177"/>
        <v>0</v>
      </c>
      <c r="L413" s="3">
        <f t="shared" si="173"/>
        <v>500</v>
      </c>
      <c r="M413" s="15">
        <f t="shared" si="188"/>
        <v>7.0000000000000007E-2</v>
      </c>
      <c r="N413" s="3">
        <f t="shared" si="189"/>
        <v>69.629988922370046</v>
      </c>
      <c r="O413" s="3">
        <f t="shared" si="174"/>
        <v>69.629988922370046</v>
      </c>
      <c r="P413" s="3">
        <f t="shared" si="178"/>
        <v>74.870955830505437</v>
      </c>
      <c r="Q413" s="3">
        <f t="shared" si="179"/>
        <v>25.571639956261549</v>
      </c>
      <c r="R413" s="3">
        <f t="shared" si="180"/>
        <v>50.221297893383493</v>
      </c>
      <c r="S413" s="3">
        <f t="shared" si="175"/>
        <v>1</v>
      </c>
      <c r="T413" s="3">
        <f t="shared" si="181"/>
        <v>24649.657937121945</v>
      </c>
      <c r="U413" s="3">
        <f t="shared" si="182"/>
        <v>0.5</v>
      </c>
      <c r="V413" s="3">
        <f t="shared" si="183"/>
        <v>0</v>
      </c>
      <c r="W413" s="3">
        <f t="shared" si="184"/>
        <v>25066.796012053215</v>
      </c>
      <c r="X413" s="3">
        <f t="shared" si="176"/>
        <v>12785.819978130774</v>
      </c>
      <c r="AI413" s="3"/>
      <c r="AJ413" s="3"/>
      <c r="AK413" s="15">
        <f t="shared" si="167"/>
        <v>2</v>
      </c>
      <c r="AL413" s="11">
        <f t="shared" si="171"/>
        <v>2424</v>
      </c>
      <c r="AM413" s="11" t="b">
        <f t="shared" si="166"/>
        <v>0</v>
      </c>
      <c r="AN413" s="11">
        <f t="shared" si="168"/>
        <v>36000</v>
      </c>
      <c r="AO413" s="11">
        <f t="shared" si="169"/>
        <v>0</v>
      </c>
      <c r="AP413" s="11">
        <f t="shared" si="170"/>
        <v>0.55262815959826761</v>
      </c>
      <c r="AQ413" s="11">
        <f t="shared" si="172"/>
        <v>0</v>
      </c>
      <c r="AT413" s="3"/>
      <c r="AU413" s="17"/>
      <c r="AV413" s="19"/>
      <c r="AW413" s="17"/>
      <c r="AX413" s="17">
        <f t="shared" si="165"/>
        <v>404</v>
      </c>
      <c r="AY413" s="17">
        <f t="shared" si="190"/>
        <v>40.4</v>
      </c>
      <c r="AZ413" s="17">
        <v>55.26281595982676</v>
      </c>
      <c r="BA413" s="17"/>
      <c r="BB413" s="17">
        <v>36</v>
      </c>
      <c r="BC413" s="17"/>
      <c r="BD413" s="17"/>
      <c r="BE413" s="17"/>
      <c r="BF413" s="17"/>
      <c r="BG413" s="17"/>
      <c r="BH413" s="17"/>
      <c r="BI413" s="17"/>
      <c r="BJ413" s="17"/>
      <c r="BK413" s="17"/>
      <c r="BL413" s="17"/>
      <c r="BM413" s="17"/>
      <c r="BN413" s="17"/>
      <c r="BO413" s="17"/>
      <c r="BP413" s="17"/>
      <c r="BQ413" s="17"/>
      <c r="BR413" s="17"/>
      <c r="BS413" s="17"/>
      <c r="BT413" s="17"/>
      <c r="BU413" s="17"/>
      <c r="BV413" s="17"/>
      <c r="BW413" s="17"/>
      <c r="BX413" s="17"/>
      <c r="BY413" s="17"/>
      <c r="BZ413" s="17"/>
      <c r="CA413" s="17"/>
      <c r="CB413" s="17"/>
      <c r="CC413" s="17"/>
      <c r="CD413" s="17"/>
      <c r="CE413" s="17"/>
      <c r="CF413" s="17"/>
      <c r="CG413" s="17"/>
      <c r="CH413" s="17"/>
    </row>
    <row r="414" spans="8:86" x14ac:dyDescent="0.15">
      <c r="H414" s="3">
        <f t="shared" si="185"/>
        <v>0.4020000000000003</v>
      </c>
      <c r="I414" s="3">
        <f t="shared" si="186"/>
        <v>360</v>
      </c>
      <c r="J414" s="14">
        <f t="shared" si="187"/>
        <v>500</v>
      </c>
      <c r="K414" s="3">
        <f t="shared" si="177"/>
        <v>0</v>
      </c>
      <c r="L414" s="3">
        <f t="shared" si="173"/>
        <v>500</v>
      </c>
      <c r="M414" s="15">
        <f t="shared" si="188"/>
        <v>7.0000000000000007E-2</v>
      </c>
      <c r="N414" s="3">
        <f t="shared" si="189"/>
        <v>69.561517650322472</v>
      </c>
      <c r="O414" s="3">
        <f t="shared" si="174"/>
        <v>69.561517650322472</v>
      </c>
      <c r="P414" s="3">
        <f t="shared" si="178"/>
        <v>74.797330806798357</v>
      </c>
      <c r="Q414" s="3">
        <f t="shared" si="179"/>
        <v>25.522340640387306</v>
      </c>
      <c r="R414" s="3">
        <f t="shared" si="180"/>
        <v>50.159835723592835</v>
      </c>
      <c r="S414" s="3">
        <f t="shared" si="175"/>
        <v>1</v>
      </c>
      <c r="T414" s="3">
        <f t="shared" si="181"/>
        <v>24637.495083205526</v>
      </c>
      <c r="U414" s="3">
        <f t="shared" si="182"/>
        <v>0.5</v>
      </c>
      <c r="V414" s="3">
        <f t="shared" si="183"/>
        <v>0</v>
      </c>
      <c r="W414" s="3">
        <f t="shared" si="184"/>
        <v>25042.146354116088</v>
      </c>
      <c r="X414" s="3">
        <f t="shared" si="176"/>
        <v>12761.170320193653</v>
      </c>
      <c r="AI414" s="3"/>
      <c r="AJ414" s="3"/>
      <c r="AK414" s="15">
        <f t="shared" si="167"/>
        <v>2</v>
      </c>
      <c r="AL414" s="11">
        <f t="shared" si="171"/>
        <v>2430</v>
      </c>
      <c r="AM414" s="11" t="b">
        <f t="shared" si="166"/>
        <v>0</v>
      </c>
      <c r="AN414" s="11">
        <f t="shared" si="168"/>
        <v>36000</v>
      </c>
      <c r="AO414" s="11">
        <f t="shared" si="169"/>
        <v>0</v>
      </c>
      <c r="AP414" s="11">
        <f t="shared" si="170"/>
        <v>0.55373047441308243</v>
      </c>
      <c r="AQ414" s="11">
        <f t="shared" si="172"/>
        <v>0</v>
      </c>
      <c r="AT414" s="3"/>
      <c r="AU414" s="17"/>
      <c r="AV414" s="19"/>
      <c r="AW414" s="17"/>
      <c r="AX414" s="17">
        <f t="shared" si="165"/>
        <v>405</v>
      </c>
      <c r="AY414" s="17">
        <f t="shared" si="190"/>
        <v>40.5</v>
      </c>
      <c r="AZ414" s="17">
        <v>55.373047441308245</v>
      </c>
      <c r="BA414" s="17"/>
      <c r="BB414" s="17">
        <v>36</v>
      </c>
      <c r="BC414" s="17"/>
      <c r="BD414" s="17"/>
      <c r="BE414" s="17"/>
      <c r="BF414" s="17"/>
      <c r="BG414" s="17"/>
      <c r="BH414" s="17"/>
      <c r="BI414" s="17"/>
      <c r="BJ414" s="17"/>
      <c r="BK414" s="17"/>
      <c r="BL414" s="17"/>
      <c r="BM414" s="17"/>
      <c r="BN414" s="17"/>
      <c r="BO414" s="17"/>
      <c r="BP414" s="17"/>
      <c r="BQ414" s="17"/>
      <c r="BR414" s="17"/>
      <c r="BS414" s="17"/>
      <c r="BT414" s="17"/>
      <c r="BU414" s="17"/>
      <c r="BV414" s="17"/>
      <c r="BW414" s="17"/>
      <c r="BX414" s="17"/>
      <c r="BY414" s="17"/>
      <c r="BZ414" s="17"/>
      <c r="CA414" s="17"/>
      <c r="CB414" s="17"/>
      <c r="CC414" s="17"/>
      <c r="CD414" s="17"/>
      <c r="CE414" s="17"/>
      <c r="CF414" s="17"/>
      <c r="CG414" s="17"/>
      <c r="CH414" s="17"/>
    </row>
    <row r="415" spans="8:86" x14ac:dyDescent="0.15">
      <c r="H415" s="3">
        <f t="shared" si="185"/>
        <v>0.4030000000000003</v>
      </c>
      <c r="I415" s="3">
        <f t="shared" si="186"/>
        <v>360</v>
      </c>
      <c r="J415" s="14">
        <f t="shared" si="187"/>
        <v>500</v>
      </c>
      <c r="K415" s="3">
        <f t="shared" si="177"/>
        <v>0</v>
      </c>
      <c r="L415" s="3">
        <f t="shared" si="173"/>
        <v>500</v>
      </c>
      <c r="M415" s="15">
        <f t="shared" si="188"/>
        <v>7.0000000000000007E-2</v>
      </c>
      <c r="N415" s="3">
        <f t="shared" si="189"/>
        <v>69.493080163980224</v>
      </c>
      <c r="O415" s="3">
        <f t="shared" si="174"/>
        <v>69.493080163980224</v>
      </c>
      <c r="P415" s="3">
        <f t="shared" si="178"/>
        <v>74.7237421118067</v>
      </c>
      <c r="Q415" s="3">
        <f t="shared" si="179"/>
        <v>25.473065650220896</v>
      </c>
      <c r="R415" s="3">
        <f t="shared" si="180"/>
        <v>50.098403881013795</v>
      </c>
      <c r="S415" s="3">
        <f t="shared" si="175"/>
        <v>1</v>
      </c>
      <c r="T415" s="3">
        <f t="shared" si="181"/>
        <v>24625.338230792902</v>
      </c>
      <c r="U415" s="3">
        <f t="shared" si="182"/>
        <v>0.5</v>
      </c>
      <c r="V415" s="3">
        <f t="shared" si="183"/>
        <v>0</v>
      </c>
      <c r="W415" s="3">
        <f t="shared" si="184"/>
        <v>25017.508859032881</v>
      </c>
      <c r="X415" s="3">
        <f t="shared" si="176"/>
        <v>12736.532825110447</v>
      </c>
      <c r="AI415" s="3"/>
      <c r="AJ415" s="3"/>
      <c r="AK415" s="15">
        <f t="shared" si="167"/>
        <v>2</v>
      </c>
      <c r="AL415" s="11">
        <f t="shared" si="171"/>
        <v>2436</v>
      </c>
      <c r="AM415" s="11" t="b">
        <f t="shared" si="166"/>
        <v>0</v>
      </c>
      <c r="AN415" s="11">
        <f t="shared" si="168"/>
        <v>36000</v>
      </c>
      <c r="AO415" s="11">
        <f t="shared" si="169"/>
        <v>0</v>
      </c>
      <c r="AP415" s="11">
        <f t="shared" si="170"/>
        <v>0.55483278922789725</v>
      </c>
      <c r="AQ415" s="11">
        <f t="shared" si="172"/>
        <v>0</v>
      </c>
      <c r="AT415" s="3"/>
      <c r="AU415" s="17"/>
      <c r="AV415" s="19"/>
      <c r="AW415" s="17"/>
      <c r="AX415" s="17">
        <f t="shared" si="165"/>
        <v>406</v>
      </c>
      <c r="AY415" s="17">
        <f t="shared" si="190"/>
        <v>40.6</v>
      </c>
      <c r="AZ415" s="17">
        <v>55.483278922789722</v>
      </c>
      <c r="BA415" s="17"/>
      <c r="BB415" s="17">
        <v>36</v>
      </c>
      <c r="BC415" s="17"/>
      <c r="BD415" s="17"/>
      <c r="BE415" s="17"/>
      <c r="BF415" s="17"/>
      <c r="BG415" s="17"/>
      <c r="BH415" s="17"/>
      <c r="BI415" s="17"/>
      <c r="BJ415" s="17"/>
      <c r="BK415" s="17"/>
      <c r="BL415" s="17"/>
      <c r="BM415" s="17"/>
      <c r="BN415" s="17"/>
      <c r="BO415" s="17"/>
      <c r="BP415" s="17"/>
      <c r="BQ415" s="17"/>
      <c r="BR415" s="17"/>
      <c r="BS415" s="17"/>
      <c r="BT415" s="17"/>
      <c r="BU415" s="17"/>
      <c r="BV415" s="17"/>
      <c r="BW415" s="17"/>
      <c r="BX415" s="17"/>
      <c r="BY415" s="17"/>
      <c r="BZ415" s="17"/>
      <c r="CA415" s="17"/>
      <c r="CB415" s="17"/>
      <c r="CC415" s="17"/>
      <c r="CD415" s="17"/>
      <c r="CE415" s="17"/>
      <c r="CF415" s="17"/>
      <c r="CG415" s="17"/>
      <c r="CH415" s="17"/>
    </row>
    <row r="416" spans="8:86" x14ac:dyDescent="0.15">
      <c r="H416" s="3">
        <f t="shared" si="185"/>
        <v>0.4040000000000003</v>
      </c>
      <c r="I416" s="3">
        <f t="shared" si="186"/>
        <v>360</v>
      </c>
      <c r="J416" s="14">
        <f t="shared" si="187"/>
        <v>500</v>
      </c>
      <c r="K416" s="3">
        <f t="shared" si="177"/>
        <v>0</v>
      </c>
      <c r="L416" s="3">
        <f t="shared" si="173"/>
        <v>500</v>
      </c>
      <c r="M416" s="15">
        <f t="shared" si="188"/>
        <v>7.0000000000000007E-2</v>
      </c>
      <c r="N416" s="3">
        <f t="shared" si="189"/>
        <v>69.424676446672478</v>
      </c>
      <c r="O416" s="3">
        <f t="shared" si="174"/>
        <v>69.424676446672478</v>
      </c>
      <c r="P416" s="3">
        <f t="shared" si="178"/>
        <v>74.650189727604825</v>
      </c>
      <c r="Q416" s="3">
        <f t="shared" si="179"/>
        <v>25.42381497375931</v>
      </c>
      <c r="R416" s="3">
        <f t="shared" si="180"/>
        <v>50.037002350682066</v>
      </c>
      <c r="S416" s="3">
        <f t="shared" si="175"/>
        <v>1</v>
      </c>
      <c r="T416" s="3">
        <f t="shared" si="181"/>
        <v>24613.18737692276</v>
      </c>
      <c r="U416" s="3">
        <f t="shared" si="182"/>
        <v>0.5</v>
      </c>
      <c r="V416" s="3">
        <f t="shared" si="183"/>
        <v>0</v>
      </c>
      <c r="W416" s="3">
        <f t="shared" si="184"/>
        <v>24992.883520802094</v>
      </c>
      <c r="X416" s="3">
        <f t="shared" si="176"/>
        <v>12711.907486879654</v>
      </c>
      <c r="AI416" s="3"/>
      <c r="AJ416" s="3"/>
      <c r="AK416" s="15">
        <f t="shared" si="167"/>
        <v>2</v>
      </c>
      <c r="AL416" s="11">
        <f t="shared" si="171"/>
        <v>2442</v>
      </c>
      <c r="AM416" s="11" t="b">
        <f t="shared" si="166"/>
        <v>0</v>
      </c>
      <c r="AN416" s="11">
        <f t="shared" si="168"/>
        <v>36000</v>
      </c>
      <c r="AO416" s="11">
        <f t="shared" si="169"/>
        <v>0</v>
      </c>
      <c r="AP416" s="11">
        <f t="shared" si="170"/>
        <v>0.55593510404271218</v>
      </c>
      <c r="AQ416" s="11">
        <f t="shared" si="172"/>
        <v>0</v>
      </c>
      <c r="AT416" s="3"/>
      <c r="AU416" s="17"/>
      <c r="AV416" s="19"/>
      <c r="AW416" s="17"/>
      <c r="AX416" s="17">
        <f t="shared" si="165"/>
        <v>407</v>
      </c>
      <c r="AY416" s="17">
        <f t="shared" si="190"/>
        <v>40.700000000000003</v>
      </c>
      <c r="AZ416" s="17">
        <v>55.593510404271221</v>
      </c>
      <c r="BA416" s="17"/>
      <c r="BB416" s="17">
        <v>36</v>
      </c>
      <c r="BC416" s="17"/>
      <c r="BD416" s="17"/>
      <c r="BE416" s="17"/>
      <c r="BF416" s="17"/>
      <c r="BG416" s="17"/>
      <c r="BH416" s="17"/>
      <c r="BI416" s="17"/>
      <c r="BJ416" s="17"/>
      <c r="BK416" s="17"/>
      <c r="BL416" s="17"/>
      <c r="BM416" s="17"/>
      <c r="BN416" s="17"/>
      <c r="BO416" s="17"/>
      <c r="BP416" s="17"/>
      <c r="BQ416" s="17"/>
      <c r="BR416" s="17"/>
      <c r="BS416" s="17"/>
      <c r="BT416" s="17"/>
      <c r="BU416" s="17"/>
      <c r="BV416" s="17"/>
      <c r="BW416" s="17"/>
      <c r="BX416" s="17"/>
      <c r="BY416" s="17"/>
      <c r="BZ416" s="17"/>
      <c r="CA416" s="17"/>
      <c r="CB416" s="17"/>
      <c r="CC416" s="17"/>
      <c r="CD416" s="17"/>
      <c r="CE416" s="17"/>
      <c r="CF416" s="17"/>
      <c r="CG416" s="17"/>
      <c r="CH416" s="17"/>
    </row>
    <row r="417" spans="8:86" x14ac:dyDescent="0.15">
      <c r="H417" s="3">
        <f t="shared" si="185"/>
        <v>0.4050000000000003</v>
      </c>
      <c r="I417" s="3">
        <f t="shared" si="186"/>
        <v>360</v>
      </c>
      <c r="J417" s="14">
        <f t="shared" si="187"/>
        <v>500</v>
      </c>
      <c r="K417" s="3">
        <f t="shared" si="177"/>
        <v>0</v>
      </c>
      <c r="L417" s="3">
        <f t="shared" si="173"/>
        <v>500</v>
      </c>
      <c r="M417" s="15">
        <f t="shared" si="188"/>
        <v>7.0000000000000007E-2</v>
      </c>
      <c r="N417" s="3">
        <f t="shared" si="189"/>
        <v>69.356306481736581</v>
      </c>
      <c r="O417" s="3">
        <f t="shared" si="174"/>
        <v>69.356306481736581</v>
      </c>
      <c r="P417" s="3">
        <f t="shared" si="178"/>
        <v>74.576673636275899</v>
      </c>
      <c r="Q417" s="3">
        <f t="shared" si="179"/>
        <v>25.374588599005463</v>
      </c>
      <c r="R417" s="3">
        <f t="shared" si="180"/>
        <v>49.975631117640681</v>
      </c>
      <c r="S417" s="3">
        <f t="shared" si="175"/>
        <v>1</v>
      </c>
      <c r="T417" s="3">
        <f t="shared" si="181"/>
        <v>24601.042518635219</v>
      </c>
      <c r="U417" s="3">
        <f t="shared" si="182"/>
        <v>0.5</v>
      </c>
      <c r="V417" s="3">
        <f t="shared" si="183"/>
        <v>0</v>
      </c>
      <c r="W417" s="3">
        <f t="shared" si="184"/>
        <v>24968.270333425171</v>
      </c>
      <c r="X417" s="3">
        <f t="shared" si="176"/>
        <v>12687.294299502732</v>
      </c>
      <c r="AI417" s="3"/>
      <c r="AJ417" s="3"/>
      <c r="AK417" s="15">
        <f t="shared" si="167"/>
        <v>2</v>
      </c>
      <c r="AL417" s="11">
        <f t="shared" si="171"/>
        <v>2448</v>
      </c>
      <c r="AM417" s="11" t="b">
        <f t="shared" si="166"/>
        <v>0</v>
      </c>
      <c r="AN417" s="11">
        <f t="shared" si="168"/>
        <v>36000</v>
      </c>
      <c r="AO417" s="11">
        <f t="shared" si="169"/>
        <v>0</v>
      </c>
      <c r="AP417" s="11">
        <f t="shared" si="170"/>
        <v>0.557037418857527</v>
      </c>
      <c r="AQ417" s="11">
        <f t="shared" si="172"/>
        <v>0</v>
      </c>
      <c r="AT417" s="3"/>
      <c r="AU417" s="17"/>
      <c r="AV417" s="19"/>
      <c r="AW417" s="17"/>
      <c r="AX417" s="17">
        <f t="shared" si="165"/>
        <v>408</v>
      </c>
      <c r="AY417" s="17">
        <f t="shared" si="190"/>
        <v>40.799999999999997</v>
      </c>
      <c r="AZ417" s="17">
        <v>55.703741885752699</v>
      </c>
      <c r="BA417" s="17"/>
      <c r="BB417" s="17">
        <v>36</v>
      </c>
      <c r="BC417" s="17"/>
      <c r="BD417" s="17"/>
      <c r="BE417" s="17"/>
      <c r="BF417" s="17"/>
      <c r="BG417" s="17"/>
      <c r="BH417" s="17"/>
      <c r="BI417" s="17"/>
      <c r="BJ417" s="17"/>
      <c r="BK417" s="17"/>
      <c r="BL417" s="17"/>
      <c r="BM417" s="17"/>
      <c r="BN417" s="17"/>
      <c r="BO417" s="17"/>
      <c r="BP417" s="17"/>
      <c r="BQ417" s="17"/>
      <c r="BR417" s="17"/>
      <c r="BS417" s="17"/>
      <c r="BT417" s="17"/>
      <c r="BU417" s="17"/>
      <c r="BV417" s="17"/>
      <c r="BW417" s="17"/>
      <c r="BX417" s="17"/>
      <c r="BY417" s="17"/>
      <c r="BZ417" s="17"/>
      <c r="CA417" s="17"/>
      <c r="CB417" s="17"/>
      <c r="CC417" s="17"/>
      <c r="CD417" s="17"/>
      <c r="CE417" s="17"/>
      <c r="CF417" s="17"/>
      <c r="CG417" s="17"/>
      <c r="CH417" s="17"/>
    </row>
    <row r="418" spans="8:86" x14ac:dyDescent="0.15">
      <c r="H418" s="3">
        <f t="shared" si="185"/>
        <v>0.40600000000000031</v>
      </c>
      <c r="I418" s="3">
        <f t="shared" si="186"/>
        <v>360</v>
      </c>
      <c r="J418" s="14">
        <f t="shared" si="187"/>
        <v>500</v>
      </c>
      <c r="K418" s="3">
        <f t="shared" si="177"/>
        <v>0</v>
      </c>
      <c r="L418" s="3">
        <f t="shared" si="173"/>
        <v>500</v>
      </c>
      <c r="M418" s="15">
        <f t="shared" si="188"/>
        <v>7.0000000000000007E-2</v>
      </c>
      <c r="N418" s="3">
        <f t="shared" si="189"/>
        <v>69.28797025251815</v>
      </c>
      <c r="O418" s="3">
        <f t="shared" si="174"/>
        <v>69.28797025251815</v>
      </c>
      <c r="P418" s="3">
        <f t="shared" si="178"/>
        <v>74.503193819911999</v>
      </c>
      <c r="Q418" s="3">
        <f t="shared" si="179"/>
        <v>25.325386513968191</v>
      </c>
      <c r="R418" s="3">
        <f t="shared" si="180"/>
        <v>49.914290166940091</v>
      </c>
      <c r="S418" s="3">
        <f t="shared" si="175"/>
        <v>1</v>
      </c>
      <c r="T418" s="3">
        <f t="shared" si="181"/>
        <v>24588.903652971905</v>
      </c>
      <c r="U418" s="3">
        <f t="shared" si="182"/>
        <v>0.5</v>
      </c>
      <c r="V418" s="3">
        <f t="shared" si="183"/>
        <v>0</v>
      </c>
      <c r="W418" s="3">
        <f t="shared" si="184"/>
        <v>24943.669290906535</v>
      </c>
      <c r="X418" s="3">
        <f t="shared" si="176"/>
        <v>12662.693256984096</v>
      </c>
      <c r="AI418" s="3"/>
      <c r="AJ418" s="3"/>
      <c r="AK418" s="15">
        <f t="shared" si="167"/>
        <v>2</v>
      </c>
      <c r="AL418" s="11">
        <f t="shared" si="171"/>
        <v>2454</v>
      </c>
      <c r="AM418" s="11" t="b">
        <f t="shared" si="166"/>
        <v>0</v>
      </c>
      <c r="AN418" s="11">
        <f t="shared" si="168"/>
        <v>36000</v>
      </c>
      <c r="AO418" s="11">
        <f t="shared" si="169"/>
        <v>0</v>
      </c>
      <c r="AP418" s="11">
        <f t="shared" si="170"/>
        <v>0.55813973367234182</v>
      </c>
      <c r="AQ418" s="11">
        <f t="shared" si="172"/>
        <v>0</v>
      </c>
      <c r="AT418" s="3"/>
      <c r="AU418" s="17"/>
      <c r="AV418" s="19"/>
      <c r="AW418" s="17"/>
      <c r="AX418" s="17">
        <f t="shared" si="165"/>
        <v>409</v>
      </c>
      <c r="AY418" s="17">
        <f t="shared" si="190"/>
        <v>40.9</v>
      </c>
      <c r="AZ418" s="17">
        <v>55.813973367234183</v>
      </c>
      <c r="BA418" s="17"/>
      <c r="BB418" s="17">
        <v>36</v>
      </c>
      <c r="BC418" s="17"/>
      <c r="BD418" s="17"/>
      <c r="BE418" s="17"/>
      <c r="BF418" s="17"/>
      <c r="BG418" s="17"/>
      <c r="BH418" s="17"/>
      <c r="BI418" s="17"/>
      <c r="BJ418" s="17"/>
      <c r="BK418" s="17"/>
      <c r="BL418" s="17"/>
      <c r="BM418" s="17"/>
      <c r="BN418" s="17"/>
      <c r="BO418" s="17"/>
      <c r="BP418" s="17"/>
      <c r="BQ418" s="17"/>
      <c r="BR418" s="17"/>
      <c r="BS418" s="17"/>
      <c r="BT418" s="17"/>
      <c r="BU418" s="17"/>
      <c r="BV418" s="17"/>
      <c r="BW418" s="17"/>
      <c r="BX418" s="17"/>
      <c r="BY418" s="17"/>
      <c r="BZ418" s="17"/>
      <c r="CA418" s="17"/>
      <c r="CB418" s="17"/>
      <c r="CC418" s="17"/>
      <c r="CD418" s="17"/>
      <c r="CE418" s="17"/>
      <c r="CF418" s="17"/>
      <c r="CG418" s="17"/>
      <c r="CH418" s="17"/>
    </row>
    <row r="419" spans="8:86" x14ac:dyDescent="0.15">
      <c r="H419" s="3">
        <f t="shared" si="185"/>
        <v>0.40700000000000031</v>
      </c>
      <c r="I419" s="3">
        <f t="shared" si="186"/>
        <v>360</v>
      </c>
      <c r="J419" s="14">
        <f t="shared" si="187"/>
        <v>500</v>
      </c>
      <c r="K419" s="3">
        <f t="shared" si="177"/>
        <v>0</v>
      </c>
      <c r="L419" s="3">
        <f t="shared" si="173"/>
        <v>500</v>
      </c>
      <c r="M419" s="15">
        <f t="shared" si="188"/>
        <v>7.0000000000000007E-2</v>
      </c>
      <c r="N419" s="3">
        <f t="shared" si="189"/>
        <v>69.219667742371001</v>
      </c>
      <c r="O419" s="3">
        <f t="shared" si="174"/>
        <v>69.219667742371001</v>
      </c>
      <c r="P419" s="3">
        <f t="shared" si="178"/>
        <v>74.429750260613986</v>
      </c>
      <c r="Q419" s="3">
        <f t="shared" si="179"/>
        <v>25.276208706662249</v>
      </c>
      <c r="R419" s="3">
        <f t="shared" si="180"/>
        <v>49.852979483638116</v>
      </c>
      <c r="S419" s="3">
        <f t="shared" si="175"/>
        <v>1</v>
      </c>
      <c r="T419" s="3">
        <f t="shared" si="181"/>
        <v>24576.770776975871</v>
      </c>
      <c r="U419" s="3">
        <f t="shared" si="182"/>
        <v>0.5</v>
      </c>
      <c r="V419" s="3">
        <f t="shared" si="183"/>
        <v>0</v>
      </c>
      <c r="W419" s="3">
        <f t="shared" si="184"/>
        <v>24919.080387253562</v>
      </c>
      <c r="X419" s="3">
        <f t="shared" si="176"/>
        <v>12638.104353331124</v>
      </c>
      <c r="AI419" s="3"/>
      <c r="AJ419" s="3"/>
      <c r="AK419" s="15">
        <f t="shared" si="167"/>
        <v>2</v>
      </c>
      <c r="AL419" s="11">
        <f t="shared" si="171"/>
        <v>2460</v>
      </c>
      <c r="AM419" s="11" t="b">
        <f t="shared" si="166"/>
        <v>0</v>
      </c>
      <c r="AN419" s="11">
        <f t="shared" si="168"/>
        <v>36000</v>
      </c>
      <c r="AO419" s="11">
        <f t="shared" si="169"/>
        <v>0</v>
      </c>
      <c r="AP419" s="11">
        <f t="shared" si="170"/>
        <v>0.55924204848715664</v>
      </c>
      <c r="AQ419" s="11">
        <f t="shared" si="172"/>
        <v>0</v>
      </c>
      <c r="AT419" s="3"/>
      <c r="AU419" s="17"/>
      <c r="AV419" s="19"/>
      <c r="AW419" s="17"/>
      <c r="AX419" s="17">
        <f t="shared" si="165"/>
        <v>410</v>
      </c>
      <c r="AY419" s="17">
        <f t="shared" si="190"/>
        <v>41</v>
      </c>
      <c r="AZ419" s="17">
        <v>55.924204848715661</v>
      </c>
      <c r="BA419" s="17"/>
      <c r="BB419" s="17">
        <v>36</v>
      </c>
      <c r="BC419" s="17"/>
      <c r="BD419" s="17"/>
      <c r="BE419" s="17"/>
      <c r="BF419" s="17"/>
      <c r="BG419" s="17"/>
      <c r="BH419" s="17"/>
      <c r="BI419" s="17"/>
      <c r="BJ419" s="17"/>
      <c r="BK419" s="17"/>
      <c r="BL419" s="17"/>
      <c r="BM419" s="17"/>
      <c r="BN419" s="17"/>
      <c r="BO419" s="17"/>
      <c r="BP419" s="17"/>
      <c r="BQ419" s="17"/>
      <c r="BR419" s="17"/>
      <c r="BS419" s="17"/>
      <c r="BT419" s="17"/>
      <c r="BU419" s="17"/>
      <c r="BV419" s="17"/>
      <c r="BW419" s="17"/>
      <c r="BX419" s="17"/>
      <c r="BY419" s="17"/>
      <c r="BZ419" s="17"/>
      <c r="CA419" s="17"/>
      <c r="CB419" s="17"/>
      <c r="CC419" s="17"/>
      <c r="CD419" s="17"/>
      <c r="CE419" s="17"/>
      <c r="CF419" s="17"/>
      <c r="CG419" s="17"/>
      <c r="CH419" s="17"/>
    </row>
    <row r="420" spans="8:86" x14ac:dyDescent="0.15">
      <c r="H420" s="3">
        <f t="shared" si="185"/>
        <v>0.40800000000000031</v>
      </c>
      <c r="I420" s="3">
        <f t="shared" si="186"/>
        <v>360</v>
      </c>
      <c r="J420" s="14">
        <f t="shared" si="187"/>
        <v>500</v>
      </c>
      <c r="K420" s="3">
        <f t="shared" si="177"/>
        <v>0</v>
      </c>
      <c r="L420" s="3">
        <f t="shared" si="173"/>
        <v>500</v>
      </c>
      <c r="M420" s="15">
        <f t="shared" si="188"/>
        <v>7.0000000000000007E-2</v>
      </c>
      <c r="N420" s="3">
        <f t="shared" si="189"/>
        <v>69.15139893465718</v>
      </c>
      <c r="O420" s="3">
        <f t="shared" si="174"/>
        <v>69.15139893465718</v>
      </c>
      <c r="P420" s="3">
        <f t="shared" si="178"/>
        <v>74.356342940491601</v>
      </c>
      <c r="Q420" s="3">
        <f t="shared" si="179"/>
        <v>25.227055165108297</v>
      </c>
      <c r="R420" s="3">
        <f t="shared" si="180"/>
        <v>49.791699052799949</v>
      </c>
      <c r="S420" s="3">
        <f t="shared" si="175"/>
        <v>1</v>
      </c>
      <c r="T420" s="3">
        <f t="shared" si="181"/>
        <v>24564.643887691651</v>
      </c>
      <c r="U420" s="3">
        <f t="shared" si="182"/>
        <v>0.5</v>
      </c>
      <c r="V420" s="3">
        <f t="shared" si="183"/>
        <v>0</v>
      </c>
      <c r="W420" s="3">
        <f t="shared" si="184"/>
        <v>24894.503616476584</v>
      </c>
      <c r="X420" s="3">
        <f t="shared" si="176"/>
        <v>12613.527582554148</v>
      </c>
      <c r="AI420" s="3"/>
      <c r="AJ420" s="3"/>
      <c r="AK420" s="15">
        <f t="shared" si="167"/>
        <v>2</v>
      </c>
      <c r="AL420" s="11">
        <f t="shared" si="171"/>
        <v>2466</v>
      </c>
      <c r="AM420" s="11" t="b">
        <f t="shared" si="166"/>
        <v>0</v>
      </c>
      <c r="AN420" s="11">
        <f t="shared" si="168"/>
        <v>36000</v>
      </c>
      <c r="AO420" s="11">
        <f t="shared" si="169"/>
        <v>0</v>
      </c>
      <c r="AP420" s="11">
        <f t="shared" si="170"/>
        <v>0.56034436330197146</v>
      </c>
      <c r="AQ420" s="11">
        <f t="shared" si="172"/>
        <v>0</v>
      </c>
      <c r="AT420" s="3"/>
      <c r="AU420" s="17"/>
      <c r="AV420" s="19"/>
      <c r="AW420" s="17"/>
      <c r="AX420" s="17">
        <f t="shared" si="165"/>
        <v>411</v>
      </c>
      <c r="AY420" s="17">
        <f t="shared" si="190"/>
        <v>41.1</v>
      </c>
      <c r="AZ420" s="17">
        <v>56.034436330197146</v>
      </c>
      <c r="BA420" s="17"/>
      <c r="BB420" s="17">
        <v>36</v>
      </c>
      <c r="BC420" s="17"/>
      <c r="BD420" s="17"/>
      <c r="BE420" s="17"/>
      <c r="BF420" s="17"/>
      <c r="BG420" s="17"/>
      <c r="BH420" s="17"/>
      <c r="BI420" s="17"/>
      <c r="BJ420" s="17"/>
      <c r="BK420" s="17"/>
      <c r="BL420" s="17"/>
      <c r="BM420" s="17"/>
      <c r="BN420" s="17"/>
      <c r="BO420" s="17"/>
      <c r="BP420" s="17"/>
      <c r="BQ420" s="17"/>
      <c r="BR420" s="17"/>
      <c r="BS420" s="17"/>
      <c r="BT420" s="17"/>
      <c r="BU420" s="17"/>
      <c r="BV420" s="17"/>
      <c r="BW420" s="17"/>
      <c r="BX420" s="17"/>
      <c r="BY420" s="17"/>
      <c r="BZ420" s="17"/>
      <c r="CA420" s="17"/>
      <c r="CB420" s="17"/>
      <c r="CC420" s="17"/>
      <c r="CD420" s="17"/>
      <c r="CE420" s="17"/>
      <c r="CF420" s="17"/>
      <c r="CG420" s="17"/>
      <c r="CH420" s="17"/>
    </row>
    <row r="421" spans="8:86" x14ac:dyDescent="0.15">
      <c r="H421" s="3">
        <f t="shared" si="185"/>
        <v>0.40900000000000031</v>
      </c>
      <c r="I421" s="3">
        <f t="shared" si="186"/>
        <v>360</v>
      </c>
      <c r="J421" s="14">
        <f t="shared" si="187"/>
        <v>500</v>
      </c>
      <c r="K421" s="3">
        <f t="shared" si="177"/>
        <v>0</v>
      </c>
      <c r="L421" s="3">
        <f t="shared" si="173"/>
        <v>500</v>
      </c>
      <c r="M421" s="15">
        <f t="shared" si="188"/>
        <v>7.0000000000000007E-2</v>
      </c>
      <c r="N421" s="3">
        <f t="shared" si="189"/>
        <v>69.083163812746932</v>
      </c>
      <c r="O421" s="3">
        <f t="shared" si="174"/>
        <v>69.083163812746932</v>
      </c>
      <c r="P421" s="3">
        <f t="shared" si="178"/>
        <v>74.282971841663368</v>
      </c>
      <c r="Q421" s="3">
        <f t="shared" si="179"/>
        <v>25.177925877332914</v>
      </c>
      <c r="R421" s="3">
        <f t="shared" si="180"/>
        <v>49.730448859498139</v>
      </c>
      <c r="S421" s="3">
        <f t="shared" si="175"/>
        <v>1</v>
      </c>
      <c r="T421" s="3">
        <f t="shared" si="181"/>
        <v>24552.522982165228</v>
      </c>
      <c r="U421" s="3">
        <f t="shared" si="182"/>
        <v>0.5</v>
      </c>
      <c r="V421" s="3">
        <f t="shared" si="183"/>
        <v>0</v>
      </c>
      <c r="W421" s="3">
        <f t="shared" si="184"/>
        <v>24869.938972588894</v>
      </c>
      <c r="X421" s="3">
        <f t="shared" si="176"/>
        <v>12588.962938666456</v>
      </c>
      <c r="AI421" s="3"/>
      <c r="AJ421" s="3"/>
      <c r="AK421" s="15">
        <f t="shared" si="167"/>
        <v>2</v>
      </c>
      <c r="AL421" s="11">
        <f t="shared" si="171"/>
        <v>2472</v>
      </c>
      <c r="AM421" s="11" t="b">
        <f t="shared" si="166"/>
        <v>0</v>
      </c>
      <c r="AN421" s="11">
        <f t="shared" si="168"/>
        <v>36000</v>
      </c>
      <c r="AO421" s="11">
        <f t="shared" si="169"/>
        <v>0</v>
      </c>
      <c r="AP421" s="11">
        <f t="shared" si="170"/>
        <v>0.56144667811678639</v>
      </c>
      <c r="AQ421" s="11">
        <f t="shared" si="172"/>
        <v>0</v>
      </c>
      <c r="AT421" s="3"/>
      <c r="AU421" s="17"/>
      <c r="AV421" s="19"/>
      <c r="AW421" s="17"/>
      <c r="AX421" s="17">
        <f t="shared" si="165"/>
        <v>412</v>
      </c>
      <c r="AY421" s="17">
        <f t="shared" si="190"/>
        <v>41.2</v>
      </c>
      <c r="AZ421" s="17">
        <v>56.144667811678637</v>
      </c>
      <c r="BA421" s="17"/>
      <c r="BB421" s="17">
        <v>36</v>
      </c>
      <c r="BC421" s="17"/>
      <c r="BD421" s="17"/>
      <c r="BE421" s="17"/>
      <c r="BF421" s="17"/>
      <c r="BG421" s="17"/>
      <c r="BH421" s="17"/>
      <c r="BI421" s="17"/>
      <c r="BJ421" s="17"/>
      <c r="BK421" s="17"/>
      <c r="BL421" s="17"/>
      <c r="BM421" s="17"/>
      <c r="BN421" s="17"/>
      <c r="BO421" s="17"/>
      <c r="BP421" s="17"/>
      <c r="BQ421" s="17"/>
      <c r="BR421" s="17"/>
      <c r="BS421" s="17"/>
      <c r="BT421" s="17"/>
      <c r="BU421" s="17"/>
      <c r="BV421" s="17"/>
      <c r="BW421" s="17"/>
      <c r="BX421" s="17"/>
      <c r="BY421" s="17"/>
      <c r="BZ421" s="17"/>
      <c r="CA421" s="17"/>
      <c r="CB421" s="17"/>
      <c r="CC421" s="17"/>
      <c r="CD421" s="17"/>
      <c r="CE421" s="17"/>
      <c r="CF421" s="17"/>
      <c r="CG421" s="17"/>
      <c r="CH421" s="17"/>
    </row>
    <row r="422" spans="8:86" x14ac:dyDescent="0.15">
      <c r="H422" s="3">
        <f t="shared" si="185"/>
        <v>0.41000000000000031</v>
      </c>
      <c r="I422" s="3">
        <f t="shared" si="186"/>
        <v>360</v>
      </c>
      <c r="J422" s="14">
        <f t="shared" si="187"/>
        <v>500</v>
      </c>
      <c r="K422" s="3">
        <f t="shared" si="177"/>
        <v>0</v>
      </c>
      <c r="L422" s="3">
        <f t="shared" si="173"/>
        <v>500</v>
      </c>
      <c r="M422" s="15">
        <f t="shared" si="188"/>
        <v>7.0000000000000007E-2</v>
      </c>
      <c r="N422" s="3">
        <f t="shared" si="189"/>
        <v>69.014962360018686</v>
      </c>
      <c r="O422" s="3">
        <f t="shared" si="174"/>
        <v>69.014962360018686</v>
      </c>
      <c r="P422" s="3">
        <f t="shared" si="178"/>
        <v>74.209636946256651</v>
      </c>
      <c r="Q422" s="3">
        <f t="shared" si="179"/>
        <v>25.128820831368582</v>
      </c>
      <c r="R422" s="3">
        <f t="shared" si="180"/>
        <v>49.669228888812619</v>
      </c>
      <c r="S422" s="3">
        <f t="shared" si="175"/>
        <v>1</v>
      </c>
      <c r="T422" s="3">
        <f t="shared" si="181"/>
        <v>24540.408057444034</v>
      </c>
      <c r="U422" s="3">
        <f t="shared" si="182"/>
        <v>0.5</v>
      </c>
      <c r="V422" s="3">
        <f t="shared" si="183"/>
        <v>0</v>
      </c>
      <c r="W422" s="3">
        <f t="shared" si="184"/>
        <v>24845.386449606725</v>
      </c>
      <c r="X422" s="3">
        <f t="shared" si="176"/>
        <v>12564.410415684291</v>
      </c>
      <c r="AI422" s="3"/>
      <c r="AJ422" s="3"/>
      <c r="AK422" s="15">
        <f t="shared" si="167"/>
        <v>2</v>
      </c>
      <c r="AL422" s="11">
        <f t="shared" si="171"/>
        <v>2478</v>
      </c>
      <c r="AM422" s="11" t="b">
        <f t="shared" si="166"/>
        <v>0</v>
      </c>
      <c r="AN422" s="11">
        <f t="shared" si="168"/>
        <v>36000</v>
      </c>
      <c r="AO422" s="11">
        <f t="shared" si="169"/>
        <v>0</v>
      </c>
      <c r="AP422" s="11">
        <f t="shared" si="170"/>
        <v>0.56254899293160132</v>
      </c>
      <c r="AQ422" s="11">
        <f t="shared" si="172"/>
        <v>0</v>
      </c>
      <c r="AT422" s="3"/>
      <c r="AU422" s="17"/>
      <c r="AV422" s="19"/>
      <c r="AW422" s="17"/>
      <c r="AX422" s="17">
        <f t="shared" si="165"/>
        <v>413</v>
      </c>
      <c r="AY422" s="17">
        <f t="shared" si="190"/>
        <v>41.3</v>
      </c>
      <c r="AZ422" s="17">
        <v>56.254899293160129</v>
      </c>
      <c r="BA422" s="17"/>
      <c r="BB422" s="17">
        <v>36</v>
      </c>
      <c r="BC422" s="17"/>
      <c r="BD422" s="17"/>
      <c r="BE422" s="17"/>
      <c r="BF422" s="17"/>
      <c r="BG422" s="17"/>
      <c r="BH422" s="17"/>
      <c r="BI422" s="17"/>
      <c r="BJ422" s="17"/>
      <c r="BK422" s="17"/>
      <c r="BL422" s="17"/>
      <c r="BM422" s="17"/>
      <c r="BN422" s="17"/>
      <c r="BO422" s="17"/>
      <c r="BP422" s="17"/>
      <c r="BQ422" s="17"/>
      <c r="BR422" s="17"/>
      <c r="BS422" s="17"/>
      <c r="BT422" s="17"/>
      <c r="BU422" s="17"/>
      <c r="BV422" s="17"/>
      <c r="BW422" s="17"/>
      <c r="BX422" s="17"/>
      <c r="BY422" s="17"/>
      <c r="BZ422" s="17"/>
      <c r="CA422" s="17"/>
      <c r="CB422" s="17"/>
      <c r="CC422" s="17"/>
      <c r="CD422" s="17"/>
      <c r="CE422" s="17"/>
      <c r="CF422" s="17"/>
      <c r="CG422" s="17"/>
      <c r="CH422" s="17"/>
    </row>
    <row r="423" spans="8:86" x14ac:dyDescent="0.15">
      <c r="H423" s="3">
        <f t="shared" si="185"/>
        <v>0.41100000000000031</v>
      </c>
      <c r="I423" s="3">
        <f t="shared" si="186"/>
        <v>360</v>
      </c>
      <c r="J423" s="14">
        <f t="shared" si="187"/>
        <v>500</v>
      </c>
      <c r="K423" s="3">
        <f t="shared" si="177"/>
        <v>0</v>
      </c>
      <c r="L423" s="3">
        <f t="shared" si="173"/>
        <v>500</v>
      </c>
      <c r="M423" s="15">
        <f t="shared" si="188"/>
        <v>7.0000000000000007E-2</v>
      </c>
      <c r="N423" s="3">
        <f t="shared" si="189"/>
        <v>68.946794559859114</v>
      </c>
      <c r="O423" s="3">
        <f t="shared" si="174"/>
        <v>68.946794559859114</v>
      </c>
      <c r="P423" s="3">
        <f t="shared" si="178"/>
        <v>74.136338236407653</v>
      </c>
      <c r="Q423" s="3">
        <f t="shared" si="179"/>
        <v>25.079740015253694</v>
      </c>
      <c r="R423" s="3">
        <f t="shared" si="180"/>
        <v>49.608039125830672</v>
      </c>
      <c r="S423" s="3">
        <f t="shared" si="175"/>
        <v>1</v>
      </c>
      <c r="T423" s="3">
        <f t="shared" si="181"/>
        <v>24528.29911057698</v>
      </c>
      <c r="U423" s="3">
        <f t="shared" si="182"/>
        <v>0.5</v>
      </c>
      <c r="V423" s="3">
        <f t="shared" si="183"/>
        <v>0</v>
      </c>
      <c r="W423" s="3">
        <f t="shared" si="184"/>
        <v>24820.846041549281</v>
      </c>
      <c r="X423" s="3">
        <f t="shared" si="176"/>
        <v>12539.870007626847</v>
      </c>
      <c r="AI423" s="3"/>
      <c r="AJ423" s="3"/>
      <c r="AK423" s="15">
        <f t="shared" si="167"/>
        <v>2</v>
      </c>
      <c r="AL423" s="11">
        <f t="shared" si="171"/>
        <v>2484</v>
      </c>
      <c r="AM423" s="11" t="b">
        <f t="shared" si="166"/>
        <v>0</v>
      </c>
      <c r="AN423" s="11">
        <f t="shared" si="168"/>
        <v>36000</v>
      </c>
      <c r="AO423" s="11">
        <f t="shared" si="169"/>
        <v>0</v>
      </c>
      <c r="AP423" s="11">
        <f t="shared" si="170"/>
        <v>0.56365130774641614</v>
      </c>
      <c r="AQ423" s="11">
        <f t="shared" si="172"/>
        <v>0</v>
      </c>
      <c r="AT423" s="3"/>
      <c r="AU423" s="17"/>
      <c r="AV423" s="19"/>
      <c r="AW423" s="17"/>
      <c r="AX423" s="17">
        <f t="shared" si="165"/>
        <v>414</v>
      </c>
      <c r="AY423" s="17">
        <f t="shared" si="190"/>
        <v>41.4</v>
      </c>
      <c r="AZ423" s="17">
        <v>56.365130774641614</v>
      </c>
      <c r="BA423" s="17"/>
      <c r="BB423" s="17">
        <v>36</v>
      </c>
      <c r="BC423" s="17"/>
      <c r="BD423" s="17"/>
      <c r="BE423" s="17"/>
      <c r="BF423" s="17"/>
      <c r="BG423" s="17"/>
      <c r="BH423" s="17"/>
      <c r="BI423" s="17"/>
      <c r="BJ423" s="17"/>
      <c r="BK423" s="17"/>
      <c r="BL423" s="17"/>
      <c r="BM423" s="17"/>
      <c r="BN423" s="17"/>
      <c r="BO423" s="17"/>
      <c r="BP423" s="17"/>
      <c r="BQ423" s="17"/>
      <c r="BR423" s="17"/>
      <c r="BS423" s="17"/>
      <c r="BT423" s="17"/>
      <c r="BU423" s="17"/>
      <c r="BV423" s="17"/>
      <c r="BW423" s="17"/>
      <c r="BX423" s="17"/>
      <c r="BY423" s="17"/>
      <c r="BZ423" s="17"/>
      <c r="CA423" s="17"/>
      <c r="CB423" s="17"/>
      <c r="CC423" s="17"/>
      <c r="CD423" s="17"/>
      <c r="CE423" s="17"/>
      <c r="CF423" s="17"/>
      <c r="CG423" s="17"/>
      <c r="CH423" s="17"/>
    </row>
    <row r="424" spans="8:86" x14ac:dyDescent="0.15">
      <c r="H424" s="3">
        <f t="shared" si="185"/>
        <v>0.41200000000000031</v>
      </c>
      <c r="I424" s="3">
        <f t="shared" si="186"/>
        <v>360</v>
      </c>
      <c r="J424" s="14">
        <f t="shared" si="187"/>
        <v>500</v>
      </c>
      <c r="K424" s="3">
        <f t="shared" si="177"/>
        <v>0</v>
      </c>
      <c r="L424" s="3">
        <f t="shared" si="173"/>
        <v>500</v>
      </c>
      <c r="M424" s="15">
        <f t="shared" si="188"/>
        <v>7.0000000000000007E-2</v>
      </c>
      <c r="N424" s="3">
        <f t="shared" si="189"/>
        <v>68.878660395663061</v>
      </c>
      <c r="O424" s="3">
        <f t="shared" si="174"/>
        <v>68.878660395663061</v>
      </c>
      <c r="P424" s="3">
        <f t="shared" si="178"/>
        <v>74.063075694261357</v>
      </c>
      <c r="Q424" s="3">
        <f t="shared" si="179"/>
        <v>25.030683417032538</v>
      </c>
      <c r="R424" s="3">
        <f t="shared" si="180"/>
        <v>49.546879555646946</v>
      </c>
      <c r="S424" s="3">
        <f t="shared" si="175"/>
        <v>1</v>
      </c>
      <c r="T424" s="3">
        <f t="shared" si="181"/>
        <v>24516.19613861441</v>
      </c>
      <c r="U424" s="3">
        <f t="shared" si="182"/>
        <v>0.5</v>
      </c>
      <c r="V424" s="3">
        <f t="shared" si="183"/>
        <v>0</v>
      </c>
      <c r="W424" s="3">
        <f t="shared" si="184"/>
        <v>24796.317742438703</v>
      </c>
      <c r="X424" s="3">
        <f t="shared" si="176"/>
        <v>12515.341708516269</v>
      </c>
      <c r="AI424" s="3"/>
      <c r="AJ424" s="3"/>
      <c r="AK424" s="15">
        <f t="shared" si="167"/>
        <v>2</v>
      </c>
      <c r="AL424" s="11">
        <f t="shared" si="171"/>
        <v>2490</v>
      </c>
      <c r="AM424" s="11" t="b">
        <f t="shared" si="166"/>
        <v>0</v>
      </c>
      <c r="AN424" s="11">
        <f t="shared" si="168"/>
        <v>36000</v>
      </c>
      <c r="AO424" s="11">
        <f t="shared" si="169"/>
        <v>0</v>
      </c>
      <c r="AP424" s="11">
        <f t="shared" si="170"/>
        <v>0.56475362256123096</v>
      </c>
      <c r="AQ424" s="11">
        <f t="shared" si="172"/>
        <v>0</v>
      </c>
      <c r="AT424" s="3"/>
      <c r="AU424" s="17"/>
      <c r="AV424" s="19"/>
      <c r="AW424" s="17"/>
      <c r="AX424" s="17">
        <f t="shared" si="165"/>
        <v>415</v>
      </c>
      <c r="AY424" s="17">
        <f t="shared" si="190"/>
        <v>41.5</v>
      </c>
      <c r="AZ424" s="17">
        <v>56.475362256123098</v>
      </c>
      <c r="BA424" s="17"/>
      <c r="BB424" s="17">
        <v>36</v>
      </c>
      <c r="BC424" s="17"/>
      <c r="BD424" s="17"/>
      <c r="BE424" s="17"/>
      <c r="BF424" s="17"/>
      <c r="BG424" s="17"/>
      <c r="BH424" s="17"/>
      <c r="BI424" s="17"/>
      <c r="BJ424" s="17"/>
      <c r="BK424" s="17"/>
      <c r="BL424" s="17"/>
      <c r="BM424" s="17"/>
      <c r="BN424" s="17"/>
      <c r="BO424" s="17"/>
      <c r="BP424" s="17"/>
      <c r="BQ424" s="17"/>
      <c r="BR424" s="17"/>
      <c r="BS424" s="17"/>
      <c r="BT424" s="17"/>
      <c r="BU424" s="17"/>
      <c r="BV424" s="17"/>
      <c r="BW424" s="17"/>
      <c r="BX424" s="17"/>
      <c r="BY424" s="17"/>
      <c r="BZ424" s="17"/>
      <c r="CA424" s="17"/>
      <c r="CB424" s="17"/>
      <c r="CC424" s="17"/>
      <c r="CD424" s="17"/>
      <c r="CE424" s="17"/>
      <c r="CF424" s="17"/>
      <c r="CG424" s="17"/>
      <c r="CH424" s="17"/>
    </row>
    <row r="425" spans="8:86" x14ac:dyDescent="0.15">
      <c r="H425" s="3">
        <f t="shared" si="185"/>
        <v>0.41300000000000031</v>
      </c>
      <c r="I425" s="3">
        <f t="shared" si="186"/>
        <v>360</v>
      </c>
      <c r="J425" s="14">
        <f t="shared" si="187"/>
        <v>500</v>
      </c>
      <c r="K425" s="3">
        <f t="shared" si="177"/>
        <v>0</v>
      </c>
      <c r="L425" s="3">
        <f t="shared" si="173"/>
        <v>500</v>
      </c>
      <c r="M425" s="15">
        <f t="shared" si="188"/>
        <v>7.0000000000000007E-2</v>
      </c>
      <c r="N425" s="3">
        <f t="shared" si="189"/>
        <v>68.810559850833585</v>
      </c>
      <c r="O425" s="3">
        <f t="shared" si="174"/>
        <v>68.810559850833585</v>
      </c>
      <c r="P425" s="3">
        <f t="shared" si="178"/>
        <v>73.989849301971603</v>
      </c>
      <c r="Q425" s="3">
        <f t="shared" si="179"/>
        <v>24.981651024755308</v>
      </c>
      <c r="R425" s="3">
        <f t="shared" si="180"/>
        <v>49.485750163363456</v>
      </c>
      <c r="S425" s="3">
        <f t="shared" si="175"/>
        <v>1</v>
      </c>
      <c r="T425" s="3">
        <f t="shared" si="181"/>
        <v>24504.099138608148</v>
      </c>
      <c r="U425" s="3">
        <f t="shared" si="182"/>
        <v>0.5</v>
      </c>
      <c r="V425" s="3">
        <f t="shared" si="183"/>
        <v>0</v>
      </c>
      <c r="W425" s="3">
        <f t="shared" si="184"/>
        <v>24771.801546300092</v>
      </c>
      <c r="X425" s="3">
        <f t="shared" si="176"/>
        <v>12490.825512377654</v>
      </c>
      <c r="AI425" s="3"/>
      <c r="AJ425" s="3"/>
      <c r="AK425" s="15">
        <f t="shared" si="167"/>
        <v>2</v>
      </c>
      <c r="AL425" s="11">
        <f t="shared" si="171"/>
        <v>2496</v>
      </c>
      <c r="AM425" s="11" t="b">
        <f t="shared" si="166"/>
        <v>0</v>
      </c>
      <c r="AN425" s="11">
        <f t="shared" si="168"/>
        <v>36000</v>
      </c>
      <c r="AO425" s="11">
        <f t="shared" si="169"/>
        <v>0</v>
      </c>
      <c r="AP425" s="11">
        <f t="shared" si="170"/>
        <v>0.56585593737604578</v>
      </c>
      <c r="AQ425" s="11">
        <f t="shared" si="172"/>
        <v>0</v>
      </c>
      <c r="AT425" s="3"/>
      <c r="AU425" s="17"/>
      <c r="AV425" s="19"/>
      <c r="AW425" s="17"/>
      <c r="AX425" s="17">
        <f t="shared" si="165"/>
        <v>416</v>
      </c>
      <c r="AY425" s="17">
        <f t="shared" si="190"/>
        <v>41.6</v>
      </c>
      <c r="AZ425" s="17">
        <v>56.585593737604576</v>
      </c>
      <c r="BA425" s="17"/>
      <c r="BB425" s="17">
        <v>36</v>
      </c>
      <c r="BC425" s="17"/>
      <c r="BD425" s="17"/>
      <c r="BE425" s="17"/>
      <c r="BF425" s="17"/>
      <c r="BG425" s="17"/>
      <c r="BH425" s="17"/>
      <c r="BI425" s="17"/>
      <c r="BJ425" s="17"/>
      <c r="BK425" s="17"/>
      <c r="BL425" s="17"/>
      <c r="BM425" s="17"/>
      <c r="BN425" s="17"/>
      <c r="BO425" s="17"/>
      <c r="BP425" s="17"/>
      <c r="BQ425" s="17"/>
      <c r="BR425" s="17"/>
      <c r="BS425" s="17"/>
      <c r="BT425" s="17"/>
      <c r="BU425" s="17"/>
      <c r="BV425" s="17"/>
      <c r="BW425" s="17"/>
      <c r="BX425" s="17"/>
      <c r="BY425" s="17"/>
      <c r="BZ425" s="17"/>
      <c r="CA425" s="17"/>
      <c r="CB425" s="17"/>
      <c r="CC425" s="17"/>
      <c r="CD425" s="17"/>
      <c r="CE425" s="17"/>
      <c r="CF425" s="17"/>
      <c r="CG425" s="17"/>
      <c r="CH425" s="17"/>
    </row>
    <row r="426" spans="8:86" x14ac:dyDescent="0.15">
      <c r="H426" s="3">
        <f t="shared" si="185"/>
        <v>0.41400000000000031</v>
      </c>
      <c r="I426" s="3">
        <f t="shared" si="186"/>
        <v>360</v>
      </c>
      <c r="J426" s="14">
        <f t="shared" si="187"/>
        <v>500</v>
      </c>
      <c r="K426" s="3">
        <f t="shared" si="177"/>
        <v>0</v>
      </c>
      <c r="L426" s="3">
        <f t="shared" si="173"/>
        <v>500</v>
      </c>
      <c r="M426" s="15">
        <f t="shared" si="188"/>
        <v>7.0000000000000007E-2</v>
      </c>
      <c r="N426" s="3">
        <f t="shared" si="189"/>
        <v>68.742492908781898</v>
      </c>
      <c r="O426" s="3">
        <f t="shared" si="174"/>
        <v>68.742492908781898</v>
      </c>
      <c r="P426" s="3">
        <f t="shared" si="178"/>
        <v>73.916659041700967</v>
      </c>
      <c r="Q426" s="3">
        <f t="shared" si="179"/>
        <v>24.932642826478091</v>
      </c>
      <c r="R426" s="3">
        <f t="shared" si="180"/>
        <v>49.424650934089527</v>
      </c>
      <c r="S426" s="3">
        <f t="shared" si="175"/>
        <v>1</v>
      </c>
      <c r="T426" s="3">
        <f t="shared" si="181"/>
        <v>24492.00810761144</v>
      </c>
      <c r="U426" s="3">
        <f t="shared" si="182"/>
        <v>0.5</v>
      </c>
      <c r="V426" s="3">
        <f t="shared" si="183"/>
        <v>0</v>
      </c>
      <c r="W426" s="3">
        <f t="shared" si="184"/>
        <v>24747.297447161483</v>
      </c>
      <c r="X426" s="3">
        <f t="shared" si="176"/>
        <v>12466.321413239046</v>
      </c>
      <c r="AI426" s="3"/>
      <c r="AJ426" s="3"/>
      <c r="AK426" s="15">
        <f t="shared" si="167"/>
        <v>2</v>
      </c>
      <c r="AL426" s="11">
        <f t="shared" si="171"/>
        <v>2502</v>
      </c>
      <c r="AM426" s="11" t="b">
        <f t="shared" si="166"/>
        <v>0</v>
      </c>
      <c r="AN426" s="11">
        <f t="shared" si="168"/>
        <v>36000</v>
      </c>
      <c r="AO426" s="11">
        <f t="shared" si="169"/>
        <v>0</v>
      </c>
      <c r="AP426" s="11">
        <f t="shared" si="170"/>
        <v>0.5669582521908606</v>
      </c>
      <c r="AQ426" s="11">
        <f t="shared" si="172"/>
        <v>0</v>
      </c>
      <c r="AT426" s="3"/>
      <c r="AU426" s="17"/>
      <c r="AV426" s="19"/>
      <c r="AW426" s="17"/>
      <c r="AX426" s="17">
        <f t="shared" si="165"/>
        <v>417</v>
      </c>
      <c r="AY426" s="17">
        <f t="shared" si="190"/>
        <v>41.7</v>
      </c>
      <c r="AZ426" s="17">
        <v>56.695825219086061</v>
      </c>
      <c r="BA426" s="17"/>
      <c r="BB426" s="17">
        <v>36</v>
      </c>
      <c r="BC426" s="17"/>
      <c r="BD426" s="17"/>
      <c r="BE426" s="17"/>
      <c r="BF426" s="17"/>
      <c r="BG426" s="17"/>
      <c r="BH426" s="17"/>
      <c r="BI426" s="17"/>
      <c r="BJ426" s="17"/>
      <c r="BK426" s="17"/>
      <c r="BL426" s="17"/>
      <c r="BM426" s="17"/>
      <c r="BN426" s="17"/>
      <c r="BO426" s="17"/>
      <c r="BP426" s="17"/>
      <c r="BQ426" s="17"/>
      <c r="BR426" s="17"/>
      <c r="BS426" s="17"/>
      <c r="BT426" s="17"/>
      <c r="BU426" s="17"/>
      <c r="BV426" s="17"/>
      <c r="BW426" s="17"/>
      <c r="BX426" s="17"/>
      <c r="BY426" s="17"/>
      <c r="BZ426" s="17"/>
      <c r="CA426" s="17"/>
      <c r="CB426" s="17"/>
      <c r="CC426" s="17"/>
      <c r="CD426" s="17"/>
      <c r="CE426" s="17"/>
      <c r="CF426" s="17"/>
      <c r="CG426" s="17"/>
      <c r="CH426" s="17"/>
    </row>
    <row r="427" spans="8:86" x14ac:dyDescent="0.15">
      <c r="H427" s="3">
        <f t="shared" si="185"/>
        <v>0.41500000000000031</v>
      </c>
      <c r="I427" s="3">
        <f t="shared" si="186"/>
        <v>360</v>
      </c>
      <c r="J427" s="14">
        <f t="shared" si="187"/>
        <v>500</v>
      </c>
      <c r="K427" s="3">
        <f t="shared" si="177"/>
        <v>0</v>
      </c>
      <c r="L427" s="3">
        <f t="shared" si="173"/>
        <v>500</v>
      </c>
      <c r="M427" s="15">
        <f t="shared" si="188"/>
        <v>7.0000000000000007E-2</v>
      </c>
      <c r="N427" s="3">
        <f t="shared" si="189"/>
        <v>68.674459552927416</v>
      </c>
      <c r="O427" s="3">
        <f t="shared" si="174"/>
        <v>68.674459552927416</v>
      </c>
      <c r="P427" s="3">
        <f t="shared" si="178"/>
        <v>73.843504895620882</v>
      </c>
      <c r="Q427" s="3">
        <f t="shared" si="179"/>
        <v>24.883658810262869</v>
      </c>
      <c r="R427" s="3">
        <f t="shared" si="180"/>
        <v>49.363581852941877</v>
      </c>
      <c r="S427" s="3">
        <f t="shared" si="175"/>
        <v>1</v>
      </c>
      <c r="T427" s="3">
        <f t="shared" si="181"/>
        <v>24479.923042679005</v>
      </c>
      <c r="U427" s="3">
        <f t="shared" si="182"/>
        <v>0.5</v>
      </c>
      <c r="V427" s="3">
        <f t="shared" si="183"/>
        <v>0</v>
      </c>
      <c r="W427" s="3">
        <f t="shared" si="184"/>
        <v>24722.805439053871</v>
      </c>
      <c r="X427" s="3">
        <f t="shared" si="176"/>
        <v>12441.829405131435</v>
      </c>
      <c r="AI427" s="3"/>
      <c r="AJ427" s="3"/>
      <c r="AK427" s="15">
        <f t="shared" si="167"/>
        <v>2</v>
      </c>
      <c r="AL427" s="11">
        <f t="shared" si="171"/>
        <v>2508</v>
      </c>
      <c r="AM427" s="11" t="b">
        <f t="shared" si="166"/>
        <v>0</v>
      </c>
      <c r="AN427" s="11">
        <f t="shared" si="168"/>
        <v>36000</v>
      </c>
      <c r="AO427" s="11">
        <f t="shared" si="169"/>
        <v>0</v>
      </c>
      <c r="AP427" s="11">
        <f t="shared" si="170"/>
        <v>0.56806056700567553</v>
      </c>
      <c r="AQ427" s="11">
        <f t="shared" si="172"/>
        <v>0</v>
      </c>
      <c r="AT427" s="3"/>
      <c r="AU427" s="17"/>
      <c r="AV427" s="19"/>
      <c r="AW427" s="17"/>
      <c r="AX427" s="17">
        <f t="shared" si="165"/>
        <v>418</v>
      </c>
      <c r="AY427" s="17">
        <f t="shared" si="190"/>
        <v>41.8</v>
      </c>
      <c r="AZ427" s="17">
        <v>56.806056700567552</v>
      </c>
      <c r="BA427" s="17"/>
      <c r="BB427" s="17">
        <v>36</v>
      </c>
      <c r="BC427" s="17"/>
      <c r="BD427" s="17"/>
      <c r="BE427" s="17"/>
      <c r="BF427" s="17"/>
      <c r="BG427" s="17"/>
      <c r="BH427" s="17"/>
      <c r="BI427" s="17"/>
      <c r="BJ427" s="17"/>
      <c r="BK427" s="17"/>
      <c r="BL427" s="17"/>
      <c r="BM427" s="17"/>
      <c r="BN427" s="17"/>
      <c r="BO427" s="17"/>
      <c r="BP427" s="17"/>
      <c r="BQ427" s="17"/>
      <c r="BR427" s="17"/>
      <c r="BS427" s="17"/>
      <c r="BT427" s="17"/>
      <c r="BU427" s="17"/>
      <c r="BV427" s="17"/>
      <c r="BW427" s="17"/>
      <c r="BX427" s="17"/>
      <c r="BY427" s="17"/>
      <c r="BZ427" s="17"/>
      <c r="CA427" s="17"/>
      <c r="CB427" s="17"/>
      <c r="CC427" s="17"/>
      <c r="CD427" s="17"/>
      <c r="CE427" s="17"/>
      <c r="CF427" s="17"/>
      <c r="CG427" s="17"/>
      <c r="CH427" s="17"/>
    </row>
    <row r="428" spans="8:86" x14ac:dyDescent="0.15">
      <c r="H428" s="3">
        <f t="shared" si="185"/>
        <v>0.41600000000000031</v>
      </c>
      <c r="I428" s="3">
        <f t="shared" si="186"/>
        <v>360</v>
      </c>
      <c r="J428" s="14">
        <f t="shared" si="187"/>
        <v>500</v>
      </c>
      <c r="K428" s="3">
        <f t="shared" si="177"/>
        <v>0</v>
      </c>
      <c r="L428" s="3">
        <f t="shared" si="173"/>
        <v>500</v>
      </c>
      <c r="M428" s="15">
        <f t="shared" si="188"/>
        <v>7.0000000000000007E-2</v>
      </c>
      <c r="N428" s="3">
        <f t="shared" si="189"/>
        <v>68.606459766697753</v>
      </c>
      <c r="O428" s="3">
        <f t="shared" si="174"/>
        <v>68.606459766697753</v>
      </c>
      <c r="P428" s="3">
        <f t="shared" si="178"/>
        <v>73.770386845911574</v>
      </c>
      <c r="Q428" s="3">
        <f t="shared" si="179"/>
        <v>24.834698964177512</v>
      </c>
      <c r="R428" s="3">
        <f t="shared" si="180"/>
        <v>49.302542905044547</v>
      </c>
      <c r="S428" s="3">
        <f t="shared" si="175"/>
        <v>1</v>
      </c>
      <c r="T428" s="3">
        <f t="shared" si="181"/>
        <v>24467.843940867031</v>
      </c>
      <c r="U428" s="3">
        <f t="shared" si="182"/>
        <v>0.5</v>
      </c>
      <c r="V428" s="3">
        <f t="shared" si="183"/>
        <v>0</v>
      </c>
      <c r="W428" s="3">
        <f t="shared" si="184"/>
        <v>24698.325516011191</v>
      </c>
      <c r="X428" s="3">
        <f t="shared" si="176"/>
        <v>12417.349482088755</v>
      </c>
      <c r="AI428" s="3"/>
      <c r="AJ428" s="3"/>
      <c r="AK428" s="15">
        <f t="shared" si="167"/>
        <v>2</v>
      </c>
      <c r="AL428" s="11">
        <f t="shared" si="171"/>
        <v>2514</v>
      </c>
      <c r="AM428" s="11" t="b">
        <f t="shared" si="166"/>
        <v>0</v>
      </c>
      <c r="AN428" s="11">
        <f t="shared" si="168"/>
        <v>36000</v>
      </c>
      <c r="AO428" s="11">
        <f t="shared" si="169"/>
        <v>0</v>
      </c>
      <c r="AP428" s="11">
        <f t="shared" si="170"/>
        <v>0.56916288182049035</v>
      </c>
      <c r="AQ428" s="11">
        <f t="shared" si="172"/>
        <v>0</v>
      </c>
      <c r="AT428" s="3"/>
      <c r="AU428" s="17"/>
      <c r="AV428" s="19"/>
      <c r="AW428" s="17"/>
      <c r="AX428" s="17">
        <f t="shared" si="165"/>
        <v>419</v>
      </c>
      <c r="AY428" s="17">
        <f t="shared" si="190"/>
        <v>41.9</v>
      </c>
      <c r="AZ428" s="17">
        <v>56.916288182049037</v>
      </c>
      <c r="BA428" s="17"/>
      <c r="BB428" s="17">
        <v>36</v>
      </c>
      <c r="BC428" s="17"/>
      <c r="BD428" s="17"/>
      <c r="BE428" s="17"/>
      <c r="BF428" s="17"/>
      <c r="BG428" s="17"/>
      <c r="BH428" s="17"/>
      <c r="BI428" s="17"/>
      <c r="BJ428" s="17"/>
      <c r="BK428" s="17"/>
      <c r="BL428" s="17"/>
      <c r="BM428" s="17"/>
      <c r="BN428" s="17"/>
      <c r="BO428" s="17"/>
      <c r="BP428" s="17"/>
      <c r="BQ428" s="17"/>
      <c r="BR428" s="17"/>
      <c r="BS428" s="17"/>
      <c r="BT428" s="17"/>
      <c r="BU428" s="17"/>
      <c r="BV428" s="17"/>
      <c r="BW428" s="17"/>
      <c r="BX428" s="17"/>
      <c r="BY428" s="17"/>
      <c r="BZ428" s="17"/>
      <c r="CA428" s="17"/>
      <c r="CB428" s="17"/>
      <c r="CC428" s="17"/>
      <c r="CD428" s="17"/>
      <c r="CE428" s="17"/>
      <c r="CF428" s="17"/>
      <c r="CG428" s="17"/>
      <c r="CH428" s="17"/>
    </row>
    <row r="429" spans="8:86" x14ac:dyDescent="0.15">
      <c r="H429" s="3">
        <f t="shared" si="185"/>
        <v>0.41700000000000031</v>
      </c>
      <c r="I429" s="3">
        <f t="shared" si="186"/>
        <v>360</v>
      </c>
      <c r="J429" s="14">
        <f t="shared" si="187"/>
        <v>500</v>
      </c>
      <c r="K429" s="3">
        <f t="shared" si="177"/>
        <v>0</v>
      </c>
      <c r="L429" s="3">
        <f t="shared" si="173"/>
        <v>500</v>
      </c>
      <c r="M429" s="15">
        <f t="shared" si="188"/>
        <v>7.0000000000000007E-2</v>
      </c>
      <c r="N429" s="3">
        <f t="shared" si="189"/>
        <v>68.53849353352868</v>
      </c>
      <c r="O429" s="3">
        <f t="shared" si="174"/>
        <v>68.53849353352868</v>
      </c>
      <c r="P429" s="3">
        <f t="shared" si="178"/>
        <v>73.697304874762025</v>
      </c>
      <c r="Q429" s="3">
        <f t="shared" si="179"/>
        <v>24.785763276295775</v>
      </c>
      <c r="R429" s="3">
        <f t="shared" si="180"/>
        <v>49.241534075528904</v>
      </c>
      <c r="S429" s="3">
        <f t="shared" si="175"/>
        <v>1</v>
      </c>
      <c r="T429" s="3">
        <f t="shared" si="181"/>
        <v>24455.770799233127</v>
      </c>
      <c r="U429" s="3">
        <f t="shared" si="182"/>
        <v>0.5</v>
      </c>
      <c r="V429" s="3">
        <f t="shared" si="183"/>
        <v>0</v>
      </c>
      <c r="W429" s="3">
        <f t="shared" si="184"/>
        <v>24673.857672070324</v>
      </c>
      <c r="X429" s="3">
        <f t="shared" si="176"/>
        <v>12392.881638147888</v>
      </c>
      <c r="AI429" s="3"/>
      <c r="AJ429" s="3"/>
      <c r="AK429" s="15">
        <f t="shared" si="167"/>
        <v>2</v>
      </c>
      <c r="AL429" s="11">
        <f t="shared" si="171"/>
        <v>2520</v>
      </c>
      <c r="AM429" s="11" t="b">
        <f t="shared" si="166"/>
        <v>0</v>
      </c>
      <c r="AN429" s="11">
        <f t="shared" si="168"/>
        <v>36000</v>
      </c>
      <c r="AO429" s="11">
        <f t="shared" si="169"/>
        <v>0</v>
      </c>
      <c r="AP429" s="11">
        <f t="shared" si="170"/>
        <v>0.57026519663530517</v>
      </c>
      <c r="AQ429" s="11">
        <f t="shared" si="172"/>
        <v>0</v>
      </c>
      <c r="AT429" s="3"/>
      <c r="AU429" s="17"/>
      <c r="AV429" s="19"/>
      <c r="AW429" s="17"/>
      <c r="AX429" s="17">
        <f t="shared" si="165"/>
        <v>420</v>
      </c>
      <c r="AY429" s="17">
        <f t="shared" si="190"/>
        <v>42</v>
      </c>
      <c r="AZ429" s="17">
        <v>57.026519663530514</v>
      </c>
      <c r="BA429" s="17"/>
      <c r="BB429" s="17">
        <v>36</v>
      </c>
      <c r="BC429" s="17"/>
      <c r="BD429" s="17"/>
      <c r="BE429" s="17"/>
      <c r="BF429" s="17"/>
      <c r="BG429" s="17"/>
      <c r="BH429" s="17"/>
      <c r="BI429" s="17"/>
      <c r="BJ429" s="17"/>
      <c r="BK429" s="17"/>
      <c r="BL429" s="17"/>
      <c r="BM429" s="17"/>
      <c r="BN429" s="17"/>
      <c r="BO429" s="17"/>
      <c r="BP429" s="17"/>
      <c r="BQ429" s="17"/>
      <c r="BR429" s="17"/>
      <c r="BS429" s="17"/>
      <c r="BT429" s="17"/>
      <c r="BU429" s="17"/>
      <c r="BV429" s="17"/>
      <c r="BW429" s="17"/>
      <c r="BX429" s="17"/>
      <c r="BY429" s="17"/>
      <c r="BZ429" s="17"/>
      <c r="CA429" s="17"/>
      <c r="CB429" s="17"/>
      <c r="CC429" s="17"/>
      <c r="CD429" s="17"/>
      <c r="CE429" s="17"/>
      <c r="CF429" s="17"/>
      <c r="CG429" s="17"/>
      <c r="CH429" s="17"/>
    </row>
    <row r="430" spans="8:86" x14ac:dyDescent="0.15">
      <c r="H430" s="3">
        <f t="shared" si="185"/>
        <v>0.41800000000000032</v>
      </c>
      <c r="I430" s="3">
        <f t="shared" si="186"/>
        <v>360</v>
      </c>
      <c r="J430" s="14">
        <f t="shared" si="187"/>
        <v>500</v>
      </c>
      <c r="K430" s="3">
        <f t="shared" si="177"/>
        <v>0</v>
      </c>
      <c r="L430" s="3">
        <f t="shared" si="173"/>
        <v>500</v>
      </c>
      <c r="M430" s="15">
        <f t="shared" si="188"/>
        <v>7.0000000000000007E-2</v>
      </c>
      <c r="N430" s="3">
        <f t="shared" si="189"/>
        <v>68.470560836864152</v>
      </c>
      <c r="O430" s="3">
        <f t="shared" si="174"/>
        <v>68.470560836864152</v>
      </c>
      <c r="P430" s="3">
        <f t="shared" si="178"/>
        <v>73.624258964370057</v>
      </c>
      <c r="Q430" s="3">
        <f t="shared" si="179"/>
        <v>24.736851734697311</v>
      </c>
      <c r="R430" s="3">
        <f t="shared" si="180"/>
        <v>49.180555349533684</v>
      </c>
      <c r="S430" s="3">
        <f t="shared" si="175"/>
        <v>1</v>
      </c>
      <c r="T430" s="3">
        <f t="shared" si="181"/>
        <v>24443.703614836373</v>
      </c>
      <c r="U430" s="3">
        <f t="shared" si="182"/>
        <v>0.5</v>
      </c>
      <c r="V430" s="3">
        <f t="shared" si="183"/>
        <v>0</v>
      </c>
      <c r="W430" s="3">
        <f t="shared" si="184"/>
        <v>24649.401901271096</v>
      </c>
      <c r="X430" s="3">
        <f t="shared" si="176"/>
        <v>12368.425867348655</v>
      </c>
      <c r="AI430" s="3"/>
      <c r="AJ430" s="3"/>
      <c r="AK430" s="15">
        <f t="shared" si="167"/>
        <v>2</v>
      </c>
      <c r="AL430" s="11">
        <f t="shared" si="171"/>
        <v>2526</v>
      </c>
      <c r="AM430" s="11" t="b">
        <f t="shared" si="166"/>
        <v>0</v>
      </c>
      <c r="AN430" s="11">
        <f t="shared" si="168"/>
        <v>36000</v>
      </c>
      <c r="AO430" s="11">
        <f t="shared" si="169"/>
        <v>0</v>
      </c>
      <c r="AP430" s="11">
        <f t="shared" si="170"/>
        <v>0.57136751145011999</v>
      </c>
      <c r="AQ430" s="11">
        <f t="shared" si="172"/>
        <v>0</v>
      </c>
      <c r="AT430" s="3"/>
      <c r="AU430" s="17"/>
      <c r="AV430" s="19"/>
      <c r="AW430" s="17"/>
      <c r="AX430" s="17">
        <f t="shared" ref="AX430:AX493" si="191">IF(AX429&gt;=$AG$14,$AG$14,AX429+1)</f>
        <v>421</v>
      </c>
      <c r="AY430" s="17">
        <f t="shared" si="190"/>
        <v>42.1</v>
      </c>
      <c r="AZ430" s="17">
        <v>57.136751145011999</v>
      </c>
      <c r="BA430" s="17"/>
      <c r="BB430" s="17">
        <v>36</v>
      </c>
      <c r="BC430" s="17"/>
      <c r="BD430" s="17"/>
      <c r="BE430" s="17"/>
      <c r="BF430" s="17"/>
      <c r="BG430" s="17"/>
      <c r="BH430" s="17"/>
      <c r="BI430" s="17"/>
      <c r="BJ430" s="17"/>
      <c r="BK430" s="17"/>
      <c r="BL430" s="17"/>
      <c r="BM430" s="17"/>
      <c r="BN430" s="17"/>
      <c r="BO430" s="17"/>
      <c r="BP430" s="17"/>
      <c r="BQ430" s="17"/>
      <c r="BR430" s="17"/>
      <c r="BS430" s="17"/>
      <c r="BT430" s="17"/>
      <c r="BU430" s="17"/>
      <c r="BV430" s="17"/>
      <c r="BW430" s="17"/>
      <c r="BX430" s="17"/>
      <c r="BY430" s="17"/>
      <c r="BZ430" s="17"/>
      <c r="CA430" s="17"/>
      <c r="CB430" s="17"/>
      <c r="CC430" s="17"/>
      <c r="CD430" s="17"/>
      <c r="CE430" s="17"/>
      <c r="CF430" s="17"/>
      <c r="CG430" s="17"/>
      <c r="CH430" s="17"/>
    </row>
    <row r="431" spans="8:86" x14ac:dyDescent="0.15">
      <c r="H431" s="3">
        <f t="shared" si="185"/>
        <v>0.41900000000000032</v>
      </c>
      <c r="I431" s="3">
        <f t="shared" si="186"/>
        <v>360</v>
      </c>
      <c r="J431" s="14">
        <f t="shared" si="187"/>
        <v>500</v>
      </c>
      <c r="K431" s="3">
        <f t="shared" si="177"/>
        <v>0</v>
      </c>
      <c r="L431" s="3">
        <f t="shared" si="173"/>
        <v>500</v>
      </c>
      <c r="M431" s="15">
        <f t="shared" si="188"/>
        <v>7.0000000000000007E-2</v>
      </c>
      <c r="N431" s="3">
        <f t="shared" si="189"/>
        <v>68.402661660156269</v>
      </c>
      <c r="O431" s="3">
        <f t="shared" si="174"/>
        <v>68.402661660156269</v>
      </c>
      <c r="P431" s="3">
        <f t="shared" si="178"/>
        <v>73.551249096942229</v>
      </c>
      <c r="Q431" s="3">
        <f t="shared" si="179"/>
        <v>24.68796432746764</v>
      </c>
      <c r="R431" s="3">
        <f t="shared" si="180"/>
        <v>49.119606712204934</v>
      </c>
      <c r="S431" s="3">
        <f t="shared" si="175"/>
        <v>1</v>
      </c>
      <c r="T431" s="3">
        <f t="shared" si="181"/>
        <v>24431.642384737293</v>
      </c>
      <c r="U431" s="3">
        <f t="shared" si="182"/>
        <v>0.5</v>
      </c>
      <c r="V431" s="3">
        <f t="shared" si="183"/>
        <v>0</v>
      </c>
      <c r="W431" s="3">
        <f t="shared" si="184"/>
        <v>24624.958197656259</v>
      </c>
      <c r="X431" s="3">
        <f t="shared" si="176"/>
        <v>12343.982163733819</v>
      </c>
      <c r="AI431" s="3"/>
      <c r="AJ431" s="3"/>
      <c r="AK431" s="15">
        <f t="shared" si="167"/>
        <v>2</v>
      </c>
      <c r="AL431" s="11">
        <f t="shared" si="171"/>
        <v>2532</v>
      </c>
      <c r="AM431" s="11" t="b">
        <f t="shared" si="166"/>
        <v>0</v>
      </c>
      <c r="AN431" s="11">
        <f t="shared" si="168"/>
        <v>36000</v>
      </c>
      <c r="AO431" s="11">
        <f t="shared" si="169"/>
        <v>0</v>
      </c>
      <c r="AP431" s="11">
        <f t="shared" si="170"/>
        <v>0.57246982626493481</v>
      </c>
      <c r="AQ431" s="11">
        <f t="shared" si="172"/>
        <v>0</v>
      </c>
      <c r="AT431" s="3"/>
      <c r="AU431" s="17"/>
      <c r="AV431" s="19"/>
      <c r="AW431" s="17"/>
      <c r="AX431" s="17">
        <f t="shared" si="191"/>
        <v>422</v>
      </c>
      <c r="AY431" s="17">
        <f t="shared" si="190"/>
        <v>42.2</v>
      </c>
      <c r="AZ431" s="17">
        <v>57.246982626493484</v>
      </c>
      <c r="BA431" s="17"/>
      <c r="BB431" s="17">
        <v>36</v>
      </c>
      <c r="BC431" s="17"/>
      <c r="BD431" s="17"/>
      <c r="BE431" s="17"/>
      <c r="BF431" s="17"/>
      <c r="BG431" s="17"/>
      <c r="BH431" s="17"/>
      <c r="BI431" s="17"/>
      <c r="BJ431" s="17"/>
      <c r="BK431" s="17"/>
      <c r="BL431" s="17"/>
      <c r="BM431" s="17"/>
      <c r="BN431" s="17"/>
      <c r="BO431" s="17"/>
      <c r="BP431" s="17"/>
      <c r="BQ431" s="17"/>
      <c r="BR431" s="17"/>
      <c r="BS431" s="17"/>
      <c r="BT431" s="17"/>
      <c r="BU431" s="17"/>
      <c r="BV431" s="17"/>
      <c r="BW431" s="17"/>
      <c r="BX431" s="17"/>
      <c r="BY431" s="17"/>
      <c r="BZ431" s="17"/>
      <c r="CA431" s="17"/>
      <c r="CB431" s="17"/>
      <c r="CC431" s="17"/>
      <c r="CD431" s="17"/>
      <c r="CE431" s="17"/>
      <c r="CF431" s="17"/>
      <c r="CG431" s="17"/>
      <c r="CH431" s="17"/>
    </row>
    <row r="432" spans="8:86" x14ac:dyDescent="0.15">
      <c r="H432" s="3">
        <f t="shared" si="185"/>
        <v>0.42000000000000032</v>
      </c>
      <c r="I432" s="3">
        <f t="shared" si="186"/>
        <v>360</v>
      </c>
      <c r="J432" s="14">
        <f t="shared" si="187"/>
        <v>500</v>
      </c>
      <c r="K432" s="3">
        <f t="shared" si="177"/>
        <v>0</v>
      </c>
      <c r="L432" s="3">
        <f t="shared" si="173"/>
        <v>500</v>
      </c>
      <c r="M432" s="15">
        <f t="shared" si="188"/>
        <v>7.0000000000000007E-2</v>
      </c>
      <c r="N432" s="3">
        <f t="shared" si="189"/>
        <v>68.334795986865331</v>
      </c>
      <c r="O432" s="3">
        <f t="shared" si="174"/>
        <v>68.334795986865331</v>
      </c>
      <c r="P432" s="3">
        <f t="shared" si="178"/>
        <v>73.478275254693912</v>
      </c>
      <c r="Q432" s="3">
        <f t="shared" si="179"/>
        <v>24.639101042698162</v>
      </c>
      <c r="R432" s="3">
        <f t="shared" si="180"/>
        <v>49.058688148696035</v>
      </c>
      <c r="S432" s="3">
        <f t="shared" si="175"/>
        <v>1</v>
      </c>
      <c r="T432" s="3">
        <f t="shared" si="181"/>
        <v>24419.587105997878</v>
      </c>
      <c r="U432" s="3">
        <f t="shared" si="182"/>
        <v>0.5</v>
      </c>
      <c r="V432" s="3">
        <f t="shared" si="183"/>
        <v>0</v>
      </c>
      <c r="W432" s="3">
        <f t="shared" si="184"/>
        <v>24600.526555271517</v>
      </c>
      <c r="X432" s="3">
        <f t="shared" si="176"/>
        <v>12319.550521349081</v>
      </c>
      <c r="AI432" s="3"/>
      <c r="AJ432" s="3"/>
      <c r="AK432" s="15">
        <f t="shared" si="167"/>
        <v>2</v>
      </c>
      <c r="AL432" s="11">
        <f t="shared" si="171"/>
        <v>2538</v>
      </c>
      <c r="AM432" s="11" t="b">
        <f t="shared" si="166"/>
        <v>0</v>
      </c>
      <c r="AN432" s="11">
        <f t="shared" si="168"/>
        <v>36000</v>
      </c>
      <c r="AO432" s="11">
        <f t="shared" si="169"/>
        <v>0</v>
      </c>
      <c r="AP432" s="11">
        <f t="shared" si="170"/>
        <v>0.57357214107974974</v>
      </c>
      <c r="AQ432" s="11">
        <f t="shared" si="172"/>
        <v>0</v>
      </c>
      <c r="AT432" s="3"/>
      <c r="AU432" s="17"/>
      <c r="AV432" s="19"/>
      <c r="AW432" s="17"/>
      <c r="AX432" s="17">
        <f t="shared" si="191"/>
        <v>423</v>
      </c>
      <c r="AY432" s="17">
        <f t="shared" si="190"/>
        <v>42.3</v>
      </c>
      <c r="AZ432" s="17">
        <v>57.357214107974976</v>
      </c>
      <c r="BA432" s="17"/>
      <c r="BB432" s="17">
        <v>36</v>
      </c>
      <c r="BC432" s="17"/>
      <c r="BD432" s="17"/>
      <c r="BE432" s="17"/>
      <c r="BF432" s="17"/>
      <c r="BG432" s="17"/>
      <c r="BH432" s="17"/>
      <c r="BI432" s="17"/>
      <c r="BJ432" s="17"/>
      <c r="BK432" s="17"/>
      <c r="BL432" s="17"/>
      <c r="BM432" s="17"/>
      <c r="BN432" s="17"/>
      <c r="BO432" s="17"/>
      <c r="BP432" s="17"/>
      <c r="BQ432" s="17"/>
      <c r="BR432" s="17"/>
      <c r="BS432" s="17"/>
      <c r="BT432" s="17"/>
      <c r="BU432" s="17"/>
      <c r="BV432" s="17"/>
      <c r="BW432" s="17"/>
      <c r="BX432" s="17"/>
      <c r="BY432" s="17"/>
      <c r="BZ432" s="17"/>
      <c r="CA432" s="17"/>
      <c r="CB432" s="17"/>
      <c r="CC432" s="17"/>
      <c r="CD432" s="17"/>
      <c r="CE432" s="17"/>
      <c r="CF432" s="17"/>
      <c r="CG432" s="17"/>
      <c r="CH432" s="17"/>
    </row>
    <row r="433" spans="8:86" x14ac:dyDescent="0.15">
      <c r="H433" s="3">
        <f t="shared" si="185"/>
        <v>0.42100000000000032</v>
      </c>
      <c r="I433" s="3">
        <f t="shared" si="186"/>
        <v>360</v>
      </c>
      <c r="J433" s="14">
        <f t="shared" si="187"/>
        <v>500</v>
      </c>
      <c r="K433" s="3">
        <f t="shared" si="177"/>
        <v>0</v>
      </c>
      <c r="L433" s="3">
        <f t="shared" si="173"/>
        <v>500</v>
      </c>
      <c r="M433" s="15">
        <f t="shared" si="188"/>
        <v>7.0000000000000007E-2</v>
      </c>
      <c r="N433" s="3">
        <f t="shared" si="189"/>
        <v>68.266963800459777</v>
      </c>
      <c r="O433" s="3">
        <f t="shared" si="174"/>
        <v>68.266963800459777</v>
      </c>
      <c r="P433" s="3">
        <f t="shared" si="178"/>
        <v>73.405337419849232</v>
      </c>
      <c r="Q433" s="3">
        <f t="shared" si="179"/>
        <v>24.590261868486166</v>
      </c>
      <c r="R433" s="3">
        <f t="shared" si="180"/>
        <v>48.997799644167699</v>
      </c>
      <c r="S433" s="3">
        <f t="shared" si="175"/>
        <v>1</v>
      </c>
      <c r="T433" s="3">
        <f t="shared" si="181"/>
        <v>24407.537775681532</v>
      </c>
      <c r="U433" s="3">
        <f t="shared" si="182"/>
        <v>0.5</v>
      </c>
      <c r="V433" s="3">
        <f t="shared" si="183"/>
        <v>0</v>
      </c>
      <c r="W433" s="3">
        <f t="shared" si="184"/>
        <v>24576.106968165521</v>
      </c>
      <c r="X433" s="3">
        <f t="shared" si="176"/>
        <v>12295.130934243083</v>
      </c>
      <c r="AI433" s="3"/>
      <c r="AJ433" s="3"/>
      <c r="AK433" s="15">
        <f t="shared" si="167"/>
        <v>2</v>
      </c>
      <c r="AL433" s="11">
        <f t="shared" si="171"/>
        <v>2544</v>
      </c>
      <c r="AM433" s="11" t="b">
        <f t="shared" si="166"/>
        <v>0</v>
      </c>
      <c r="AN433" s="11">
        <f t="shared" si="168"/>
        <v>36000</v>
      </c>
      <c r="AO433" s="11">
        <f t="shared" si="169"/>
        <v>0</v>
      </c>
      <c r="AP433" s="11">
        <f t="shared" si="170"/>
        <v>0.57467445589456456</v>
      </c>
      <c r="AQ433" s="11">
        <f t="shared" si="172"/>
        <v>0</v>
      </c>
      <c r="AT433" s="3"/>
      <c r="AU433" s="17"/>
      <c r="AV433" s="19"/>
      <c r="AW433" s="17"/>
      <c r="AX433" s="17">
        <f t="shared" si="191"/>
        <v>424</v>
      </c>
      <c r="AY433" s="17">
        <f t="shared" si="190"/>
        <v>42.4</v>
      </c>
      <c r="AZ433" s="17">
        <v>57.467445589456453</v>
      </c>
      <c r="BA433" s="17"/>
      <c r="BB433" s="17">
        <v>36</v>
      </c>
      <c r="BC433" s="17"/>
      <c r="BD433" s="17"/>
      <c r="BE433" s="17"/>
      <c r="BF433" s="17"/>
      <c r="BG433" s="17"/>
      <c r="BH433" s="17"/>
      <c r="BI433" s="17"/>
      <c r="BJ433" s="17"/>
      <c r="BK433" s="17"/>
      <c r="BL433" s="17"/>
      <c r="BM433" s="17"/>
      <c r="BN433" s="17"/>
      <c r="BO433" s="17"/>
      <c r="BP433" s="17"/>
      <c r="BQ433" s="17"/>
      <c r="BR433" s="17"/>
      <c r="BS433" s="17"/>
      <c r="BT433" s="17"/>
      <c r="BU433" s="17"/>
      <c r="BV433" s="17"/>
      <c r="BW433" s="17"/>
      <c r="BX433" s="17"/>
      <c r="BY433" s="17"/>
      <c r="BZ433" s="17"/>
      <c r="CA433" s="17"/>
      <c r="CB433" s="17"/>
      <c r="CC433" s="17"/>
      <c r="CD433" s="17"/>
      <c r="CE433" s="17"/>
      <c r="CF433" s="17"/>
      <c r="CG433" s="17"/>
      <c r="CH433" s="17"/>
    </row>
    <row r="434" spans="8:86" x14ac:dyDescent="0.15">
      <c r="H434" s="3">
        <f t="shared" si="185"/>
        <v>0.42200000000000032</v>
      </c>
      <c r="I434" s="3">
        <f t="shared" si="186"/>
        <v>360</v>
      </c>
      <c r="J434" s="14">
        <f t="shared" si="187"/>
        <v>500</v>
      </c>
      <c r="K434" s="3">
        <f t="shared" si="177"/>
        <v>0</v>
      </c>
      <c r="L434" s="3">
        <f t="shared" si="173"/>
        <v>500</v>
      </c>
      <c r="M434" s="15">
        <f t="shared" si="188"/>
        <v>7.0000000000000007E-2</v>
      </c>
      <c r="N434" s="3">
        <f t="shared" si="189"/>
        <v>68.199165084416222</v>
      </c>
      <c r="O434" s="3">
        <f t="shared" si="174"/>
        <v>68.199165084416222</v>
      </c>
      <c r="P434" s="3">
        <f t="shared" si="178"/>
        <v>73.33243557464111</v>
      </c>
      <c r="Q434" s="3">
        <f t="shared" si="179"/>
        <v>24.541446792934803</v>
      </c>
      <c r="R434" s="3">
        <f t="shared" si="180"/>
        <v>48.936941183787958</v>
      </c>
      <c r="S434" s="3">
        <f t="shared" si="175"/>
        <v>1</v>
      </c>
      <c r="T434" s="3">
        <f t="shared" si="181"/>
        <v>24395.494390853153</v>
      </c>
      <c r="U434" s="3">
        <f t="shared" si="182"/>
        <v>0.5</v>
      </c>
      <c r="V434" s="3">
        <f t="shared" si="183"/>
        <v>0</v>
      </c>
      <c r="W434" s="3">
        <f t="shared" si="184"/>
        <v>24551.699430389839</v>
      </c>
      <c r="X434" s="3">
        <f t="shared" si="176"/>
        <v>12270.723396467401</v>
      </c>
      <c r="AI434" s="3"/>
      <c r="AJ434" s="3"/>
      <c r="AK434" s="15">
        <f t="shared" si="167"/>
        <v>2</v>
      </c>
      <c r="AL434" s="11">
        <f t="shared" si="171"/>
        <v>2550</v>
      </c>
      <c r="AM434" s="11" t="b">
        <f t="shared" si="166"/>
        <v>0</v>
      </c>
      <c r="AN434" s="11">
        <f t="shared" si="168"/>
        <v>36000</v>
      </c>
      <c r="AO434" s="11">
        <f t="shared" si="169"/>
        <v>0</v>
      </c>
      <c r="AP434" s="11">
        <f t="shared" si="170"/>
        <v>0.57577677070937938</v>
      </c>
      <c r="AQ434" s="11">
        <f t="shared" si="172"/>
        <v>0</v>
      </c>
      <c r="AT434" s="3"/>
      <c r="AU434" s="17"/>
      <c r="AV434" s="19"/>
      <c r="AW434" s="17"/>
      <c r="AX434" s="17">
        <f t="shared" si="191"/>
        <v>425</v>
      </c>
      <c r="AY434" s="17">
        <f t="shared" si="190"/>
        <v>42.5</v>
      </c>
      <c r="AZ434" s="17">
        <v>57.577677070937938</v>
      </c>
      <c r="BA434" s="17"/>
      <c r="BB434" s="17">
        <v>36</v>
      </c>
      <c r="BC434" s="17"/>
      <c r="BD434" s="17"/>
      <c r="BE434" s="17"/>
      <c r="BF434" s="17"/>
      <c r="BG434" s="17"/>
      <c r="BH434" s="17"/>
      <c r="BI434" s="17"/>
      <c r="BJ434" s="17"/>
      <c r="BK434" s="17"/>
      <c r="BL434" s="17"/>
      <c r="BM434" s="17"/>
      <c r="BN434" s="17"/>
      <c r="BO434" s="17"/>
      <c r="BP434" s="17"/>
      <c r="BQ434" s="17"/>
      <c r="BR434" s="17"/>
      <c r="BS434" s="17"/>
      <c r="BT434" s="17"/>
      <c r="BU434" s="17"/>
      <c r="BV434" s="17"/>
      <c r="BW434" s="17"/>
      <c r="BX434" s="17"/>
      <c r="BY434" s="17"/>
      <c r="BZ434" s="17"/>
      <c r="CA434" s="17"/>
      <c r="CB434" s="17"/>
      <c r="CC434" s="17"/>
      <c r="CD434" s="17"/>
      <c r="CE434" s="17"/>
      <c r="CF434" s="17"/>
      <c r="CG434" s="17"/>
      <c r="CH434" s="17"/>
    </row>
    <row r="435" spans="8:86" x14ac:dyDescent="0.15">
      <c r="H435" s="3">
        <f t="shared" si="185"/>
        <v>0.42300000000000032</v>
      </c>
      <c r="I435" s="3">
        <f t="shared" si="186"/>
        <v>360</v>
      </c>
      <c r="J435" s="14">
        <f t="shared" si="187"/>
        <v>500</v>
      </c>
      <c r="K435" s="3">
        <f t="shared" si="177"/>
        <v>0</v>
      </c>
      <c r="L435" s="3">
        <f t="shared" si="173"/>
        <v>500</v>
      </c>
      <c r="M435" s="15">
        <f t="shared" si="188"/>
        <v>7.0000000000000007E-2</v>
      </c>
      <c r="N435" s="3">
        <f t="shared" si="189"/>
        <v>68.131399822219407</v>
      </c>
      <c r="O435" s="3">
        <f t="shared" si="174"/>
        <v>68.131399822219407</v>
      </c>
      <c r="P435" s="3">
        <f t="shared" si="178"/>
        <v>73.259569701311193</v>
      </c>
      <c r="Q435" s="3">
        <f t="shared" si="179"/>
        <v>24.492655804153095</v>
      </c>
      <c r="R435" s="3">
        <f t="shared" si="180"/>
        <v>48.876112752732141</v>
      </c>
      <c r="S435" s="3">
        <f t="shared" si="175"/>
        <v>1</v>
      </c>
      <c r="T435" s="3">
        <f t="shared" si="181"/>
        <v>24383.456948579049</v>
      </c>
      <c r="U435" s="3">
        <f t="shared" si="182"/>
        <v>0.5</v>
      </c>
      <c r="V435" s="3">
        <f t="shared" si="183"/>
        <v>0</v>
      </c>
      <c r="W435" s="3">
        <f t="shared" si="184"/>
        <v>24527.303935998985</v>
      </c>
      <c r="X435" s="3">
        <f t="shared" si="176"/>
        <v>12246.327902076548</v>
      </c>
      <c r="AI435" s="3"/>
      <c r="AJ435" s="3"/>
      <c r="AK435" s="15">
        <f t="shared" si="167"/>
        <v>2</v>
      </c>
      <c r="AL435" s="11">
        <f t="shared" si="171"/>
        <v>2556</v>
      </c>
      <c r="AM435" s="11" t="b">
        <f t="shared" si="166"/>
        <v>0</v>
      </c>
      <c r="AN435" s="11">
        <f t="shared" si="168"/>
        <v>36000</v>
      </c>
      <c r="AO435" s="11">
        <f t="shared" si="169"/>
        <v>0</v>
      </c>
      <c r="AP435" s="11">
        <f t="shared" si="170"/>
        <v>0.5768790855241942</v>
      </c>
      <c r="AQ435" s="11">
        <f t="shared" si="172"/>
        <v>0</v>
      </c>
      <c r="AT435" s="3"/>
      <c r="AU435" s="17"/>
      <c r="AV435" s="19"/>
      <c r="AW435" s="17"/>
      <c r="AX435" s="17">
        <f t="shared" si="191"/>
        <v>426</v>
      </c>
      <c r="AY435" s="17">
        <f t="shared" si="190"/>
        <v>42.6</v>
      </c>
      <c r="AZ435" s="17">
        <v>57.687908552419422</v>
      </c>
      <c r="BA435" s="17"/>
      <c r="BB435" s="17">
        <v>36</v>
      </c>
      <c r="BC435" s="17"/>
      <c r="BD435" s="17"/>
      <c r="BE435" s="17"/>
      <c r="BF435" s="17"/>
      <c r="BG435" s="17"/>
      <c r="BH435" s="17"/>
      <c r="BI435" s="17"/>
      <c r="BJ435" s="17"/>
      <c r="BK435" s="17"/>
      <c r="BL435" s="17"/>
      <c r="BM435" s="17"/>
      <c r="BN435" s="17"/>
      <c r="BO435" s="17"/>
      <c r="BP435" s="17"/>
      <c r="BQ435" s="17"/>
      <c r="BR435" s="17"/>
      <c r="BS435" s="17"/>
      <c r="BT435" s="17"/>
      <c r="BU435" s="17"/>
      <c r="BV435" s="17"/>
      <c r="BW435" s="17"/>
      <c r="BX435" s="17"/>
      <c r="BY435" s="17"/>
      <c r="BZ435" s="17"/>
      <c r="CA435" s="17"/>
      <c r="CB435" s="17"/>
      <c r="CC435" s="17"/>
      <c r="CD435" s="17"/>
      <c r="CE435" s="17"/>
      <c r="CF435" s="17"/>
      <c r="CG435" s="17"/>
      <c r="CH435" s="17"/>
    </row>
    <row r="436" spans="8:86" x14ac:dyDescent="0.15">
      <c r="H436" s="3">
        <f t="shared" si="185"/>
        <v>0.42400000000000032</v>
      </c>
      <c r="I436" s="3">
        <f t="shared" si="186"/>
        <v>360</v>
      </c>
      <c r="J436" s="14">
        <f t="shared" si="187"/>
        <v>500</v>
      </c>
      <c r="K436" s="3">
        <f t="shared" si="177"/>
        <v>0</v>
      </c>
      <c r="L436" s="3">
        <f t="shared" si="173"/>
        <v>500</v>
      </c>
      <c r="M436" s="15">
        <f t="shared" si="188"/>
        <v>7.0000000000000007E-2</v>
      </c>
      <c r="N436" s="3">
        <f t="shared" si="189"/>
        <v>68.063667997362231</v>
      </c>
      <c r="O436" s="3">
        <f t="shared" si="174"/>
        <v>68.063667997362231</v>
      </c>
      <c r="P436" s="3">
        <f t="shared" si="178"/>
        <v>73.186739782109925</v>
      </c>
      <c r="Q436" s="3">
        <f t="shared" si="179"/>
        <v>24.443888890255938</v>
      </c>
      <c r="R436" s="3">
        <f t="shared" si="180"/>
        <v>48.815314336182929</v>
      </c>
      <c r="S436" s="3">
        <f t="shared" si="175"/>
        <v>1</v>
      </c>
      <c r="T436" s="3">
        <f t="shared" si="181"/>
        <v>24371.425445926994</v>
      </c>
      <c r="U436" s="3">
        <f t="shared" si="182"/>
        <v>0.5</v>
      </c>
      <c r="V436" s="3">
        <f t="shared" si="183"/>
        <v>0</v>
      </c>
      <c r="W436" s="3">
        <f t="shared" si="184"/>
        <v>24502.920479050405</v>
      </c>
      <c r="X436" s="3">
        <f t="shared" si="176"/>
        <v>12221.944445127969</v>
      </c>
      <c r="AI436" s="3"/>
      <c r="AJ436" s="3"/>
      <c r="AK436" s="15">
        <f t="shared" si="167"/>
        <v>2</v>
      </c>
      <c r="AL436" s="11">
        <f t="shared" si="171"/>
        <v>2562</v>
      </c>
      <c r="AM436" s="11" t="b">
        <f t="shared" si="166"/>
        <v>0</v>
      </c>
      <c r="AN436" s="11">
        <f t="shared" si="168"/>
        <v>36000</v>
      </c>
      <c r="AO436" s="11">
        <f t="shared" si="169"/>
        <v>0</v>
      </c>
      <c r="AP436" s="11">
        <f t="shared" si="170"/>
        <v>0.57798140033900902</v>
      </c>
      <c r="AQ436" s="11">
        <f t="shared" si="172"/>
        <v>0</v>
      </c>
      <c r="AT436" s="3"/>
      <c r="AU436" s="17"/>
      <c r="AV436" s="19"/>
      <c r="AW436" s="17"/>
      <c r="AX436" s="17">
        <f t="shared" si="191"/>
        <v>427</v>
      </c>
      <c r="AY436" s="17">
        <f t="shared" si="190"/>
        <v>42.7</v>
      </c>
      <c r="AZ436" s="17">
        <v>57.7981400339009</v>
      </c>
      <c r="BA436" s="17"/>
      <c r="BB436" s="17">
        <v>36</v>
      </c>
      <c r="BC436" s="17"/>
      <c r="BD436" s="17"/>
      <c r="BE436" s="17"/>
      <c r="BF436" s="17"/>
      <c r="BG436" s="17"/>
      <c r="BH436" s="17"/>
      <c r="BI436" s="17"/>
      <c r="BJ436" s="17"/>
      <c r="BK436" s="17"/>
      <c r="BL436" s="17"/>
      <c r="BM436" s="17"/>
      <c r="BN436" s="17"/>
      <c r="BO436" s="17"/>
      <c r="BP436" s="17"/>
      <c r="BQ436" s="17"/>
      <c r="BR436" s="17"/>
      <c r="BS436" s="17"/>
      <c r="BT436" s="17"/>
      <c r="BU436" s="17"/>
      <c r="BV436" s="17"/>
      <c r="BW436" s="17"/>
      <c r="BX436" s="17"/>
      <c r="BY436" s="17"/>
      <c r="BZ436" s="17"/>
      <c r="CA436" s="17"/>
      <c r="CB436" s="17"/>
      <c r="CC436" s="17"/>
      <c r="CD436" s="17"/>
      <c r="CE436" s="17"/>
      <c r="CF436" s="17"/>
      <c r="CG436" s="17"/>
      <c r="CH436" s="17"/>
    </row>
    <row r="437" spans="8:86" x14ac:dyDescent="0.15">
      <c r="H437" s="3">
        <f t="shared" si="185"/>
        <v>0.42500000000000032</v>
      </c>
      <c r="I437" s="3">
        <f t="shared" si="186"/>
        <v>360</v>
      </c>
      <c r="J437" s="14">
        <f t="shared" si="187"/>
        <v>500</v>
      </c>
      <c r="K437" s="3">
        <f t="shared" si="177"/>
        <v>0</v>
      </c>
      <c r="L437" s="3">
        <f t="shared" si="173"/>
        <v>500</v>
      </c>
      <c r="M437" s="15">
        <f t="shared" si="188"/>
        <v>7.0000000000000007E-2</v>
      </c>
      <c r="N437" s="3">
        <f t="shared" si="189"/>
        <v>67.995969593345777</v>
      </c>
      <c r="O437" s="3">
        <f t="shared" si="174"/>
        <v>67.995969593345777</v>
      </c>
      <c r="P437" s="3">
        <f t="shared" si="178"/>
        <v>73.113945799296545</v>
      </c>
      <c r="Q437" s="3">
        <f t="shared" si="179"/>
        <v>24.395146039364086</v>
      </c>
      <c r="R437" s="3">
        <f t="shared" si="180"/>
        <v>48.754545919330312</v>
      </c>
      <c r="S437" s="3">
        <f t="shared" si="175"/>
        <v>1</v>
      </c>
      <c r="T437" s="3">
        <f t="shared" si="181"/>
        <v>24359.399879966229</v>
      </c>
      <c r="U437" s="3">
        <f t="shared" si="182"/>
        <v>0.5</v>
      </c>
      <c r="V437" s="3">
        <f t="shared" si="183"/>
        <v>0</v>
      </c>
      <c r="W437" s="3">
        <f t="shared" si="184"/>
        <v>24478.549053604478</v>
      </c>
      <c r="X437" s="3">
        <f t="shared" si="176"/>
        <v>12197.573019682042</v>
      </c>
      <c r="AI437" s="3"/>
      <c r="AJ437" s="3"/>
      <c r="AK437" s="15">
        <f t="shared" si="167"/>
        <v>2</v>
      </c>
      <c r="AL437" s="11">
        <f t="shared" si="171"/>
        <v>2568</v>
      </c>
      <c r="AM437" s="11" t="b">
        <f t="shared" si="166"/>
        <v>0</v>
      </c>
      <c r="AN437" s="11">
        <f t="shared" si="168"/>
        <v>36000</v>
      </c>
      <c r="AO437" s="11">
        <f t="shared" si="169"/>
        <v>0</v>
      </c>
      <c r="AP437" s="11">
        <f t="shared" si="170"/>
        <v>0.57908371515382395</v>
      </c>
      <c r="AQ437" s="11">
        <f t="shared" si="172"/>
        <v>0</v>
      </c>
      <c r="AT437" s="3"/>
      <c r="AU437" s="17"/>
      <c r="AV437" s="19"/>
      <c r="AW437" s="17"/>
      <c r="AX437" s="17">
        <f t="shared" si="191"/>
        <v>428</v>
      </c>
      <c r="AY437" s="17">
        <f t="shared" si="190"/>
        <v>42.8</v>
      </c>
      <c r="AZ437" s="17">
        <v>57.908371515382399</v>
      </c>
      <c r="BA437" s="17"/>
      <c r="BB437" s="17">
        <v>36</v>
      </c>
      <c r="BC437" s="17"/>
      <c r="BD437" s="17"/>
      <c r="BE437" s="17"/>
      <c r="BF437" s="17"/>
      <c r="BG437" s="17"/>
      <c r="BH437" s="17"/>
      <c r="BI437" s="17"/>
      <c r="BJ437" s="17"/>
      <c r="BK437" s="17"/>
      <c r="BL437" s="17"/>
      <c r="BM437" s="17"/>
      <c r="BN437" s="17"/>
      <c r="BO437" s="17"/>
      <c r="BP437" s="17"/>
      <c r="BQ437" s="17"/>
      <c r="BR437" s="17"/>
      <c r="BS437" s="17"/>
      <c r="BT437" s="17"/>
      <c r="BU437" s="17"/>
      <c r="BV437" s="17"/>
      <c r="BW437" s="17"/>
      <c r="BX437" s="17"/>
      <c r="BY437" s="17"/>
      <c r="BZ437" s="17"/>
      <c r="CA437" s="17"/>
      <c r="CB437" s="17"/>
      <c r="CC437" s="17"/>
      <c r="CD437" s="17"/>
      <c r="CE437" s="17"/>
      <c r="CF437" s="17"/>
      <c r="CG437" s="17"/>
      <c r="CH437" s="17"/>
    </row>
    <row r="438" spans="8:86" x14ac:dyDescent="0.15">
      <c r="H438" s="3">
        <f t="shared" si="185"/>
        <v>0.42600000000000032</v>
      </c>
      <c r="I438" s="3">
        <f t="shared" si="186"/>
        <v>360</v>
      </c>
      <c r="J438" s="14">
        <f t="shared" si="187"/>
        <v>500</v>
      </c>
      <c r="K438" s="3">
        <f t="shared" si="177"/>
        <v>0</v>
      </c>
      <c r="L438" s="3">
        <f t="shared" si="173"/>
        <v>500</v>
      </c>
      <c r="M438" s="15">
        <f t="shared" si="188"/>
        <v>7.0000000000000007E-2</v>
      </c>
      <c r="N438" s="3">
        <f t="shared" si="189"/>
        <v>67.928304593679201</v>
      </c>
      <c r="O438" s="3">
        <f t="shared" si="174"/>
        <v>67.928304593679201</v>
      </c>
      <c r="P438" s="3">
        <f t="shared" si="178"/>
        <v>73.041187735138934</v>
      </c>
      <c r="Q438" s="3">
        <f t="shared" si="179"/>
        <v>24.346427239604154</v>
      </c>
      <c r="R438" s="3">
        <f t="shared" si="180"/>
        <v>48.693807487371544</v>
      </c>
      <c r="S438" s="3">
        <f t="shared" si="175"/>
        <v>1</v>
      </c>
      <c r="T438" s="3">
        <f t="shared" si="181"/>
        <v>24347.380247767389</v>
      </c>
      <c r="U438" s="3">
        <f t="shared" si="182"/>
        <v>0.5</v>
      </c>
      <c r="V438" s="3">
        <f t="shared" si="183"/>
        <v>0</v>
      </c>
      <c r="W438" s="3">
        <f t="shared" si="184"/>
        <v>24454.189653724512</v>
      </c>
      <c r="X438" s="3">
        <f t="shared" si="176"/>
        <v>12173.213619802076</v>
      </c>
      <c r="AI438" s="3"/>
      <c r="AJ438" s="3"/>
      <c r="AK438" s="15">
        <f t="shared" si="167"/>
        <v>2</v>
      </c>
      <c r="AL438" s="11">
        <f t="shared" si="171"/>
        <v>2574</v>
      </c>
      <c r="AM438" s="11" t="b">
        <f t="shared" si="166"/>
        <v>0</v>
      </c>
      <c r="AN438" s="11">
        <f t="shared" si="168"/>
        <v>36000</v>
      </c>
      <c r="AO438" s="11">
        <f t="shared" si="169"/>
        <v>0</v>
      </c>
      <c r="AP438" s="11">
        <f t="shared" si="170"/>
        <v>0.58018602996863877</v>
      </c>
      <c r="AQ438" s="11">
        <f t="shared" si="172"/>
        <v>0</v>
      </c>
      <c r="AT438" s="3"/>
      <c r="AU438" s="17"/>
      <c r="AV438" s="19"/>
      <c r="AW438" s="17"/>
      <c r="AX438" s="17">
        <f t="shared" si="191"/>
        <v>429</v>
      </c>
      <c r="AY438" s="17">
        <f t="shared" si="190"/>
        <v>42.9</v>
      </c>
      <c r="AZ438" s="17">
        <v>58.018602996863876</v>
      </c>
      <c r="BA438" s="17"/>
      <c r="BB438" s="17">
        <v>36</v>
      </c>
      <c r="BC438" s="17"/>
      <c r="BD438" s="17"/>
      <c r="BE438" s="17"/>
      <c r="BF438" s="17"/>
      <c r="BG438" s="17"/>
      <c r="BH438" s="17"/>
      <c r="BI438" s="17"/>
      <c r="BJ438" s="17"/>
      <c r="BK438" s="17"/>
      <c r="BL438" s="17"/>
      <c r="BM438" s="17"/>
      <c r="BN438" s="17"/>
      <c r="BO438" s="17"/>
      <c r="BP438" s="17"/>
      <c r="BQ438" s="17"/>
      <c r="BR438" s="17"/>
      <c r="BS438" s="17"/>
      <c r="BT438" s="17"/>
      <c r="BU438" s="17"/>
      <c r="BV438" s="17"/>
      <c r="BW438" s="17"/>
      <c r="BX438" s="17"/>
      <c r="BY438" s="17"/>
      <c r="BZ438" s="17"/>
      <c r="CA438" s="17"/>
      <c r="CB438" s="17"/>
      <c r="CC438" s="17"/>
      <c r="CD438" s="17"/>
      <c r="CE438" s="17"/>
      <c r="CF438" s="17"/>
      <c r="CG438" s="17"/>
      <c r="CH438" s="17"/>
    </row>
    <row r="439" spans="8:86" x14ac:dyDescent="0.15">
      <c r="H439" s="3">
        <f t="shared" si="185"/>
        <v>0.42700000000000032</v>
      </c>
      <c r="I439" s="3">
        <f t="shared" si="186"/>
        <v>360</v>
      </c>
      <c r="J439" s="14">
        <f t="shared" si="187"/>
        <v>500</v>
      </c>
      <c r="K439" s="3">
        <f t="shared" si="177"/>
        <v>0</v>
      </c>
      <c r="L439" s="3">
        <f t="shared" si="173"/>
        <v>500</v>
      </c>
      <c r="M439" s="15">
        <f t="shared" si="188"/>
        <v>7.0000000000000007E-2</v>
      </c>
      <c r="N439" s="3">
        <f t="shared" si="189"/>
        <v>67.860672981879844</v>
      </c>
      <c r="O439" s="3">
        <f t="shared" si="174"/>
        <v>67.860672981879844</v>
      </c>
      <c r="P439" s="3">
        <f t="shared" si="178"/>
        <v>72.968465571913811</v>
      </c>
      <c r="Q439" s="3">
        <f t="shared" si="179"/>
        <v>24.297732479108618</v>
      </c>
      <c r="R439" s="3">
        <f t="shared" si="180"/>
        <v>48.633099025511214</v>
      </c>
      <c r="S439" s="3">
        <f t="shared" si="175"/>
        <v>1</v>
      </c>
      <c r="T439" s="3">
        <f t="shared" si="181"/>
        <v>24335.366546402598</v>
      </c>
      <c r="U439" s="3">
        <f t="shared" si="182"/>
        <v>0.5</v>
      </c>
      <c r="V439" s="3">
        <f t="shared" si="183"/>
        <v>0</v>
      </c>
      <c r="W439" s="3">
        <f t="shared" si="184"/>
        <v>24429.842273476745</v>
      </c>
      <c r="X439" s="3">
        <f t="shared" si="176"/>
        <v>12148.866239554309</v>
      </c>
      <c r="AI439" s="3"/>
      <c r="AJ439" s="3"/>
      <c r="AK439" s="15">
        <f t="shared" si="167"/>
        <v>2</v>
      </c>
      <c r="AL439" s="11">
        <f t="shared" si="171"/>
        <v>2580</v>
      </c>
      <c r="AM439" s="11" t="b">
        <f t="shared" si="166"/>
        <v>0</v>
      </c>
      <c r="AN439" s="11">
        <f t="shared" si="168"/>
        <v>36000</v>
      </c>
      <c r="AO439" s="11">
        <f t="shared" si="169"/>
        <v>0</v>
      </c>
      <c r="AP439" s="11">
        <f t="shared" si="170"/>
        <v>0.58128834478345359</v>
      </c>
      <c r="AQ439" s="11">
        <f t="shared" si="172"/>
        <v>0</v>
      </c>
      <c r="AT439" s="3"/>
      <c r="AU439" s="17"/>
      <c r="AV439" s="19"/>
      <c r="AW439" s="17"/>
      <c r="AX439" s="17">
        <f t="shared" si="191"/>
        <v>430</v>
      </c>
      <c r="AY439" s="17">
        <f t="shared" si="190"/>
        <v>43</v>
      </c>
      <c r="AZ439" s="17">
        <v>58.128834478345361</v>
      </c>
      <c r="BA439" s="17"/>
      <c r="BB439" s="17">
        <v>36</v>
      </c>
      <c r="BC439" s="17"/>
      <c r="BD439" s="17"/>
      <c r="BE439" s="17"/>
      <c r="BF439" s="17"/>
      <c r="BG439" s="17"/>
      <c r="BH439" s="17"/>
      <c r="BI439" s="17"/>
      <c r="BJ439" s="17"/>
      <c r="BK439" s="17"/>
      <c r="BL439" s="17"/>
      <c r="BM439" s="17"/>
      <c r="BN439" s="17"/>
      <c r="BO439" s="17"/>
      <c r="BP439" s="17"/>
      <c r="BQ439" s="17"/>
      <c r="BR439" s="17"/>
      <c r="BS439" s="17"/>
      <c r="BT439" s="17"/>
      <c r="BU439" s="17"/>
      <c r="BV439" s="17"/>
      <c r="BW439" s="17"/>
      <c r="BX439" s="17"/>
      <c r="BY439" s="17"/>
      <c r="BZ439" s="17"/>
      <c r="CA439" s="17"/>
      <c r="CB439" s="17"/>
      <c r="CC439" s="17"/>
      <c r="CD439" s="17"/>
      <c r="CE439" s="17"/>
      <c r="CF439" s="17"/>
      <c r="CG439" s="17"/>
      <c r="CH439" s="17"/>
    </row>
    <row r="440" spans="8:86" x14ac:dyDescent="0.15">
      <c r="H440" s="3">
        <f t="shared" si="185"/>
        <v>0.42800000000000032</v>
      </c>
      <c r="I440" s="3">
        <f t="shared" si="186"/>
        <v>360</v>
      </c>
      <c r="J440" s="14">
        <f t="shared" si="187"/>
        <v>500</v>
      </c>
      <c r="K440" s="3">
        <f t="shared" si="177"/>
        <v>0</v>
      </c>
      <c r="L440" s="3">
        <f t="shared" si="173"/>
        <v>500</v>
      </c>
      <c r="M440" s="15">
        <f t="shared" si="188"/>
        <v>7.0000000000000007E-2</v>
      </c>
      <c r="N440" s="3">
        <f t="shared" si="189"/>
        <v>67.793074741473177</v>
      </c>
      <c r="O440" s="3">
        <f t="shared" si="174"/>
        <v>67.793074741473177</v>
      </c>
      <c r="P440" s="3">
        <f t="shared" si="178"/>
        <v>72.895779291906649</v>
      </c>
      <c r="Q440" s="3">
        <f t="shared" si="179"/>
        <v>24.249061746015812</v>
      </c>
      <c r="R440" s="3">
        <f t="shared" si="180"/>
        <v>48.572420518961231</v>
      </c>
      <c r="S440" s="3">
        <f t="shared" si="175"/>
        <v>1</v>
      </c>
      <c r="T440" s="3">
        <f t="shared" si="181"/>
        <v>24323.358772945419</v>
      </c>
      <c r="U440" s="3">
        <f t="shared" si="182"/>
        <v>0.5</v>
      </c>
      <c r="V440" s="3">
        <f t="shared" si="183"/>
        <v>0</v>
      </c>
      <c r="W440" s="3">
        <f t="shared" si="184"/>
        <v>24405.506906930343</v>
      </c>
      <c r="X440" s="3">
        <f t="shared" si="176"/>
        <v>12124.530873007907</v>
      </c>
      <c r="AI440" s="3"/>
      <c r="AJ440" s="3"/>
      <c r="AK440" s="15">
        <f t="shared" si="167"/>
        <v>2</v>
      </c>
      <c r="AL440" s="11">
        <f t="shared" si="171"/>
        <v>2586</v>
      </c>
      <c r="AM440" s="11" t="b">
        <f t="shared" si="166"/>
        <v>0</v>
      </c>
      <c r="AN440" s="11">
        <f t="shared" si="168"/>
        <v>36000</v>
      </c>
      <c r="AO440" s="11">
        <f t="shared" si="169"/>
        <v>0</v>
      </c>
      <c r="AP440" s="11">
        <f t="shared" si="170"/>
        <v>0.58239065959826841</v>
      </c>
      <c r="AQ440" s="11">
        <f t="shared" si="172"/>
        <v>0</v>
      </c>
      <c r="AT440" s="3"/>
      <c r="AU440" s="17"/>
      <c r="AV440" s="19"/>
      <c r="AW440" s="17"/>
      <c r="AX440" s="17">
        <f t="shared" si="191"/>
        <v>431</v>
      </c>
      <c r="AY440" s="17">
        <f t="shared" si="190"/>
        <v>43.1</v>
      </c>
      <c r="AZ440" s="17">
        <v>58.239065959826839</v>
      </c>
      <c r="BA440" s="17"/>
      <c r="BB440" s="17">
        <v>36</v>
      </c>
      <c r="BC440" s="17"/>
      <c r="BD440" s="17"/>
      <c r="BE440" s="17"/>
      <c r="BF440" s="17"/>
      <c r="BG440" s="17"/>
      <c r="BH440" s="17"/>
      <c r="BI440" s="17"/>
      <c r="BJ440" s="17"/>
      <c r="BK440" s="17"/>
      <c r="BL440" s="17"/>
      <c r="BM440" s="17"/>
      <c r="BN440" s="17"/>
      <c r="BO440" s="17"/>
      <c r="BP440" s="17"/>
      <c r="BQ440" s="17"/>
      <c r="BR440" s="17"/>
      <c r="BS440" s="17"/>
      <c r="BT440" s="17"/>
      <c r="BU440" s="17"/>
      <c r="BV440" s="17"/>
      <c r="BW440" s="17"/>
      <c r="BX440" s="17"/>
      <c r="BY440" s="17"/>
      <c r="BZ440" s="17"/>
      <c r="CA440" s="17"/>
      <c r="CB440" s="17"/>
      <c r="CC440" s="17"/>
      <c r="CD440" s="17"/>
      <c r="CE440" s="17"/>
      <c r="CF440" s="17"/>
      <c r="CG440" s="17"/>
      <c r="CH440" s="17"/>
    </row>
    <row r="441" spans="8:86" x14ac:dyDescent="0.15">
      <c r="H441" s="3">
        <f t="shared" si="185"/>
        <v>0.42900000000000033</v>
      </c>
      <c r="I441" s="3">
        <f t="shared" si="186"/>
        <v>360</v>
      </c>
      <c r="J441" s="14">
        <f t="shared" si="187"/>
        <v>500</v>
      </c>
      <c r="K441" s="3">
        <f t="shared" si="177"/>
        <v>0</v>
      </c>
      <c r="L441" s="3">
        <f t="shared" si="173"/>
        <v>500</v>
      </c>
      <c r="M441" s="15">
        <f t="shared" si="188"/>
        <v>7.0000000000000007E-2</v>
      </c>
      <c r="N441" s="3">
        <f t="shared" si="189"/>
        <v>67.725509855992769</v>
      </c>
      <c r="O441" s="3">
        <f t="shared" si="174"/>
        <v>67.725509855992769</v>
      </c>
      <c r="P441" s="3">
        <f t="shared" si="178"/>
        <v>72.823128877411591</v>
      </c>
      <c r="Q441" s="3">
        <f t="shared" si="179"/>
        <v>24.200415028469923</v>
      </c>
      <c r="R441" s="3">
        <f t="shared" si="180"/>
        <v>48.511771952940755</v>
      </c>
      <c r="S441" s="3">
        <f t="shared" si="175"/>
        <v>1</v>
      </c>
      <c r="T441" s="3">
        <f t="shared" si="181"/>
        <v>24311.356924470834</v>
      </c>
      <c r="U441" s="3">
        <f t="shared" si="182"/>
        <v>0.5</v>
      </c>
      <c r="V441" s="3">
        <f t="shared" si="183"/>
        <v>0</v>
      </c>
      <c r="W441" s="3">
        <f t="shared" si="184"/>
        <v>24381.183548157398</v>
      </c>
      <c r="X441" s="3">
        <f t="shared" si="176"/>
        <v>12100.207514234962</v>
      </c>
      <c r="AI441" s="3"/>
      <c r="AJ441" s="3"/>
      <c r="AK441" s="15">
        <f t="shared" si="167"/>
        <v>2</v>
      </c>
      <c r="AL441" s="11">
        <f t="shared" si="171"/>
        <v>2592</v>
      </c>
      <c r="AM441" s="11" t="b">
        <f t="shared" si="166"/>
        <v>0</v>
      </c>
      <c r="AN441" s="11">
        <f t="shared" si="168"/>
        <v>36000</v>
      </c>
      <c r="AO441" s="11">
        <f t="shared" si="169"/>
        <v>0</v>
      </c>
      <c r="AP441" s="11">
        <f t="shared" si="170"/>
        <v>0.58349297441308323</v>
      </c>
      <c r="AQ441" s="11">
        <f t="shared" si="172"/>
        <v>0</v>
      </c>
      <c r="AT441" s="3"/>
      <c r="AU441" s="17"/>
      <c r="AV441" s="19"/>
      <c r="AW441" s="17"/>
      <c r="AX441" s="17">
        <f t="shared" si="191"/>
        <v>432</v>
      </c>
      <c r="AY441" s="17">
        <f t="shared" si="190"/>
        <v>43.2</v>
      </c>
      <c r="AZ441" s="17">
        <v>58.349297441308323</v>
      </c>
      <c r="BA441" s="17"/>
      <c r="BB441" s="17">
        <v>36</v>
      </c>
      <c r="BC441" s="17"/>
      <c r="BD441" s="17"/>
      <c r="BE441" s="17"/>
      <c r="BF441" s="17"/>
      <c r="BG441" s="17"/>
      <c r="BH441" s="17"/>
      <c r="BI441" s="17"/>
      <c r="BJ441" s="17"/>
      <c r="BK441" s="17"/>
      <c r="BL441" s="17"/>
      <c r="BM441" s="17"/>
      <c r="BN441" s="17"/>
      <c r="BO441" s="17"/>
      <c r="BP441" s="17"/>
      <c r="BQ441" s="17"/>
      <c r="BR441" s="17"/>
      <c r="BS441" s="17"/>
      <c r="BT441" s="17"/>
      <c r="BU441" s="17"/>
      <c r="BV441" s="17"/>
      <c r="BW441" s="17"/>
      <c r="BX441" s="17"/>
      <c r="BY441" s="17"/>
      <c r="BZ441" s="17"/>
      <c r="CA441" s="17"/>
      <c r="CB441" s="17"/>
      <c r="CC441" s="17"/>
      <c r="CD441" s="17"/>
      <c r="CE441" s="17"/>
      <c r="CF441" s="17"/>
      <c r="CG441" s="17"/>
      <c r="CH441" s="17"/>
    </row>
    <row r="442" spans="8:86" x14ac:dyDescent="0.15">
      <c r="H442" s="3">
        <f t="shared" si="185"/>
        <v>0.43000000000000033</v>
      </c>
      <c r="I442" s="3">
        <f t="shared" si="186"/>
        <v>360</v>
      </c>
      <c r="J442" s="14">
        <f t="shared" si="187"/>
        <v>500</v>
      </c>
      <c r="K442" s="3">
        <f t="shared" si="177"/>
        <v>0</v>
      </c>
      <c r="L442" s="3">
        <f t="shared" si="173"/>
        <v>500</v>
      </c>
      <c r="M442" s="15">
        <f t="shared" si="188"/>
        <v>7.0000000000000007E-2</v>
      </c>
      <c r="N442" s="3">
        <f t="shared" si="189"/>
        <v>67.657978308980347</v>
      </c>
      <c r="O442" s="3">
        <f t="shared" si="174"/>
        <v>67.657978308980347</v>
      </c>
      <c r="P442" s="3">
        <f t="shared" si="178"/>
        <v>72.75051431073156</v>
      </c>
      <c r="Q442" s="3">
        <f t="shared" si="179"/>
        <v>24.151792314620984</v>
      </c>
      <c r="R442" s="3">
        <f t="shared" si="180"/>
        <v>48.451153312676269</v>
      </c>
      <c r="S442" s="3">
        <f t="shared" si="175"/>
        <v>1</v>
      </c>
      <c r="T442" s="3">
        <f t="shared" si="181"/>
        <v>24299.360998055286</v>
      </c>
      <c r="U442" s="3">
        <f t="shared" si="182"/>
        <v>0.5</v>
      </c>
      <c r="V442" s="3">
        <f t="shared" si="183"/>
        <v>0</v>
      </c>
      <c r="W442" s="3">
        <f t="shared" si="184"/>
        <v>24356.872191232924</v>
      </c>
      <c r="X442" s="3">
        <f t="shared" si="176"/>
        <v>12075.896157310492</v>
      </c>
      <c r="AI442" s="3"/>
      <c r="AJ442" s="3"/>
      <c r="AK442" s="15">
        <f t="shared" si="167"/>
        <v>2</v>
      </c>
      <c r="AL442" s="11">
        <f t="shared" si="171"/>
        <v>2598</v>
      </c>
      <c r="AM442" s="11" t="b">
        <f t="shared" si="166"/>
        <v>0</v>
      </c>
      <c r="AN442" s="11">
        <f t="shared" si="168"/>
        <v>36000</v>
      </c>
      <c r="AO442" s="11">
        <f t="shared" si="169"/>
        <v>0</v>
      </c>
      <c r="AP442" s="11">
        <f t="shared" si="170"/>
        <v>0.58459528922789816</v>
      </c>
      <c r="AQ442" s="11">
        <f t="shared" si="172"/>
        <v>0</v>
      </c>
      <c r="AT442" s="3"/>
      <c r="AU442" s="17"/>
      <c r="AV442" s="19"/>
      <c r="AW442" s="17"/>
      <c r="AX442" s="17">
        <f t="shared" si="191"/>
        <v>433</v>
      </c>
      <c r="AY442" s="17">
        <f t="shared" si="190"/>
        <v>43.3</v>
      </c>
      <c r="AZ442" s="17">
        <v>58.459528922789815</v>
      </c>
      <c r="BA442" s="17"/>
      <c r="BB442" s="17">
        <v>36</v>
      </c>
      <c r="BC442" s="17"/>
      <c r="BD442" s="17"/>
      <c r="BE442" s="17"/>
      <c r="BF442" s="17"/>
      <c r="BG442" s="17"/>
      <c r="BH442" s="17"/>
      <c r="BI442" s="17"/>
      <c r="BJ442" s="17"/>
      <c r="BK442" s="17"/>
      <c r="BL442" s="17"/>
      <c r="BM442" s="17"/>
      <c r="BN442" s="17"/>
      <c r="BO442" s="17"/>
      <c r="BP442" s="17"/>
      <c r="BQ442" s="17"/>
      <c r="BR442" s="17"/>
      <c r="BS442" s="17"/>
      <c r="BT442" s="17"/>
      <c r="BU442" s="17"/>
      <c r="BV442" s="17"/>
      <c r="BW442" s="17"/>
      <c r="BX442" s="17"/>
      <c r="BY442" s="17"/>
      <c r="BZ442" s="17"/>
      <c r="CA442" s="17"/>
      <c r="CB442" s="17"/>
      <c r="CC442" s="17"/>
      <c r="CD442" s="17"/>
      <c r="CE442" s="17"/>
      <c r="CF442" s="17"/>
      <c r="CG442" s="17"/>
      <c r="CH442" s="17"/>
    </row>
    <row r="443" spans="8:86" x14ac:dyDescent="0.15">
      <c r="H443" s="3">
        <f t="shared" si="185"/>
        <v>0.43100000000000033</v>
      </c>
      <c r="I443" s="3">
        <f t="shared" si="186"/>
        <v>360</v>
      </c>
      <c r="J443" s="14">
        <f t="shared" si="187"/>
        <v>500</v>
      </c>
      <c r="K443" s="3">
        <f t="shared" si="177"/>
        <v>0</v>
      </c>
      <c r="L443" s="3">
        <f t="shared" si="173"/>
        <v>500</v>
      </c>
      <c r="M443" s="15">
        <f t="shared" si="188"/>
        <v>7.0000000000000007E-2</v>
      </c>
      <c r="N443" s="3">
        <f t="shared" si="189"/>
        <v>67.590480083985753</v>
      </c>
      <c r="O443" s="3">
        <f t="shared" si="174"/>
        <v>67.590480083985753</v>
      </c>
      <c r="P443" s="3">
        <f t="shared" si="178"/>
        <v>72.677935574178235</v>
      </c>
      <c r="Q443" s="3">
        <f t="shared" si="179"/>
        <v>24.103193592624873</v>
      </c>
      <c r="R443" s="3">
        <f t="shared" si="180"/>
        <v>48.390564583401556</v>
      </c>
      <c r="S443" s="3">
        <f t="shared" si="175"/>
        <v>1</v>
      </c>
      <c r="T443" s="3">
        <f t="shared" si="181"/>
        <v>24287.370990776679</v>
      </c>
      <c r="U443" s="3">
        <f t="shared" si="182"/>
        <v>0.5</v>
      </c>
      <c r="V443" s="3">
        <f t="shared" si="183"/>
        <v>0</v>
      </c>
      <c r="W443" s="3">
        <f t="shared" si="184"/>
        <v>24332.572830234873</v>
      </c>
      <c r="X443" s="3">
        <f t="shared" si="176"/>
        <v>12051.596796312437</v>
      </c>
      <c r="AI443" s="3"/>
      <c r="AJ443" s="3"/>
      <c r="AK443" s="15">
        <f t="shared" si="167"/>
        <v>2</v>
      </c>
      <c r="AL443" s="11">
        <f t="shared" si="171"/>
        <v>2604</v>
      </c>
      <c r="AM443" s="11" t="b">
        <f t="shared" si="166"/>
        <v>0</v>
      </c>
      <c r="AN443" s="11">
        <f t="shared" si="168"/>
        <v>36000</v>
      </c>
      <c r="AO443" s="11">
        <f t="shared" si="169"/>
        <v>0</v>
      </c>
      <c r="AP443" s="11">
        <f t="shared" si="170"/>
        <v>0.58569760404271298</v>
      </c>
      <c r="AQ443" s="11">
        <f t="shared" si="172"/>
        <v>0</v>
      </c>
      <c r="AT443" s="3"/>
      <c r="AU443" s="17"/>
      <c r="AV443" s="19"/>
      <c r="AW443" s="17"/>
      <c r="AX443" s="17">
        <f t="shared" si="191"/>
        <v>434</v>
      </c>
      <c r="AY443" s="17">
        <f t="shared" si="190"/>
        <v>43.4</v>
      </c>
      <c r="AZ443" s="17">
        <v>58.5697604042713</v>
      </c>
      <c r="BA443" s="17"/>
      <c r="BB443" s="17">
        <v>36</v>
      </c>
      <c r="BC443" s="17"/>
      <c r="BD443" s="17"/>
      <c r="BE443" s="17"/>
      <c r="BF443" s="17"/>
      <c r="BG443" s="17"/>
      <c r="BH443" s="17"/>
      <c r="BI443" s="17"/>
      <c r="BJ443" s="17"/>
      <c r="BK443" s="17"/>
      <c r="BL443" s="17"/>
      <c r="BM443" s="17"/>
      <c r="BN443" s="17"/>
      <c r="BO443" s="17"/>
      <c r="BP443" s="17"/>
      <c r="BQ443" s="17"/>
      <c r="BR443" s="17"/>
      <c r="BS443" s="17"/>
      <c r="BT443" s="17"/>
      <c r="BU443" s="17"/>
      <c r="BV443" s="17"/>
      <c r="BW443" s="17"/>
      <c r="BX443" s="17"/>
      <c r="BY443" s="17"/>
      <c r="BZ443" s="17"/>
      <c r="CA443" s="17"/>
      <c r="CB443" s="17"/>
      <c r="CC443" s="17"/>
      <c r="CD443" s="17"/>
      <c r="CE443" s="17"/>
      <c r="CF443" s="17"/>
      <c r="CG443" s="17"/>
      <c r="CH443" s="17"/>
    </row>
    <row r="444" spans="8:86" x14ac:dyDescent="0.15">
      <c r="H444" s="3">
        <f t="shared" si="185"/>
        <v>0.43200000000000033</v>
      </c>
      <c r="I444" s="3">
        <f t="shared" si="186"/>
        <v>360</v>
      </c>
      <c r="J444" s="14">
        <f t="shared" si="187"/>
        <v>500</v>
      </c>
      <c r="K444" s="3">
        <f t="shared" si="177"/>
        <v>0</v>
      </c>
      <c r="L444" s="3">
        <f t="shared" si="173"/>
        <v>500</v>
      </c>
      <c r="M444" s="15">
        <f t="shared" si="188"/>
        <v>7.0000000000000007E-2</v>
      </c>
      <c r="N444" s="3">
        <f t="shared" si="189"/>
        <v>67.523015164566928</v>
      </c>
      <c r="O444" s="3">
        <f t="shared" si="174"/>
        <v>67.523015164566928</v>
      </c>
      <c r="P444" s="3">
        <f t="shared" si="178"/>
        <v>72.605392650071977</v>
      </c>
      <c r="Q444" s="3">
        <f t="shared" si="179"/>
        <v>24.054618850643323</v>
      </c>
      <c r="R444" s="3">
        <f t="shared" si="180"/>
        <v>48.33000575035765</v>
      </c>
      <c r="S444" s="3">
        <f t="shared" si="175"/>
        <v>1</v>
      </c>
      <c r="T444" s="3">
        <f t="shared" si="181"/>
        <v>24275.386899714325</v>
      </c>
      <c r="U444" s="3">
        <f t="shared" si="182"/>
        <v>0.5</v>
      </c>
      <c r="V444" s="3">
        <f t="shared" si="183"/>
        <v>0</v>
      </c>
      <c r="W444" s="3">
        <f t="shared" si="184"/>
        <v>24308.285459244093</v>
      </c>
      <c r="X444" s="3">
        <f t="shared" si="176"/>
        <v>12027.30942532166</v>
      </c>
      <c r="AI444" s="3"/>
      <c r="AJ444" s="3"/>
      <c r="AK444" s="15">
        <f t="shared" si="167"/>
        <v>2</v>
      </c>
      <c r="AL444" s="11">
        <f t="shared" si="171"/>
        <v>2610</v>
      </c>
      <c r="AM444" s="11" t="b">
        <f t="shared" si="166"/>
        <v>0</v>
      </c>
      <c r="AN444" s="11">
        <f t="shared" si="168"/>
        <v>36000</v>
      </c>
      <c r="AO444" s="11">
        <f t="shared" si="169"/>
        <v>0</v>
      </c>
      <c r="AP444" s="11">
        <f t="shared" si="170"/>
        <v>0.5867999188575278</v>
      </c>
      <c r="AQ444" s="11">
        <f t="shared" si="172"/>
        <v>0</v>
      </c>
      <c r="AT444" s="3"/>
      <c r="AU444" s="17"/>
      <c r="AV444" s="19"/>
      <c r="AW444" s="17"/>
      <c r="AX444" s="17">
        <f t="shared" si="191"/>
        <v>435</v>
      </c>
      <c r="AY444" s="17">
        <f t="shared" si="190"/>
        <v>43.5</v>
      </c>
      <c r="AZ444" s="17">
        <v>58.679991885752777</v>
      </c>
      <c r="BA444" s="17"/>
      <c r="BB444" s="17">
        <v>36</v>
      </c>
      <c r="BC444" s="17"/>
      <c r="BD444" s="17"/>
      <c r="BE444" s="17"/>
      <c r="BF444" s="17"/>
      <c r="BG444" s="17"/>
      <c r="BH444" s="17"/>
      <c r="BI444" s="17"/>
      <c r="BJ444" s="17"/>
      <c r="BK444" s="17"/>
      <c r="BL444" s="17"/>
      <c r="BM444" s="17"/>
      <c r="BN444" s="17"/>
      <c r="BO444" s="17"/>
      <c r="BP444" s="17"/>
      <c r="BQ444" s="17"/>
      <c r="BR444" s="17"/>
      <c r="BS444" s="17"/>
      <c r="BT444" s="17"/>
      <c r="BU444" s="17"/>
      <c r="BV444" s="17"/>
      <c r="BW444" s="17"/>
      <c r="BX444" s="17"/>
      <c r="BY444" s="17"/>
      <c r="BZ444" s="17"/>
      <c r="CA444" s="17"/>
      <c r="CB444" s="17"/>
      <c r="CC444" s="17"/>
      <c r="CD444" s="17"/>
      <c r="CE444" s="17"/>
      <c r="CF444" s="17"/>
      <c r="CG444" s="17"/>
      <c r="CH444" s="17"/>
    </row>
    <row r="445" spans="8:86" x14ac:dyDescent="0.15">
      <c r="H445" s="3">
        <f t="shared" si="185"/>
        <v>0.43300000000000033</v>
      </c>
      <c r="I445" s="3">
        <f t="shared" si="186"/>
        <v>360</v>
      </c>
      <c r="J445" s="14">
        <f t="shared" si="187"/>
        <v>500</v>
      </c>
      <c r="K445" s="3">
        <f t="shared" si="177"/>
        <v>0</v>
      </c>
      <c r="L445" s="3">
        <f t="shared" si="173"/>
        <v>500</v>
      </c>
      <c r="M445" s="15">
        <f t="shared" si="188"/>
        <v>7.0000000000000007E-2</v>
      </c>
      <c r="N445" s="3">
        <f t="shared" si="189"/>
        <v>67.455583534289943</v>
      </c>
      <c r="O445" s="3">
        <f t="shared" si="174"/>
        <v>67.455583534289943</v>
      </c>
      <c r="P445" s="3">
        <f t="shared" si="178"/>
        <v>72.532885520741885</v>
      </c>
      <c r="Q445" s="3">
        <f t="shared" si="179"/>
        <v>24.006068076843892</v>
      </c>
      <c r="R445" s="3">
        <f t="shared" si="180"/>
        <v>48.269476798792887</v>
      </c>
      <c r="S445" s="3">
        <f t="shared" si="175"/>
        <v>1</v>
      </c>
      <c r="T445" s="3">
        <f t="shared" si="181"/>
        <v>24263.408721948999</v>
      </c>
      <c r="U445" s="3">
        <f t="shared" si="182"/>
        <v>0.5</v>
      </c>
      <c r="V445" s="3">
        <f t="shared" si="183"/>
        <v>0</v>
      </c>
      <c r="W445" s="3">
        <f t="shared" si="184"/>
        <v>24284.010072344379</v>
      </c>
      <c r="X445" s="3">
        <f t="shared" si="176"/>
        <v>12003.034038421945</v>
      </c>
      <c r="AI445" s="3"/>
      <c r="AJ445" s="3"/>
      <c r="AK445" s="15">
        <f t="shared" si="167"/>
        <v>2</v>
      </c>
      <c r="AL445" s="11">
        <f t="shared" si="171"/>
        <v>2616</v>
      </c>
      <c r="AM445" s="11" t="b">
        <f t="shared" si="166"/>
        <v>0</v>
      </c>
      <c r="AN445" s="11">
        <f t="shared" si="168"/>
        <v>36000</v>
      </c>
      <c r="AO445" s="11">
        <f t="shared" si="169"/>
        <v>0</v>
      </c>
      <c r="AP445" s="11">
        <f t="shared" si="170"/>
        <v>0.58790223367234262</v>
      </c>
      <c r="AQ445" s="11">
        <f t="shared" si="172"/>
        <v>0</v>
      </c>
      <c r="AT445" s="3"/>
      <c r="AU445" s="17"/>
      <c r="AV445" s="19"/>
      <c r="AW445" s="17"/>
      <c r="AX445" s="17">
        <f t="shared" si="191"/>
        <v>436</v>
      </c>
      <c r="AY445" s="17">
        <f t="shared" si="190"/>
        <v>43.6</v>
      </c>
      <c r="AZ445" s="17">
        <v>58.790223367234262</v>
      </c>
      <c r="BA445" s="17"/>
      <c r="BB445" s="17">
        <v>36</v>
      </c>
      <c r="BC445" s="17"/>
      <c r="BD445" s="17"/>
      <c r="BE445" s="17"/>
      <c r="BF445" s="17"/>
      <c r="BG445" s="17"/>
      <c r="BH445" s="17"/>
      <c r="BI445" s="17"/>
      <c r="BJ445" s="17"/>
      <c r="BK445" s="17"/>
      <c r="BL445" s="17"/>
      <c r="BM445" s="17"/>
      <c r="BN445" s="17"/>
      <c r="BO445" s="17"/>
      <c r="BP445" s="17"/>
      <c r="BQ445" s="17"/>
      <c r="BR445" s="17"/>
      <c r="BS445" s="17"/>
      <c r="BT445" s="17"/>
      <c r="BU445" s="17"/>
      <c r="BV445" s="17"/>
      <c r="BW445" s="17"/>
      <c r="BX445" s="17"/>
      <c r="BY445" s="17"/>
      <c r="BZ445" s="17"/>
      <c r="CA445" s="17"/>
      <c r="CB445" s="17"/>
      <c r="CC445" s="17"/>
      <c r="CD445" s="17"/>
      <c r="CE445" s="17"/>
      <c r="CF445" s="17"/>
      <c r="CG445" s="17"/>
      <c r="CH445" s="17"/>
    </row>
    <row r="446" spans="8:86" x14ac:dyDescent="0.15">
      <c r="H446" s="3">
        <f t="shared" si="185"/>
        <v>0.43400000000000033</v>
      </c>
      <c r="I446" s="3">
        <f t="shared" si="186"/>
        <v>360</v>
      </c>
      <c r="J446" s="14">
        <f t="shared" si="187"/>
        <v>500</v>
      </c>
      <c r="K446" s="3">
        <f t="shared" si="177"/>
        <v>0</v>
      </c>
      <c r="L446" s="3">
        <f t="shared" si="173"/>
        <v>500</v>
      </c>
      <c r="M446" s="15">
        <f t="shared" si="188"/>
        <v>7.0000000000000007E-2</v>
      </c>
      <c r="N446" s="3">
        <f t="shared" si="189"/>
        <v>67.388185176728967</v>
      </c>
      <c r="O446" s="3">
        <f t="shared" si="174"/>
        <v>67.388185176728967</v>
      </c>
      <c r="P446" s="3">
        <f t="shared" si="178"/>
        <v>72.460414168525773</v>
      </c>
      <c r="Q446" s="3">
        <f t="shared" si="179"/>
        <v>23.957541259399992</v>
      </c>
      <c r="R446" s="3">
        <f t="shared" si="180"/>
        <v>48.208977713962881</v>
      </c>
      <c r="S446" s="3">
        <f t="shared" si="175"/>
        <v>1</v>
      </c>
      <c r="T446" s="3">
        <f t="shared" si="181"/>
        <v>24251.436454562892</v>
      </c>
      <c r="U446" s="3">
        <f t="shared" si="182"/>
        <v>0.5</v>
      </c>
      <c r="V446" s="3">
        <f t="shared" si="183"/>
        <v>0</v>
      </c>
      <c r="W446" s="3">
        <f t="shared" si="184"/>
        <v>24259.746663622427</v>
      </c>
      <c r="X446" s="3">
        <f t="shared" si="176"/>
        <v>11978.770629699997</v>
      </c>
      <c r="AI446" s="3"/>
      <c r="AJ446" s="3"/>
      <c r="AK446" s="15">
        <f t="shared" si="167"/>
        <v>2</v>
      </c>
      <c r="AL446" s="11">
        <f t="shared" si="171"/>
        <v>2622</v>
      </c>
      <c r="AM446" s="11" t="b">
        <f t="shared" si="166"/>
        <v>0</v>
      </c>
      <c r="AN446" s="11">
        <f t="shared" si="168"/>
        <v>36000</v>
      </c>
      <c r="AO446" s="11">
        <f t="shared" si="169"/>
        <v>0</v>
      </c>
      <c r="AP446" s="11">
        <f t="shared" si="170"/>
        <v>0.58900454848715744</v>
      </c>
      <c r="AQ446" s="11">
        <f t="shared" si="172"/>
        <v>0</v>
      </c>
      <c r="AT446" s="3"/>
      <c r="AU446" s="17"/>
      <c r="AV446" s="19"/>
      <c r="AW446" s="17"/>
      <c r="AX446" s="17">
        <f t="shared" si="191"/>
        <v>437</v>
      </c>
      <c r="AY446" s="17">
        <f t="shared" si="190"/>
        <v>43.7</v>
      </c>
      <c r="AZ446" s="17">
        <v>58.900454848715746</v>
      </c>
      <c r="BA446" s="17"/>
      <c r="BB446" s="17">
        <v>36</v>
      </c>
      <c r="BC446" s="17"/>
      <c r="BD446" s="17"/>
      <c r="BE446" s="17"/>
      <c r="BF446" s="17"/>
      <c r="BG446" s="17"/>
      <c r="BH446" s="17"/>
      <c r="BI446" s="17"/>
      <c r="BJ446" s="17"/>
      <c r="BK446" s="17"/>
      <c r="BL446" s="17"/>
      <c r="BM446" s="17"/>
      <c r="BN446" s="17"/>
      <c r="BO446" s="17"/>
      <c r="BP446" s="17"/>
      <c r="BQ446" s="17"/>
      <c r="BR446" s="17"/>
      <c r="BS446" s="17"/>
      <c r="BT446" s="17"/>
      <c r="BU446" s="17"/>
      <c r="BV446" s="17"/>
      <c r="BW446" s="17"/>
      <c r="BX446" s="17"/>
      <c r="BY446" s="17"/>
      <c r="BZ446" s="17"/>
      <c r="CA446" s="17"/>
      <c r="CB446" s="17"/>
      <c r="CC446" s="17"/>
      <c r="CD446" s="17"/>
      <c r="CE446" s="17"/>
      <c r="CF446" s="17"/>
      <c r="CG446" s="17"/>
      <c r="CH446" s="17"/>
    </row>
    <row r="447" spans="8:86" x14ac:dyDescent="0.15">
      <c r="H447" s="3">
        <f t="shared" si="185"/>
        <v>0.43500000000000033</v>
      </c>
      <c r="I447" s="3">
        <f t="shared" si="186"/>
        <v>360</v>
      </c>
      <c r="J447" s="14">
        <f t="shared" si="187"/>
        <v>500</v>
      </c>
      <c r="K447" s="3">
        <f t="shared" si="177"/>
        <v>0</v>
      </c>
      <c r="L447" s="3">
        <f t="shared" si="173"/>
        <v>500</v>
      </c>
      <c r="M447" s="15">
        <f t="shared" si="188"/>
        <v>7.0000000000000007E-2</v>
      </c>
      <c r="N447" s="3">
        <f t="shared" si="189"/>
        <v>67.320820075466287</v>
      </c>
      <c r="O447" s="3">
        <f t="shared" si="174"/>
        <v>67.320820075466287</v>
      </c>
      <c r="P447" s="3">
        <f t="shared" si="178"/>
        <v>72.387978575770205</v>
      </c>
      <c r="Q447" s="3">
        <f t="shared" si="179"/>
        <v>23.90903838649087</v>
      </c>
      <c r="R447" s="3">
        <f t="shared" si="180"/>
        <v>48.148508481130534</v>
      </c>
      <c r="S447" s="3">
        <f t="shared" si="175"/>
        <v>1</v>
      </c>
      <c r="T447" s="3">
        <f t="shared" si="181"/>
        <v>24239.470094639666</v>
      </c>
      <c r="U447" s="3">
        <f t="shared" si="182"/>
        <v>0.5</v>
      </c>
      <c r="V447" s="3">
        <f t="shared" si="183"/>
        <v>0</v>
      </c>
      <c r="W447" s="3">
        <f t="shared" si="184"/>
        <v>24235.495227167863</v>
      </c>
      <c r="X447" s="3">
        <f t="shared" si="176"/>
        <v>11954.519193245435</v>
      </c>
      <c r="AI447" s="3"/>
      <c r="AJ447" s="3"/>
      <c r="AK447" s="15">
        <f t="shared" si="167"/>
        <v>2</v>
      </c>
      <c r="AL447" s="11">
        <f t="shared" si="171"/>
        <v>2628</v>
      </c>
      <c r="AM447" s="11" t="b">
        <f t="shared" si="166"/>
        <v>0</v>
      </c>
      <c r="AN447" s="11">
        <f t="shared" si="168"/>
        <v>36000</v>
      </c>
      <c r="AO447" s="11">
        <f t="shared" si="169"/>
        <v>0</v>
      </c>
      <c r="AP447" s="11">
        <f t="shared" si="170"/>
        <v>0.59010686330197237</v>
      </c>
      <c r="AQ447" s="11">
        <f t="shared" si="172"/>
        <v>0</v>
      </c>
      <c r="AT447" s="3"/>
      <c r="AU447" s="17"/>
      <c r="AV447" s="19"/>
      <c r="AW447" s="17"/>
      <c r="AX447" s="17">
        <f t="shared" si="191"/>
        <v>438</v>
      </c>
      <c r="AY447" s="17">
        <f t="shared" si="190"/>
        <v>43.8</v>
      </c>
      <c r="AZ447" s="17">
        <v>59.010686330197238</v>
      </c>
      <c r="BA447" s="17"/>
      <c r="BB447" s="17">
        <v>36</v>
      </c>
      <c r="BC447" s="17"/>
      <c r="BD447" s="17"/>
      <c r="BE447" s="17"/>
      <c r="BF447" s="17"/>
      <c r="BG447" s="17"/>
      <c r="BH447" s="17"/>
      <c r="BI447" s="17"/>
      <c r="BJ447" s="17"/>
      <c r="BK447" s="17"/>
      <c r="BL447" s="17"/>
      <c r="BM447" s="17"/>
      <c r="BN447" s="17"/>
      <c r="BO447" s="17"/>
      <c r="BP447" s="17"/>
      <c r="BQ447" s="17"/>
      <c r="BR447" s="17"/>
      <c r="BS447" s="17"/>
      <c r="BT447" s="17"/>
      <c r="BU447" s="17"/>
      <c r="BV447" s="17"/>
      <c r="BW447" s="17"/>
      <c r="BX447" s="17"/>
      <c r="BY447" s="17"/>
      <c r="BZ447" s="17"/>
      <c r="CA447" s="17"/>
      <c r="CB447" s="17"/>
      <c r="CC447" s="17"/>
      <c r="CD447" s="17"/>
      <c r="CE447" s="17"/>
      <c r="CF447" s="17"/>
      <c r="CG447" s="17"/>
      <c r="CH447" s="17"/>
    </row>
    <row r="448" spans="8:86" x14ac:dyDescent="0.15">
      <c r="H448" s="3">
        <f t="shared" si="185"/>
        <v>0.43600000000000033</v>
      </c>
      <c r="I448" s="3">
        <f t="shared" si="186"/>
        <v>360</v>
      </c>
      <c r="J448" s="14">
        <f t="shared" si="187"/>
        <v>500</v>
      </c>
      <c r="K448" s="3">
        <f t="shared" si="177"/>
        <v>0</v>
      </c>
      <c r="L448" s="3">
        <f t="shared" si="173"/>
        <v>500</v>
      </c>
      <c r="M448" s="15">
        <f t="shared" si="188"/>
        <v>7.0000000000000007E-2</v>
      </c>
      <c r="N448" s="3">
        <f t="shared" si="189"/>
        <v>67.253488214092286</v>
      </c>
      <c r="O448" s="3">
        <f t="shared" si="174"/>
        <v>67.253488214092286</v>
      </c>
      <c r="P448" s="3">
        <f t="shared" si="178"/>
        <v>72.315578724830416</v>
      </c>
      <c r="Q448" s="3">
        <f t="shared" si="179"/>
        <v>23.86055944630159</v>
      </c>
      <c r="R448" s="3">
        <f t="shared" si="180"/>
        <v>48.088069085566005</v>
      </c>
      <c r="S448" s="3">
        <f t="shared" si="175"/>
        <v>1</v>
      </c>
      <c r="T448" s="3">
        <f t="shared" si="181"/>
        <v>24227.509639264412</v>
      </c>
      <c r="U448" s="3">
        <f t="shared" si="182"/>
        <v>0.5</v>
      </c>
      <c r="V448" s="3">
        <f t="shared" si="183"/>
        <v>0</v>
      </c>
      <c r="W448" s="3">
        <f t="shared" si="184"/>
        <v>24211.255757073224</v>
      </c>
      <c r="X448" s="3">
        <f t="shared" si="176"/>
        <v>11930.279723150796</v>
      </c>
      <c r="AI448" s="3"/>
      <c r="AJ448" s="3"/>
      <c r="AK448" s="15">
        <f t="shared" si="167"/>
        <v>2</v>
      </c>
      <c r="AL448" s="11">
        <f t="shared" si="171"/>
        <v>2634</v>
      </c>
      <c r="AM448" s="11" t="b">
        <f t="shared" si="166"/>
        <v>0</v>
      </c>
      <c r="AN448" s="11">
        <f t="shared" si="168"/>
        <v>36000</v>
      </c>
      <c r="AO448" s="11">
        <f t="shared" si="169"/>
        <v>0</v>
      </c>
      <c r="AP448" s="11">
        <f t="shared" si="170"/>
        <v>0.59120917811678719</v>
      </c>
      <c r="AQ448" s="11">
        <f t="shared" si="172"/>
        <v>0</v>
      </c>
      <c r="AT448" s="3"/>
      <c r="AU448" s="17"/>
      <c r="AV448" s="19"/>
      <c r="AW448" s="17"/>
      <c r="AX448" s="17">
        <f t="shared" si="191"/>
        <v>439</v>
      </c>
      <c r="AY448" s="17">
        <f t="shared" si="190"/>
        <v>43.9</v>
      </c>
      <c r="AZ448" s="17">
        <v>59.120917811678723</v>
      </c>
      <c r="BA448" s="17"/>
      <c r="BB448" s="17">
        <v>36</v>
      </c>
      <c r="BC448" s="17"/>
      <c r="BD448" s="17"/>
      <c r="BE448" s="17"/>
      <c r="BF448" s="17"/>
      <c r="BG448" s="17"/>
      <c r="BH448" s="17"/>
      <c r="BI448" s="17"/>
      <c r="BJ448" s="17"/>
      <c r="BK448" s="17"/>
      <c r="BL448" s="17"/>
      <c r="BM448" s="17"/>
      <c r="BN448" s="17"/>
      <c r="BO448" s="17"/>
      <c r="BP448" s="17"/>
      <c r="BQ448" s="17"/>
      <c r="BR448" s="17"/>
      <c r="BS448" s="17"/>
      <c r="BT448" s="17"/>
      <c r="BU448" s="17"/>
      <c r="BV448" s="17"/>
      <c r="BW448" s="17"/>
      <c r="BX448" s="17"/>
      <c r="BY448" s="17"/>
      <c r="BZ448" s="17"/>
      <c r="CA448" s="17"/>
      <c r="CB448" s="17"/>
      <c r="CC448" s="17"/>
      <c r="CD448" s="17"/>
      <c r="CE448" s="17"/>
      <c r="CF448" s="17"/>
      <c r="CG448" s="17"/>
      <c r="CH448" s="17"/>
    </row>
    <row r="449" spans="8:86" x14ac:dyDescent="0.15">
      <c r="H449" s="3">
        <f t="shared" si="185"/>
        <v>0.43700000000000033</v>
      </c>
      <c r="I449" s="3">
        <f t="shared" si="186"/>
        <v>360</v>
      </c>
      <c r="J449" s="14">
        <f t="shared" si="187"/>
        <v>500</v>
      </c>
      <c r="K449" s="3">
        <f t="shared" si="177"/>
        <v>0</v>
      </c>
      <c r="L449" s="3">
        <f t="shared" si="173"/>
        <v>500</v>
      </c>
      <c r="M449" s="15">
        <f t="shared" si="188"/>
        <v>7.0000000000000007E-2</v>
      </c>
      <c r="N449" s="3">
        <f t="shared" si="189"/>
        <v>67.186189576205436</v>
      </c>
      <c r="O449" s="3">
        <f t="shared" si="174"/>
        <v>67.186189576205436</v>
      </c>
      <c r="P449" s="3">
        <f t="shared" si="178"/>
        <v>72.243214598070367</v>
      </c>
      <c r="Q449" s="3">
        <f t="shared" si="179"/>
        <v>23.812104427023062</v>
      </c>
      <c r="R449" s="3">
        <f t="shared" si="180"/>
        <v>48.027659512546713</v>
      </c>
      <c r="S449" s="3">
        <f t="shared" si="175"/>
        <v>1</v>
      </c>
      <c r="T449" s="3">
        <f t="shared" si="181"/>
        <v>24215.555085523654</v>
      </c>
      <c r="U449" s="3">
        <f t="shared" si="182"/>
        <v>0.5</v>
      </c>
      <c r="V449" s="3">
        <f t="shared" si="183"/>
        <v>0</v>
      </c>
      <c r="W449" s="3">
        <f t="shared" si="184"/>
        <v>24187.028247433958</v>
      </c>
      <c r="X449" s="3">
        <f t="shared" si="176"/>
        <v>11906.052213511532</v>
      </c>
      <c r="AI449" s="3"/>
      <c r="AJ449" s="3"/>
      <c r="AK449" s="15">
        <f t="shared" si="167"/>
        <v>2</v>
      </c>
      <c r="AL449" s="11">
        <f t="shared" si="171"/>
        <v>2640</v>
      </c>
      <c r="AM449" s="11" t="b">
        <f t="shared" si="166"/>
        <v>0</v>
      </c>
      <c r="AN449" s="11">
        <f t="shared" si="168"/>
        <v>36000</v>
      </c>
      <c r="AO449" s="11">
        <f t="shared" si="169"/>
        <v>0</v>
      </c>
      <c r="AP449" s="11">
        <f t="shared" si="170"/>
        <v>0.59231149293160201</v>
      </c>
      <c r="AQ449" s="11">
        <f t="shared" si="172"/>
        <v>0</v>
      </c>
      <c r="AT449" s="3"/>
      <c r="AU449" s="17"/>
      <c r="AV449" s="19"/>
      <c r="AW449" s="17"/>
      <c r="AX449" s="17">
        <f t="shared" si="191"/>
        <v>440</v>
      </c>
      <c r="AY449" s="17">
        <f t="shared" si="190"/>
        <v>44</v>
      </c>
      <c r="AZ449" s="17">
        <v>59.2311492931602</v>
      </c>
      <c r="BA449" s="17"/>
      <c r="BB449" s="17">
        <v>36</v>
      </c>
      <c r="BC449" s="17"/>
      <c r="BD449" s="17"/>
      <c r="BE449" s="17"/>
      <c r="BF449" s="17"/>
      <c r="BG449" s="17"/>
      <c r="BH449" s="17"/>
      <c r="BI449" s="17"/>
      <c r="BJ449" s="17"/>
      <c r="BK449" s="17"/>
      <c r="BL449" s="17"/>
      <c r="BM449" s="17"/>
      <c r="BN449" s="17"/>
      <c r="BO449" s="17"/>
      <c r="BP449" s="17"/>
      <c r="BQ449" s="17"/>
      <c r="BR449" s="17"/>
      <c r="BS449" s="17"/>
      <c r="BT449" s="17"/>
      <c r="BU449" s="17"/>
      <c r="BV449" s="17"/>
      <c r="BW449" s="17"/>
      <c r="BX449" s="17"/>
      <c r="BY449" s="17"/>
      <c r="BZ449" s="17"/>
      <c r="CA449" s="17"/>
      <c r="CB449" s="17"/>
      <c r="CC449" s="17"/>
      <c r="CD449" s="17"/>
      <c r="CE449" s="17"/>
      <c r="CF449" s="17"/>
      <c r="CG449" s="17"/>
      <c r="CH449" s="17"/>
    </row>
    <row r="450" spans="8:86" x14ac:dyDescent="0.15">
      <c r="H450" s="3">
        <f t="shared" si="185"/>
        <v>0.43800000000000033</v>
      </c>
      <c r="I450" s="3">
        <f t="shared" si="186"/>
        <v>360</v>
      </c>
      <c r="J450" s="14">
        <f t="shared" si="187"/>
        <v>500</v>
      </c>
      <c r="K450" s="3">
        <f t="shared" si="177"/>
        <v>0</v>
      </c>
      <c r="L450" s="3">
        <f t="shared" si="173"/>
        <v>500</v>
      </c>
      <c r="M450" s="15">
        <f t="shared" si="188"/>
        <v>7.0000000000000007E-2</v>
      </c>
      <c r="N450" s="3">
        <f t="shared" si="189"/>
        <v>67.118924145412322</v>
      </c>
      <c r="O450" s="3">
        <f t="shared" si="174"/>
        <v>67.118924145412322</v>
      </c>
      <c r="P450" s="3">
        <f t="shared" si="178"/>
        <v>72.170886177862712</v>
      </c>
      <c r="Q450" s="3">
        <f t="shared" si="179"/>
        <v>23.763673316852014</v>
      </c>
      <c r="R450" s="3">
        <f t="shared" si="180"/>
        <v>47.967279747357367</v>
      </c>
      <c r="S450" s="3">
        <f t="shared" si="175"/>
        <v>1</v>
      </c>
      <c r="T450" s="3">
        <f t="shared" si="181"/>
        <v>24203.606430505348</v>
      </c>
      <c r="U450" s="3">
        <f t="shared" si="182"/>
        <v>0.5</v>
      </c>
      <c r="V450" s="3">
        <f t="shared" si="183"/>
        <v>0</v>
      </c>
      <c r="W450" s="3">
        <f t="shared" si="184"/>
        <v>24162.812692348434</v>
      </c>
      <c r="X450" s="3">
        <f t="shared" si="176"/>
        <v>11881.836658426007</v>
      </c>
      <c r="AI450" s="3"/>
      <c r="AJ450" s="3"/>
      <c r="AK450" s="15">
        <f t="shared" si="167"/>
        <v>2</v>
      </c>
      <c r="AL450" s="11">
        <f t="shared" si="171"/>
        <v>2646</v>
      </c>
      <c r="AM450" s="11" t="b">
        <f t="shared" si="166"/>
        <v>0</v>
      </c>
      <c r="AN450" s="11">
        <f t="shared" si="168"/>
        <v>36000</v>
      </c>
      <c r="AO450" s="11">
        <f t="shared" si="169"/>
        <v>0</v>
      </c>
      <c r="AP450" s="11">
        <f t="shared" si="170"/>
        <v>0.59341380774641683</v>
      </c>
      <c r="AQ450" s="11">
        <f t="shared" si="172"/>
        <v>0</v>
      </c>
      <c r="AT450" s="3"/>
      <c r="AU450" s="17"/>
      <c r="AV450" s="19"/>
      <c r="AW450" s="17"/>
      <c r="AX450" s="17">
        <f t="shared" si="191"/>
        <v>441</v>
      </c>
      <c r="AY450" s="17">
        <f t="shared" si="190"/>
        <v>44.1</v>
      </c>
      <c r="AZ450" s="17">
        <v>59.341380774641685</v>
      </c>
      <c r="BA450" s="17"/>
      <c r="BB450" s="17">
        <v>36</v>
      </c>
      <c r="BC450" s="17"/>
      <c r="BD450" s="17"/>
      <c r="BE450" s="17"/>
      <c r="BF450" s="17"/>
      <c r="BG450" s="17"/>
      <c r="BH450" s="17"/>
      <c r="BI450" s="17"/>
      <c r="BJ450" s="17"/>
      <c r="BK450" s="17"/>
      <c r="BL450" s="17"/>
      <c r="BM450" s="17"/>
      <c r="BN450" s="17"/>
      <c r="BO450" s="17"/>
      <c r="BP450" s="17"/>
      <c r="BQ450" s="17"/>
      <c r="BR450" s="17"/>
      <c r="BS450" s="17"/>
      <c r="BT450" s="17"/>
      <c r="BU450" s="17"/>
      <c r="BV450" s="17"/>
      <c r="BW450" s="17"/>
      <c r="BX450" s="17"/>
      <c r="BY450" s="17"/>
      <c r="BZ450" s="17"/>
      <c r="CA450" s="17"/>
      <c r="CB450" s="17"/>
      <c r="CC450" s="17"/>
      <c r="CD450" s="17"/>
      <c r="CE450" s="17"/>
      <c r="CF450" s="17"/>
      <c r="CG450" s="17"/>
      <c r="CH450" s="17"/>
    </row>
    <row r="451" spans="8:86" x14ac:dyDescent="0.15">
      <c r="H451" s="3">
        <f t="shared" si="185"/>
        <v>0.43900000000000033</v>
      </c>
      <c r="I451" s="3">
        <f t="shared" si="186"/>
        <v>360</v>
      </c>
      <c r="J451" s="14">
        <f t="shared" si="187"/>
        <v>500</v>
      </c>
      <c r="K451" s="3">
        <f t="shared" si="177"/>
        <v>0</v>
      </c>
      <c r="L451" s="3">
        <f t="shared" si="173"/>
        <v>500</v>
      </c>
      <c r="M451" s="15">
        <f t="shared" si="188"/>
        <v>7.0000000000000007E-2</v>
      </c>
      <c r="N451" s="3">
        <f t="shared" si="189"/>
        <v>67.051691905327573</v>
      </c>
      <c r="O451" s="3">
        <f t="shared" si="174"/>
        <v>67.051691905327573</v>
      </c>
      <c r="P451" s="3">
        <f t="shared" si="178"/>
        <v>72.098593446588794</v>
      </c>
      <c r="Q451" s="3">
        <f t="shared" si="179"/>
        <v>23.715266103991006</v>
      </c>
      <c r="R451" s="3">
        <f t="shared" si="180"/>
        <v>47.906929775289896</v>
      </c>
      <c r="S451" s="3">
        <f t="shared" si="175"/>
        <v>1</v>
      </c>
      <c r="T451" s="3">
        <f t="shared" si="181"/>
        <v>24191.663671298895</v>
      </c>
      <c r="U451" s="3">
        <f t="shared" si="182"/>
        <v>0.5</v>
      </c>
      <c r="V451" s="3">
        <f t="shared" si="183"/>
        <v>0</v>
      </c>
      <c r="W451" s="3">
        <f t="shared" si="184"/>
        <v>24138.609085917928</v>
      </c>
      <c r="X451" s="3">
        <f t="shared" si="176"/>
        <v>11857.633051995503</v>
      </c>
      <c r="AI451" s="3"/>
      <c r="AJ451" s="3"/>
      <c r="AK451" s="15">
        <f t="shared" si="167"/>
        <v>2</v>
      </c>
      <c r="AL451" s="11">
        <f t="shared" si="171"/>
        <v>2652</v>
      </c>
      <c r="AM451" s="11" t="b">
        <f t="shared" si="166"/>
        <v>0</v>
      </c>
      <c r="AN451" s="11">
        <f t="shared" si="168"/>
        <v>36000</v>
      </c>
      <c r="AO451" s="11">
        <f t="shared" si="169"/>
        <v>0</v>
      </c>
      <c r="AP451" s="11">
        <f t="shared" si="170"/>
        <v>0.59451612256123165</v>
      </c>
      <c r="AQ451" s="11">
        <f t="shared" si="172"/>
        <v>0</v>
      </c>
      <c r="AT451" s="3"/>
      <c r="AU451" s="17"/>
      <c r="AV451" s="19"/>
      <c r="AW451" s="17"/>
      <c r="AX451" s="17">
        <f t="shared" si="191"/>
        <v>442</v>
      </c>
      <c r="AY451" s="17">
        <f t="shared" si="190"/>
        <v>44.2</v>
      </c>
      <c r="AZ451" s="17">
        <v>59.451612256123163</v>
      </c>
      <c r="BA451" s="17"/>
      <c r="BB451" s="17">
        <v>36</v>
      </c>
      <c r="BC451" s="17"/>
      <c r="BD451" s="17"/>
      <c r="BE451" s="17"/>
      <c r="BF451" s="17"/>
      <c r="BG451" s="17"/>
      <c r="BH451" s="17"/>
      <c r="BI451" s="17"/>
      <c r="BJ451" s="17"/>
      <c r="BK451" s="17"/>
      <c r="BL451" s="17"/>
      <c r="BM451" s="17"/>
      <c r="BN451" s="17"/>
      <c r="BO451" s="17"/>
      <c r="BP451" s="17"/>
      <c r="BQ451" s="17"/>
      <c r="BR451" s="17"/>
      <c r="BS451" s="17"/>
      <c r="BT451" s="17"/>
      <c r="BU451" s="17"/>
      <c r="BV451" s="17"/>
      <c r="BW451" s="17"/>
      <c r="BX451" s="17"/>
      <c r="BY451" s="17"/>
      <c r="BZ451" s="17"/>
      <c r="CA451" s="17"/>
      <c r="CB451" s="17"/>
      <c r="CC451" s="17"/>
      <c r="CD451" s="17"/>
      <c r="CE451" s="17"/>
      <c r="CF451" s="17"/>
      <c r="CG451" s="17"/>
      <c r="CH451" s="17"/>
    </row>
    <row r="452" spans="8:86" x14ac:dyDescent="0.15">
      <c r="H452" s="3">
        <f t="shared" si="185"/>
        <v>0.44000000000000034</v>
      </c>
      <c r="I452" s="3">
        <f t="shared" si="186"/>
        <v>360</v>
      </c>
      <c r="J452" s="14">
        <f t="shared" si="187"/>
        <v>500</v>
      </c>
      <c r="K452" s="3">
        <f t="shared" si="177"/>
        <v>0</v>
      </c>
      <c r="L452" s="3">
        <f t="shared" si="173"/>
        <v>500</v>
      </c>
      <c r="M452" s="15">
        <f t="shared" si="188"/>
        <v>7.0000000000000007E-2</v>
      </c>
      <c r="N452" s="3">
        <f t="shared" si="189"/>
        <v>66.98449283957396</v>
      </c>
      <c r="O452" s="3">
        <f t="shared" si="174"/>
        <v>66.98449283957396</v>
      </c>
      <c r="P452" s="3">
        <f t="shared" si="178"/>
        <v>72.026336386638675</v>
      </c>
      <c r="Q452" s="3">
        <f t="shared" si="179"/>
        <v>23.666882776648407</v>
      </c>
      <c r="R452" s="3">
        <f t="shared" si="180"/>
        <v>47.846609581643541</v>
      </c>
      <c r="S452" s="3">
        <f t="shared" si="175"/>
        <v>1</v>
      </c>
      <c r="T452" s="3">
        <f t="shared" si="181"/>
        <v>24179.726804995134</v>
      </c>
      <c r="U452" s="3">
        <f t="shared" si="182"/>
        <v>0.5</v>
      </c>
      <c r="V452" s="3">
        <f t="shared" si="183"/>
        <v>0</v>
      </c>
      <c r="W452" s="3">
        <f t="shared" si="184"/>
        <v>24114.417422246624</v>
      </c>
      <c r="X452" s="3">
        <f t="shared" si="176"/>
        <v>11833.441388324203</v>
      </c>
      <c r="AI452" s="3"/>
      <c r="AJ452" s="3"/>
      <c r="AK452" s="15">
        <f t="shared" si="167"/>
        <v>2</v>
      </c>
      <c r="AL452" s="11">
        <f t="shared" si="171"/>
        <v>2658</v>
      </c>
      <c r="AM452" s="11" t="b">
        <f t="shared" si="166"/>
        <v>0</v>
      </c>
      <c r="AN452" s="11">
        <f t="shared" si="168"/>
        <v>36000</v>
      </c>
      <c r="AO452" s="11">
        <f t="shared" si="169"/>
        <v>0</v>
      </c>
      <c r="AP452" s="11">
        <f t="shared" si="170"/>
        <v>0.59561843737604658</v>
      </c>
      <c r="AQ452" s="11">
        <f t="shared" si="172"/>
        <v>0</v>
      </c>
      <c r="AT452" s="3"/>
      <c r="AU452" s="17"/>
      <c r="AV452" s="19"/>
      <c r="AW452" s="17"/>
      <c r="AX452" s="17">
        <f t="shared" si="191"/>
        <v>443</v>
      </c>
      <c r="AY452" s="17">
        <f t="shared" si="190"/>
        <v>44.3</v>
      </c>
      <c r="AZ452" s="17">
        <v>59.561843737604661</v>
      </c>
      <c r="BA452" s="17"/>
      <c r="BB452" s="17">
        <v>36</v>
      </c>
      <c r="BC452" s="17"/>
      <c r="BD452" s="17"/>
      <c r="BE452" s="17"/>
      <c r="BF452" s="17"/>
      <c r="BG452" s="17"/>
      <c r="BH452" s="17"/>
      <c r="BI452" s="17"/>
      <c r="BJ452" s="17"/>
      <c r="BK452" s="17"/>
      <c r="BL452" s="17"/>
      <c r="BM452" s="17"/>
      <c r="BN452" s="17"/>
      <c r="BO452" s="17"/>
      <c r="BP452" s="17"/>
      <c r="BQ452" s="17"/>
      <c r="BR452" s="17"/>
      <c r="BS452" s="17"/>
      <c r="BT452" s="17"/>
      <c r="BU452" s="17"/>
      <c r="BV452" s="17"/>
      <c r="BW452" s="17"/>
      <c r="BX452" s="17"/>
      <c r="BY452" s="17"/>
      <c r="BZ452" s="17"/>
      <c r="CA452" s="17"/>
      <c r="CB452" s="17"/>
      <c r="CC452" s="17"/>
      <c r="CD452" s="17"/>
      <c r="CE452" s="17"/>
      <c r="CF452" s="17"/>
      <c r="CG452" s="17"/>
      <c r="CH452" s="17"/>
    </row>
    <row r="453" spans="8:86" x14ac:dyDescent="0.15">
      <c r="H453" s="3">
        <f t="shared" si="185"/>
        <v>0.44100000000000034</v>
      </c>
      <c r="I453" s="3">
        <f t="shared" si="186"/>
        <v>360</v>
      </c>
      <c r="J453" s="14">
        <f t="shared" si="187"/>
        <v>500</v>
      </c>
      <c r="K453" s="3">
        <f t="shared" si="177"/>
        <v>0</v>
      </c>
      <c r="L453" s="3">
        <f t="shared" si="173"/>
        <v>500</v>
      </c>
      <c r="M453" s="15">
        <f t="shared" si="188"/>
        <v>7.0000000000000007E-2</v>
      </c>
      <c r="N453" s="3">
        <f t="shared" si="189"/>
        <v>66.917326931782299</v>
      </c>
      <c r="O453" s="3">
        <f t="shared" si="174"/>
        <v>66.917326931782299</v>
      </c>
      <c r="P453" s="3">
        <f t="shared" si="178"/>
        <v>71.954114980411077</v>
      </c>
      <c r="Q453" s="3">
        <f t="shared" si="179"/>
        <v>23.618523323038414</v>
      </c>
      <c r="R453" s="3">
        <f t="shared" si="180"/>
        <v>47.786319151724747</v>
      </c>
      <c r="S453" s="3">
        <f t="shared" si="175"/>
        <v>1</v>
      </c>
      <c r="T453" s="3">
        <f t="shared" si="181"/>
        <v>24167.795828686329</v>
      </c>
      <c r="U453" s="3">
        <f t="shared" si="182"/>
        <v>0.5</v>
      </c>
      <c r="V453" s="3">
        <f t="shared" si="183"/>
        <v>0</v>
      </c>
      <c r="W453" s="3">
        <f t="shared" si="184"/>
        <v>24090.237695441629</v>
      </c>
      <c r="X453" s="3">
        <f t="shared" si="176"/>
        <v>11809.261661519207</v>
      </c>
      <c r="AI453" s="3"/>
      <c r="AJ453" s="3"/>
      <c r="AK453" s="15">
        <f t="shared" si="167"/>
        <v>2</v>
      </c>
      <c r="AL453" s="11">
        <f t="shared" si="171"/>
        <v>2664</v>
      </c>
      <c r="AM453" s="11" t="b">
        <f t="shared" si="166"/>
        <v>0</v>
      </c>
      <c r="AN453" s="11">
        <f t="shared" si="168"/>
        <v>36000</v>
      </c>
      <c r="AO453" s="11">
        <f t="shared" si="169"/>
        <v>0</v>
      </c>
      <c r="AP453" s="11">
        <f t="shared" si="170"/>
        <v>0.5967207521908614</v>
      </c>
      <c r="AQ453" s="11">
        <f t="shared" si="172"/>
        <v>0</v>
      </c>
      <c r="AT453" s="3"/>
      <c r="AU453" s="17"/>
      <c r="AV453" s="19"/>
      <c r="AW453" s="17"/>
      <c r="AX453" s="17">
        <f t="shared" si="191"/>
        <v>444</v>
      </c>
      <c r="AY453" s="17">
        <f t="shared" si="190"/>
        <v>44.4</v>
      </c>
      <c r="AZ453" s="17">
        <v>59.672075219086139</v>
      </c>
      <c r="BA453" s="17"/>
      <c r="BB453" s="17">
        <v>36</v>
      </c>
      <c r="BC453" s="17"/>
      <c r="BD453" s="17"/>
      <c r="BE453" s="17"/>
      <c r="BF453" s="17"/>
      <c r="BG453" s="17"/>
      <c r="BH453" s="17"/>
      <c r="BI453" s="17"/>
      <c r="BJ453" s="17"/>
      <c r="BK453" s="17"/>
      <c r="BL453" s="17"/>
      <c r="BM453" s="17"/>
      <c r="BN453" s="17"/>
      <c r="BO453" s="17"/>
      <c r="BP453" s="17"/>
      <c r="BQ453" s="17"/>
      <c r="BR453" s="17"/>
      <c r="BS453" s="17"/>
      <c r="BT453" s="17"/>
      <c r="BU453" s="17"/>
      <c r="BV453" s="17"/>
      <c r="BW453" s="17"/>
      <c r="BX453" s="17"/>
      <c r="BY453" s="17"/>
      <c r="BZ453" s="17"/>
      <c r="CA453" s="17"/>
      <c r="CB453" s="17"/>
      <c r="CC453" s="17"/>
      <c r="CD453" s="17"/>
      <c r="CE453" s="17"/>
      <c r="CF453" s="17"/>
      <c r="CG453" s="17"/>
      <c r="CH453" s="17"/>
    </row>
    <row r="454" spans="8:86" x14ac:dyDescent="0.15">
      <c r="H454" s="3">
        <f t="shared" si="185"/>
        <v>0.44200000000000034</v>
      </c>
      <c r="I454" s="3">
        <f t="shared" si="186"/>
        <v>360</v>
      </c>
      <c r="J454" s="14">
        <f t="shared" si="187"/>
        <v>500</v>
      </c>
      <c r="K454" s="3">
        <f t="shared" si="177"/>
        <v>0</v>
      </c>
      <c r="L454" s="3">
        <f t="shared" si="173"/>
        <v>500</v>
      </c>
      <c r="M454" s="15">
        <f t="shared" si="188"/>
        <v>7.0000000000000007E-2</v>
      </c>
      <c r="N454" s="3">
        <f t="shared" si="189"/>
        <v>66.850194165591503</v>
      </c>
      <c r="O454" s="3">
        <f t="shared" si="174"/>
        <v>66.850194165591503</v>
      </c>
      <c r="P454" s="3">
        <f t="shared" si="178"/>
        <v>71.881929210313444</v>
      </c>
      <c r="Q454" s="3">
        <f t="shared" si="179"/>
        <v>23.570187731381044</v>
      </c>
      <c r="R454" s="3">
        <f t="shared" si="180"/>
        <v>47.726058470847242</v>
      </c>
      <c r="S454" s="3">
        <f t="shared" si="175"/>
        <v>1</v>
      </c>
      <c r="T454" s="3">
        <f t="shared" si="181"/>
        <v>24155.870739466201</v>
      </c>
      <c r="U454" s="3">
        <f t="shared" si="182"/>
        <v>0.5</v>
      </c>
      <c r="V454" s="3">
        <f t="shared" si="183"/>
        <v>0</v>
      </c>
      <c r="W454" s="3">
        <f t="shared" si="184"/>
        <v>24066.069899612939</v>
      </c>
      <c r="X454" s="3">
        <f t="shared" si="176"/>
        <v>11785.093865690522</v>
      </c>
      <c r="AI454" s="3"/>
      <c r="AJ454" s="3"/>
      <c r="AK454" s="15">
        <f t="shared" si="167"/>
        <v>2</v>
      </c>
      <c r="AL454" s="11">
        <f t="shared" si="171"/>
        <v>2670</v>
      </c>
      <c r="AM454" s="11" t="b">
        <f t="shared" si="166"/>
        <v>0</v>
      </c>
      <c r="AN454" s="11">
        <f t="shared" si="168"/>
        <v>36000</v>
      </c>
      <c r="AO454" s="11">
        <f t="shared" si="169"/>
        <v>0</v>
      </c>
      <c r="AP454" s="11">
        <f t="shared" si="170"/>
        <v>0.59782306700567622</v>
      </c>
      <c r="AQ454" s="11">
        <f t="shared" si="172"/>
        <v>0</v>
      </c>
      <c r="AT454" s="3"/>
      <c r="AU454" s="17"/>
      <c r="AV454" s="19"/>
      <c r="AW454" s="17"/>
      <c r="AX454" s="17">
        <f t="shared" si="191"/>
        <v>445</v>
      </c>
      <c r="AY454" s="17">
        <f t="shared" si="190"/>
        <v>44.5</v>
      </c>
      <c r="AZ454" s="17">
        <v>59.782306700567624</v>
      </c>
      <c r="BA454" s="17"/>
      <c r="BB454" s="17">
        <v>36</v>
      </c>
      <c r="BC454" s="17"/>
      <c r="BD454" s="17"/>
      <c r="BE454" s="17"/>
      <c r="BF454" s="17"/>
      <c r="BG454" s="17"/>
      <c r="BH454" s="17"/>
      <c r="BI454" s="17"/>
      <c r="BJ454" s="17"/>
      <c r="BK454" s="17"/>
      <c r="BL454" s="17"/>
      <c r="BM454" s="17"/>
      <c r="BN454" s="17"/>
      <c r="BO454" s="17"/>
      <c r="BP454" s="17"/>
      <c r="BQ454" s="17"/>
      <c r="BR454" s="17"/>
      <c r="BS454" s="17"/>
      <c r="BT454" s="17"/>
      <c r="BU454" s="17"/>
      <c r="BV454" s="17"/>
      <c r="BW454" s="17"/>
      <c r="BX454" s="17"/>
      <c r="BY454" s="17"/>
      <c r="BZ454" s="17"/>
      <c r="CA454" s="17"/>
      <c r="CB454" s="17"/>
      <c r="CC454" s="17"/>
      <c r="CD454" s="17"/>
      <c r="CE454" s="17"/>
      <c r="CF454" s="17"/>
      <c r="CG454" s="17"/>
      <c r="CH454" s="17"/>
    </row>
    <row r="455" spans="8:86" x14ac:dyDescent="0.15">
      <c r="H455" s="3">
        <f t="shared" si="185"/>
        <v>0.44300000000000034</v>
      </c>
      <c r="I455" s="3">
        <f t="shared" si="186"/>
        <v>360</v>
      </c>
      <c r="J455" s="14">
        <f t="shared" si="187"/>
        <v>500</v>
      </c>
      <c r="K455" s="3">
        <f t="shared" si="177"/>
        <v>0</v>
      </c>
      <c r="L455" s="3">
        <f t="shared" si="173"/>
        <v>500</v>
      </c>
      <c r="M455" s="15">
        <f t="shared" si="188"/>
        <v>7.0000000000000007E-2</v>
      </c>
      <c r="N455" s="3">
        <f t="shared" si="189"/>
        <v>66.783094524648533</v>
      </c>
      <c r="O455" s="3">
        <f t="shared" si="174"/>
        <v>66.783094524648533</v>
      </c>
      <c r="P455" s="3">
        <f t="shared" si="178"/>
        <v>71.809779058761862</v>
      </c>
      <c r="Q455" s="3">
        <f t="shared" si="179"/>
        <v>23.52187598990211</v>
      </c>
      <c r="R455" s="3">
        <f t="shared" si="180"/>
        <v>47.665827524331988</v>
      </c>
      <c r="S455" s="3">
        <f t="shared" si="175"/>
        <v>1</v>
      </c>
      <c r="T455" s="3">
        <f t="shared" si="181"/>
        <v>24143.951534429874</v>
      </c>
      <c r="U455" s="3">
        <f t="shared" si="182"/>
        <v>0.5</v>
      </c>
      <c r="V455" s="3">
        <f t="shared" si="183"/>
        <v>0</v>
      </c>
      <c r="W455" s="3">
        <f t="shared" si="184"/>
        <v>24041.914028873471</v>
      </c>
      <c r="X455" s="3">
        <f t="shared" si="176"/>
        <v>11760.937994951055</v>
      </c>
      <c r="AI455" s="3"/>
      <c r="AJ455" s="3"/>
      <c r="AK455" s="15">
        <f t="shared" si="167"/>
        <v>2</v>
      </c>
      <c r="AL455" s="11">
        <f t="shared" si="171"/>
        <v>2676</v>
      </c>
      <c r="AM455" s="11" t="b">
        <f t="shared" si="166"/>
        <v>0</v>
      </c>
      <c r="AN455" s="11">
        <f t="shared" si="168"/>
        <v>36000</v>
      </c>
      <c r="AO455" s="11">
        <f t="shared" si="169"/>
        <v>0</v>
      </c>
      <c r="AP455" s="11">
        <f t="shared" si="170"/>
        <v>0.59892538182049104</v>
      </c>
      <c r="AQ455" s="11">
        <f t="shared" si="172"/>
        <v>0</v>
      </c>
      <c r="AT455" s="3"/>
      <c r="AU455" s="17"/>
      <c r="AV455" s="19"/>
      <c r="AW455" s="17"/>
      <c r="AX455" s="17">
        <f t="shared" si="191"/>
        <v>446</v>
      </c>
      <c r="AY455" s="17">
        <f t="shared" si="190"/>
        <v>44.6</v>
      </c>
      <c r="AZ455" s="17">
        <v>59.892538182049101</v>
      </c>
      <c r="BA455" s="17"/>
      <c r="BB455" s="17">
        <v>36</v>
      </c>
      <c r="BC455" s="17"/>
      <c r="BD455" s="17"/>
      <c r="BE455" s="17"/>
      <c r="BF455" s="17"/>
      <c r="BG455" s="17"/>
      <c r="BH455" s="17"/>
      <c r="BI455" s="17"/>
      <c r="BJ455" s="17"/>
      <c r="BK455" s="17"/>
      <c r="BL455" s="17"/>
      <c r="BM455" s="17"/>
      <c r="BN455" s="17"/>
      <c r="BO455" s="17"/>
      <c r="BP455" s="17"/>
      <c r="BQ455" s="17"/>
      <c r="BR455" s="17"/>
      <c r="BS455" s="17"/>
      <c r="BT455" s="17"/>
      <c r="BU455" s="17"/>
      <c r="BV455" s="17"/>
      <c r="BW455" s="17"/>
      <c r="BX455" s="17"/>
      <c r="BY455" s="17"/>
      <c r="BZ455" s="17"/>
      <c r="CA455" s="17"/>
      <c r="CB455" s="17"/>
      <c r="CC455" s="17"/>
      <c r="CD455" s="17"/>
      <c r="CE455" s="17"/>
      <c r="CF455" s="17"/>
      <c r="CG455" s="17"/>
      <c r="CH455" s="17"/>
    </row>
    <row r="456" spans="8:86" x14ac:dyDescent="0.15">
      <c r="H456" s="3">
        <f t="shared" si="185"/>
        <v>0.44400000000000034</v>
      </c>
      <c r="I456" s="3">
        <f t="shared" si="186"/>
        <v>360</v>
      </c>
      <c r="J456" s="14">
        <f t="shared" si="187"/>
        <v>500</v>
      </c>
      <c r="K456" s="3">
        <f t="shared" si="177"/>
        <v>0</v>
      </c>
      <c r="L456" s="3">
        <f t="shared" si="173"/>
        <v>500</v>
      </c>
      <c r="M456" s="15">
        <f t="shared" si="188"/>
        <v>7.0000000000000007E-2</v>
      </c>
      <c r="N456" s="3">
        <f t="shared" si="189"/>
        <v>66.716027992608446</v>
      </c>
      <c r="O456" s="3">
        <f t="shared" si="174"/>
        <v>66.716027992608446</v>
      </c>
      <c r="P456" s="3">
        <f t="shared" si="178"/>
        <v>71.737664508181126</v>
      </c>
      <c r="Q456" s="3">
        <f t="shared" si="179"/>
        <v>23.473588086833249</v>
      </c>
      <c r="R456" s="3">
        <f t="shared" si="180"/>
        <v>47.605626297507186</v>
      </c>
      <c r="S456" s="3">
        <f t="shared" si="175"/>
        <v>1</v>
      </c>
      <c r="T456" s="3">
        <f t="shared" si="181"/>
        <v>24132.038210673942</v>
      </c>
      <c r="U456" s="3">
        <f t="shared" si="182"/>
        <v>0.5</v>
      </c>
      <c r="V456" s="3">
        <f t="shared" si="183"/>
        <v>0</v>
      </c>
      <c r="W456" s="3">
        <f t="shared" si="184"/>
        <v>24017.770077339039</v>
      </c>
      <c r="X456" s="3">
        <f t="shared" si="176"/>
        <v>11736.794043416625</v>
      </c>
      <c r="AI456" s="3"/>
      <c r="AJ456" s="3"/>
      <c r="AK456" s="15">
        <f t="shared" si="167"/>
        <v>2</v>
      </c>
      <c r="AL456" s="11">
        <f t="shared" si="171"/>
        <v>2682</v>
      </c>
      <c r="AM456" s="11" t="b">
        <f t="shared" si="166"/>
        <v>0</v>
      </c>
      <c r="AN456" s="11">
        <f t="shared" si="168"/>
        <v>36000</v>
      </c>
      <c r="AO456" s="11">
        <f t="shared" si="169"/>
        <v>0</v>
      </c>
      <c r="AP456" s="11">
        <f t="shared" si="170"/>
        <v>0.60002769663530586</v>
      </c>
      <c r="AQ456" s="11">
        <f t="shared" si="172"/>
        <v>0</v>
      </c>
      <c r="AT456" s="3"/>
      <c r="AU456" s="17"/>
      <c r="AV456" s="19"/>
      <c r="AW456" s="17"/>
      <c r="AX456" s="17">
        <f t="shared" si="191"/>
        <v>447</v>
      </c>
      <c r="AY456" s="17">
        <f t="shared" si="190"/>
        <v>44.7</v>
      </c>
      <c r="AZ456" s="17">
        <v>60.002769663530586</v>
      </c>
      <c r="BA456" s="17"/>
      <c r="BB456" s="17">
        <v>36</v>
      </c>
      <c r="BC456" s="17"/>
      <c r="BD456" s="17"/>
      <c r="BE456" s="17"/>
      <c r="BF456" s="17"/>
      <c r="BG456" s="17"/>
      <c r="BH456" s="17"/>
      <c r="BI456" s="17"/>
      <c r="BJ456" s="17"/>
      <c r="BK456" s="17"/>
      <c r="BL456" s="17"/>
      <c r="BM456" s="17"/>
      <c r="BN456" s="17"/>
      <c r="BO456" s="17"/>
      <c r="BP456" s="17"/>
      <c r="BQ456" s="17"/>
      <c r="BR456" s="17"/>
      <c r="BS456" s="17"/>
      <c r="BT456" s="17"/>
      <c r="BU456" s="17"/>
      <c r="BV456" s="17"/>
      <c r="BW456" s="17"/>
      <c r="BX456" s="17"/>
      <c r="BY456" s="17"/>
      <c r="BZ456" s="17"/>
      <c r="CA456" s="17"/>
      <c r="CB456" s="17"/>
      <c r="CC456" s="17"/>
      <c r="CD456" s="17"/>
      <c r="CE456" s="17"/>
      <c r="CF456" s="17"/>
      <c r="CG456" s="17"/>
      <c r="CH456" s="17"/>
    </row>
    <row r="457" spans="8:86" x14ac:dyDescent="0.15">
      <c r="H457" s="3">
        <f t="shared" si="185"/>
        <v>0.44500000000000034</v>
      </c>
      <c r="I457" s="3">
        <f t="shared" si="186"/>
        <v>360</v>
      </c>
      <c r="J457" s="14">
        <f t="shared" si="187"/>
        <v>500</v>
      </c>
      <c r="K457" s="3">
        <f t="shared" si="177"/>
        <v>0</v>
      </c>
      <c r="L457" s="3">
        <f t="shared" si="173"/>
        <v>500</v>
      </c>
      <c r="M457" s="15">
        <f t="shared" si="188"/>
        <v>7.0000000000000007E-2</v>
      </c>
      <c r="N457" s="3">
        <f t="shared" si="189"/>
        <v>66.648994553134344</v>
      </c>
      <c r="O457" s="3">
        <f t="shared" si="174"/>
        <v>66.648994553134344</v>
      </c>
      <c r="P457" s="3">
        <f t="shared" si="178"/>
        <v>71.665585541004674</v>
      </c>
      <c r="Q457" s="3">
        <f t="shared" si="179"/>
        <v>23.425324010411902</v>
      </c>
      <c r="R457" s="3">
        <f t="shared" si="180"/>
        <v>47.545454775708286</v>
      </c>
      <c r="S457" s="3">
        <f t="shared" si="175"/>
        <v>1</v>
      </c>
      <c r="T457" s="3">
        <f t="shared" si="181"/>
        <v>24120.130765296388</v>
      </c>
      <c r="U457" s="3">
        <f t="shared" si="182"/>
        <v>0.5</v>
      </c>
      <c r="V457" s="3">
        <f t="shared" si="183"/>
        <v>0</v>
      </c>
      <c r="W457" s="3">
        <f t="shared" si="184"/>
        <v>23993.638039128364</v>
      </c>
      <c r="X457" s="3">
        <f t="shared" si="176"/>
        <v>11712.662005205952</v>
      </c>
      <c r="AI457" s="3"/>
      <c r="AJ457" s="3"/>
      <c r="AK457" s="15">
        <f t="shared" si="167"/>
        <v>2</v>
      </c>
      <c r="AL457" s="11">
        <f t="shared" si="171"/>
        <v>2688</v>
      </c>
      <c r="AM457" s="11" t="b">
        <f t="shared" ref="AM457:AM520" si="192">OR(AND(AL457&gt;=$AC$5,AL457&lt;=$AD$5),AND(AL457&gt;=$AC$6,AL457&lt;=$AD$6),AND(AL457&gt;=$AC$7,AL457&lt;=$AD$7),AND(AL457&gt;=$AC$8,AL457&lt;=$AD$8),AND(AL457&gt;=$AC$9,AL457&lt;=$AD$9),AND(AL457&gt;=$AC$10,AL457&lt;=$AD$10),AND(AL457&gt;=$AC$11,AL457&lt;=$AD$11),AND($AD$11&lt;$AC$11,OR(AL457&lt;$AD$11,AL457&gt;$AC$11)))</f>
        <v>0</v>
      </c>
      <c r="AN457" s="11">
        <f t="shared" si="168"/>
        <v>36000</v>
      </c>
      <c r="AO457" s="11">
        <f t="shared" si="169"/>
        <v>0</v>
      </c>
      <c r="AP457" s="11">
        <f t="shared" si="170"/>
        <v>0.60113001145012079</v>
      </c>
      <c r="AQ457" s="11">
        <f t="shared" si="172"/>
        <v>0</v>
      </c>
      <c r="AT457" s="3"/>
      <c r="AU457" s="17"/>
      <c r="AV457" s="19"/>
      <c r="AW457" s="17"/>
      <c r="AX457" s="17">
        <f t="shared" si="191"/>
        <v>448</v>
      </c>
      <c r="AY457" s="17">
        <f t="shared" si="190"/>
        <v>44.8</v>
      </c>
      <c r="AZ457" s="17">
        <v>60.113001145012078</v>
      </c>
      <c r="BA457" s="17"/>
      <c r="BB457" s="17">
        <v>36</v>
      </c>
      <c r="BC457" s="17"/>
      <c r="BD457" s="17"/>
      <c r="BE457" s="17"/>
      <c r="BF457" s="17"/>
      <c r="BG457" s="17"/>
      <c r="BH457" s="17"/>
      <c r="BI457" s="17"/>
      <c r="BJ457" s="17"/>
      <c r="BK457" s="17"/>
      <c r="BL457" s="17"/>
      <c r="BM457" s="17"/>
      <c r="BN457" s="17"/>
      <c r="BO457" s="17"/>
      <c r="BP457" s="17"/>
      <c r="BQ457" s="17"/>
      <c r="BR457" s="17"/>
      <c r="BS457" s="17"/>
      <c r="BT457" s="17"/>
      <c r="BU457" s="17"/>
      <c r="BV457" s="17"/>
      <c r="BW457" s="17"/>
      <c r="BX457" s="17"/>
      <c r="BY457" s="17"/>
      <c r="BZ457" s="17"/>
      <c r="CA457" s="17"/>
      <c r="CB457" s="17"/>
      <c r="CC457" s="17"/>
      <c r="CD457" s="17"/>
      <c r="CE457" s="17"/>
      <c r="CF457" s="17"/>
      <c r="CG457" s="17"/>
      <c r="CH457" s="17"/>
    </row>
    <row r="458" spans="8:86" x14ac:dyDescent="0.15">
      <c r="H458" s="3">
        <f t="shared" si="185"/>
        <v>0.44600000000000034</v>
      </c>
      <c r="I458" s="3">
        <f t="shared" si="186"/>
        <v>360</v>
      </c>
      <c r="J458" s="14">
        <f t="shared" si="187"/>
        <v>500</v>
      </c>
      <c r="K458" s="3">
        <f t="shared" si="177"/>
        <v>0</v>
      </c>
      <c r="L458" s="3">
        <f t="shared" si="173"/>
        <v>500</v>
      </c>
      <c r="M458" s="15">
        <f t="shared" si="188"/>
        <v>7.0000000000000007E-2</v>
      </c>
      <c r="N458" s="3">
        <f t="shared" si="189"/>
        <v>66.581994189897415</v>
      </c>
      <c r="O458" s="3">
        <f t="shared" si="174"/>
        <v>66.581994189897415</v>
      </c>
      <c r="P458" s="3">
        <f t="shared" si="178"/>
        <v>71.593542139674639</v>
      </c>
      <c r="Q458" s="3">
        <f t="shared" si="179"/>
        <v>23.377083748881308</v>
      </c>
      <c r="R458" s="3">
        <f t="shared" si="180"/>
        <v>47.485312944277972</v>
      </c>
      <c r="S458" s="3">
        <f t="shared" si="175"/>
        <v>1</v>
      </c>
      <c r="T458" s="3">
        <f t="shared" si="181"/>
        <v>24108.229195396667</v>
      </c>
      <c r="U458" s="3">
        <f t="shared" si="182"/>
        <v>0.5</v>
      </c>
      <c r="V458" s="3">
        <f t="shared" si="183"/>
        <v>0</v>
      </c>
      <c r="W458" s="3">
        <f t="shared" si="184"/>
        <v>23969.517908363068</v>
      </c>
      <c r="X458" s="3">
        <f t="shared" si="176"/>
        <v>11688.541874440654</v>
      </c>
      <c r="AI458" s="3"/>
      <c r="AJ458" s="3"/>
      <c r="AK458" s="15">
        <f t="shared" ref="AK458:AK521" si="193">1+INT(MOD(AL458/60/24-0.5,7))</f>
        <v>2</v>
      </c>
      <c r="AL458" s="11">
        <f t="shared" si="171"/>
        <v>2694</v>
      </c>
      <c r="AM458" s="11" t="b">
        <f t="shared" si="192"/>
        <v>0</v>
      </c>
      <c r="AN458" s="11">
        <f t="shared" ref="AN458:AN521" si="194">IF(AND(AM458,NOT(AM459)),$AB$26,AN457+($AB$28-IF(AND(AM457,AM458),CHOOSE(AK458,$AG$5,$AG$6,$AG$7,$AG$8,$AG$9,$AG$10,$AG$11)*$AA$22/$AA$24,0))*$AB$15)</f>
        <v>36000</v>
      </c>
      <c r="AO458" s="11">
        <f t="shared" ref="AO458:AO521" si="195">IF(AND(AM458,NOT(AM459)),$AB$27,AO457+($AB$29-IF(AND(AM457,AM458),CHOOSE(AK458,$AG$5,$AG$6,$AG$7,$AG$8,$AG$9,$AG$10,$AG$11)*$AA$23/$AA$24,0))*$AB$15)</f>
        <v>0</v>
      </c>
      <c r="AP458" s="11">
        <f t="shared" ref="AP458:AP521" si="196">IF(AN457&lt;=0,0,(AP457*AN457-(IF(AND(AM457,AM458),CHOOSE(AK458,$AI$5,$AI$6,$AI$7,$AI$8,$AI$9,$AI$10,$AI$11),$AA$37))*AP457*$AB$15+$AA$34*(AQ457-AP457)*$AB$15+$AA$33*$AB$15)/AN457)</f>
        <v>0.60223232626493561</v>
      </c>
      <c r="AQ458" s="11">
        <f t="shared" si="172"/>
        <v>0</v>
      </c>
      <c r="AT458" s="3"/>
      <c r="AU458" s="17"/>
      <c r="AV458" s="19"/>
      <c r="AW458" s="17"/>
      <c r="AX458" s="17">
        <f t="shared" si="191"/>
        <v>449</v>
      </c>
      <c r="AY458" s="17">
        <f t="shared" si="190"/>
        <v>44.9</v>
      </c>
      <c r="AZ458" s="17">
        <v>60.223232626493562</v>
      </c>
      <c r="BA458" s="17"/>
      <c r="BB458" s="17">
        <v>36</v>
      </c>
      <c r="BC458" s="17"/>
      <c r="BD458" s="17"/>
      <c r="BE458" s="17"/>
      <c r="BF458" s="17"/>
      <c r="BG458" s="17"/>
      <c r="BH458" s="17"/>
      <c r="BI458" s="17"/>
      <c r="BJ458" s="17"/>
      <c r="BK458" s="17"/>
      <c r="BL458" s="17"/>
      <c r="BM458" s="17"/>
      <c r="BN458" s="17"/>
      <c r="BO458" s="17"/>
      <c r="BP458" s="17"/>
      <c r="BQ458" s="17"/>
      <c r="BR458" s="17"/>
      <c r="BS458" s="17"/>
      <c r="BT458" s="17"/>
      <c r="BU458" s="17"/>
      <c r="BV458" s="17"/>
      <c r="BW458" s="17"/>
      <c r="BX458" s="17"/>
      <c r="BY458" s="17"/>
      <c r="BZ458" s="17"/>
      <c r="CA458" s="17"/>
      <c r="CB458" s="17"/>
      <c r="CC458" s="17"/>
      <c r="CD458" s="17"/>
      <c r="CE458" s="17"/>
      <c r="CF458" s="17"/>
      <c r="CG458" s="17"/>
      <c r="CH458" s="17"/>
    </row>
    <row r="459" spans="8:86" x14ac:dyDescent="0.15">
      <c r="H459" s="3">
        <f t="shared" si="185"/>
        <v>0.44700000000000034</v>
      </c>
      <c r="I459" s="3">
        <f t="shared" si="186"/>
        <v>360</v>
      </c>
      <c r="J459" s="14">
        <f t="shared" si="187"/>
        <v>500</v>
      </c>
      <c r="K459" s="3">
        <f t="shared" si="177"/>
        <v>0</v>
      </c>
      <c r="L459" s="3">
        <f t="shared" si="173"/>
        <v>500</v>
      </c>
      <c r="M459" s="15">
        <f t="shared" si="188"/>
        <v>7.0000000000000007E-2</v>
      </c>
      <c r="N459" s="3">
        <f t="shared" si="189"/>
        <v>66.515026886576862</v>
      </c>
      <c r="O459" s="3">
        <f t="shared" si="174"/>
        <v>66.515026886576862</v>
      </c>
      <c r="P459" s="3">
        <f t="shared" si="178"/>
        <v>71.521534286641796</v>
      </c>
      <c r="Q459" s="3">
        <f t="shared" si="179"/>
        <v>23.328867290490514</v>
      </c>
      <c r="R459" s="3">
        <f t="shared" si="180"/>
        <v>47.425200788566158</v>
      </c>
      <c r="S459" s="3">
        <f t="shared" si="175"/>
        <v>1</v>
      </c>
      <c r="T459" s="3">
        <f t="shared" si="181"/>
        <v>24096.333498075641</v>
      </c>
      <c r="U459" s="3">
        <f t="shared" si="182"/>
        <v>0.5</v>
      </c>
      <c r="V459" s="3">
        <f t="shared" si="183"/>
        <v>0</v>
      </c>
      <c r="W459" s="3">
        <f t="shared" si="184"/>
        <v>23945.409679167671</v>
      </c>
      <c r="X459" s="3">
        <f t="shared" si="176"/>
        <v>11664.433645245257</v>
      </c>
      <c r="AI459" s="3"/>
      <c r="AJ459" s="3"/>
      <c r="AK459" s="15">
        <f t="shared" si="193"/>
        <v>2</v>
      </c>
      <c r="AL459" s="11">
        <f t="shared" ref="AL459:AL522" si="197">AL458+$AB$15</f>
        <v>2700</v>
      </c>
      <c r="AM459" s="11" t="b">
        <f t="shared" si="192"/>
        <v>0</v>
      </c>
      <c r="AN459" s="11">
        <f t="shared" si="194"/>
        <v>36000</v>
      </c>
      <c r="AO459" s="11">
        <f t="shared" si="195"/>
        <v>0</v>
      </c>
      <c r="AP459" s="11">
        <f t="shared" si="196"/>
        <v>0.60333464107975043</v>
      </c>
      <c r="AQ459" s="11">
        <f t="shared" ref="AQ459:AQ522" si="198">IF(AO458&lt;=0,0,(AQ458*AO458-$AA$34*(AQ458-AP458)*$AB$15)/AO458)</f>
        <v>0</v>
      </c>
      <c r="AT459" s="3"/>
      <c r="AU459" s="17"/>
      <c r="AV459" s="19"/>
      <c r="AW459" s="17"/>
      <c r="AX459" s="17">
        <f t="shared" si="191"/>
        <v>450</v>
      </c>
      <c r="AY459" s="17">
        <f t="shared" si="190"/>
        <v>45</v>
      </c>
      <c r="AZ459" s="17">
        <v>60.333464107975047</v>
      </c>
      <c r="BA459" s="17"/>
      <c r="BB459" s="17">
        <v>36</v>
      </c>
      <c r="BC459" s="17"/>
      <c r="BD459" s="17"/>
      <c r="BE459" s="17"/>
      <c r="BF459" s="17"/>
      <c r="BG459" s="17"/>
      <c r="BH459" s="17"/>
      <c r="BI459" s="17"/>
      <c r="BJ459" s="17"/>
      <c r="BK459" s="17"/>
      <c r="BL459" s="17"/>
      <c r="BM459" s="17"/>
      <c r="BN459" s="17"/>
      <c r="BO459" s="17"/>
      <c r="BP459" s="17"/>
      <c r="BQ459" s="17"/>
      <c r="BR459" s="17"/>
      <c r="BS459" s="17"/>
      <c r="BT459" s="17"/>
      <c r="BU459" s="17"/>
      <c r="BV459" s="17"/>
      <c r="BW459" s="17"/>
      <c r="BX459" s="17"/>
      <c r="BY459" s="17"/>
      <c r="BZ459" s="17"/>
      <c r="CA459" s="17"/>
      <c r="CB459" s="17"/>
      <c r="CC459" s="17"/>
      <c r="CD459" s="17"/>
      <c r="CE459" s="17"/>
      <c r="CF459" s="17"/>
      <c r="CG459" s="17"/>
      <c r="CH459" s="17"/>
    </row>
    <row r="460" spans="8:86" x14ac:dyDescent="0.15">
      <c r="H460" s="3">
        <f t="shared" si="185"/>
        <v>0.44800000000000034</v>
      </c>
      <c r="I460" s="3">
        <f t="shared" si="186"/>
        <v>360</v>
      </c>
      <c r="J460" s="14">
        <f t="shared" si="187"/>
        <v>500</v>
      </c>
      <c r="K460" s="3">
        <f t="shared" si="177"/>
        <v>0</v>
      </c>
      <c r="L460" s="3">
        <f t="shared" ref="L460:L523" si="199">$L$8*$L$6/I460</f>
        <v>500</v>
      </c>
      <c r="M460" s="15">
        <f t="shared" si="188"/>
        <v>7.0000000000000007E-2</v>
      </c>
      <c r="N460" s="3">
        <f t="shared" si="189"/>
        <v>66.448092626859989</v>
      </c>
      <c r="O460" s="3">
        <f t="shared" ref="O460:O523" si="200">N460*S460</f>
        <v>66.448092626859989</v>
      </c>
      <c r="P460" s="3">
        <f t="shared" si="178"/>
        <v>71.449561964365586</v>
      </c>
      <c r="Q460" s="3">
        <f t="shared" si="179"/>
        <v>23.280674623494363</v>
      </c>
      <c r="R460" s="3">
        <f t="shared" si="180"/>
        <v>47.365118293929974</v>
      </c>
      <c r="S460" s="3">
        <f t="shared" ref="S460:S523" si="201">IF($F$10=0,0,IF($F$10=1,1,(N460-L460-1/$I$5+((L460-N460+1/$I$5)^2+4*N460/$I$5)^0.5)/2/N460))</f>
        <v>1</v>
      </c>
      <c r="T460" s="3">
        <f t="shared" si="181"/>
        <v>24084.443670435612</v>
      </c>
      <c r="U460" s="3">
        <f t="shared" si="182"/>
        <v>0.5</v>
      </c>
      <c r="V460" s="3">
        <f t="shared" si="183"/>
        <v>0</v>
      </c>
      <c r="W460" s="3">
        <f t="shared" si="184"/>
        <v>23921.313345669594</v>
      </c>
      <c r="X460" s="3">
        <f t="shared" ref="X460:X523" si="202">IF($F$19,W460-W461+X461,J460*Q460)</f>
        <v>11640.337311747182</v>
      </c>
      <c r="AI460" s="3"/>
      <c r="AJ460" s="3"/>
      <c r="AK460" s="15">
        <f t="shared" si="193"/>
        <v>2</v>
      </c>
      <c r="AL460" s="11">
        <f t="shared" si="197"/>
        <v>2706</v>
      </c>
      <c r="AM460" s="11" t="b">
        <f t="shared" si="192"/>
        <v>0</v>
      </c>
      <c r="AN460" s="11">
        <f t="shared" si="194"/>
        <v>36000</v>
      </c>
      <c r="AO460" s="11">
        <f t="shared" si="195"/>
        <v>0</v>
      </c>
      <c r="AP460" s="11">
        <f t="shared" si="196"/>
        <v>0.60443695589456525</v>
      </c>
      <c r="AQ460" s="11">
        <f t="shared" si="198"/>
        <v>0</v>
      </c>
      <c r="AT460" s="3"/>
      <c r="AU460" s="17"/>
      <c r="AV460" s="19"/>
      <c r="AW460" s="17"/>
      <c r="AX460" s="17">
        <f t="shared" si="191"/>
        <v>451</v>
      </c>
      <c r="AY460" s="17">
        <f t="shared" si="190"/>
        <v>45.1</v>
      </c>
      <c r="AZ460" s="17">
        <v>60.443695589456524</v>
      </c>
      <c r="BA460" s="17"/>
      <c r="BB460" s="17">
        <v>36</v>
      </c>
      <c r="BC460" s="17"/>
      <c r="BD460" s="17"/>
      <c r="BE460" s="17"/>
      <c r="BF460" s="17"/>
      <c r="BG460" s="17"/>
      <c r="BH460" s="17"/>
      <c r="BI460" s="17"/>
      <c r="BJ460" s="17"/>
      <c r="BK460" s="17"/>
      <c r="BL460" s="17"/>
      <c r="BM460" s="17"/>
      <c r="BN460" s="17"/>
      <c r="BO460" s="17"/>
      <c r="BP460" s="17"/>
      <c r="BQ460" s="17"/>
      <c r="BR460" s="17"/>
      <c r="BS460" s="17"/>
      <c r="BT460" s="17"/>
      <c r="BU460" s="17"/>
      <c r="BV460" s="17"/>
      <c r="BW460" s="17"/>
      <c r="BX460" s="17"/>
      <c r="BY460" s="17"/>
      <c r="BZ460" s="17"/>
      <c r="CA460" s="17"/>
      <c r="CB460" s="17"/>
      <c r="CC460" s="17"/>
      <c r="CD460" s="17"/>
      <c r="CE460" s="17"/>
      <c r="CF460" s="17"/>
      <c r="CG460" s="17"/>
      <c r="CH460" s="17"/>
    </row>
    <row r="461" spans="8:86" x14ac:dyDescent="0.15">
      <c r="H461" s="3">
        <f t="shared" si="185"/>
        <v>0.44900000000000034</v>
      </c>
      <c r="I461" s="3">
        <f t="shared" si="186"/>
        <v>360</v>
      </c>
      <c r="J461" s="14">
        <f t="shared" si="187"/>
        <v>500</v>
      </c>
      <c r="K461" s="3">
        <f t="shared" ref="K461:K524" si="203">2*$F$6*$I$6*H461+$F$6*$I$7</f>
        <v>0</v>
      </c>
      <c r="L461" s="3">
        <f t="shared" si="199"/>
        <v>500</v>
      </c>
      <c r="M461" s="15">
        <f t="shared" si="188"/>
        <v>7.0000000000000007E-2</v>
      </c>
      <c r="N461" s="3">
        <f t="shared" si="189"/>
        <v>66.381191394442112</v>
      </c>
      <c r="O461" s="3">
        <f t="shared" si="200"/>
        <v>66.381191394442112</v>
      </c>
      <c r="P461" s="3">
        <f t="shared" ref="P461:P524" si="204">O461/(1-M461)</f>
        <v>71.377625155314107</v>
      </c>
      <c r="Q461" s="3">
        <f t="shared" ref="Q461:Q524" si="205">IF($F$19,IF($F$20,0,X461/J461),(Q460*J460-T460*$I$4)/J461)</f>
        <v>23.232505736153492</v>
      </c>
      <c r="R461" s="3">
        <f t="shared" ref="R461:R524" si="206">IF($F$19,P461,(1-U461)*P461+U461*Q461)</f>
        <v>47.305065445733803</v>
      </c>
      <c r="S461" s="3">
        <f t="shared" si="201"/>
        <v>1</v>
      </c>
      <c r="T461" s="3">
        <f t="shared" ref="T461:T524" si="207">IF($F$19,0,$F$8*(P461-Q461))+R461*K461*(1-$F$11)</f>
        <v>24072.559709580306</v>
      </c>
      <c r="U461" s="3">
        <f t="shared" ref="U461:U524" si="208">IF($F$8=0,0,IF(V461=0,0.5,IF(ISERROR(EXP(V461)),0,1/V461-1/(EXP(V461)-1))))</f>
        <v>0.5</v>
      </c>
      <c r="V461" s="3">
        <f t="shared" ref="V461:V524" si="209">K461*(1-$F$11)/$F$8</f>
        <v>0</v>
      </c>
      <c r="W461" s="3">
        <f t="shared" ref="W461:W524" si="210">(I461+$L$5)*N461</f>
        <v>23897.228901999159</v>
      </c>
      <c r="X461" s="3">
        <f t="shared" si="202"/>
        <v>11616.252868076746</v>
      </c>
      <c r="AI461" s="3"/>
      <c r="AJ461" s="3"/>
      <c r="AK461" s="15">
        <f t="shared" si="193"/>
        <v>2</v>
      </c>
      <c r="AL461" s="11">
        <f t="shared" si="197"/>
        <v>2712</v>
      </c>
      <c r="AM461" s="11" t="b">
        <f t="shared" si="192"/>
        <v>0</v>
      </c>
      <c r="AN461" s="11">
        <f t="shared" si="194"/>
        <v>36000</v>
      </c>
      <c r="AO461" s="11">
        <f t="shared" si="195"/>
        <v>0</v>
      </c>
      <c r="AP461" s="11">
        <f t="shared" si="196"/>
        <v>0.60553927070938007</v>
      </c>
      <c r="AQ461" s="11">
        <f t="shared" si="198"/>
        <v>0</v>
      </c>
      <c r="AT461" s="3"/>
      <c r="AU461" s="17"/>
      <c r="AV461" s="19"/>
      <c r="AW461" s="17"/>
      <c r="AX461" s="17">
        <f t="shared" si="191"/>
        <v>452</v>
      </c>
      <c r="AY461" s="17">
        <f t="shared" si="190"/>
        <v>45.2</v>
      </c>
      <c r="AZ461" s="17">
        <v>60.553927070938009</v>
      </c>
      <c r="BA461" s="17"/>
      <c r="BB461" s="17">
        <v>36</v>
      </c>
      <c r="BC461" s="17"/>
      <c r="BD461" s="17"/>
      <c r="BE461" s="17"/>
      <c r="BF461" s="17"/>
      <c r="BG461" s="17"/>
      <c r="BH461" s="17"/>
      <c r="BI461" s="17"/>
      <c r="BJ461" s="17"/>
      <c r="BK461" s="17"/>
      <c r="BL461" s="17"/>
      <c r="BM461" s="17"/>
      <c r="BN461" s="17"/>
      <c r="BO461" s="17"/>
      <c r="BP461" s="17"/>
      <c r="BQ461" s="17"/>
      <c r="BR461" s="17"/>
      <c r="BS461" s="17"/>
      <c r="BT461" s="17"/>
      <c r="BU461" s="17"/>
      <c r="BV461" s="17"/>
      <c r="BW461" s="17"/>
      <c r="BX461" s="17"/>
      <c r="BY461" s="17"/>
      <c r="BZ461" s="17"/>
      <c r="CA461" s="17"/>
      <c r="CB461" s="17"/>
      <c r="CC461" s="17"/>
      <c r="CD461" s="17"/>
      <c r="CE461" s="17"/>
      <c r="CF461" s="17"/>
      <c r="CG461" s="17"/>
      <c r="CH461" s="17"/>
    </row>
    <row r="462" spans="8:86" x14ac:dyDescent="0.15">
      <c r="H462" s="3">
        <f t="shared" ref="H462:H525" si="211">H461+$I$4</f>
        <v>0.45000000000000034</v>
      </c>
      <c r="I462" s="3">
        <f t="shared" ref="I462:I525" si="212">$I$12-$F$6*($I$6*H462^2+$I$7*H462)</f>
        <v>360</v>
      </c>
      <c r="J462" s="14">
        <f t="shared" ref="J462:J525" si="213">$J$12-$F$6*($I$6*H462^2+$I$7*H462)</f>
        <v>500</v>
      </c>
      <c r="K462" s="3">
        <f t="shared" si="203"/>
        <v>0</v>
      </c>
      <c r="L462" s="3">
        <f t="shared" si="199"/>
        <v>500</v>
      </c>
      <c r="M462" s="15">
        <f t="shared" ref="M462:M525" si="214">$M$12*L462/$L$12</f>
        <v>7.0000000000000007E-2</v>
      </c>
      <c r="N462" s="3">
        <f t="shared" ref="N462:N525" si="215">(N461*I461+P461*$L$5-T461*$I$4)/(I462+$L$5/(1-M462))</f>
        <v>66.314323173026608</v>
      </c>
      <c r="O462" s="3">
        <f t="shared" si="200"/>
        <v>66.314323173026608</v>
      </c>
      <c r="P462" s="3">
        <f t="shared" si="204"/>
        <v>71.305723841964095</v>
      </c>
      <c r="Q462" s="3">
        <f t="shared" si="205"/>
        <v>23.184360616734331</v>
      </c>
      <c r="R462" s="3">
        <f t="shared" si="206"/>
        <v>47.24504222934921</v>
      </c>
      <c r="S462" s="3">
        <f t="shared" si="201"/>
        <v>1</v>
      </c>
      <c r="T462" s="3">
        <f t="shared" si="207"/>
        <v>24060.681612614881</v>
      </c>
      <c r="U462" s="3">
        <f t="shared" si="208"/>
        <v>0.5</v>
      </c>
      <c r="V462" s="3">
        <f t="shared" si="209"/>
        <v>0</v>
      </c>
      <c r="W462" s="3">
        <f t="shared" si="210"/>
        <v>23873.156342289578</v>
      </c>
      <c r="X462" s="3">
        <f t="shared" si="202"/>
        <v>11592.180308367166</v>
      </c>
      <c r="AI462" s="3"/>
      <c r="AJ462" s="3"/>
      <c r="AK462" s="15">
        <f t="shared" si="193"/>
        <v>2</v>
      </c>
      <c r="AL462" s="11">
        <f t="shared" si="197"/>
        <v>2718</v>
      </c>
      <c r="AM462" s="11" t="b">
        <f t="shared" si="192"/>
        <v>0</v>
      </c>
      <c r="AN462" s="11">
        <f t="shared" si="194"/>
        <v>36000</v>
      </c>
      <c r="AO462" s="11">
        <f t="shared" si="195"/>
        <v>0</v>
      </c>
      <c r="AP462" s="11">
        <f t="shared" si="196"/>
        <v>0.606641585524195</v>
      </c>
      <c r="AQ462" s="11">
        <f t="shared" si="198"/>
        <v>0</v>
      </c>
      <c r="AT462" s="3"/>
      <c r="AU462" s="17"/>
      <c r="AV462" s="19"/>
      <c r="AW462" s="17"/>
      <c r="AX462" s="17">
        <f t="shared" si="191"/>
        <v>453</v>
      </c>
      <c r="AY462" s="17">
        <f t="shared" si="190"/>
        <v>45.3</v>
      </c>
      <c r="AZ462" s="17">
        <v>60.664158552419501</v>
      </c>
      <c r="BA462" s="17"/>
      <c r="BB462" s="17">
        <v>36</v>
      </c>
      <c r="BC462" s="17"/>
      <c r="BD462" s="17"/>
      <c r="BE462" s="17"/>
      <c r="BF462" s="17"/>
      <c r="BG462" s="17"/>
      <c r="BH462" s="17"/>
      <c r="BI462" s="17"/>
      <c r="BJ462" s="17"/>
      <c r="BK462" s="17"/>
      <c r="BL462" s="17"/>
      <c r="BM462" s="17"/>
      <c r="BN462" s="17"/>
      <c r="BO462" s="17"/>
      <c r="BP462" s="17"/>
      <c r="BQ462" s="17"/>
      <c r="BR462" s="17"/>
      <c r="BS462" s="17"/>
      <c r="BT462" s="17"/>
      <c r="BU462" s="17"/>
      <c r="BV462" s="17"/>
      <c r="BW462" s="17"/>
      <c r="BX462" s="17"/>
      <c r="BY462" s="17"/>
      <c r="BZ462" s="17"/>
      <c r="CA462" s="17"/>
      <c r="CB462" s="17"/>
      <c r="CC462" s="17"/>
      <c r="CD462" s="17"/>
      <c r="CE462" s="17"/>
      <c r="CF462" s="17"/>
      <c r="CG462" s="17"/>
      <c r="CH462" s="17"/>
    </row>
    <row r="463" spans="8:86" x14ac:dyDescent="0.15">
      <c r="H463" s="3">
        <f t="shared" si="211"/>
        <v>0.45100000000000035</v>
      </c>
      <c r="I463" s="3">
        <f t="shared" si="212"/>
        <v>360</v>
      </c>
      <c r="J463" s="14">
        <f t="shared" si="213"/>
        <v>500</v>
      </c>
      <c r="K463" s="3">
        <f t="shared" si="203"/>
        <v>0</v>
      </c>
      <c r="L463" s="3">
        <f t="shared" si="199"/>
        <v>500</v>
      </c>
      <c r="M463" s="15">
        <f t="shared" si="214"/>
        <v>7.0000000000000007E-2</v>
      </c>
      <c r="N463" s="3">
        <f t="shared" si="215"/>
        <v>66.247487946324895</v>
      </c>
      <c r="O463" s="3">
        <f t="shared" si="200"/>
        <v>66.247487946324895</v>
      </c>
      <c r="P463" s="3">
        <f t="shared" si="204"/>
        <v>71.233858006800972</v>
      </c>
      <c r="Q463" s="3">
        <f t="shared" si="205"/>
        <v>23.136239253509103</v>
      </c>
      <c r="R463" s="3">
        <f t="shared" si="206"/>
        <v>47.185048630155038</v>
      </c>
      <c r="S463" s="3">
        <f t="shared" si="201"/>
        <v>1</v>
      </c>
      <c r="T463" s="3">
        <f t="shared" si="207"/>
        <v>24048.809376645935</v>
      </c>
      <c r="U463" s="3">
        <f t="shared" si="208"/>
        <v>0.5</v>
      </c>
      <c r="V463" s="3">
        <f t="shared" si="209"/>
        <v>0</v>
      </c>
      <c r="W463" s="3">
        <f t="shared" si="210"/>
        <v>23849.095660676961</v>
      </c>
      <c r="X463" s="3">
        <f t="shared" si="202"/>
        <v>11568.119626754551</v>
      </c>
      <c r="AI463" s="3"/>
      <c r="AJ463" s="3"/>
      <c r="AK463" s="15">
        <f t="shared" si="193"/>
        <v>2</v>
      </c>
      <c r="AL463" s="11">
        <f t="shared" si="197"/>
        <v>2724</v>
      </c>
      <c r="AM463" s="11" t="b">
        <f t="shared" si="192"/>
        <v>0</v>
      </c>
      <c r="AN463" s="11">
        <f t="shared" si="194"/>
        <v>36000</v>
      </c>
      <c r="AO463" s="11">
        <f t="shared" si="195"/>
        <v>0</v>
      </c>
      <c r="AP463" s="11">
        <f t="shared" si="196"/>
        <v>0.60774390033900993</v>
      </c>
      <c r="AQ463" s="11">
        <f t="shared" si="198"/>
        <v>0</v>
      </c>
      <c r="AT463" s="3"/>
      <c r="AU463" s="17"/>
      <c r="AV463" s="19"/>
      <c r="AW463" s="17"/>
      <c r="AX463" s="17">
        <f t="shared" si="191"/>
        <v>454</v>
      </c>
      <c r="AY463" s="17">
        <f t="shared" si="190"/>
        <v>45.4</v>
      </c>
      <c r="AZ463" s="17">
        <v>60.774390033900993</v>
      </c>
      <c r="BA463" s="17"/>
      <c r="BB463" s="17">
        <v>36</v>
      </c>
      <c r="BC463" s="17"/>
      <c r="BD463" s="17"/>
      <c r="BE463" s="17"/>
      <c r="BF463" s="17"/>
      <c r="BG463" s="17"/>
      <c r="BH463" s="17"/>
      <c r="BI463" s="17"/>
      <c r="BJ463" s="17"/>
      <c r="BK463" s="17"/>
      <c r="BL463" s="17"/>
      <c r="BM463" s="17"/>
      <c r="BN463" s="17"/>
      <c r="BO463" s="17"/>
      <c r="BP463" s="17"/>
      <c r="BQ463" s="17"/>
      <c r="BR463" s="17"/>
      <c r="BS463" s="17"/>
      <c r="BT463" s="17"/>
      <c r="BU463" s="17"/>
      <c r="BV463" s="17"/>
      <c r="BW463" s="17"/>
      <c r="BX463" s="17"/>
      <c r="BY463" s="17"/>
      <c r="BZ463" s="17"/>
      <c r="CA463" s="17"/>
      <c r="CB463" s="17"/>
      <c r="CC463" s="17"/>
      <c r="CD463" s="17"/>
      <c r="CE463" s="17"/>
      <c r="CF463" s="17"/>
      <c r="CG463" s="17"/>
      <c r="CH463" s="17"/>
    </row>
    <row r="464" spans="8:86" x14ac:dyDescent="0.15">
      <c r="H464" s="3">
        <f t="shared" si="211"/>
        <v>0.45200000000000035</v>
      </c>
      <c r="I464" s="3">
        <f t="shared" si="212"/>
        <v>360</v>
      </c>
      <c r="J464" s="14">
        <f t="shared" si="213"/>
        <v>500</v>
      </c>
      <c r="K464" s="3">
        <f t="shared" si="203"/>
        <v>0</v>
      </c>
      <c r="L464" s="3">
        <f t="shared" si="199"/>
        <v>500</v>
      </c>
      <c r="M464" s="15">
        <f t="shared" si="214"/>
        <v>7.0000000000000007E-2</v>
      </c>
      <c r="N464" s="3">
        <f t="shared" si="215"/>
        <v>66.180685698056422</v>
      </c>
      <c r="O464" s="3">
        <f t="shared" si="200"/>
        <v>66.180685698056422</v>
      </c>
      <c r="P464" s="3">
        <f t="shared" si="204"/>
        <v>71.16202763231874</v>
      </c>
      <c r="Q464" s="3">
        <f t="shared" si="205"/>
        <v>23.088141634755811</v>
      </c>
      <c r="R464" s="3">
        <f t="shared" si="206"/>
        <v>47.125084633537277</v>
      </c>
      <c r="S464" s="3">
        <f t="shared" si="201"/>
        <v>1</v>
      </c>
      <c r="T464" s="3">
        <f t="shared" si="207"/>
        <v>24036.942998781462</v>
      </c>
      <c r="U464" s="3">
        <f t="shared" si="208"/>
        <v>0.5</v>
      </c>
      <c r="V464" s="3">
        <f t="shared" si="209"/>
        <v>0</v>
      </c>
      <c r="W464" s="3">
        <f t="shared" si="210"/>
        <v>23825.046851300311</v>
      </c>
      <c r="X464" s="3">
        <f t="shared" si="202"/>
        <v>11544.070817377906</v>
      </c>
      <c r="AI464" s="3"/>
      <c r="AJ464" s="3"/>
      <c r="AK464" s="15">
        <f t="shared" si="193"/>
        <v>2</v>
      </c>
      <c r="AL464" s="11">
        <f t="shared" si="197"/>
        <v>2730</v>
      </c>
      <c r="AM464" s="11" t="b">
        <f t="shared" si="192"/>
        <v>0</v>
      </c>
      <c r="AN464" s="11">
        <f t="shared" si="194"/>
        <v>36000</v>
      </c>
      <c r="AO464" s="11">
        <f t="shared" si="195"/>
        <v>0</v>
      </c>
      <c r="AP464" s="11">
        <f t="shared" si="196"/>
        <v>0.60884621515382475</v>
      </c>
      <c r="AQ464" s="11">
        <f t="shared" si="198"/>
        <v>0</v>
      </c>
      <c r="AT464" s="3"/>
      <c r="AU464" s="17"/>
      <c r="AV464" s="19"/>
      <c r="AW464" s="17"/>
      <c r="AX464" s="17">
        <f t="shared" si="191"/>
        <v>455</v>
      </c>
      <c r="AY464" s="17">
        <f t="shared" si="190"/>
        <v>45.5</v>
      </c>
      <c r="AZ464" s="17">
        <v>60.884621515382477</v>
      </c>
      <c r="BA464" s="17"/>
      <c r="BB464" s="17">
        <v>36</v>
      </c>
      <c r="BC464" s="17"/>
      <c r="BD464" s="17"/>
      <c r="BE464" s="17"/>
      <c r="BF464" s="17"/>
      <c r="BG464" s="17"/>
      <c r="BH464" s="17"/>
      <c r="BI464" s="17"/>
      <c r="BJ464" s="17"/>
      <c r="BK464" s="17"/>
      <c r="BL464" s="17"/>
      <c r="BM464" s="17"/>
      <c r="BN464" s="17"/>
      <c r="BO464" s="17"/>
      <c r="BP464" s="17"/>
      <c r="BQ464" s="17"/>
      <c r="BR464" s="17"/>
      <c r="BS464" s="17"/>
      <c r="BT464" s="17"/>
      <c r="BU464" s="17"/>
      <c r="BV464" s="17"/>
      <c r="BW464" s="17"/>
      <c r="BX464" s="17"/>
      <c r="BY464" s="17"/>
      <c r="BZ464" s="17"/>
      <c r="CA464" s="17"/>
      <c r="CB464" s="17"/>
      <c r="CC464" s="17"/>
      <c r="CD464" s="17"/>
      <c r="CE464" s="17"/>
      <c r="CF464" s="17"/>
      <c r="CG464" s="17"/>
      <c r="CH464" s="17"/>
    </row>
    <row r="465" spans="8:86" x14ac:dyDescent="0.15">
      <c r="H465" s="3">
        <f t="shared" si="211"/>
        <v>0.45300000000000035</v>
      </c>
      <c r="I465" s="3">
        <f t="shared" si="212"/>
        <v>360</v>
      </c>
      <c r="J465" s="14">
        <f t="shared" si="213"/>
        <v>500</v>
      </c>
      <c r="K465" s="3">
        <f t="shared" si="203"/>
        <v>0</v>
      </c>
      <c r="L465" s="3">
        <f t="shared" si="199"/>
        <v>500</v>
      </c>
      <c r="M465" s="15">
        <f t="shared" si="214"/>
        <v>7.0000000000000007E-2</v>
      </c>
      <c r="N465" s="3">
        <f t="shared" si="215"/>
        <v>66.113916411948694</v>
      </c>
      <c r="O465" s="3">
        <f t="shared" si="200"/>
        <v>66.113916411948694</v>
      </c>
      <c r="P465" s="3">
        <f t="shared" si="204"/>
        <v>71.090232701020099</v>
      </c>
      <c r="Q465" s="3">
        <f t="shared" si="205"/>
        <v>23.040067748758247</v>
      </c>
      <c r="R465" s="3">
        <f t="shared" si="206"/>
        <v>47.065150224889173</v>
      </c>
      <c r="S465" s="3">
        <f t="shared" si="201"/>
        <v>1</v>
      </c>
      <c r="T465" s="3">
        <f t="shared" si="207"/>
        <v>24025.082476130927</v>
      </c>
      <c r="U465" s="3">
        <f t="shared" si="208"/>
        <v>0.5</v>
      </c>
      <c r="V465" s="3">
        <f t="shared" si="209"/>
        <v>0</v>
      </c>
      <c r="W465" s="3">
        <f t="shared" si="210"/>
        <v>23801.00990830153</v>
      </c>
      <c r="X465" s="3">
        <f t="shared" si="202"/>
        <v>11520.033874379124</v>
      </c>
      <c r="AI465" s="3"/>
      <c r="AJ465" s="3"/>
      <c r="AK465" s="15">
        <f t="shared" si="193"/>
        <v>2</v>
      </c>
      <c r="AL465" s="11">
        <f t="shared" si="197"/>
        <v>2736</v>
      </c>
      <c r="AM465" s="11" t="b">
        <f t="shared" si="192"/>
        <v>0</v>
      </c>
      <c r="AN465" s="11">
        <f t="shared" si="194"/>
        <v>36000</v>
      </c>
      <c r="AO465" s="11">
        <f t="shared" si="195"/>
        <v>0</v>
      </c>
      <c r="AP465" s="11">
        <f t="shared" si="196"/>
        <v>0.60994852996863957</v>
      </c>
      <c r="AQ465" s="11">
        <f t="shared" si="198"/>
        <v>0</v>
      </c>
      <c r="AT465" s="3"/>
      <c r="AU465" s="17"/>
      <c r="AV465" s="19"/>
      <c r="AW465" s="17"/>
      <c r="AX465" s="17">
        <f t="shared" si="191"/>
        <v>456</v>
      </c>
      <c r="AY465" s="17">
        <f t="shared" si="190"/>
        <v>45.6</v>
      </c>
      <c r="AZ465" s="17">
        <v>60.994852996863955</v>
      </c>
      <c r="BA465" s="17"/>
      <c r="BB465" s="17">
        <v>36</v>
      </c>
      <c r="BC465" s="17"/>
      <c r="BD465" s="17"/>
      <c r="BE465" s="17"/>
      <c r="BF465" s="17"/>
      <c r="BG465" s="17"/>
      <c r="BH465" s="17"/>
      <c r="BI465" s="17"/>
      <c r="BJ465" s="17"/>
      <c r="BK465" s="17"/>
      <c r="BL465" s="17"/>
      <c r="BM465" s="17"/>
      <c r="BN465" s="17"/>
      <c r="BO465" s="17"/>
      <c r="BP465" s="17"/>
      <c r="BQ465" s="17"/>
      <c r="BR465" s="17"/>
      <c r="BS465" s="17"/>
      <c r="BT465" s="17"/>
      <c r="BU465" s="17"/>
      <c r="BV465" s="17"/>
      <c r="BW465" s="17"/>
      <c r="BX465" s="17"/>
      <c r="BY465" s="17"/>
      <c r="BZ465" s="17"/>
      <c r="CA465" s="17"/>
      <c r="CB465" s="17"/>
      <c r="CC465" s="17"/>
      <c r="CD465" s="17"/>
      <c r="CE465" s="17"/>
      <c r="CF465" s="17"/>
      <c r="CG465" s="17"/>
      <c r="CH465" s="17"/>
    </row>
    <row r="466" spans="8:86" x14ac:dyDescent="0.15">
      <c r="H466" s="3">
        <f t="shared" si="211"/>
        <v>0.45400000000000035</v>
      </c>
      <c r="I466" s="3">
        <f t="shared" si="212"/>
        <v>360</v>
      </c>
      <c r="J466" s="14">
        <f t="shared" si="213"/>
        <v>500</v>
      </c>
      <c r="K466" s="3">
        <f t="shared" si="203"/>
        <v>0</v>
      </c>
      <c r="L466" s="3">
        <f t="shared" si="199"/>
        <v>500</v>
      </c>
      <c r="M466" s="15">
        <f t="shared" si="214"/>
        <v>7.0000000000000007E-2</v>
      </c>
      <c r="N466" s="3">
        <f t="shared" si="215"/>
        <v>66.047180071737216</v>
      </c>
      <c r="O466" s="3">
        <f t="shared" si="200"/>
        <v>66.047180071737216</v>
      </c>
      <c r="P466" s="3">
        <f t="shared" si="204"/>
        <v>71.018473195416362</v>
      </c>
      <c r="Q466" s="3">
        <f t="shared" si="205"/>
        <v>22.992017583805985</v>
      </c>
      <c r="R466" s="3">
        <f t="shared" si="206"/>
        <v>47.005245389611176</v>
      </c>
      <c r="S466" s="3">
        <f t="shared" si="201"/>
        <v>1</v>
      </c>
      <c r="T466" s="3">
        <f t="shared" si="207"/>
        <v>24013.227805805185</v>
      </c>
      <c r="U466" s="3">
        <f t="shared" si="208"/>
        <v>0.5</v>
      </c>
      <c r="V466" s="3">
        <f t="shared" si="209"/>
        <v>0</v>
      </c>
      <c r="W466" s="3">
        <f t="shared" si="210"/>
        <v>23776.984825825399</v>
      </c>
      <c r="X466" s="3">
        <f t="shared" si="202"/>
        <v>11496.008791902992</v>
      </c>
      <c r="AI466" s="3"/>
      <c r="AJ466" s="3"/>
      <c r="AK466" s="15">
        <f t="shared" si="193"/>
        <v>2</v>
      </c>
      <c r="AL466" s="11">
        <f t="shared" si="197"/>
        <v>2742</v>
      </c>
      <c r="AM466" s="11" t="b">
        <f t="shared" si="192"/>
        <v>0</v>
      </c>
      <c r="AN466" s="11">
        <f t="shared" si="194"/>
        <v>36000</v>
      </c>
      <c r="AO466" s="11">
        <f t="shared" si="195"/>
        <v>0</v>
      </c>
      <c r="AP466" s="11">
        <f t="shared" si="196"/>
        <v>0.61105084478345439</v>
      </c>
      <c r="AQ466" s="11">
        <f t="shared" si="198"/>
        <v>0</v>
      </c>
      <c r="AT466" s="3"/>
      <c r="AU466" s="17"/>
      <c r="AV466" s="19"/>
      <c r="AW466" s="17"/>
      <c r="AX466" s="17">
        <f t="shared" si="191"/>
        <v>457</v>
      </c>
      <c r="AY466" s="17">
        <f t="shared" si="190"/>
        <v>45.7</v>
      </c>
      <c r="AZ466" s="17">
        <v>61.105084478345439</v>
      </c>
      <c r="BA466" s="17"/>
      <c r="BB466" s="17">
        <v>36</v>
      </c>
      <c r="BC466" s="17"/>
      <c r="BD466" s="17"/>
      <c r="BE466" s="17"/>
      <c r="BF466" s="17"/>
      <c r="BG466" s="17"/>
      <c r="BH466" s="17"/>
      <c r="BI466" s="17"/>
      <c r="BJ466" s="17"/>
      <c r="BK466" s="17"/>
      <c r="BL466" s="17"/>
      <c r="BM466" s="17"/>
      <c r="BN466" s="17"/>
      <c r="BO466" s="17"/>
      <c r="BP466" s="17"/>
      <c r="BQ466" s="17"/>
      <c r="BR466" s="17"/>
      <c r="BS466" s="17"/>
      <c r="BT466" s="17"/>
      <c r="BU466" s="17"/>
      <c r="BV466" s="17"/>
      <c r="BW466" s="17"/>
      <c r="BX466" s="17"/>
      <c r="BY466" s="17"/>
      <c r="BZ466" s="17"/>
      <c r="CA466" s="17"/>
      <c r="CB466" s="17"/>
      <c r="CC466" s="17"/>
      <c r="CD466" s="17"/>
      <c r="CE466" s="17"/>
      <c r="CF466" s="17"/>
      <c r="CG466" s="17"/>
      <c r="CH466" s="17"/>
    </row>
    <row r="467" spans="8:86" x14ac:dyDescent="0.15">
      <c r="H467" s="3">
        <f t="shared" si="211"/>
        <v>0.45500000000000035</v>
      </c>
      <c r="I467" s="3">
        <f t="shared" si="212"/>
        <v>360</v>
      </c>
      <c r="J467" s="14">
        <f t="shared" si="213"/>
        <v>500</v>
      </c>
      <c r="K467" s="3">
        <f t="shared" si="203"/>
        <v>0</v>
      </c>
      <c r="L467" s="3">
        <f t="shared" si="199"/>
        <v>500</v>
      </c>
      <c r="M467" s="15">
        <f t="shared" si="214"/>
        <v>7.0000000000000007E-2</v>
      </c>
      <c r="N467" s="3">
        <f t="shared" si="215"/>
        <v>65.98047666116554</v>
      </c>
      <c r="O467" s="3">
        <f t="shared" si="200"/>
        <v>65.98047666116554</v>
      </c>
      <c r="P467" s="3">
        <f t="shared" si="204"/>
        <v>70.946749098027468</v>
      </c>
      <c r="Q467" s="3">
        <f t="shared" si="205"/>
        <v>22.943991128194376</v>
      </c>
      <c r="R467" s="3">
        <f t="shared" si="206"/>
        <v>46.945370113110926</v>
      </c>
      <c r="S467" s="3">
        <f t="shared" si="201"/>
        <v>1</v>
      </c>
      <c r="T467" s="3">
        <f t="shared" si="207"/>
        <v>24001.378984916544</v>
      </c>
      <c r="U467" s="3">
        <f t="shared" si="208"/>
        <v>0.5</v>
      </c>
      <c r="V467" s="3">
        <f t="shared" si="209"/>
        <v>0</v>
      </c>
      <c r="W467" s="3">
        <f t="shared" si="210"/>
        <v>23752.971598019594</v>
      </c>
      <c r="X467" s="3">
        <f t="shared" si="202"/>
        <v>11471.995564097188</v>
      </c>
      <c r="AI467" s="3"/>
      <c r="AJ467" s="3"/>
      <c r="AK467" s="15">
        <f t="shared" si="193"/>
        <v>2</v>
      </c>
      <c r="AL467" s="11">
        <f t="shared" si="197"/>
        <v>2748</v>
      </c>
      <c r="AM467" s="11" t="b">
        <f t="shared" si="192"/>
        <v>0</v>
      </c>
      <c r="AN467" s="11">
        <f t="shared" si="194"/>
        <v>36000</v>
      </c>
      <c r="AO467" s="11">
        <f t="shared" si="195"/>
        <v>0</v>
      </c>
      <c r="AP467" s="11">
        <f t="shared" si="196"/>
        <v>0.61215315959826921</v>
      </c>
      <c r="AQ467" s="11">
        <f t="shared" si="198"/>
        <v>0</v>
      </c>
      <c r="AT467" s="3"/>
      <c r="AU467" s="17"/>
      <c r="AV467" s="19"/>
      <c r="AW467" s="17"/>
      <c r="AX467" s="17">
        <f t="shared" si="191"/>
        <v>458</v>
      </c>
      <c r="AY467" s="17">
        <f t="shared" si="190"/>
        <v>45.8</v>
      </c>
      <c r="AZ467" s="17">
        <v>61.215315959826924</v>
      </c>
      <c r="BA467" s="17"/>
      <c r="BB467" s="17">
        <v>36</v>
      </c>
      <c r="BC467" s="17"/>
      <c r="BD467" s="17"/>
      <c r="BE467" s="17"/>
      <c r="BF467" s="17"/>
      <c r="BG467" s="17"/>
      <c r="BH467" s="17"/>
      <c r="BI467" s="17"/>
      <c r="BJ467" s="17"/>
      <c r="BK467" s="17"/>
      <c r="BL467" s="17"/>
      <c r="BM467" s="17"/>
      <c r="BN467" s="17"/>
      <c r="BO467" s="17"/>
      <c r="BP467" s="17"/>
      <c r="BQ467" s="17"/>
      <c r="BR467" s="17"/>
      <c r="BS467" s="17"/>
      <c r="BT467" s="17"/>
      <c r="BU467" s="17"/>
      <c r="BV467" s="17"/>
      <c r="BW467" s="17"/>
      <c r="BX467" s="17"/>
      <c r="BY467" s="17"/>
      <c r="BZ467" s="17"/>
      <c r="CA467" s="17"/>
      <c r="CB467" s="17"/>
      <c r="CC467" s="17"/>
      <c r="CD467" s="17"/>
      <c r="CE467" s="17"/>
      <c r="CF467" s="17"/>
      <c r="CG467" s="17"/>
      <c r="CH467" s="17"/>
    </row>
    <row r="468" spans="8:86" x14ac:dyDescent="0.15">
      <c r="H468" s="3">
        <f t="shared" si="211"/>
        <v>0.45600000000000035</v>
      </c>
      <c r="I468" s="3">
        <f t="shared" si="212"/>
        <v>360</v>
      </c>
      <c r="J468" s="14">
        <f t="shared" si="213"/>
        <v>500</v>
      </c>
      <c r="K468" s="3">
        <f t="shared" si="203"/>
        <v>0</v>
      </c>
      <c r="L468" s="3">
        <f t="shared" si="199"/>
        <v>500</v>
      </c>
      <c r="M468" s="15">
        <f t="shared" si="214"/>
        <v>7.0000000000000007E-2</v>
      </c>
      <c r="N468" s="3">
        <f t="shared" si="215"/>
        <v>65.913806163985214</v>
      </c>
      <c r="O468" s="3">
        <f t="shared" si="200"/>
        <v>65.913806163985214</v>
      </c>
      <c r="P468" s="3">
        <f t="shared" si="204"/>
        <v>70.87506039138195</v>
      </c>
      <c r="Q468" s="3">
        <f t="shared" si="205"/>
        <v>22.895988370224543</v>
      </c>
      <c r="R468" s="3">
        <f t="shared" si="206"/>
        <v>46.885524380803247</v>
      </c>
      <c r="S468" s="3">
        <f t="shared" si="201"/>
        <v>1</v>
      </c>
      <c r="T468" s="3">
        <f t="shared" si="207"/>
        <v>23989.536010578704</v>
      </c>
      <c r="U468" s="3">
        <f t="shared" si="208"/>
        <v>0.5</v>
      </c>
      <c r="V468" s="3">
        <f t="shared" si="209"/>
        <v>0</v>
      </c>
      <c r="W468" s="3">
        <f t="shared" si="210"/>
        <v>23728.970219034676</v>
      </c>
      <c r="X468" s="3">
        <f t="shared" si="202"/>
        <v>11447.994185112271</v>
      </c>
      <c r="AI468" s="3"/>
      <c r="AJ468" s="3"/>
      <c r="AK468" s="15">
        <f t="shared" si="193"/>
        <v>2</v>
      </c>
      <c r="AL468" s="11">
        <f t="shared" si="197"/>
        <v>2754</v>
      </c>
      <c r="AM468" s="11" t="b">
        <f t="shared" si="192"/>
        <v>0</v>
      </c>
      <c r="AN468" s="11">
        <f t="shared" si="194"/>
        <v>36000</v>
      </c>
      <c r="AO468" s="11">
        <f t="shared" si="195"/>
        <v>0</v>
      </c>
      <c r="AP468" s="11">
        <f t="shared" si="196"/>
        <v>0.61325547441308415</v>
      </c>
      <c r="AQ468" s="11">
        <f t="shared" si="198"/>
        <v>0</v>
      </c>
      <c r="AT468" s="3"/>
      <c r="AU468" s="17"/>
      <c r="AV468" s="19"/>
      <c r="AW468" s="17"/>
      <c r="AX468" s="17">
        <f t="shared" si="191"/>
        <v>459</v>
      </c>
      <c r="AY468" s="17">
        <f t="shared" ref="AY468:AY531" si="216">IF(ISNUMBER(AX468),IF(ROUND((AX468)*$AG$15*$AB$15,0) &lt;= 10080, ROUND((AX468)*$AG$15,0)*$AB$15/60, 168),168)</f>
        <v>45.9</v>
      </c>
      <c r="AZ468" s="17">
        <v>61.325547441308416</v>
      </c>
      <c r="BA468" s="17"/>
      <c r="BB468" s="17">
        <v>36</v>
      </c>
      <c r="BC468" s="17"/>
      <c r="BD468" s="17"/>
      <c r="BE468" s="17"/>
      <c r="BF468" s="17"/>
      <c r="BG468" s="17"/>
      <c r="BH468" s="17"/>
      <c r="BI468" s="17"/>
      <c r="BJ468" s="17"/>
      <c r="BK468" s="17"/>
      <c r="BL468" s="17"/>
      <c r="BM468" s="17"/>
      <c r="BN468" s="17"/>
      <c r="BO468" s="17"/>
      <c r="BP468" s="17"/>
      <c r="BQ468" s="17"/>
      <c r="BR468" s="17"/>
      <c r="BS468" s="17"/>
      <c r="BT468" s="17"/>
      <c r="BU468" s="17"/>
      <c r="BV468" s="17"/>
      <c r="BW468" s="17"/>
      <c r="BX468" s="17"/>
      <c r="BY468" s="17"/>
      <c r="BZ468" s="17"/>
      <c r="CA468" s="17"/>
      <c r="CB468" s="17"/>
      <c r="CC468" s="17"/>
      <c r="CD468" s="17"/>
      <c r="CE468" s="17"/>
      <c r="CF468" s="17"/>
      <c r="CG468" s="17"/>
      <c r="CH468" s="17"/>
    </row>
    <row r="469" spans="8:86" x14ac:dyDescent="0.15">
      <c r="H469" s="3">
        <f t="shared" si="211"/>
        <v>0.45700000000000035</v>
      </c>
      <c r="I469" s="3">
        <f t="shared" si="212"/>
        <v>360</v>
      </c>
      <c r="J469" s="14">
        <f t="shared" si="213"/>
        <v>500</v>
      </c>
      <c r="K469" s="3">
        <f t="shared" si="203"/>
        <v>0</v>
      </c>
      <c r="L469" s="3">
        <f t="shared" si="199"/>
        <v>500</v>
      </c>
      <c r="M469" s="15">
        <f t="shared" si="214"/>
        <v>7.0000000000000007E-2</v>
      </c>
      <c r="N469" s="3">
        <f t="shared" si="215"/>
        <v>65.847168563955819</v>
      </c>
      <c r="O469" s="3">
        <f t="shared" si="200"/>
        <v>65.847168563955819</v>
      </c>
      <c r="P469" s="3">
        <f t="shared" si="204"/>
        <v>70.803407058017015</v>
      </c>
      <c r="Q469" s="3">
        <f t="shared" si="205"/>
        <v>22.848009298203387</v>
      </c>
      <c r="R469" s="3">
        <f t="shared" si="206"/>
        <v>46.825708178110204</v>
      </c>
      <c r="S469" s="3">
        <f t="shared" si="201"/>
        <v>1</v>
      </c>
      <c r="T469" s="3">
        <f t="shared" si="207"/>
        <v>23977.698879906813</v>
      </c>
      <c r="U469" s="3">
        <f t="shared" si="208"/>
        <v>0.5</v>
      </c>
      <c r="V469" s="3">
        <f t="shared" si="209"/>
        <v>0</v>
      </c>
      <c r="W469" s="3">
        <f t="shared" si="210"/>
        <v>23704.980683024096</v>
      </c>
      <c r="X469" s="3">
        <f t="shared" si="202"/>
        <v>11424.004649101693</v>
      </c>
      <c r="AI469" s="3"/>
      <c r="AJ469" s="3"/>
      <c r="AK469" s="15">
        <f t="shared" si="193"/>
        <v>2</v>
      </c>
      <c r="AL469" s="11">
        <f t="shared" si="197"/>
        <v>2760</v>
      </c>
      <c r="AM469" s="11" t="b">
        <f t="shared" si="192"/>
        <v>0</v>
      </c>
      <c r="AN469" s="11">
        <f t="shared" si="194"/>
        <v>36000</v>
      </c>
      <c r="AO469" s="11">
        <f t="shared" si="195"/>
        <v>0</v>
      </c>
      <c r="AP469" s="11">
        <f t="shared" si="196"/>
        <v>0.61435778922789896</v>
      </c>
      <c r="AQ469" s="11">
        <f t="shared" si="198"/>
        <v>0</v>
      </c>
      <c r="AT469" s="3"/>
      <c r="AU469" s="17"/>
      <c r="AV469" s="19"/>
      <c r="AW469" s="17"/>
      <c r="AX469" s="17">
        <f t="shared" si="191"/>
        <v>460</v>
      </c>
      <c r="AY469" s="17">
        <f t="shared" si="216"/>
        <v>46</v>
      </c>
      <c r="AZ469" s="17">
        <v>61.435778922789893</v>
      </c>
      <c r="BA469" s="17"/>
      <c r="BB469" s="17">
        <v>36</v>
      </c>
      <c r="BC469" s="17"/>
      <c r="BD469" s="17"/>
      <c r="BE469" s="17"/>
      <c r="BF469" s="17"/>
      <c r="BG469" s="17"/>
      <c r="BH469" s="17"/>
      <c r="BI469" s="17"/>
      <c r="BJ469" s="17"/>
      <c r="BK469" s="17"/>
      <c r="BL469" s="17"/>
      <c r="BM469" s="17"/>
      <c r="BN469" s="17"/>
      <c r="BO469" s="17"/>
      <c r="BP469" s="17"/>
      <c r="BQ469" s="17"/>
      <c r="BR469" s="17"/>
      <c r="BS469" s="17"/>
      <c r="BT469" s="17"/>
      <c r="BU469" s="17"/>
      <c r="BV469" s="17"/>
      <c r="BW469" s="17"/>
      <c r="BX469" s="17"/>
      <c r="BY469" s="17"/>
      <c r="BZ469" s="17"/>
      <c r="CA469" s="17"/>
      <c r="CB469" s="17"/>
      <c r="CC469" s="17"/>
      <c r="CD469" s="17"/>
      <c r="CE469" s="17"/>
      <c r="CF469" s="17"/>
      <c r="CG469" s="17"/>
      <c r="CH469" s="17"/>
    </row>
    <row r="470" spans="8:86" x14ac:dyDescent="0.15">
      <c r="H470" s="3">
        <f t="shared" si="211"/>
        <v>0.45800000000000035</v>
      </c>
      <c r="I470" s="3">
        <f t="shared" si="212"/>
        <v>360</v>
      </c>
      <c r="J470" s="14">
        <f t="shared" si="213"/>
        <v>500</v>
      </c>
      <c r="K470" s="3">
        <f t="shared" si="203"/>
        <v>0</v>
      </c>
      <c r="L470" s="3">
        <f t="shared" si="199"/>
        <v>500</v>
      </c>
      <c r="M470" s="15">
        <f t="shared" si="214"/>
        <v>7.0000000000000007E-2</v>
      </c>
      <c r="N470" s="3">
        <f t="shared" si="215"/>
        <v>65.780563844844977</v>
      </c>
      <c r="O470" s="3">
        <f t="shared" si="200"/>
        <v>65.780563844844977</v>
      </c>
      <c r="P470" s="3">
        <f t="shared" si="204"/>
        <v>70.731789080478478</v>
      </c>
      <c r="Q470" s="3">
        <f t="shared" si="205"/>
        <v>22.800053900443569</v>
      </c>
      <c r="R470" s="3">
        <f t="shared" si="206"/>
        <v>46.765921490461025</v>
      </c>
      <c r="S470" s="3">
        <f t="shared" si="201"/>
        <v>1</v>
      </c>
      <c r="T470" s="3">
        <f t="shared" si="207"/>
        <v>23965.867590017453</v>
      </c>
      <c r="U470" s="3">
        <f t="shared" si="208"/>
        <v>0.5</v>
      </c>
      <c r="V470" s="3">
        <f t="shared" si="209"/>
        <v>0</v>
      </c>
      <c r="W470" s="3">
        <f t="shared" si="210"/>
        <v>23681.00298414419</v>
      </c>
      <c r="X470" s="3">
        <f t="shared" si="202"/>
        <v>11400.026950221785</v>
      </c>
      <c r="AI470" s="3"/>
      <c r="AJ470" s="3"/>
      <c r="AK470" s="15">
        <f t="shared" si="193"/>
        <v>2</v>
      </c>
      <c r="AL470" s="11">
        <f t="shared" si="197"/>
        <v>2766</v>
      </c>
      <c r="AM470" s="11" t="b">
        <f t="shared" si="192"/>
        <v>0</v>
      </c>
      <c r="AN470" s="11">
        <f t="shared" si="194"/>
        <v>36000</v>
      </c>
      <c r="AO470" s="11">
        <f t="shared" si="195"/>
        <v>0</v>
      </c>
      <c r="AP470" s="11">
        <f t="shared" si="196"/>
        <v>0.61546010404271378</v>
      </c>
      <c r="AQ470" s="11">
        <f t="shared" si="198"/>
        <v>0</v>
      </c>
      <c r="AT470" s="3"/>
      <c r="AU470" s="17"/>
      <c r="AV470" s="19"/>
      <c r="AW470" s="17"/>
      <c r="AX470" s="17">
        <f t="shared" si="191"/>
        <v>461</v>
      </c>
      <c r="AY470" s="17">
        <f t="shared" si="216"/>
        <v>46.1</v>
      </c>
      <c r="AZ470" s="17">
        <v>61.546010404271378</v>
      </c>
      <c r="BA470" s="17"/>
      <c r="BB470" s="17">
        <v>36</v>
      </c>
      <c r="BC470" s="17"/>
      <c r="BD470" s="17"/>
      <c r="BE470" s="17"/>
      <c r="BF470" s="17"/>
      <c r="BG470" s="17"/>
      <c r="BH470" s="17"/>
      <c r="BI470" s="17"/>
      <c r="BJ470" s="17"/>
      <c r="BK470" s="17"/>
      <c r="BL470" s="17"/>
      <c r="BM470" s="17"/>
      <c r="BN470" s="17"/>
      <c r="BO470" s="17"/>
      <c r="BP470" s="17"/>
      <c r="BQ470" s="17"/>
      <c r="BR470" s="17"/>
      <c r="BS470" s="17"/>
      <c r="BT470" s="17"/>
      <c r="BU470" s="17"/>
      <c r="BV470" s="17"/>
      <c r="BW470" s="17"/>
      <c r="BX470" s="17"/>
      <c r="BY470" s="17"/>
      <c r="BZ470" s="17"/>
      <c r="CA470" s="17"/>
      <c r="CB470" s="17"/>
      <c r="CC470" s="17"/>
      <c r="CD470" s="17"/>
      <c r="CE470" s="17"/>
      <c r="CF470" s="17"/>
      <c r="CG470" s="17"/>
      <c r="CH470" s="17"/>
    </row>
    <row r="471" spans="8:86" x14ac:dyDescent="0.15">
      <c r="H471" s="3">
        <f t="shared" si="211"/>
        <v>0.45900000000000035</v>
      </c>
      <c r="I471" s="3">
        <f t="shared" si="212"/>
        <v>360</v>
      </c>
      <c r="J471" s="14">
        <f t="shared" si="213"/>
        <v>500</v>
      </c>
      <c r="K471" s="3">
        <f t="shared" si="203"/>
        <v>0</v>
      </c>
      <c r="L471" s="3">
        <f t="shared" si="199"/>
        <v>500</v>
      </c>
      <c r="M471" s="15">
        <f t="shared" si="214"/>
        <v>7.0000000000000007E-2</v>
      </c>
      <c r="N471" s="3">
        <f t="shared" si="215"/>
        <v>65.713991990428255</v>
      </c>
      <c r="O471" s="3">
        <f t="shared" si="200"/>
        <v>65.713991990428255</v>
      </c>
      <c r="P471" s="3">
        <f t="shared" si="204"/>
        <v>70.66020644132071</v>
      </c>
      <c r="Q471" s="3">
        <f t="shared" si="205"/>
        <v>22.752122165263536</v>
      </c>
      <c r="R471" s="3">
        <f t="shared" si="206"/>
        <v>46.706164303292127</v>
      </c>
      <c r="S471" s="3">
        <f t="shared" si="201"/>
        <v>1</v>
      </c>
      <c r="T471" s="3">
        <f t="shared" si="207"/>
        <v>23954.042138028588</v>
      </c>
      <c r="U471" s="3">
        <f t="shared" si="208"/>
        <v>0.5</v>
      </c>
      <c r="V471" s="3">
        <f t="shared" si="209"/>
        <v>0</v>
      </c>
      <c r="W471" s="3">
        <f t="shared" si="210"/>
        <v>23657.037116554173</v>
      </c>
      <c r="X471" s="3">
        <f t="shared" si="202"/>
        <v>11376.061082631768</v>
      </c>
      <c r="AI471" s="3"/>
      <c r="AJ471" s="3"/>
      <c r="AK471" s="15">
        <f t="shared" si="193"/>
        <v>2</v>
      </c>
      <c r="AL471" s="11">
        <f t="shared" si="197"/>
        <v>2772</v>
      </c>
      <c r="AM471" s="11" t="b">
        <f t="shared" si="192"/>
        <v>0</v>
      </c>
      <c r="AN471" s="11">
        <f t="shared" si="194"/>
        <v>36000</v>
      </c>
      <c r="AO471" s="11">
        <f t="shared" si="195"/>
        <v>0</v>
      </c>
      <c r="AP471" s="11">
        <f t="shared" si="196"/>
        <v>0.6165624188575286</v>
      </c>
      <c r="AQ471" s="11">
        <f t="shared" si="198"/>
        <v>0</v>
      </c>
      <c r="AT471" s="3"/>
      <c r="AU471" s="17"/>
      <c r="AV471" s="19"/>
      <c r="AW471" s="17"/>
      <c r="AX471" s="17">
        <f t="shared" si="191"/>
        <v>462</v>
      </c>
      <c r="AY471" s="17">
        <f t="shared" si="216"/>
        <v>46.2</v>
      </c>
      <c r="AZ471" s="17">
        <v>61.656241885752863</v>
      </c>
      <c r="BA471" s="17"/>
      <c r="BB471" s="17">
        <v>36</v>
      </c>
      <c r="BC471" s="17"/>
      <c r="BD471" s="17"/>
      <c r="BE471" s="17"/>
      <c r="BF471" s="17"/>
      <c r="BG471" s="17"/>
      <c r="BH471" s="17"/>
      <c r="BI471" s="17"/>
      <c r="BJ471" s="17"/>
      <c r="BK471" s="17"/>
      <c r="BL471" s="17"/>
      <c r="BM471" s="17"/>
      <c r="BN471" s="17"/>
      <c r="BO471" s="17"/>
      <c r="BP471" s="17"/>
      <c r="BQ471" s="17"/>
      <c r="BR471" s="17"/>
      <c r="BS471" s="17"/>
      <c r="BT471" s="17"/>
      <c r="BU471" s="17"/>
      <c r="BV471" s="17"/>
      <c r="BW471" s="17"/>
      <c r="BX471" s="17"/>
      <c r="BY471" s="17"/>
      <c r="BZ471" s="17"/>
      <c r="CA471" s="17"/>
      <c r="CB471" s="17"/>
      <c r="CC471" s="17"/>
      <c r="CD471" s="17"/>
      <c r="CE471" s="17"/>
      <c r="CF471" s="17"/>
      <c r="CG471" s="17"/>
      <c r="CH471" s="17"/>
    </row>
    <row r="472" spans="8:86" x14ac:dyDescent="0.15">
      <c r="H472" s="3">
        <f t="shared" si="211"/>
        <v>0.46000000000000035</v>
      </c>
      <c r="I472" s="3">
        <f t="shared" si="212"/>
        <v>360</v>
      </c>
      <c r="J472" s="14">
        <f t="shared" si="213"/>
        <v>500</v>
      </c>
      <c r="K472" s="3">
        <f t="shared" si="203"/>
        <v>0</v>
      </c>
      <c r="L472" s="3">
        <f t="shared" si="199"/>
        <v>500</v>
      </c>
      <c r="M472" s="15">
        <f t="shared" si="214"/>
        <v>7.0000000000000007E-2</v>
      </c>
      <c r="N472" s="3">
        <f t="shared" si="215"/>
        <v>65.647452984489291</v>
      </c>
      <c r="O472" s="3">
        <f t="shared" si="200"/>
        <v>65.647452984489291</v>
      </c>
      <c r="P472" s="3">
        <f t="shared" si="204"/>
        <v>70.588659123106765</v>
      </c>
      <c r="Q472" s="3">
        <f t="shared" si="205"/>
        <v>22.70421408098748</v>
      </c>
      <c r="R472" s="3">
        <f t="shared" si="206"/>
        <v>46.646436602047125</v>
      </c>
      <c r="S472" s="3">
        <f t="shared" si="201"/>
        <v>1</v>
      </c>
      <c r="T472" s="3">
        <f t="shared" si="207"/>
        <v>23942.222521059641</v>
      </c>
      <c r="U472" s="3">
        <f t="shared" si="208"/>
        <v>0.5</v>
      </c>
      <c r="V472" s="3">
        <f t="shared" si="209"/>
        <v>0</v>
      </c>
      <c r="W472" s="3">
        <f t="shared" si="210"/>
        <v>23633.083074416143</v>
      </c>
      <c r="X472" s="3">
        <f t="shared" si="202"/>
        <v>11352.10704049374</v>
      </c>
      <c r="AI472" s="3"/>
      <c r="AJ472" s="3"/>
      <c r="AK472" s="15">
        <f t="shared" si="193"/>
        <v>2</v>
      </c>
      <c r="AL472" s="11">
        <f t="shared" si="197"/>
        <v>2778</v>
      </c>
      <c r="AM472" s="11" t="b">
        <f t="shared" si="192"/>
        <v>0</v>
      </c>
      <c r="AN472" s="11">
        <f t="shared" si="194"/>
        <v>36000</v>
      </c>
      <c r="AO472" s="11">
        <f t="shared" si="195"/>
        <v>0</v>
      </c>
      <c r="AP472" s="11">
        <f t="shared" si="196"/>
        <v>0.61766473367234342</v>
      </c>
      <c r="AQ472" s="11">
        <f t="shared" si="198"/>
        <v>0</v>
      </c>
      <c r="AT472" s="3"/>
      <c r="AU472" s="17"/>
      <c r="AV472" s="19"/>
      <c r="AW472" s="17"/>
      <c r="AX472" s="17">
        <f t="shared" si="191"/>
        <v>463</v>
      </c>
      <c r="AY472" s="17">
        <f t="shared" si="216"/>
        <v>46.3</v>
      </c>
      <c r="AZ472" s="17">
        <v>61.76647336723434</v>
      </c>
      <c r="BA472" s="17"/>
      <c r="BB472" s="17">
        <v>36</v>
      </c>
      <c r="BC472" s="17"/>
      <c r="BD472" s="17"/>
      <c r="BE472" s="17"/>
      <c r="BF472" s="17"/>
      <c r="BG472" s="17"/>
      <c r="BH472" s="17"/>
      <c r="BI472" s="17"/>
      <c r="BJ472" s="17"/>
      <c r="BK472" s="17"/>
      <c r="BL472" s="17"/>
      <c r="BM472" s="17"/>
      <c r="BN472" s="17"/>
      <c r="BO472" s="17"/>
      <c r="BP472" s="17"/>
      <c r="BQ472" s="17"/>
      <c r="BR472" s="17"/>
      <c r="BS472" s="17"/>
      <c r="BT472" s="17"/>
      <c r="BU472" s="17"/>
      <c r="BV472" s="17"/>
      <c r="BW472" s="17"/>
      <c r="BX472" s="17"/>
      <c r="BY472" s="17"/>
      <c r="BZ472" s="17"/>
      <c r="CA472" s="17"/>
      <c r="CB472" s="17"/>
      <c r="CC472" s="17"/>
      <c r="CD472" s="17"/>
      <c r="CE472" s="17"/>
      <c r="CF472" s="17"/>
      <c r="CG472" s="17"/>
      <c r="CH472" s="17"/>
    </row>
    <row r="473" spans="8:86" x14ac:dyDescent="0.15">
      <c r="H473" s="3">
        <f t="shared" si="211"/>
        <v>0.46100000000000035</v>
      </c>
      <c r="I473" s="3">
        <f t="shared" si="212"/>
        <v>360</v>
      </c>
      <c r="J473" s="14">
        <f t="shared" si="213"/>
        <v>500</v>
      </c>
      <c r="K473" s="3">
        <f t="shared" si="203"/>
        <v>0</v>
      </c>
      <c r="L473" s="3">
        <f t="shared" si="199"/>
        <v>500</v>
      </c>
      <c r="M473" s="15">
        <f t="shared" si="214"/>
        <v>7.0000000000000007E-2</v>
      </c>
      <c r="N473" s="3">
        <f t="shared" si="215"/>
        <v>65.580946810819682</v>
      </c>
      <c r="O473" s="3">
        <f t="shared" si="200"/>
        <v>65.580946810819682</v>
      </c>
      <c r="P473" s="3">
        <f t="shared" si="204"/>
        <v>70.517147108408267</v>
      </c>
      <c r="Q473" s="3">
        <f t="shared" si="205"/>
        <v>22.656329635945358</v>
      </c>
      <c r="R473" s="3">
        <f t="shared" si="206"/>
        <v>46.586738372176811</v>
      </c>
      <c r="S473" s="3">
        <f t="shared" si="201"/>
        <v>1</v>
      </c>
      <c r="T473" s="3">
        <f t="shared" si="207"/>
        <v>23930.408736231457</v>
      </c>
      <c r="U473" s="3">
        <f t="shared" si="208"/>
        <v>0.5</v>
      </c>
      <c r="V473" s="3">
        <f t="shared" si="209"/>
        <v>0</v>
      </c>
      <c r="W473" s="3">
        <f t="shared" si="210"/>
        <v>23609.140851895085</v>
      </c>
      <c r="X473" s="3">
        <f t="shared" si="202"/>
        <v>11328.16481797268</v>
      </c>
      <c r="AI473" s="3"/>
      <c r="AJ473" s="3"/>
      <c r="AK473" s="15">
        <f t="shared" si="193"/>
        <v>2</v>
      </c>
      <c r="AL473" s="11">
        <f t="shared" si="197"/>
        <v>2784</v>
      </c>
      <c r="AM473" s="11" t="b">
        <f t="shared" si="192"/>
        <v>0</v>
      </c>
      <c r="AN473" s="11">
        <f t="shared" si="194"/>
        <v>36000</v>
      </c>
      <c r="AO473" s="11">
        <f t="shared" si="195"/>
        <v>0</v>
      </c>
      <c r="AP473" s="11">
        <f t="shared" si="196"/>
        <v>0.61876704848715836</v>
      </c>
      <c r="AQ473" s="11">
        <f t="shared" si="198"/>
        <v>0</v>
      </c>
      <c r="AT473" s="3"/>
      <c r="AU473" s="17"/>
      <c r="AV473" s="19"/>
      <c r="AW473" s="17"/>
      <c r="AX473" s="17">
        <f t="shared" si="191"/>
        <v>464</v>
      </c>
      <c r="AY473" s="17">
        <f t="shared" si="216"/>
        <v>46.4</v>
      </c>
      <c r="AZ473" s="17">
        <v>61.876704848715832</v>
      </c>
      <c r="BA473" s="17"/>
      <c r="BB473" s="17">
        <v>36</v>
      </c>
      <c r="BC473" s="17"/>
      <c r="BD473" s="17"/>
      <c r="BE473" s="17"/>
      <c r="BF473" s="17"/>
      <c r="BG473" s="17"/>
      <c r="BH473" s="17"/>
      <c r="BI473" s="17"/>
      <c r="BJ473" s="17"/>
      <c r="BK473" s="17"/>
      <c r="BL473" s="17"/>
      <c r="BM473" s="17"/>
      <c r="BN473" s="17"/>
      <c r="BO473" s="17"/>
      <c r="BP473" s="17"/>
      <c r="BQ473" s="17"/>
      <c r="BR473" s="17"/>
      <c r="BS473" s="17"/>
      <c r="BT473" s="17"/>
      <c r="BU473" s="17"/>
      <c r="BV473" s="17"/>
      <c r="BW473" s="17"/>
      <c r="BX473" s="17"/>
      <c r="BY473" s="17"/>
      <c r="BZ473" s="17"/>
      <c r="CA473" s="17"/>
      <c r="CB473" s="17"/>
      <c r="CC473" s="17"/>
      <c r="CD473" s="17"/>
      <c r="CE473" s="17"/>
      <c r="CF473" s="17"/>
      <c r="CG473" s="17"/>
      <c r="CH473" s="17"/>
    </row>
    <row r="474" spans="8:86" x14ac:dyDescent="0.15">
      <c r="H474" s="3">
        <f t="shared" si="211"/>
        <v>0.46200000000000035</v>
      </c>
      <c r="I474" s="3">
        <f t="shared" si="212"/>
        <v>360</v>
      </c>
      <c r="J474" s="14">
        <f t="shared" si="213"/>
        <v>500</v>
      </c>
      <c r="K474" s="3">
        <f t="shared" si="203"/>
        <v>0</v>
      </c>
      <c r="L474" s="3">
        <f t="shared" si="199"/>
        <v>500</v>
      </c>
      <c r="M474" s="15">
        <f t="shared" si="214"/>
        <v>7.0000000000000007E-2</v>
      </c>
      <c r="N474" s="3">
        <f t="shared" si="215"/>
        <v>65.51447345321904</v>
      </c>
      <c r="O474" s="3">
        <f t="shared" si="200"/>
        <v>65.51447345321904</v>
      </c>
      <c r="P474" s="3">
        <f t="shared" si="204"/>
        <v>70.445670379805421</v>
      </c>
      <c r="Q474" s="3">
        <f t="shared" si="205"/>
        <v>22.608468818472897</v>
      </c>
      <c r="R474" s="3">
        <f t="shared" si="206"/>
        <v>46.527069599139161</v>
      </c>
      <c r="S474" s="3">
        <f t="shared" si="201"/>
        <v>1</v>
      </c>
      <c r="T474" s="3">
        <f t="shared" si="207"/>
        <v>23918.60078066626</v>
      </c>
      <c r="U474" s="3">
        <f t="shared" si="208"/>
        <v>0.5</v>
      </c>
      <c r="V474" s="3">
        <f t="shared" si="209"/>
        <v>0</v>
      </c>
      <c r="W474" s="3">
        <f t="shared" si="210"/>
        <v>23585.210443158856</v>
      </c>
      <c r="X474" s="3">
        <f t="shared" si="202"/>
        <v>11304.234409236449</v>
      </c>
      <c r="AI474" s="3"/>
      <c r="AJ474" s="3"/>
      <c r="AK474" s="15">
        <f t="shared" si="193"/>
        <v>2</v>
      </c>
      <c r="AL474" s="11">
        <f t="shared" si="197"/>
        <v>2790</v>
      </c>
      <c r="AM474" s="11" t="b">
        <f t="shared" si="192"/>
        <v>0</v>
      </c>
      <c r="AN474" s="11">
        <f t="shared" si="194"/>
        <v>36000</v>
      </c>
      <c r="AO474" s="11">
        <f t="shared" si="195"/>
        <v>0</v>
      </c>
      <c r="AP474" s="11">
        <f t="shared" si="196"/>
        <v>0.61986936330197318</v>
      </c>
      <c r="AQ474" s="11">
        <f t="shared" si="198"/>
        <v>0</v>
      </c>
      <c r="AT474" s="3"/>
      <c r="AU474" s="17"/>
      <c r="AV474" s="19"/>
      <c r="AW474" s="17"/>
      <c r="AX474" s="17">
        <f t="shared" si="191"/>
        <v>465</v>
      </c>
      <c r="AY474" s="17">
        <f t="shared" si="216"/>
        <v>46.5</v>
      </c>
      <c r="AZ474" s="17">
        <v>61.986936330197317</v>
      </c>
      <c r="BA474" s="17"/>
      <c r="BB474" s="17">
        <v>36</v>
      </c>
      <c r="BC474" s="17"/>
      <c r="BD474" s="17"/>
      <c r="BE474" s="17"/>
      <c r="BF474" s="17"/>
      <c r="BG474" s="17"/>
      <c r="BH474" s="17"/>
      <c r="BI474" s="17"/>
      <c r="BJ474" s="17"/>
      <c r="BK474" s="17"/>
      <c r="BL474" s="17"/>
      <c r="BM474" s="17"/>
      <c r="BN474" s="17"/>
      <c r="BO474" s="17"/>
      <c r="BP474" s="17"/>
      <c r="BQ474" s="17"/>
      <c r="BR474" s="17"/>
      <c r="BS474" s="17"/>
      <c r="BT474" s="17"/>
      <c r="BU474" s="17"/>
      <c r="BV474" s="17"/>
      <c r="BW474" s="17"/>
      <c r="BX474" s="17"/>
      <c r="BY474" s="17"/>
      <c r="BZ474" s="17"/>
      <c r="CA474" s="17"/>
      <c r="CB474" s="17"/>
      <c r="CC474" s="17"/>
      <c r="CD474" s="17"/>
      <c r="CE474" s="17"/>
      <c r="CF474" s="17"/>
      <c r="CG474" s="17"/>
      <c r="CH474" s="17"/>
    </row>
    <row r="475" spans="8:86" x14ac:dyDescent="0.15">
      <c r="H475" s="3">
        <f t="shared" si="211"/>
        <v>0.46300000000000036</v>
      </c>
      <c r="I475" s="3">
        <f t="shared" si="212"/>
        <v>360</v>
      </c>
      <c r="J475" s="14">
        <f t="shared" si="213"/>
        <v>500</v>
      </c>
      <c r="K475" s="3">
        <f t="shared" si="203"/>
        <v>0</v>
      </c>
      <c r="L475" s="3">
        <f t="shared" si="199"/>
        <v>500</v>
      </c>
      <c r="M475" s="15">
        <f t="shared" si="214"/>
        <v>7.0000000000000007E-2</v>
      </c>
      <c r="N475" s="3">
        <f t="shared" si="215"/>
        <v>65.448032895494961</v>
      </c>
      <c r="O475" s="3">
        <f t="shared" si="200"/>
        <v>65.448032895494961</v>
      </c>
      <c r="P475" s="3">
        <f t="shared" si="204"/>
        <v>70.374228919887059</v>
      </c>
      <c r="Q475" s="3">
        <f t="shared" si="205"/>
        <v>22.560631616911568</v>
      </c>
      <c r="R475" s="3">
        <f t="shared" si="206"/>
        <v>46.467430268399312</v>
      </c>
      <c r="S475" s="3">
        <f t="shared" si="201"/>
        <v>1</v>
      </c>
      <c r="T475" s="3">
        <f t="shared" si="207"/>
        <v>23906.798651487748</v>
      </c>
      <c r="U475" s="3">
        <f t="shared" si="208"/>
        <v>0.5</v>
      </c>
      <c r="V475" s="3">
        <f t="shared" si="209"/>
        <v>0</v>
      </c>
      <c r="W475" s="3">
        <f t="shared" si="210"/>
        <v>23561.291842378185</v>
      </c>
      <c r="X475" s="3">
        <f t="shared" si="202"/>
        <v>11280.315808455784</v>
      </c>
      <c r="AI475" s="3"/>
      <c r="AJ475" s="3"/>
      <c r="AK475" s="15">
        <f t="shared" si="193"/>
        <v>2</v>
      </c>
      <c r="AL475" s="11">
        <f t="shared" si="197"/>
        <v>2796</v>
      </c>
      <c r="AM475" s="11" t="b">
        <f t="shared" si="192"/>
        <v>0</v>
      </c>
      <c r="AN475" s="11">
        <f t="shared" si="194"/>
        <v>36000</v>
      </c>
      <c r="AO475" s="11">
        <f t="shared" si="195"/>
        <v>0</v>
      </c>
      <c r="AP475" s="11">
        <f t="shared" si="196"/>
        <v>0.620971678116788</v>
      </c>
      <c r="AQ475" s="11">
        <f t="shared" si="198"/>
        <v>0</v>
      </c>
      <c r="AT475" s="3"/>
      <c r="AU475" s="17"/>
      <c r="AV475" s="19"/>
      <c r="AW475" s="17"/>
      <c r="AX475" s="17">
        <f t="shared" si="191"/>
        <v>466</v>
      </c>
      <c r="AY475" s="17">
        <f t="shared" si="216"/>
        <v>46.6</v>
      </c>
      <c r="AZ475" s="17">
        <v>62.097167811678801</v>
      </c>
      <c r="BA475" s="17"/>
      <c r="BB475" s="17">
        <v>36</v>
      </c>
      <c r="BC475" s="17"/>
      <c r="BD475" s="17"/>
      <c r="BE475" s="17"/>
      <c r="BF475" s="17"/>
      <c r="BG475" s="17"/>
      <c r="BH475" s="17"/>
      <c r="BI475" s="17"/>
      <c r="BJ475" s="17"/>
      <c r="BK475" s="17"/>
      <c r="BL475" s="17"/>
      <c r="BM475" s="17"/>
      <c r="BN475" s="17"/>
      <c r="BO475" s="17"/>
      <c r="BP475" s="17"/>
      <c r="BQ475" s="17"/>
      <c r="BR475" s="17"/>
      <c r="BS475" s="17"/>
      <c r="BT475" s="17"/>
      <c r="BU475" s="17"/>
      <c r="BV475" s="17"/>
      <c r="BW475" s="17"/>
      <c r="BX475" s="17"/>
      <c r="BY475" s="17"/>
      <c r="BZ475" s="17"/>
      <c r="CA475" s="17"/>
      <c r="CB475" s="17"/>
      <c r="CC475" s="17"/>
      <c r="CD475" s="17"/>
      <c r="CE475" s="17"/>
      <c r="CF475" s="17"/>
      <c r="CG475" s="17"/>
      <c r="CH475" s="17"/>
    </row>
    <row r="476" spans="8:86" x14ac:dyDescent="0.15">
      <c r="H476" s="3">
        <f t="shared" si="211"/>
        <v>0.46400000000000036</v>
      </c>
      <c r="I476" s="3">
        <f t="shared" si="212"/>
        <v>360</v>
      </c>
      <c r="J476" s="14">
        <f t="shared" si="213"/>
        <v>500</v>
      </c>
      <c r="K476" s="3">
        <f t="shared" si="203"/>
        <v>0</v>
      </c>
      <c r="L476" s="3">
        <f t="shared" si="199"/>
        <v>500</v>
      </c>
      <c r="M476" s="15">
        <f t="shared" si="214"/>
        <v>7.0000000000000007E-2</v>
      </c>
      <c r="N476" s="3">
        <f t="shared" si="215"/>
        <v>65.381625121463046</v>
      </c>
      <c r="O476" s="3">
        <f t="shared" si="200"/>
        <v>65.381625121463046</v>
      </c>
      <c r="P476" s="3">
        <f t="shared" si="204"/>
        <v>70.302822711250585</v>
      </c>
      <c r="Q476" s="3">
        <f t="shared" si="205"/>
        <v>22.512818019608591</v>
      </c>
      <c r="R476" s="3">
        <f t="shared" si="206"/>
        <v>46.407820365429586</v>
      </c>
      <c r="S476" s="3">
        <f t="shared" si="201"/>
        <v>1</v>
      </c>
      <c r="T476" s="3">
        <f t="shared" si="207"/>
        <v>23895.002345820998</v>
      </c>
      <c r="U476" s="3">
        <f t="shared" si="208"/>
        <v>0.5</v>
      </c>
      <c r="V476" s="3">
        <f t="shared" si="209"/>
        <v>0</v>
      </c>
      <c r="W476" s="3">
        <f t="shared" si="210"/>
        <v>23537.385043726696</v>
      </c>
      <c r="X476" s="3">
        <f t="shared" si="202"/>
        <v>11256.409009804296</v>
      </c>
      <c r="AI476" s="3"/>
      <c r="AJ476" s="3"/>
      <c r="AK476" s="15">
        <f t="shared" si="193"/>
        <v>2</v>
      </c>
      <c r="AL476" s="11">
        <f t="shared" si="197"/>
        <v>2802</v>
      </c>
      <c r="AM476" s="11" t="b">
        <f t="shared" si="192"/>
        <v>0</v>
      </c>
      <c r="AN476" s="11">
        <f t="shared" si="194"/>
        <v>36000</v>
      </c>
      <c r="AO476" s="11">
        <f t="shared" si="195"/>
        <v>0</v>
      </c>
      <c r="AP476" s="11">
        <f t="shared" si="196"/>
        <v>0.62207399293160281</v>
      </c>
      <c r="AQ476" s="11">
        <f t="shared" si="198"/>
        <v>0</v>
      </c>
      <c r="AT476" s="3"/>
      <c r="AU476" s="17"/>
      <c r="AV476" s="19"/>
      <c r="AW476" s="17"/>
      <c r="AX476" s="17">
        <f t="shared" si="191"/>
        <v>467</v>
      </c>
      <c r="AY476" s="17">
        <f t="shared" si="216"/>
        <v>46.7</v>
      </c>
      <c r="AZ476" s="17">
        <v>62.207399293160279</v>
      </c>
      <c r="BA476" s="17"/>
      <c r="BB476" s="17">
        <v>36</v>
      </c>
      <c r="BC476" s="17"/>
      <c r="BD476" s="17"/>
      <c r="BE476" s="17"/>
      <c r="BF476" s="17"/>
      <c r="BG476" s="17"/>
      <c r="BH476" s="17"/>
      <c r="BI476" s="17"/>
      <c r="BJ476" s="17"/>
      <c r="BK476" s="17"/>
      <c r="BL476" s="17"/>
      <c r="BM476" s="17"/>
      <c r="BN476" s="17"/>
      <c r="BO476" s="17"/>
      <c r="BP476" s="17"/>
      <c r="BQ476" s="17"/>
      <c r="BR476" s="17"/>
      <c r="BS476" s="17"/>
      <c r="BT476" s="17"/>
      <c r="BU476" s="17"/>
      <c r="BV476" s="17"/>
      <c r="BW476" s="17"/>
      <c r="BX476" s="17"/>
      <c r="BY476" s="17"/>
      <c r="BZ476" s="17"/>
      <c r="CA476" s="17"/>
      <c r="CB476" s="17"/>
      <c r="CC476" s="17"/>
      <c r="CD476" s="17"/>
      <c r="CE476" s="17"/>
      <c r="CF476" s="17"/>
      <c r="CG476" s="17"/>
      <c r="CH476" s="17"/>
    </row>
    <row r="477" spans="8:86" x14ac:dyDescent="0.15">
      <c r="H477" s="3">
        <f t="shared" si="211"/>
        <v>0.46500000000000036</v>
      </c>
      <c r="I477" s="3">
        <f t="shared" si="212"/>
        <v>360</v>
      </c>
      <c r="J477" s="14">
        <f t="shared" si="213"/>
        <v>500</v>
      </c>
      <c r="K477" s="3">
        <f t="shared" si="203"/>
        <v>0</v>
      </c>
      <c r="L477" s="3">
        <f t="shared" si="199"/>
        <v>500</v>
      </c>
      <c r="M477" s="15">
        <f t="shared" si="214"/>
        <v>7.0000000000000007E-2</v>
      </c>
      <c r="N477" s="3">
        <f t="shared" si="215"/>
        <v>65.315250114946878</v>
      </c>
      <c r="O477" s="3">
        <f t="shared" si="200"/>
        <v>65.315250114946878</v>
      </c>
      <c r="P477" s="3">
        <f t="shared" si="204"/>
        <v>70.231451736502024</v>
      </c>
      <c r="Q477" s="3">
        <f t="shared" si="205"/>
        <v>22.465028014916953</v>
      </c>
      <c r="R477" s="3">
        <f t="shared" si="206"/>
        <v>46.348239875709488</v>
      </c>
      <c r="S477" s="3">
        <f t="shared" si="201"/>
        <v>1</v>
      </c>
      <c r="T477" s="3">
        <f t="shared" si="207"/>
        <v>23883.211860792537</v>
      </c>
      <c r="U477" s="3">
        <f t="shared" si="208"/>
        <v>0.5</v>
      </c>
      <c r="V477" s="3">
        <f t="shared" si="209"/>
        <v>0</v>
      </c>
      <c r="W477" s="3">
        <f t="shared" si="210"/>
        <v>23513.490041380875</v>
      </c>
      <c r="X477" s="3">
        <f t="shared" si="202"/>
        <v>11232.514007458476</v>
      </c>
      <c r="AI477" s="3"/>
      <c r="AJ477" s="3"/>
      <c r="AK477" s="15">
        <f t="shared" si="193"/>
        <v>2</v>
      </c>
      <c r="AL477" s="11">
        <f t="shared" si="197"/>
        <v>2808</v>
      </c>
      <c r="AM477" s="11" t="b">
        <f t="shared" si="192"/>
        <v>0</v>
      </c>
      <c r="AN477" s="11">
        <f t="shared" si="194"/>
        <v>36000</v>
      </c>
      <c r="AO477" s="11">
        <f t="shared" si="195"/>
        <v>0</v>
      </c>
      <c r="AP477" s="11">
        <f t="shared" si="196"/>
        <v>0.62317630774641763</v>
      </c>
      <c r="AQ477" s="11">
        <f t="shared" si="198"/>
        <v>0</v>
      </c>
      <c r="AT477" s="3"/>
      <c r="AU477" s="17"/>
      <c r="AV477" s="19"/>
      <c r="AW477" s="17"/>
      <c r="AX477" s="17">
        <f t="shared" si="191"/>
        <v>468</v>
      </c>
      <c r="AY477" s="17">
        <f t="shared" si="216"/>
        <v>46.8</v>
      </c>
      <c r="AZ477" s="17">
        <v>62.317630774641763</v>
      </c>
      <c r="BA477" s="17"/>
      <c r="BB477" s="17">
        <v>36</v>
      </c>
      <c r="BC477" s="17"/>
      <c r="BD477" s="17"/>
      <c r="BE477" s="17"/>
      <c r="BF477" s="17"/>
      <c r="BG477" s="17"/>
      <c r="BH477" s="17"/>
      <c r="BI477" s="17"/>
      <c r="BJ477" s="17"/>
      <c r="BK477" s="17"/>
      <c r="BL477" s="17"/>
      <c r="BM477" s="17"/>
      <c r="BN477" s="17"/>
      <c r="BO477" s="17"/>
      <c r="BP477" s="17"/>
      <c r="BQ477" s="17"/>
      <c r="BR477" s="17"/>
      <c r="BS477" s="17"/>
      <c r="BT477" s="17"/>
      <c r="BU477" s="17"/>
      <c r="BV477" s="17"/>
      <c r="BW477" s="17"/>
      <c r="BX477" s="17"/>
      <c r="BY477" s="17"/>
      <c r="BZ477" s="17"/>
      <c r="CA477" s="17"/>
      <c r="CB477" s="17"/>
      <c r="CC477" s="17"/>
      <c r="CD477" s="17"/>
      <c r="CE477" s="17"/>
      <c r="CF477" s="17"/>
      <c r="CG477" s="17"/>
      <c r="CH477" s="17"/>
    </row>
    <row r="478" spans="8:86" x14ac:dyDescent="0.15">
      <c r="H478" s="3">
        <f t="shared" si="211"/>
        <v>0.46600000000000036</v>
      </c>
      <c r="I478" s="3">
        <f t="shared" si="212"/>
        <v>360</v>
      </c>
      <c r="J478" s="14">
        <f t="shared" si="213"/>
        <v>500</v>
      </c>
      <c r="K478" s="3">
        <f t="shared" si="203"/>
        <v>0</v>
      </c>
      <c r="L478" s="3">
        <f t="shared" si="199"/>
        <v>500</v>
      </c>
      <c r="M478" s="15">
        <f t="shared" si="214"/>
        <v>7.0000000000000007E-2</v>
      </c>
      <c r="N478" s="3">
        <f t="shared" si="215"/>
        <v>65.248907859778001</v>
      </c>
      <c r="O478" s="3">
        <f t="shared" si="200"/>
        <v>65.248907859778001</v>
      </c>
      <c r="P478" s="3">
        <f t="shared" si="204"/>
        <v>70.160115978255917</v>
      </c>
      <c r="Q478" s="3">
        <f t="shared" si="205"/>
        <v>22.417261591195366</v>
      </c>
      <c r="R478" s="3">
        <f t="shared" si="206"/>
        <v>46.288688784725643</v>
      </c>
      <c r="S478" s="3">
        <f t="shared" si="201"/>
        <v>1</v>
      </c>
      <c r="T478" s="3">
        <f t="shared" si="207"/>
        <v>23871.427193530275</v>
      </c>
      <c r="U478" s="3">
        <f t="shared" si="208"/>
        <v>0.5</v>
      </c>
      <c r="V478" s="3">
        <f t="shared" si="209"/>
        <v>0</v>
      </c>
      <c r="W478" s="3">
        <f t="shared" si="210"/>
        <v>23489.606829520082</v>
      </c>
      <c r="X478" s="3">
        <f t="shared" si="202"/>
        <v>11208.630795597683</v>
      </c>
      <c r="AI478" s="3"/>
      <c r="AJ478" s="3"/>
      <c r="AK478" s="15">
        <f t="shared" si="193"/>
        <v>2</v>
      </c>
      <c r="AL478" s="11">
        <f t="shared" si="197"/>
        <v>2814</v>
      </c>
      <c r="AM478" s="11" t="b">
        <f t="shared" si="192"/>
        <v>0</v>
      </c>
      <c r="AN478" s="11">
        <f t="shared" si="194"/>
        <v>36000</v>
      </c>
      <c r="AO478" s="11">
        <f t="shared" si="195"/>
        <v>0</v>
      </c>
      <c r="AP478" s="11">
        <f t="shared" si="196"/>
        <v>0.62427862256123257</v>
      </c>
      <c r="AQ478" s="11">
        <f t="shared" si="198"/>
        <v>0</v>
      </c>
      <c r="AT478" s="3"/>
      <c r="AU478" s="17"/>
      <c r="AV478" s="19"/>
      <c r="AW478" s="17"/>
      <c r="AX478" s="17">
        <f t="shared" si="191"/>
        <v>469</v>
      </c>
      <c r="AY478" s="17">
        <f t="shared" si="216"/>
        <v>46.9</v>
      </c>
      <c r="AZ478" s="17">
        <v>62.427862256123255</v>
      </c>
      <c r="BA478" s="17"/>
      <c r="BB478" s="17">
        <v>36</v>
      </c>
      <c r="BC478" s="17"/>
      <c r="BD478" s="17"/>
      <c r="BE478" s="17"/>
      <c r="BF478" s="17"/>
      <c r="BG478" s="17"/>
      <c r="BH478" s="17"/>
      <c r="BI478" s="17"/>
      <c r="BJ478" s="17"/>
      <c r="BK478" s="17"/>
      <c r="BL478" s="17"/>
      <c r="BM478" s="17"/>
      <c r="BN478" s="17"/>
      <c r="BO478" s="17"/>
      <c r="BP478" s="17"/>
      <c r="BQ478" s="17"/>
      <c r="BR478" s="17"/>
      <c r="BS478" s="17"/>
      <c r="BT478" s="17"/>
      <c r="BU478" s="17"/>
      <c r="BV478" s="17"/>
      <c r="BW478" s="17"/>
      <c r="BX478" s="17"/>
      <c r="BY478" s="17"/>
      <c r="BZ478" s="17"/>
      <c r="CA478" s="17"/>
      <c r="CB478" s="17"/>
      <c r="CC478" s="17"/>
      <c r="CD478" s="17"/>
      <c r="CE478" s="17"/>
      <c r="CF478" s="17"/>
      <c r="CG478" s="17"/>
      <c r="CH478" s="17"/>
    </row>
    <row r="479" spans="8:86" x14ac:dyDescent="0.15">
      <c r="H479" s="3">
        <f t="shared" si="211"/>
        <v>0.46700000000000036</v>
      </c>
      <c r="I479" s="3">
        <f t="shared" si="212"/>
        <v>360</v>
      </c>
      <c r="J479" s="14">
        <f t="shared" si="213"/>
        <v>500</v>
      </c>
      <c r="K479" s="3">
        <f t="shared" si="203"/>
        <v>0</v>
      </c>
      <c r="L479" s="3">
        <f t="shared" si="199"/>
        <v>500</v>
      </c>
      <c r="M479" s="15">
        <f t="shared" si="214"/>
        <v>7.0000000000000007E-2</v>
      </c>
      <c r="N479" s="3">
        <f t="shared" si="215"/>
        <v>65.182598339795973</v>
      </c>
      <c r="O479" s="3">
        <f t="shared" si="200"/>
        <v>65.182598339795973</v>
      </c>
      <c r="P479" s="3">
        <f t="shared" si="204"/>
        <v>70.088815419135457</v>
      </c>
      <c r="Q479" s="3">
        <f t="shared" si="205"/>
        <v>22.369518736808306</v>
      </c>
      <c r="R479" s="3">
        <f t="shared" si="206"/>
        <v>46.22916707797188</v>
      </c>
      <c r="S479" s="3">
        <f t="shared" si="201"/>
        <v>1</v>
      </c>
      <c r="T479" s="3">
        <f t="shared" si="207"/>
        <v>23859.648341163578</v>
      </c>
      <c r="U479" s="3">
        <f t="shared" si="208"/>
        <v>0.5</v>
      </c>
      <c r="V479" s="3">
        <f t="shared" si="209"/>
        <v>0</v>
      </c>
      <c r="W479" s="3">
        <f t="shared" si="210"/>
        <v>23465.735402326551</v>
      </c>
      <c r="X479" s="3">
        <f t="shared" si="202"/>
        <v>11184.759368404153</v>
      </c>
      <c r="AI479" s="3"/>
      <c r="AJ479" s="3"/>
      <c r="AK479" s="15">
        <f t="shared" si="193"/>
        <v>2</v>
      </c>
      <c r="AL479" s="11">
        <f t="shared" si="197"/>
        <v>2820</v>
      </c>
      <c r="AM479" s="11" t="b">
        <f t="shared" si="192"/>
        <v>0</v>
      </c>
      <c r="AN479" s="11">
        <f t="shared" si="194"/>
        <v>36000</v>
      </c>
      <c r="AO479" s="11">
        <f t="shared" si="195"/>
        <v>0</v>
      </c>
      <c r="AP479" s="11">
        <f t="shared" si="196"/>
        <v>0.62538093737604739</v>
      </c>
      <c r="AQ479" s="11">
        <f t="shared" si="198"/>
        <v>0</v>
      </c>
      <c r="AT479" s="3"/>
      <c r="AU479" s="17"/>
      <c r="AV479" s="19"/>
      <c r="AW479" s="17"/>
      <c r="AX479" s="17">
        <f t="shared" si="191"/>
        <v>470</v>
      </c>
      <c r="AY479" s="17">
        <f t="shared" si="216"/>
        <v>47</v>
      </c>
      <c r="AZ479" s="17">
        <v>62.53809373760474</v>
      </c>
      <c r="BA479" s="17"/>
      <c r="BB479" s="17">
        <v>36</v>
      </c>
      <c r="BC479" s="17"/>
      <c r="BD479" s="17"/>
      <c r="BE479" s="17"/>
      <c r="BF479" s="17"/>
      <c r="BG479" s="17"/>
      <c r="BH479" s="17"/>
      <c r="BI479" s="17"/>
      <c r="BJ479" s="17"/>
      <c r="BK479" s="17"/>
      <c r="BL479" s="17"/>
      <c r="BM479" s="17"/>
      <c r="BN479" s="17"/>
      <c r="BO479" s="17"/>
      <c r="BP479" s="17"/>
      <c r="BQ479" s="17"/>
      <c r="BR479" s="17"/>
      <c r="BS479" s="17"/>
      <c r="BT479" s="17"/>
      <c r="BU479" s="17"/>
      <c r="BV479" s="17"/>
      <c r="BW479" s="17"/>
      <c r="BX479" s="17"/>
      <c r="BY479" s="17"/>
      <c r="BZ479" s="17"/>
      <c r="CA479" s="17"/>
      <c r="CB479" s="17"/>
      <c r="CC479" s="17"/>
      <c r="CD479" s="17"/>
      <c r="CE479" s="17"/>
      <c r="CF479" s="17"/>
      <c r="CG479" s="17"/>
      <c r="CH479" s="17"/>
    </row>
    <row r="480" spans="8:86" x14ac:dyDescent="0.15">
      <c r="H480" s="3">
        <f t="shared" si="211"/>
        <v>0.46800000000000036</v>
      </c>
      <c r="I480" s="3">
        <f t="shared" si="212"/>
        <v>360</v>
      </c>
      <c r="J480" s="14">
        <f t="shared" si="213"/>
        <v>500</v>
      </c>
      <c r="K480" s="3">
        <f t="shared" si="203"/>
        <v>0</v>
      </c>
      <c r="L480" s="3">
        <f t="shared" si="199"/>
        <v>500</v>
      </c>
      <c r="M480" s="15">
        <f t="shared" si="214"/>
        <v>7.0000000000000007E-2</v>
      </c>
      <c r="N480" s="3">
        <f t="shared" si="215"/>
        <v>65.116321538848297</v>
      </c>
      <c r="O480" s="3">
        <f t="shared" si="200"/>
        <v>65.116321538848297</v>
      </c>
      <c r="P480" s="3">
        <f t="shared" si="204"/>
        <v>70.017550041772367</v>
      </c>
      <c r="Q480" s="3">
        <f t="shared" si="205"/>
        <v>22.321799440125979</v>
      </c>
      <c r="R480" s="3">
        <f t="shared" si="206"/>
        <v>46.169674740949176</v>
      </c>
      <c r="S480" s="3">
        <f t="shared" si="201"/>
        <v>1</v>
      </c>
      <c r="T480" s="3">
        <f t="shared" si="207"/>
        <v>23847.875300823194</v>
      </c>
      <c r="U480" s="3">
        <f t="shared" si="208"/>
        <v>0.5</v>
      </c>
      <c r="V480" s="3">
        <f t="shared" si="209"/>
        <v>0</v>
      </c>
      <c r="W480" s="3">
        <f t="shared" si="210"/>
        <v>23441.875753985387</v>
      </c>
      <c r="X480" s="3">
        <f t="shared" si="202"/>
        <v>11160.899720062989</v>
      </c>
      <c r="AI480" s="3"/>
      <c r="AJ480" s="3"/>
      <c r="AK480" s="15">
        <f t="shared" si="193"/>
        <v>2</v>
      </c>
      <c r="AL480" s="11">
        <f t="shared" si="197"/>
        <v>2826</v>
      </c>
      <c r="AM480" s="11" t="b">
        <f t="shared" si="192"/>
        <v>0</v>
      </c>
      <c r="AN480" s="11">
        <f t="shared" si="194"/>
        <v>36000</v>
      </c>
      <c r="AO480" s="11">
        <f t="shared" si="195"/>
        <v>0</v>
      </c>
      <c r="AP480" s="11">
        <f t="shared" si="196"/>
        <v>0.62648325219086221</v>
      </c>
      <c r="AQ480" s="11">
        <f t="shared" si="198"/>
        <v>0</v>
      </c>
      <c r="AT480" s="3"/>
      <c r="AU480" s="17"/>
      <c r="AV480" s="19"/>
      <c r="AW480" s="17"/>
      <c r="AX480" s="17">
        <f t="shared" si="191"/>
        <v>471</v>
      </c>
      <c r="AY480" s="17">
        <f t="shared" si="216"/>
        <v>47.1</v>
      </c>
      <c r="AZ480" s="17">
        <v>62.648325219086217</v>
      </c>
      <c r="BA480" s="17"/>
      <c r="BB480" s="17">
        <v>36</v>
      </c>
      <c r="BC480" s="17"/>
      <c r="BD480" s="17"/>
      <c r="BE480" s="17"/>
      <c r="BF480" s="17"/>
      <c r="BG480" s="17"/>
      <c r="BH480" s="17"/>
      <c r="BI480" s="17"/>
      <c r="BJ480" s="17"/>
      <c r="BK480" s="17"/>
      <c r="BL480" s="17"/>
      <c r="BM480" s="17"/>
      <c r="BN480" s="17"/>
      <c r="BO480" s="17"/>
      <c r="BP480" s="17"/>
      <c r="BQ480" s="17"/>
      <c r="BR480" s="17"/>
      <c r="BS480" s="17"/>
      <c r="BT480" s="17"/>
      <c r="BU480" s="17"/>
      <c r="BV480" s="17"/>
      <c r="BW480" s="17"/>
      <c r="BX480" s="17"/>
      <c r="BY480" s="17"/>
      <c r="BZ480" s="17"/>
      <c r="CA480" s="17"/>
      <c r="CB480" s="17"/>
      <c r="CC480" s="17"/>
      <c r="CD480" s="17"/>
      <c r="CE480" s="17"/>
      <c r="CF480" s="17"/>
      <c r="CG480" s="17"/>
      <c r="CH480" s="17"/>
    </row>
    <row r="481" spans="8:86" x14ac:dyDescent="0.15">
      <c r="H481" s="3">
        <f t="shared" si="211"/>
        <v>0.46900000000000036</v>
      </c>
      <c r="I481" s="3">
        <f t="shared" si="212"/>
        <v>360</v>
      </c>
      <c r="J481" s="14">
        <f t="shared" si="213"/>
        <v>500</v>
      </c>
      <c r="K481" s="3">
        <f t="shared" si="203"/>
        <v>0</v>
      </c>
      <c r="L481" s="3">
        <f t="shared" si="199"/>
        <v>500</v>
      </c>
      <c r="M481" s="15">
        <f t="shared" si="214"/>
        <v>7.0000000000000007E-2</v>
      </c>
      <c r="N481" s="3">
        <f t="shared" si="215"/>
        <v>65.050077440790446</v>
      </c>
      <c r="O481" s="3">
        <f t="shared" si="200"/>
        <v>65.050077440790446</v>
      </c>
      <c r="P481" s="3">
        <f t="shared" si="204"/>
        <v>69.946319828806935</v>
      </c>
      <c r="Q481" s="3">
        <f t="shared" si="205"/>
        <v>22.274103689524331</v>
      </c>
      <c r="R481" s="3">
        <f t="shared" si="206"/>
        <v>46.110211759165637</v>
      </c>
      <c r="S481" s="3">
        <f t="shared" si="201"/>
        <v>1</v>
      </c>
      <c r="T481" s="3">
        <f t="shared" si="207"/>
        <v>23836.108069641301</v>
      </c>
      <c r="U481" s="3">
        <f t="shared" si="208"/>
        <v>0.5</v>
      </c>
      <c r="V481" s="3">
        <f t="shared" si="209"/>
        <v>0</v>
      </c>
      <c r="W481" s="3">
        <f t="shared" si="210"/>
        <v>23418.027878684559</v>
      </c>
      <c r="X481" s="3">
        <f t="shared" si="202"/>
        <v>11137.051844762165</v>
      </c>
      <c r="AI481" s="3"/>
      <c r="AJ481" s="3"/>
      <c r="AK481" s="15">
        <f t="shared" si="193"/>
        <v>2</v>
      </c>
      <c r="AL481" s="11">
        <f t="shared" si="197"/>
        <v>2832</v>
      </c>
      <c r="AM481" s="11" t="b">
        <f t="shared" si="192"/>
        <v>0</v>
      </c>
      <c r="AN481" s="11">
        <f t="shared" si="194"/>
        <v>36000</v>
      </c>
      <c r="AO481" s="11">
        <f t="shared" si="195"/>
        <v>0</v>
      </c>
      <c r="AP481" s="11">
        <f t="shared" si="196"/>
        <v>0.62758556700567703</v>
      </c>
      <c r="AQ481" s="11">
        <f t="shared" si="198"/>
        <v>0</v>
      </c>
      <c r="AT481" s="3"/>
      <c r="AU481" s="17"/>
      <c r="AV481" s="19"/>
      <c r="AW481" s="17"/>
      <c r="AX481" s="17">
        <f t="shared" si="191"/>
        <v>472</v>
      </c>
      <c r="AY481" s="17">
        <f t="shared" si="216"/>
        <v>47.2</v>
      </c>
      <c r="AZ481" s="17">
        <v>62.758556700567702</v>
      </c>
      <c r="BA481" s="17"/>
      <c r="BB481" s="17">
        <v>36</v>
      </c>
      <c r="BC481" s="17"/>
      <c r="BD481" s="17"/>
      <c r="BE481" s="17"/>
      <c r="BF481" s="17"/>
      <c r="BG481" s="17"/>
      <c r="BH481" s="17"/>
      <c r="BI481" s="17"/>
      <c r="BJ481" s="17"/>
      <c r="BK481" s="17"/>
      <c r="BL481" s="17"/>
      <c r="BM481" s="17"/>
      <c r="BN481" s="17"/>
      <c r="BO481" s="17"/>
      <c r="BP481" s="17"/>
      <c r="BQ481" s="17"/>
      <c r="BR481" s="17"/>
      <c r="BS481" s="17"/>
      <c r="BT481" s="17"/>
      <c r="BU481" s="17"/>
      <c r="BV481" s="17"/>
      <c r="BW481" s="17"/>
      <c r="BX481" s="17"/>
      <c r="BY481" s="17"/>
      <c r="BZ481" s="17"/>
      <c r="CA481" s="17"/>
      <c r="CB481" s="17"/>
      <c r="CC481" s="17"/>
      <c r="CD481" s="17"/>
      <c r="CE481" s="17"/>
      <c r="CF481" s="17"/>
      <c r="CG481" s="17"/>
      <c r="CH481" s="17"/>
    </row>
    <row r="482" spans="8:86" x14ac:dyDescent="0.15">
      <c r="H482" s="3">
        <f t="shared" si="211"/>
        <v>0.47000000000000036</v>
      </c>
      <c r="I482" s="3">
        <f t="shared" si="212"/>
        <v>360</v>
      </c>
      <c r="J482" s="14">
        <f t="shared" si="213"/>
        <v>500</v>
      </c>
      <c r="K482" s="3">
        <f t="shared" si="203"/>
        <v>0</v>
      </c>
      <c r="L482" s="3">
        <f t="shared" si="199"/>
        <v>500</v>
      </c>
      <c r="M482" s="15">
        <f t="shared" si="214"/>
        <v>7.0000000000000007E-2</v>
      </c>
      <c r="N482" s="3">
        <f t="shared" si="215"/>
        <v>64.983866029485881</v>
      </c>
      <c r="O482" s="3">
        <f t="shared" si="200"/>
        <v>64.983866029485881</v>
      </c>
      <c r="P482" s="3">
        <f t="shared" si="204"/>
        <v>69.875124762888049</v>
      </c>
      <c r="Q482" s="3">
        <f t="shared" si="205"/>
        <v>22.226431473385048</v>
      </c>
      <c r="R482" s="3">
        <f t="shared" si="206"/>
        <v>46.050778118136549</v>
      </c>
      <c r="S482" s="3">
        <f t="shared" si="201"/>
        <v>1</v>
      </c>
      <c r="T482" s="3">
        <f t="shared" si="207"/>
        <v>23824.346644751502</v>
      </c>
      <c r="U482" s="3">
        <f t="shared" si="208"/>
        <v>0.5</v>
      </c>
      <c r="V482" s="3">
        <f t="shared" si="209"/>
        <v>0</v>
      </c>
      <c r="W482" s="3">
        <f t="shared" si="210"/>
        <v>23394.191770614918</v>
      </c>
      <c r="X482" s="3">
        <f t="shared" si="202"/>
        <v>11113.215736692524</v>
      </c>
      <c r="AI482" s="3"/>
      <c r="AJ482" s="3"/>
      <c r="AK482" s="15">
        <f t="shared" si="193"/>
        <v>2</v>
      </c>
      <c r="AL482" s="11">
        <f t="shared" si="197"/>
        <v>2838</v>
      </c>
      <c r="AM482" s="11" t="b">
        <f t="shared" si="192"/>
        <v>0</v>
      </c>
      <c r="AN482" s="11">
        <f t="shared" si="194"/>
        <v>36000</v>
      </c>
      <c r="AO482" s="11">
        <f t="shared" si="195"/>
        <v>0</v>
      </c>
      <c r="AP482" s="11">
        <f t="shared" si="196"/>
        <v>0.62868788182049185</v>
      </c>
      <c r="AQ482" s="11">
        <f t="shared" si="198"/>
        <v>0</v>
      </c>
      <c r="AT482" s="3"/>
      <c r="AU482" s="17"/>
      <c r="AV482" s="19"/>
      <c r="AW482" s="17"/>
      <c r="AX482" s="17">
        <f t="shared" si="191"/>
        <v>473</v>
      </c>
      <c r="AY482" s="17">
        <f t="shared" si="216"/>
        <v>47.3</v>
      </c>
      <c r="AZ482" s="17">
        <v>62.868788182049187</v>
      </c>
      <c r="BA482" s="17"/>
      <c r="BB482" s="17">
        <v>36</v>
      </c>
      <c r="BC482" s="17"/>
      <c r="BD482" s="17"/>
      <c r="BE482" s="17"/>
      <c r="BF482" s="17"/>
      <c r="BG482" s="17"/>
      <c r="BH482" s="17"/>
      <c r="BI482" s="17"/>
      <c r="BJ482" s="17"/>
      <c r="BK482" s="17"/>
      <c r="BL482" s="17"/>
      <c r="BM482" s="17"/>
      <c r="BN482" s="17"/>
      <c r="BO482" s="17"/>
      <c r="BP482" s="17"/>
      <c r="BQ482" s="17"/>
      <c r="BR482" s="17"/>
      <c r="BS482" s="17"/>
      <c r="BT482" s="17"/>
      <c r="BU482" s="17"/>
      <c r="BV482" s="17"/>
      <c r="BW482" s="17"/>
      <c r="BX482" s="17"/>
      <c r="BY482" s="17"/>
      <c r="BZ482" s="17"/>
      <c r="CA482" s="17"/>
      <c r="CB482" s="17"/>
      <c r="CC482" s="17"/>
      <c r="CD482" s="17"/>
      <c r="CE482" s="17"/>
      <c r="CF482" s="17"/>
      <c r="CG482" s="17"/>
      <c r="CH482" s="17"/>
    </row>
    <row r="483" spans="8:86" x14ac:dyDescent="0.15">
      <c r="H483" s="3">
        <f t="shared" si="211"/>
        <v>0.47100000000000036</v>
      </c>
      <c r="I483" s="3">
        <f t="shared" si="212"/>
        <v>360</v>
      </c>
      <c r="J483" s="14">
        <f t="shared" si="213"/>
        <v>500</v>
      </c>
      <c r="K483" s="3">
        <f t="shared" si="203"/>
        <v>0</v>
      </c>
      <c r="L483" s="3">
        <f t="shared" si="199"/>
        <v>500</v>
      </c>
      <c r="M483" s="15">
        <f t="shared" si="214"/>
        <v>7.0000000000000007E-2</v>
      </c>
      <c r="N483" s="3">
        <f t="shared" si="215"/>
        <v>64.917687288806007</v>
      </c>
      <c r="O483" s="3">
        <f t="shared" si="200"/>
        <v>64.917687288806007</v>
      </c>
      <c r="P483" s="3">
        <f t="shared" si="204"/>
        <v>69.803964826673138</v>
      </c>
      <c r="Q483" s="3">
        <f t="shared" si="205"/>
        <v>22.178782780095545</v>
      </c>
      <c r="R483" s="3">
        <f t="shared" si="206"/>
        <v>45.991373803384342</v>
      </c>
      <c r="S483" s="3">
        <f t="shared" si="201"/>
        <v>1</v>
      </c>
      <c r="T483" s="3">
        <f t="shared" si="207"/>
        <v>23812.591023288795</v>
      </c>
      <c r="U483" s="3">
        <f t="shared" si="208"/>
        <v>0.5</v>
      </c>
      <c r="V483" s="3">
        <f t="shared" si="209"/>
        <v>0</v>
      </c>
      <c r="W483" s="3">
        <f t="shared" si="210"/>
        <v>23370.367423970161</v>
      </c>
      <c r="X483" s="3">
        <f t="shared" si="202"/>
        <v>11089.391390047773</v>
      </c>
      <c r="AI483" s="3"/>
      <c r="AJ483" s="3"/>
      <c r="AK483" s="15">
        <f t="shared" si="193"/>
        <v>2</v>
      </c>
      <c r="AL483" s="11">
        <f t="shared" si="197"/>
        <v>2844</v>
      </c>
      <c r="AM483" s="11" t="b">
        <f t="shared" si="192"/>
        <v>0</v>
      </c>
      <c r="AN483" s="11">
        <f t="shared" si="194"/>
        <v>36000</v>
      </c>
      <c r="AO483" s="11">
        <f t="shared" si="195"/>
        <v>0</v>
      </c>
      <c r="AP483" s="11">
        <f t="shared" si="196"/>
        <v>0.62979019663530678</v>
      </c>
      <c r="AQ483" s="11">
        <f t="shared" si="198"/>
        <v>0</v>
      </c>
      <c r="AT483" s="3"/>
      <c r="AU483" s="17"/>
      <c r="AV483" s="19"/>
      <c r="AW483" s="17"/>
      <c r="AX483" s="17">
        <f t="shared" si="191"/>
        <v>474</v>
      </c>
      <c r="AY483" s="17">
        <f t="shared" si="216"/>
        <v>47.4</v>
      </c>
      <c r="AZ483" s="17">
        <v>62.979019663530678</v>
      </c>
      <c r="BA483" s="17"/>
      <c r="BB483" s="17">
        <v>36</v>
      </c>
      <c r="BC483" s="17"/>
      <c r="BD483" s="17"/>
      <c r="BE483" s="17"/>
      <c r="BF483" s="17"/>
      <c r="BG483" s="17"/>
      <c r="BH483" s="17"/>
      <c r="BI483" s="17"/>
      <c r="BJ483" s="17"/>
      <c r="BK483" s="17"/>
      <c r="BL483" s="17"/>
      <c r="BM483" s="17"/>
      <c r="BN483" s="17"/>
      <c r="BO483" s="17"/>
      <c r="BP483" s="17"/>
      <c r="BQ483" s="17"/>
      <c r="BR483" s="17"/>
      <c r="BS483" s="17"/>
      <c r="BT483" s="17"/>
      <c r="BU483" s="17"/>
      <c r="BV483" s="17"/>
      <c r="BW483" s="17"/>
      <c r="BX483" s="17"/>
      <c r="BY483" s="17"/>
      <c r="BZ483" s="17"/>
      <c r="CA483" s="17"/>
      <c r="CB483" s="17"/>
      <c r="CC483" s="17"/>
      <c r="CD483" s="17"/>
      <c r="CE483" s="17"/>
      <c r="CF483" s="17"/>
      <c r="CG483" s="17"/>
      <c r="CH483" s="17"/>
    </row>
    <row r="484" spans="8:86" x14ac:dyDescent="0.15">
      <c r="H484" s="3">
        <f t="shared" si="211"/>
        <v>0.47200000000000036</v>
      </c>
      <c r="I484" s="3">
        <f t="shared" si="212"/>
        <v>360</v>
      </c>
      <c r="J484" s="14">
        <f t="shared" si="213"/>
        <v>500</v>
      </c>
      <c r="K484" s="3">
        <f t="shared" si="203"/>
        <v>0</v>
      </c>
      <c r="L484" s="3">
        <f t="shared" si="199"/>
        <v>500</v>
      </c>
      <c r="M484" s="15">
        <f t="shared" si="214"/>
        <v>7.0000000000000007E-2</v>
      </c>
      <c r="N484" s="3">
        <f t="shared" si="215"/>
        <v>64.851541202630202</v>
      </c>
      <c r="O484" s="3">
        <f t="shared" si="200"/>
        <v>64.851541202630202</v>
      </c>
      <c r="P484" s="3">
        <f t="shared" si="204"/>
        <v>69.732840002828183</v>
      </c>
      <c r="Q484" s="3">
        <f t="shared" si="205"/>
        <v>22.131157598048969</v>
      </c>
      <c r="R484" s="3">
        <f t="shared" si="206"/>
        <v>45.931998800438578</v>
      </c>
      <c r="S484" s="3">
        <f t="shared" si="201"/>
        <v>1</v>
      </c>
      <c r="T484" s="3">
        <f t="shared" si="207"/>
        <v>23800.841202389605</v>
      </c>
      <c r="U484" s="3">
        <f t="shared" si="208"/>
        <v>0.5</v>
      </c>
      <c r="V484" s="3">
        <f t="shared" si="209"/>
        <v>0</v>
      </c>
      <c r="W484" s="3">
        <f t="shared" si="210"/>
        <v>23346.554832946873</v>
      </c>
      <c r="X484" s="3">
        <f t="shared" si="202"/>
        <v>11065.578799024484</v>
      </c>
      <c r="AI484" s="3"/>
      <c r="AJ484" s="3"/>
      <c r="AK484" s="15">
        <f t="shared" si="193"/>
        <v>2</v>
      </c>
      <c r="AL484" s="11">
        <f t="shared" si="197"/>
        <v>2850</v>
      </c>
      <c r="AM484" s="11" t="b">
        <f t="shared" si="192"/>
        <v>0</v>
      </c>
      <c r="AN484" s="11">
        <f t="shared" si="194"/>
        <v>36000</v>
      </c>
      <c r="AO484" s="11">
        <f t="shared" si="195"/>
        <v>0</v>
      </c>
      <c r="AP484" s="11">
        <f t="shared" si="196"/>
        <v>0.6308925114501216</v>
      </c>
      <c r="AQ484" s="11">
        <f t="shared" si="198"/>
        <v>0</v>
      </c>
      <c r="AT484" s="3"/>
      <c r="AU484" s="17"/>
      <c r="AV484" s="19"/>
      <c r="AW484" s="17"/>
      <c r="AX484" s="17">
        <f t="shared" si="191"/>
        <v>475</v>
      </c>
      <c r="AY484" s="17">
        <f t="shared" si="216"/>
        <v>47.5</v>
      </c>
      <c r="AZ484" s="17">
        <v>63.089251145012156</v>
      </c>
      <c r="BA484" s="17"/>
      <c r="BB484" s="17">
        <v>36</v>
      </c>
      <c r="BC484" s="17"/>
      <c r="BD484" s="17"/>
      <c r="BE484" s="17"/>
      <c r="BF484" s="17"/>
      <c r="BG484" s="17"/>
      <c r="BH484" s="17"/>
      <c r="BI484" s="17"/>
      <c r="BJ484" s="17"/>
      <c r="BK484" s="17"/>
      <c r="BL484" s="17"/>
      <c r="BM484" s="17"/>
      <c r="BN484" s="17"/>
      <c r="BO484" s="17"/>
      <c r="BP484" s="17"/>
      <c r="BQ484" s="17"/>
      <c r="BR484" s="17"/>
      <c r="BS484" s="17"/>
      <c r="BT484" s="17"/>
      <c r="BU484" s="17"/>
      <c r="BV484" s="17"/>
      <c r="BW484" s="17"/>
      <c r="BX484" s="17"/>
      <c r="BY484" s="17"/>
      <c r="BZ484" s="17"/>
      <c r="CA484" s="17"/>
      <c r="CB484" s="17"/>
      <c r="CC484" s="17"/>
      <c r="CD484" s="17"/>
      <c r="CE484" s="17"/>
      <c r="CF484" s="17"/>
      <c r="CG484" s="17"/>
      <c r="CH484" s="17"/>
    </row>
    <row r="485" spans="8:86" x14ac:dyDescent="0.15">
      <c r="H485" s="3">
        <f t="shared" si="211"/>
        <v>0.47300000000000036</v>
      </c>
      <c r="I485" s="3">
        <f t="shared" si="212"/>
        <v>360</v>
      </c>
      <c r="J485" s="14">
        <f t="shared" si="213"/>
        <v>500</v>
      </c>
      <c r="K485" s="3">
        <f t="shared" si="203"/>
        <v>0</v>
      </c>
      <c r="L485" s="3">
        <f t="shared" si="199"/>
        <v>500</v>
      </c>
      <c r="M485" s="15">
        <f t="shared" si="214"/>
        <v>7.0000000000000007E-2</v>
      </c>
      <c r="N485" s="3">
        <f t="shared" si="215"/>
        <v>64.785427754845784</v>
      </c>
      <c r="O485" s="3">
        <f t="shared" si="200"/>
        <v>64.785427754845784</v>
      </c>
      <c r="P485" s="3">
        <f t="shared" si="204"/>
        <v>69.661750274027725</v>
      </c>
      <c r="Q485" s="3">
        <f t="shared" si="205"/>
        <v>22.08355591564419</v>
      </c>
      <c r="R485" s="3">
        <f t="shared" si="206"/>
        <v>45.872653094835954</v>
      </c>
      <c r="S485" s="3">
        <f t="shared" si="201"/>
        <v>1</v>
      </c>
      <c r="T485" s="3">
        <f t="shared" si="207"/>
        <v>23789.097179191765</v>
      </c>
      <c r="U485" s="3">
        <f t="shared" si="208"/>
        <v>0.5</v>
      </c>
      <c r="V485" s="3">
        <f t="shared" si="209"/>
        <v>0</v>
      </c>
      <c r="W485" s="3">
        <f t="shared" si="210"/>
        <v>23322.753991744481</v>
      </c>
      <c r="X485" s="3">
        <f t="shared" si="202"/>
        <v>11041.777957822094</v>
      </c>
      <c r="AI485" s="3"/>
      <c r="AJ485" s="3"/>
      <c r="AK485" s="15">
        <f t="shared" si="193"/>
        <v>2</v>
      </c>
      <c r="AL485" s="11">
        <f t="shared" si="197"/>
        <v>2856</v>
      </c>
      <c r="AM485" s="11" t="b">
        <f t="shared" si="192"/>
        <v>0</v>
      </c>
      <c r="AN485" s="11">
        <f t="shared" si="194"/>
        <v>36000</v>
      </c>
      <c r="AO485" s="11">
        <f t="shared" si="195"/>
        <v>0</v>
      </c>
      <c r="AP485" s="11">
        <f t="shared" si="196"/>
        <v>0.63199482626493642</v>
      </c>
      <c r="AQ485" s="11">
        <f t="shared" si="198"/>
        <v>0</v>
      </c>
      <c r="AT485" s="3"/>
      <c r="AU485" s="17"/>
      <c r="AV485" s="19"/>
      <c r="AW485" s="17"/>
      <c r="AX485" s="17">
        <f t="shared" si="191"/>
        <v>476</v>
      </c>
      <c r="AY485" s="17">
        <f t="shared" si="216"/>
        <v>47.6</v>
      </c>
      <c r="AZ485" s="17">
        <v>63.199482626493641</v>
      </c>
      <c r="BA485" s="17"/>
      <c r="BB485" s="17">
        <v>36</v>
      </c>
      <c r="BC485" s="17"/>
      <c r="BD485" s="17"/>
      <c r="BE485" s="17"/>
      <c r="BF485" s="17"/>
      <c r="BG485" s="17"/>
      <c r="BH485" s="17"/>
      <c r="BI485" s="17"/>
      <c r="BJ485" s="17"/>
      <c r="BK485" s="17"/>
      <c r="BL485" s="17"/>
      <c r="BM485" s="17"/>
      <c r="BN485" s="17"/>
      <c r="BO485" s="17"/>
      <c r="BP485" s="17"/>
      <c r="BQ485" s="17"/>
      <c r="BR485" s="17"/>
      <c r="BS485" s="17"/>
      <c r="BT485" s="17"/>
      <c r="BU485" s="17"/>
      <c r="BV485" s="17"/>
      <c r="BW485" s="17"/>
      <c r="BX485" s="17"/>
      <c r="BY485" s="17"/>
      <c r="BZ485" s="17"/>
      <c r="CA485" s="17"/>
      <c r="CB485" s="17"/>
      <c r="CC485" s="17"/>
      <c r="CD485" s="17"/>
      <c r="CE485" s="17"/>
      <c r="CF485" s="17"/>
      <c r="CG485" s="17"/>
      <c r="CH485" s="17"/>
    </row>
    <row r="486" spans="8:86" x14ac:dyDescent="0.15">
      <c r="H486" s="3">
        <f t="shared" si="211"/>
        <v>0.47400000000000037</v>
      </c>
      <c r="I486" s="3">
        <f t="shared" si="212"/>
        <v>360</v>
      </c>
      <c r="J486" s="14">
        <f t="shared" si="213"/>
        <v>500</v>
      </c>
      <c r="K486" s="3">
        <f t="shared" si="203"/>
        <v>0</v>
      </c>
      <c r="L486" s="3">
        <f t="shared" si="199"/>
        <v>500</v>
      </c>
      <c r="M486" s="15">
        <f t="shared" si="214"/>
        <v>7.0000000000000007E-2</v>
      </c>
      <c r="N486" s="3">
        <f t="shared" si="215"/>
        <v>64.719346929348021</v>
      </c>
      <c r="O486" s="3">
        <f t="shared" si="200"/>
        <v>64.719346929348021</v>
      </c>
      <c r="P486" s="3">
        <f t="shared" si="204"/>
        <v>69.590695622954868</v>
      </c>
      <c r="Q486" s="3">
        <f t="shared" si="205"/>
        <v>22.035977721285807</v>
      </c>
      <c r="R486" s="3">
        <f t="shared" si="206"/>
        <v>45.813336672120336</v>
      </c>
      <c r="S486" s="3">
        <f t="shared" si="201"/>
        <v>1</v>
      </c>
      <c r="T486" s="3">
        <f t="shared" si="207"/>
        <v>23777.358950834532</v>
      </c>
      <c r="U486" s="3">
        <f t="shared" si="208"/>
        <v>0.5</v>
      </c>
      <c r="V486" s="3">
        <f t="shared" si="209"/>
        <v>0</v>
      </c>
      <c r="W486" s="3">
        <f t="shared" si="210"/>
        <v>23298.964894565288</v>
      </c>
      <c r="X486" s="3">
        <f t="shared" si="202"/>
        <v>11017.988860642903</v>
      </c>
      <c r="AI486" s="3"/>
      <c r="AJ486" s="3"/>
      <c r="AK486" s="15">
        <f t="shared" si="193"/>
        <v>2</v>
      </c>
      <c r="AL486" s="11">
        <f t="shared" si="197"/>
        <v>2862</v>
      </c>
      <c r="AM486" s="11" t="b">
        <f t="shared" si="192"/>
        <v>0</v>
      </c>
      <c r="AN486" s="11">
        <f t="shared" si="194"/>
        <v>36000</v>
      </c>
      <c r="AO486" s="11">
        <f t="shared" si="195"/>
        <v>0</v>
      </c>
      <c r="AP486" s="11">
        <f t="shared" si="196"/>
        <v>0.63309714107975124</v>
      </c>
      <c r="AQ486" s="11">
        <f t="shared" si="198"/>
        <v>0</v>
      </c>
      <c r="AT486" s="3"/>
      <c r="AU486" s="17"/>
      <c r="AV486" s="19"/>
      <c r="AW486" s="17"/>
      <c r="AX486" s="17">
        <f t="shared" si="191"/>
        <v>477</v>
      </c>
      <c r="AY486" s="17">
        <f t="shared" si="216"/>
        <v>47.7</v>
      </c>
      <c r="AZ486" s="17">
        <v>63.309714107975125</v>
      </c>
      <c r="BA486" s="17"/>
      <c r="BB486" s="17">
        <v>36</v>
      </c>
      <c r="BC486" s="17"/>
      <c r="BD486" s="17"/>
      <c r="BE486" s="17"/>
      <c r="BF486" s="17"/>
      <c r="BG486" s="17"/>
      <c r="BH486" s="17"/>
      <c r="BI486" s="17"/>
      <c r="BJ486" s="17"/>
      <c r="BK486" s="17"/>
      <c r="BL486" s="17"/>
      <c r="BM486" s="17"/>
      <c r="BN486" s="17"/>
      <c r="BO486" s="17"/>
      <c r="BP486" s="17"/>
      <c r="BQ486" s="17"/>
      <c r="BR486" s="17"/>
      <c r="BS486" s="17"/>
      <c r="BT486" s="17"/>
      <c r="BU486" s="17"/>
      <c r="BV486" s="17"/>
      <c r="BW486" s="17"/>
      <c r="BX486" s="17"/>
      <c r="BY486" s="17"/>
      <c r="BZ486" s="17"/>
      <c r="CA486" s="17"/>
      <c r="CB486" s="17"/>
      <c r="CC486" s="17"/>
      <c r="CD486" s="17"/>
      <c r="CE486" s="17"/>
      <c r="CF486" s="17"/>
      <c r="CG486" s="17"/>
      <c r="CH486" s="17"/>
    </row>
    <row r="487" spans="8:86" x14ac:dyDescent="0.15">
      <c r="H487" s="3">
        <f t="shared" si="211"/>
        <v>0.47500000000000037</v>
      </c>
      <c r="I487" s="3">
        <f t="shared" si="212"/>
        <v>360</v>
      </c>
      <c r="J487" s="14">
        <f t="shared" si="213"/>
        <v>500</v>
      </c>
      <c r="K487" s="3">
        <f t="shared" si="203"/>
        <v>0</v>
      </c>
      <c r="L487" s="3">
        <f t="shared" si="199"/>
        <v>500</v>
      </c>
      <c r="M487" s="15">
        <f t="shared" si="214"/>
        <v>7.0000000000000007E-2</v>
      </c>
      <c r="N487" s="3">
        <f t="shared" si="215"/>
        <v>64.653298710040147</v>
      </c>
      <c r="O487" s="3">
        <f t="shared" si="200"/>
        <v>64.653298710040147</v>
      </c>
      <c r="P487" s="3">
        <f t="shared" si="204"/>
        <v>69.519676032301234</v>
      </c>
      <c r="Q487" s="3">
        <f t="shared" si="205"/>
        <v>21.988423003384138</v>
      </c>
      <c r="R487" s="3">
        <f t="shared" si="206"/>
        <v>45.754049517842688</v>
      </c>
      <c r="S487" s="3">
        <f t="shared" si="201"/>
        <v>1</v>
      </c>
      <c r="T487" s="3">
        <f t="shared" si="207"/>
        <v>23765.626514458545</v>
      </c>
      <c r="U487" s="3">
        <f t="shared" si="208"/>
        <v>0.5</v>
      </c>
      <c r="V487" s="3">
        <f t="shared" si="209"/>
        <v>0</v>
      </c>
      <c r="W487" s="3">
        <f t="shared" si="210"/>
        <v>23275.187535614452</v>
      </c>
      <c r="X487" s="3">
        <f t="shared" si="202"/>
        <v>10994.211501692069</v>
      </c>
      <c r="AI487" s="3"/>
      <c r="AJ487" s="3"/>
      <c r="AK487" s="15">
        <f t="shared" si="193"/>
        <v>2</v>
      </c>
      <c r="AL487" s="11">
        <f t="shared" si="197"/>
        <v>2868</v>
      </c>
      <c r="AM487" s="11" t="b">
        <f t="shared" si="192"/>
        <v>0</v>
      </c>
      <c r="AN487" s="11">
        <f t="shared" si="194"/>
        <v>36000</v>
      </c>
      <c r="AO487" s="11">
        <f t="shared" si="195"/>
        <v>0</v>
      </c>
      <c r="AP487" s="11">
        <f t="shared" si="196"/>
        <v>0.63419945589456606</v>
      </c>
      <c r="AQ487" s="11">
        <f t="shared" si="198"/>
        <v>0</v>
      </c>
      <c r="AT487" s="3"/>
      <c r="AU487" s="17"/>
      <c r="AV487" s="19"/>
      <c r="AW487" s="17"/>
      <c r="AX487" s="17">
        <f t="shared" si="191"/>
        <v>478</v>
      </c>
      <c r="AY487" s="17">
        <f t="shared" si="216"/>
        <v>47.8</v>
      </c>
      <c r="AZ487" s="17">
        <v>63.419945589456603</v>
      </c>
      <c r="BA487" s="17"/>
      <c r="BB487" s="17">
        <v>36</v>
      </c>
      <c r="BC487" s="17"/>
      <c r="BD487" s="17"/>
      <c r="BE487" s="17"/>
      <c r="BF487" s="17"/>
      <c r="BG487" s="17"/>
      <c r="BH487" s="17"/>
      <c r="BI487" s="17"/>
      <c r="BJ487" s="17"/>
      <c r="BK487" s="17"/>
      <c r="BL487" s="17"/>
      <c r="BM487" s="17"/>
      <c r="BN487" s="17"/>
      <c r="BO487" s="17"/>
      <c r="BP487" s="17"/>
      <c r="BQ487" s="17"/>
      <c r="BR487" s="17"/>
      <c r="BS487" s="17"/>
      <c r="BT487" s="17"/>
      <c r="BU487" s="17"/>
      <c r="BV487" s="17"/>
      <c r="BW487" s="17"/>
      <c r="BX487" s="17"/>
      <c r="BY487" s="17"/>
      <c r="BZ487" s="17"/>
      <c r="CA487" s="17"/>
      <c r="CB487" s="17"/>
      <c r="CC487" s="17"/>
      <c r="CD487" s="17"/>
      <c r="CE487" s="17"/>
      <c r="CF487" s="17"/>
      <c r="CG487" s="17"/>
      <c r="CH487" s="17"/>
    </row>
    <row r="488" spans="8:86" x14ac:dyDescent="0.15">
      <c r="H488" s="3">
        <f t="shared" si="211"/>
        <v>0.47600000000000037</v>
      </c>
      <c r="I488" s="3">
        <f t="shared" si="212"/>
        <v>360</v>
      </c>
      <c r="J488" s="14">
        <f t="shared" si="213"/>
        <v>500</v>
      </c>
      <c r="K488" s="3">
        <f t="shared" si="203"/>
        <v>0</v>
      </c>
      <c r="L488" s="3">
        <f t="shared" si="199"/>
        <v>500</v>
      </c>
      <c r="M488" s="15">
        <f t="shared" si="214"/>
        <v>7.0000000000000007E-2</v>
      </c>
      <c r="N488" s="3">
        <f t="shared" si="215"/>
        <v>64.587283080833316</v>
      </c>
      <c r="O488" s="3">
        <f t="shared" si="200"/>
        <v>64.587283080833316</v>
      </c>
      <c r="P488" s="3">
        <f t="shared" si="204"/>
        <v>69.448691484767011</v>
      </c>
      <c r="Q488" s="3">
        <f t="shared" si="205"/>
        <v>21.94089175035522</v>
      </c>
      <c r="R488" s="3">
        <f t="shared" si="206"/>
        <v>45.694791617561116</v>
      </c>
      <c r="S488" s="3">
        <f t="shared" si="201"/>
        <v>1</v>
      </c>
      <c r="T488" s="3">
        <f t="shared" si="207"/>
        <v>23753.899867205895</v>
      </c>
      <c r="U488" s="3">
        <f t="shared" si="208"/>
        <v>0.5</v>
      </c>
      <c r="V488" s="3">
        <f t="shared" si="209"/>
        <v>0</v>
      </c>
      <c r="W488" s="3">
        <f t="shared" si="210"/>
        <v>23251.421909099994</v>
      </c>
      <c r="X488" s="3">
        <f t="shared" si="202"/>
        <v>10970.445875177611</v>
      </c>
      <c r="AI488" s="3"/>
      <c r="AJ488" s="3"/>
      <c r="AK488" s="15">
        <f t="shared" si="193"/>
        <v>2</v>
      </c>
      <c r="AL488" s="11">
        <f t="shared" si="197"/>
        <v>2874</v>
      </c>
      <c r="AM488" s="11" t="b">
        <f t="shared" si="192"/>
        <v>0</v>
      </c>
      <c r="AN488" s="11">
        <f t="shared" si="194"/>
        <v>36000</v>
      </c>
      <c r="AO488" s="11">
        <f t="shared" si="195"/>
        <v>0</v>
      </c>
      <c r="AP488" s="11">
        <f t="shared" si="196"/>
        <v>0.63530177070938099</v>
      </c>
      <c r="AQ488" s="11">
        <f t="shared" si="198"/>
        <v>0</v>
      </c>
      <c r="AT488" s="3"/>
      <c r="AU488" s="17"/>
      <c r="AV488" s="19"/>
      <c r="AW488" s="17"/>
      <c r="AX488" s="17">
        <f t="shared" si="191"/>
        <v>479</v>
      </c>
      <c r="AY488" s="17">
        <f t="shared" si="216"/>
        <v>47.9</v>
      </c>
      <c r="AZ488" s="17">
        <v>63.530177070938102</v>
      </c>
      <c r="BA488" s="17"/>
      <c r="BB488" s="17">
        <v>36</v>
      </c>
      <c r="BC488" s="17"/>
      <c r="BD488" s="17"/>
      <c r="BE488" s="17"/>
      <c r="BF488" s="17"/>
      <c r="BG488" s="17"/>
      <c r="BH488" s="17"/>
      <c r="BI488" s="17"/>
      <c r="BJ488" s="17"/>
      <c r="BK488" s="17"/>
      <c r="BL488" s="17"/>
      <c r="BM488" s="17"/>
      <c r="BN488" s="17"/>
      <c r="BO488" s="17"/>
      <c r="BP488" s="17"/>
      <c r="BQ488" s="17"/>
      <c r="BR488" s="17"/>
      <c r="BS488" s="17"/>
      <c r="BT488" s="17"/>
      <c r="BU488" s="17"/>
      <c r="BV488" s="17"/>
      <c r="BW488" s="17"/>
      <c r="BX488" s="17"/>
      <c r="BY488" s="17"/>
      <c r="BZ488" s="17"/>
      <c r="CA488" s="17"/>
      <c r="CB488" s="17"/>
      <c r="CC488" s="17"/>
      <c r="CD488" s="17"/>
      <c r="CE488" s="17"/>
      <c r="CF488" s="17"/>
      <c r="CG488" s="17"/>
      <c r="CH488" s="17"/>
    </row>
    <row r="489" spans="8:86" x14ac:dyDescent="0.15">
      <c r="H489" s="3">
        <f t="shared" si="211"/>
        <v>0.47700000000000037</v>
      </c>
      <c r="I489" s="3">
        <f t="shared" si="212"/>
        <v>360</v>
      </c>
      <c r="J489" s="14">
        <f t="shared" si="213"/>
        <v>500</v>
      </c>
      <c r="K489" s="3">
        <f t="shared" si="203"/>
        <v>0</v>
      </c>
      <c r="L489" s="3">
        <f t="shared" si="199"/>
        <v>500</v>
      </c>
      <c r="M489" s="15">
        <f t="shared" si="214"/>
        <v>7.0000000000000007E-2</v>
      </c>
      <c r="N489" s="3">
        <f t="shared" si="215"/>
        <v>64.521300025646639</v>
      </c>
      <c r="O489" s="3">
        <f t="shared" si="200"/>
        <v>64.521300025646639</v>
      </c>
      <c r="P489" s="3">
        <f t="shared" si="204"/>
        <v>69.377741963060913</v>
      </c>
      <c r="Q489" s="3">
        <f t="shared" si="205"/>
        <v>21.893383950620809</v>
      </c>
      <c r="R489" s="3">
        <f t="shared" si="206"/>
        <v>45.635562956840857</v>
      </c>
      <c r="S489" s="3">
        <f t="shared" si="201"/>
        <v>1</v>
      </c>
      <c r="T489" s="3">
        <f t="shared" si="207"/>
        <v>23742.179006220053</v>
      </c>
      <c r="U489" s="3">
        <f t="shared" si="208"/>
        <v>0.5</v>
      </c>
      <c r="V489" s="3">
        <f t="shared" si="209"/>
        <v>0</v>
      </c>
      <c r="W489" s="3">
        <f t="shared" si="210"/>
        <v>23227.668009232792</v>
      </c>
      <c r="X489" s="3">
        <f t="shared" si="202"/>
        <v>10946.691975310405</v>
      </c>
      <c r="AI489" s="3"/>
      <c r="AJ489" s="3"/>
      <c r="AK489" s="15">
        <f t="shared" si="193"/>
        <v>2</v>
      </c>
      <c r="AL489" s="11">
        <f t="shared" si="197"/>
        <v>2880</v>
      </c>
      <c r="AM489" s="11" t="b">
        <f t="shared" si="192"/>
        <v>0</v>
      </c>
      <c r="AN489" s="11">
        <f t="shared" si="194"/>
        <v>36000</v>
      </c>
      <c r="AO489" s="11">
        <f t="shared" si="195"/>
        <v>0</v>
      </c>
      <c r="AP489" s="11">
        <f t="shared" si="196"/>
        <v>0.63640408552419581</v>
      </c>
      <c r="AQ489" s="11">
        <f t="shared" si="198"/>
        <v>0</v>
      </c>
      <c r="AT489" s="3"/>
      <c r="AU489" s="17"/>
      <c r="AV489" s="19"/>
      <c r="AW489" s="17"/>
      <c r="AX489" s="17">
        <f t="shared" si="191"/>
        <v>480</v>
      </c>
      <c r="AY489" s="17">
        <f t="shared" si="216"/>
        <v>48</v>
      </c>
      <c r="AZ489" s="17">
        <v>63.640408552419579</v>
      </c>
      <c r="BA489" s="17"/>
      <c r="BB489" s="17">
        <v>36</v>
      </c>
      <c r="BC489" s="17"/>
      <c r="BD489" s="17"/>
      <c r="BE489" s="17"/>
      <c r="BF489" s="17"/>
      <c r="BG489" s="17"/>
      <c r="BH489" s="17"/>
      <c r="BI489" s="17"/>
      <c r="BJ489" s="17"/>
      <c r="BK489" s="17"/>
      <c r="BL489" s="17"/>
      <c r="BM489" s="17"/>
      <c r="BN489" s="17"/>
      <c r="BO489" s="17"/>
      <c r="BP489" s="17"/>
      <c r="BQ489" s="17"/>
      <c r="BR489" s="17"/>
      <c r="BS489" s="17"/>
      <c r="BT489" s="17"/>
      <c r="BU489" s="17"/>
      <c r="BV489" s="17"/>
      <c r="BW489" s="17"/>
      <c r="BX489" s="17"/>
      <c r="BY489" s="17"/>
      <c r="BZ489" s="17"/>
      <c r="CA489" s="17"/>
      <c r="CB489" s="17"/>
      <c r="CC489" s="17"/>
      <c r="CD489" s="17"/>
      <c r="CE489" s="17"/>
      <c r="CF489" s="17"/>
      <c r="CG489" s="17"/>
      <c r="CH489" s="17"/>
    </row>
    <row r="490" spans="8:86" x14ac:dyDescent="0.15">
      <c r="H490" s="3">
        <f t="shared" si="211"/>
        <v>0.47800000000000037</v>
      </c>
      <c r="I490" s="3">
        <f t="shared" si="212"/>
        <v>360</v>
      </c>
      <c r="J490" s="14">
        <f t="shared" si="213"/>
        <v>500</v>
      </c>
      <c r="K490" s="3">
        <f t="shared" si="203"/>
        <v>0</v>
      </c>
      <c r="L490" s="3">
        <f t="shared" si="199"/>
        <v>500</v>
      </c>
      <c r="M490" s="15">
        <f t="shared" si="214"/>
        <v>7.0000000000000007E-2</v>
      </c>
      <c r="N490" s="3">
        <f t="shared" si="215"/>
        <v>64.45534952840714</v>
      </c>
      <c r="O490" s="3">
        <f t="shared" si="200"/>
        <v>64.45534952840714</v>
      </c>
      <c r="P490" s="3">
        <f t="shared" si="204"/>
        <v>69.306827449900155</v>
      </c>
      <c r="Q490" s="3">
        <f t="shared" si="205"/>
        <v>21.845899592608369</v>
      </c>
      <c r="R490" s="3">
        <f t="shared" si="206"/>
        <v>45.576363521254265</v>
      </c>
      <c r="S490" s="3">
        <f t="shared" si="201"/>
        <v>1</v>
      </c>
      <c r="T490" s="3">
        <f t="shared" si="207"/>
        <v>23730.463928645891</v>
      </c>
      <c r="U490" s="3">
        <f t="shared" si="208"/>
        <v>0.5</v>
      </c>
      <c r="V490" s="3">
        <f t="shared" si="209"/>
        <v>0</v>
      </c>
      <c r="W490" s="3">
        <f t="shared" si="210"/>
        <v>23203.92583022657</v>
      </c>
      <c r="X490" s="3">
        <f t="shared" si="202"/>
        <v>10922.949796304185</v>
      </c>
      <c r="AI490" s="3"/>
      <c r="AJ490" s="3"/>
      <c r="AK490" s="15">
        <f t="shared" si="193"/>
        <v>2</v>
      </c>
      <c r="AL490" s="11">
        <f t="shared" si="197"/>
        <v>2886</v>
      </c>
      <c r="AM490" s="11" t="b">
        <f t="shared" si="192"/>
        <v>0</v>
      </c>
      <c r="AN490" s="11">
        <f t="shared" si="194"/>
        <v>36000</v>
      </c>
      <c r="AO490" s="11">
        <f t="shared" si="195"/>
        <v>0</v>
      </c>
      <c r="AP490" s="11">
        <f t="shared" si="196"/>
        <v>0.63750640033901063</v>
      </c>
      <c r="AQ490" s="11">
        <f t="shared" si="198"/>
        <v>0</v>
      </c>
      <c r="AT490" s="3"/>
      <c r="AU490" s="17"/>
      <c r="AV490" s="19"/>
      <c r="AW490" s="17"/>
      <c r="AX490" s="17">
        <f t="shared" si="191"/>
        <v>481</v>
      </c>
      <c r="AY490" s="17">
        <f t="shared" si="216"/>
        <v>48.1</v>
      </c>
      <c r="AZ490" s="17">
        <v>63.750640033901064</v>
      </c>
      <c r="BA490" s="17"/>
      <c r="BB490" s="17">
        <v>36</v>
      </c>
      <c r="BC490" s="17"/>
      <c r="BD490" s="17"/>
      <c r="BE490" s="17"/>
      <c r="BF490" s="17"/>
      <c r="BG490" s="17"/>
      <c r="BH490" s="17"/>
      <c r="BI490" s="17"/>
      <c r="BJ490" s="17"/>
      <c r="BK490" s="17"/>
      <c r="BL490" s="17"/>
      <c r="BM490" s="17"/>
      <c r="BN490" s="17"/>
      <c r="BO490" s="17"/>
      <c r="BP490" s="17"/>
      <c r="BQ490" s="17"/>
      <c r="BR490" s="17"/>
      <c r="BS490" s="17"/>
      <c r="BT490" s="17"/>
      <c r="BU490" s="17"/>
      <c r="BV490" s="17"/>
      <c r="BW490" s="17"/>
      <c r="BX490" s="17"/>
      <c r="BY490" s="17"/>
      <c r="BZ490" s="17"/>
      <c r="CA490" s="17"/>
      <c r="CB490" s="17"/>
      <c r="CC490" s="17"/>
      <c r="CD490" s="17"/>
      <c r="CE490" s="17"/>
      <c r="CF490" s="17"/>
      <c r="CG490" s="17"/>
      <c r="CH490" s="17"/>
    </row>
    <row r="491" spans="8:86" x14ac:dyDescent="0.15">
      <c r="H491" s="3">
        <f t="shared" si="211"/>
        <v>0.47900000000000037</v>
      </c>
      <c r="I491" s="3">
        <f t="shared" si="212"/>
        <v>360</v>
      </c>
      <c r="J491" s="14">
        <f t="shared" si="213"/>
        <v>500</v>
      </c>
      <c r="K491" s="3">
        <f t="shared" si="203"/>
        <v>0</v>
      </c>
      <c r="L491" s="3">
        <f t="shared" si="199"/>
        <v>500</v>
      </c>
      <c r="M491" s="15">
        <f t="shared" si="214"/>
        <v>7.0000000000000007E-2</v>
      </c>
      <c r="N491" s="3">
        <f t="shared" si="215"/>
        <v>64.389431573049791</v>
      </c>
      <c r="O491" s="3">
        <f t="shared" si="200"/>
        <v>64.389431573049791</v>
      </c>
      <c r="P491" s="3">
        <f t="shared" si="204"/>
        <v>69.235947928010532</v>
      </c>
      <c r="Q491" s="3">
        <f t="shared" si="205"/>
        <v>21.798438664751078</v>
      </c>
      <c r="R491" s="3">
        <f t="shared" si="206"/>
        <v>45.517193296380803</v>
      </c>
      <c r="S491" s="3">
        <f t="shared" si="201"/>
        <v>1</v>
      </c>
      <c r="T491" s="3">
        <f t="shared" si="207"/>
        <v>23718.75463162973</v>
      </c>
      <c r="U491" s="3">
        <f t="shared" si="208"/>
        <v>0.5</v>
      </c>
      <c r="V491" s="3">
        <f t="shared" si="209"/>
        <v>0</v>
      </c>
      <c r="W491" s="3">
        <f t="shared" si="210"/>
        <v>23180.195366297925</v>
      </c>
      <c r="X491" s="3">
        <f t="shared" si="202"/>
        <v>10899.219332375538</v>
      </c>
      <c r="AI491" s="3"/>
      <c r="AJ491" s="3"/>
      <c r="AK491" s="15">
        <f t="shared" si="193"/>
        <v>2</v>
      </c>
      <c r="AL491" s="11">
        <f t="shared" si="197"/>
        <v>2892</v>
      </c>
      <c r="AM491" s="11" t="b">
        <f t="shared" si="192"/>
        <v>0</v>
      </c>
      <c r="AN491" s="11">
        <f t="shared" si="194"/>
        <v>36000</v>
      </c>
      <c r="AO491" s="11">
        <f t="shared" si="195"/>
        <v>0</v>
      </c>
      <c r="AP491" s="11">
        <f t="shared" si="196"/>
        <v>0.63860871515382545</v>
      </c>
      <c r="AQ491" s="11">
        <f t="shared" si="198"/>
        <v>0</v>
      </c>
      <c r="AT491" s="3"/>
      <c r="AU491" s="17"/>
      <c r="AV491" s="19"/>
      <c r="AW491" s="17"/>
      <c r="AX491" s="17">
        <f t="shared" si="191"/>
        <v>482</v>
      </c>
      <c r="AY491" s="17">
        <f t="shared" si="216"/>
        <v>48.2</v>
      </c>
      <c r="AZ491" s="17">
        <v>63.860871515382541</v>
      </c>
      <c r="BA491" s="17"/>
      <c r="BB491" s="17">
        <v>36</v>
      </c>
      <c r="BC491" s="17"/>
      <c r="BD491" s="17"/>
      <c r="BE491" s="17"/>
      <c r="BF491" s="17"/>
      <c r="BG491" s="17"/>
      <c r="BH491" s="17"/>
      <c r="BI491" s="17"/>
      <c r="BJ491" s="17"/>
      <c r="BK491" s="17"/>
      <c r="BL491" s="17"/>
      <c r="BM491" s="17"/>
      <c r="BN491" s="17"/>
      <c r="BO491" s="17"/>
      <c r="BP491" s="17"/>
      <c r="BQ491" s="17"/>
      <c r="BR491" s="17"/>
      <c r="BS491" s="17"/>
      <c r="BT491" s="17"/>
      <c r="BU491" s="17"/>
      <c r="BV491" s="17"/>
      <c r="BW491" s="17"/>
      <c r="BX491" s="17"/>
      <c r="BY491" s="17"/>
      <c r="BZ491" s="17"/>
      <c r="CA491" s="17"/>
      <c r="CB491" s="17"/>
      <c r="CC491" s="17"/>
      <c r="CD491" s="17"/>
      <c r="CE491" s="17"/>
      <c r="CF491" s="17"/>
      <c r="CG491" s="17"/>
      <c r="CH491" s="17"/>
    </row>
    <row r="492" spans="8:86" x14ac:dyDescent="0.15">
      <c r="H492" s="3">
        <f t="shared" si="211"/>
        <v>0.48000000000000037</v>
      </c>
      <c r="I492" s="3">
        <f t="shared" si="212"/>
        <v>360</v>
      </c>
      <c r="J492" s="14">
        <f t="shared" si="213"/>
        <v>500</v>
      </c>
      <c r="K492" s="3">
        <f t="shared" si="203"/>
        <v>0</v>
      </c>
      <c r="L492" s="3">
        <f t="shared" si="199"/>
        <v>500</v>
      </c>
      <c r="M492" s="15">
        <f t="shared" si="214"/>
        <v>7.0000000000000007E-2</v>
      </c>
      <c r="N492" s="3">
        <f t="shared" si="215"/>
        <v>64.32354614351749</v>
      </c>
      <c r="O492" s="3">
        <f t="shared" si="200"/>
        <v>64.32354614351749</v>
      </c>
      <c r="P492" s="3">
        <f t="shared" si="204"/>
        <v>69.16510338012634</v>
      </c>
      <c r="Q492" s="3">
        <f t="shared" si="205"/>
        <v>21.751001155487817</v>
      </c>
      <c r="R492" s="3">
        <f t="shared" si="206"/>
        <v>45.458052267807076</v>
      </c>
      <c r="S492" s="3">
        <f t="shared" si="201"/>
        <v>1</v>
      </c>
      <c r="T492" s="3">
        <f t="shared" si="207"/>
        <v>23707.051112319263</v>
      </c>
      <c r="U492" s="3">
        <f t="shared" si="208"/>
        <v>0.5</v>
      </c>
      <c r="V492" s="3">
        <f t="shared" si="209"/>
        <v>0</v>
      </c>
      <c r="W492" s="3">
        <f t="shared" si="210"/>
        <v>23156.476611666298</v>
      </c>
      <c r="X492" s="3">
        <f t="shared" si="202"/>
        <v>10875.500577743909</v>
      </c>
      <c r="AI492" s="3"/>
      <c r="AJ492" s="3"/>
      <c r="AK492" s="15">
        <f t="shared" si="193"/>
        <v>2</v>
      </c>
      <c r="AL492" s="11">
        <f t="shared" si="197"/>
        <v>2898</v>
      </c>
      <c r="AM492" s="11" t="b">
        <f t="shared" si="192"/>
        <v>0</v>
      </c>
      <c r="AN492" s="11">
        <f t="shared" si="194"/>
        <v>36000</v>
      </c>
      <c r="AO492" s="11">
        <f t="shared" si="195"/>
        <v>0</v>
      </c>
      <c r="AP492" s="11">
        <f t="shared" si="196"/>
        <v>0.63971102996864027</v>
      </c>
      <c r="AQ492" s="11">
        <f t="shared" si="198"/>
        <v>0</v>
      </c>
      <c r="AT492" s="3"/>
      <c r="AU492" s="17"/>
      <c r="AV492" s="19"/>
      <c r="AW492" s="17"/>
      <c r="AX492" s="17">
        <f t="shared" si="191"/>
        <v>483</v>
      </c>
      <c r="AY492" s="17">
        <f t="shared" si="216"/>
        <v>48.3</v>
      </c>
      <c r="AZ492" s="17">
        <v>63.971102996864026</v>
      </c>
      <c r="BA492" s="17"/>
      <c r="BB492" s="17">
        <v>36</v>
      </c>
      <c r="BC492" s="17"/>
      <c r="BD492" s="17"/>
      <c r="BE492" s="17"/>
      <c r="BF492" s="17"/>
      <c r="BG492" s="17"/>
      <c r="BH492" s="17"/>
      <c r="BI492" s="17"/>
      <c r="BJ492" s="17"/>
      <c r="BK492" s="17"/>
      <c r="BL492" s="17"/>
      <c r="BM492" s="17"/>
      <c r="BN492" s="17"/>
      <c r="BO492" s="17"/>
      <c r="BP492" s="17"/>
      <c r="BQ492" s="17"/>
      <c r="BR492" s="17"/>
      <c r="BS492" s="17"/>
      <c r="BT492" s="17"/>
      <c r="BU492" s="17"/>
      <c r="BV492" s="17"/>
      <c r="BW492" s="17"/>
      <c r="BX492" s="17"/>
      <c r="BY492" s="17"/>
      <c r="BZ492" s="17"/>
      <c r="CA492" s="17"/>
      <c r="CB492" s="17"/>
      <c r="CC492" s="17"/>
      <c r="CD492" s="17"/>
      <c r="CE492" s="17"/>
      <c r="CF492" s="17"/>
      <c r="CG492" s="17"/>
      <c r="CH492" s="17"/>
    </row>
    <row r="493" spans="8:86" x14ac:dyDescent="0.15">
      <c r="H493" s="3">
        <f t="shared" si="211"/>
        <v>0.48100000000000037</v>
      </c>
      <c r="I493" s="3">
        <f t="shared" si="212"/>
        <v>360</v>
      </c>
      <c r="J493" s="14">
        <f t="shared" si="213"/>
        <v>500</v>
      </c>
      <c r="K493" s="3">
        <f t="shared" si="203"/>
        <v>0</v>
      </c>
      <c r="L493" s="3">
        <f t="shared" si="199"/>
        <v>500</v>
      </c>
      <c r="M493" s="15">
        <f t="shared" si="214"/>
        <v>7.0000000000000007E-2</v>
      </c>
      <c r="N493" s="3">
        <f t="shared" si="215"/>
        <v>64.257693223761052</v>
      </c>
      <c r="O493" s="3">
        <f t="shared" si="200"/>
        <v>64.257693223761052</v>
      </c>
      <c r="P493" s="3">
        <f t="shared" si="204"/>
        <v>69.094293788990385</v>
      </c>
      <c r="Q493" s="3">
        <f t="shared" si="205"/>
        <v>21.703587053263181</v>
      </c>
      <c r="R493" s="3">
        <f t="shared" si="206"/>
        <v>45.398940421126781</v>
      </c>
      <c r="S493" s="3">
        <f t="shared" si="201"/>
        <v>1</v>
      </c>
      <c r="T493" s="3">
        <f t="shared" si="207"/>
        <v>23695.353367863605</v>
      </c>
      <c r="U493" s="3">
        <f t="shared" si="208"/>
        <v>0.5</v>
      </c>
      <c r="V493" s="3">
        <f t="shared" si="209"/>
        <v>0</v>
      </c>
      <c r="W493" s="3">
        <f t="shared" si="210"/>
        <v>23132.769560553977</v>
      </c>
      <c r="X493" s="3">
        <f t="shared" si="202"/>
        <v>10851.793526631591</v>
      </c>
      <c r="AI493" s="3"/>
      <c r="AJ493" s="3"/>
      <c r="AK493" s="15">
        <f t="shared" si="193"/>
        <v>2</v>
      </c>
      <c r="AL493" s="11">
        <f t="shared" si="197"/>
        <v>2904</v>
      </c>
      <c r="AM493" s="11" t="b">
        <f t="shared" si="192"/>
        <v>0</v>
      </c>
      <c r="AN493" s="11">
        <f t="shared" si="194"/>
        <v>36000</v>
      </c>
      <c r="AO493" s="11">
        <f t="shared" si="195"/>
        <v>0</v>
      </c>
      <c r="AP493" s="11">
        <f t="shared" si="196"/>
        <v>0.6408133447834552</v>
      </c>
      <c r="AQ493" s="11">
        <f t="shared" si="198"/>
        <v>0</v>
      </c>
      <c r="AT493" s="3"/>
      <c r="AU493" s="17"/>
      <c r="AV493" s="19"/>
      <c r="AW493" s="17"/>
      <c r="AX493" s="17">
        <f t="shared" si="191"/>
        <v>484</v>
      </c>
      <c r="AY493" s="17">
        <f t="shared" si="216"/>
        <v>48.4</v>
      </c>
      <c r="AZ493" s="17">
        <v>64.081334478345525</v>
      </c>
      <c r="BA493" s="17"/>
      <c r="BB493" s="17">
        <v>36</v>
      </c>
      <c r="BC493" s="17"/>
      <c r="BD493" s="17"/>
      <c r="BE493" s="17"/>
      <c r="BF493" s="17"/>
      <c r="BG493" s="17"/>
      <c r="BH493" s="17"/>
      <c r="BI493" s="17"/>
      <c r="BJ493" s="17"/>
      <c r="BK493" s="17"/>
      <c r="BL493" s="17"/>
      <c r="BM493" s="17"/>
      <c r="BN493" s="17"/>
      <c r="BO493" s="17"/>
      <c r="BP493" s="17"/>
      <c r="BQ493" s="17"/>
      <c r="BR493" s="17"/>
      <c r="BS493" s="17"/>
      <c r="BT493" s="17"/>
      <c r="BU493" s="17"/>
      <c r="BV493" s="17"/>
      <c r="BW493" s="17"/>
      <c r="BX493" s="17"/>
      <c r="BY493" s="17"/>
      <c r="BZ493" s="17"/>
      <c r="CA493" s="17"/>
      <c r="CB493" s="17"/>
      <c r="CC493" s="17"/>
      <c r="CD493" s="17"/>
      <c r="CE493" s="17"/>
      <c r="CF493" s="17"/>
      <c r="CG493" s="17"/>
      <c r="CH493" s="17"/>
    </row>
    <row r="494" spans="8:86" x14ac:dyDescent="0.15">
      <c r="H494" s="3">
        <f t="shared" si="211"/>
        <v>0.48200000000000037</v>
      </c>
      <c r="I494" s="3">
        <f t="shared" si="212"/>
        <v>360</v>
      </c>
      <c r="J494" s="14">
        <f t="shared" si="213"/>
        <v>500</v>
      </c>
      <c r="K494" s="3">
        <f t="shared" si="203"/>
        <v>0</v>
      </c>
      <c r="L494" s="3">
        <f t="shared" si="199"/>
        <v>500</v>
      </c>
      <c r="M494" s="15">
        <f t="shared" si="214"/>
        <v>7.0000000000000007E-2</v>
      </c>
      <c r="N494" s="3">
        <f t="shared" si="215"/>
        <v>64.191872797739208</v>
      </c>
      <c r="O494" s="3">
        <f t="shared" si="200"/>
        <v>64.191872797739208</v>
      </c>
      <c r="P494" s="3">
        <f t="shared" si="204"/>
        <v>69.023519137353986</v>
      </c>
      <c r="Q494" s="3">
        <f t="shared" si="205"/>
        <v>21.656196346527452</v>
      </c>
      <c r="R494" s="3">
        <f t="shared" si="206"/>
        <v>45.339857741940719</v>
      </c>
      <c r="S494" s="3">
        <f t="shared" si="201"/>
        <v>1</v>
      </c>
      <c r="T494" s="3">
        <f t="shared" si="207"/>
        <v>23683.661395413266</v>
      </c>
      <c r="U494" s="3">
        <f t="shared" si="208"/>
        <v>0.5</v>
      </c>
      <c r="V494" s="3">
        <f t="shared" si="209"/>
        <v>0</v>
      </c>
      <c r="W494" s="3">
        <f t="shared" si="210"/>
        <v>23109.074207186113</v>
      </c>
      <c r="X494" s="3">
        <f t="shared" si="202"/>
        <v>10828.098173263726</v>
      </c>
      <c r="AI494" s="3"/>
      <c r="AJ494" s="3"/>
      <c r="AK494" s="15">
        <f t="shared" si="193"/>
        <v>2</v>
      </c>
      <c r="AL494" s="11">
        <f t="shared" si="197"/>
        <v>2910</v>
      </c>
      <c r="AM494" s="11" t="b">
        <f t="shared" si="192"/>
        <v>0</v>
      </c>
      <c r="AN494" s="11">
        <f t="shared" si="194"/>
        <v>36000</v>
      </c>
      <c r="AO494" s="11">
        <f t="shared" si="195"/>
        <v>0</v>
      </c>
      <c r="AP494" s="11">
        <f t="shared" si="196"/>
        <v>0.64191565959827002</v>
      </c>
      <c r="AQ494" s="11">
        <f t="shared" si="198"/>
        <v>0</v>
      </c>
      <c r="AT494" s="3"/>
      <c r="AU494" s="17"/>
      <c r="AV494" s="19"/>
      <c r="AW494" s="17"/>
      <c r="AX494" s="17">
        <f t="shared" ref="AX494:AX557" si="217">IF(AX493&gt;=$AG$14,$AG$14,AX493+1)</f>
        <v>485</v>
      </c>
      <c r="AY494" s="17">
        <f t="shared" si="216"/>
        <v>48.5</v>
      </c>
      <c r="AZ494" s="17">
        <v>64.191565959827003</v>
      </c>
      <c r="BA494" s="17"/>
      <c r="BB494" s="17">
        <v>36</v>
      </c>
      <c r="BC494" s="17"/>
      <c r="BD494" s="17"/>
      <c r="BE494" s="17"/>
      <c r="BF494" s="17"/>
      <c r="BG494" s="17"/>
      <c r="BH494" s="17"/>
      <c r="BI494" s="17"/>
      <c r="BJ494" s="17"/>
      <c r="BK494" s="17"/>
      <c r="BL494" s="17"/>
      <c r="BM494" s="17"/>
      <c r="BN494" s="17"/>
      <c r="BO494" s="17"/>
      <c r="BP494" s="17"/>
      <c r="BQ494" s="17"/>
      <c r="BR494" s="17"/>
      <c r="BS494" s="17"/>
      <c r="BT494" s="17"/>
      <c r="BU494" s="17"/>
      <c r="BV494" s="17"/>
      <c r="BW494" s="17"/>
      <c r="BX494" s="17"/>
      <c r="BY494" s="17"/>
      <c r="BZ494" s="17"/>
      <c r="CA494" s="17"/>
      <c r="CB494" s="17"/>
      <c r="CC494" s="17"/>
      <c r="CD494" s="17"/>
      <c r="CE494" s="17"/>
      <c r="CF494" s="17"/>
      <c r="CG494" s="17"/>
      <c r="CH494" s="17"/>
    </row>
    <row r="495" spans="8:86" x14ac:dyDescent="0.15">
      <c r="H495" s="3">
        <f t="shared" si="211"/>
        <v>0.48300000000000037</v>
      </c>
      <c r="I495" s="3">
        <f t="shared" si="212"/>
        <v>360</v>
      </c>
      <c r="J495" s="14">
        <f t="shared" si="213"/>
        <v>500</v>
      </c>
      <c r="K495" s="3">
        <f t="shared" si="203"/>
        <v>0</v>
      </c>
      <c r="L495" s="3">
        <f t="shared" si="199"/>
        <v>500</v>
      </c>
      <c r="M495" s="15">
        <f t="shared" si="214"/>
        <v>7.0000000000000007E-2</v>
      </c>
      <c r="N495" s="3">
        <f t="shared" si="215"/>
        <v>64.126084849418604</v>
      </c>
      <c r="O495" s="3">
        <f t="shared" si="200"/>
        <v>64.126084849418604</v>
      </c>
      <c r="P495" s="3">
        <f t="shared" si="204"/>
        <v>68.952779407977005</v>
      </c>
      <c r="Q495" s="3">
        <f t="shared" si="205"/>
        <v>21.608829023736629</v>
      </c>
      <c r="R495" s="3">
        <f t="shared" si="206"/>
        <v>45.280804215856818</v>
      </c>
      <c r="S495" s="3">
        <f t="shared" si="201"/>
        <v>1</v>
      </c>
      <c r="T495" s="3">
        <f t="shared" si="207"/>
        <v>23671.975192120186</v>
      </c>
      <c r="U495" s="3">
        <f t="shared" si="208"/>
        <v>0.5</v>
      </c>
      <c r="V495" s="3">
        <f t="shared" si="209"/>
        <v>0</v>
      </c>
      <c r="W495" s="3">
        <f t="shared" si="210"/>
        <v>23085.390545790699</v>
      </c>
      <c r="X495" s="3">
        <f t="shared" si="202"/>
        <v>10804.414511868314</v>
      </c>
      <c r="AI495" s="3"/>
      <c r="AJ495" s="3"/>
      <c r="AK495" s="15">
        <f t="shared" si="193"/>
        <v>2</v>
      </c>
      <c r="AL495" s="11">
        <f t="shared" si="197"/>
        <v>2916</v>
      </c>
      <c r="AM495" s="11" t="b">
        <f t="shared" si="192"/>
        <v>0</v>
      </c>
      <c r="AN495" s="11">
        <f t="shared" si="194"/>
        <v>36000</v>
      </c>
      <c r="AO495" s="11">
        <f t="shared" si="195"/>
        <v>0</v>
      </c>
      <c r="AP495" s="11">
        <f t="shared" si="196"/>
        <v>0.64301797441308484</v>
      </c>
      <c r="AQ495" s="11">
        <f t="shared" si="198"/>
        <v>0</v>
      </c>
      <c r="AT495" s="3"/>
      <c r="AU495" s="17"/>
      <c r="AV495" s="19"/>
      <c r="AW495" s="17"/>
      <c r="AX495" s="17">
        <f t="shared" si="217"/>
        <v>486</v>
      </c>
      <c r="AY495" s="17">
        <f t="shared" si="216"/>
        <v>48.6</v>
      </c>
      <c r="AZ495" s="17">
        <v>64.30179744130848</v>
      </c>
      <c r="BA495" s="17"/>
      <c r="BB495" s="17">
        <v>36</v>
      </c>
      <c r="BC495" s="17"/>
      <c r="BD495" s="17"/>
      <c r="BE495" s="17"/>
      <c r="BF495" s="17"/>
      <c r="BG495" s="17"/>
      <c r="BH495" s="17"/>
      <c r="BI495" s="17"/>
      <c r="BJ495" s="17"/>
      <c r="BK495" s="17"/>
      <c r="BL495" s="17"/>
      <c r="BM495" s="17"/>
      <c r="BN495" s="17"/>
      <c r="BO495" s="17"/>
      <c r="BP495" s="17"/>
      <c r="BQ495" s="17"/>
      <c r="BR495" s="17"/>
      <c r="BS495" s="17"/>
      <c r="BT495" s="17"/>
      <c r="BU495" s="17"/>
      <c r="BV495" s="17"/>
      <c r="BW495" s="17"/>
      <c r="BX495" s="17"/>
      <c r="BY495" s="17"/>
      <c r="BZ495" s="17"/>
      <c r="CA495" s="17"/>
      <c r="CB495" s="17"/>
      <c r="CC495" s="17"/>
      <c r="CD495" s="17"/>
      <c r="CE495" s="17"/>
      <c r="CF495" s="17"/>
      <c r="CG495" s="17"/>
      <c r="CH495" s="17"/>
    </row>
    <row r="496" spans="8:86" x14ac:dyDescent="0.15">
      <c r="H496" s="3">
        <f t="shared" si="211"/>
        <v>0.48400000000000037</v>
      </c>
      <c r="I496" s="3">
        <f t="shared" si="212"/>
        <v>360</v>
      </c>
      <c r="J496" s="14">
        <f t="shared" si="213"/>
        <v>500</v>
      </c>
      <c r="K496" s="3">
        <f t="shared" si="203"/>
        <v>0</v>
      </c>
      <c r="L496" s="3">
        <f t="shared" si="199"/>
        <v>500</v>
      </c>
      <c r="M496" s="15">
        <f t="shared" si="214"/>
        <v>7.0000000000000007E-2</v>
      </c>
      <c r="N496" s="3">
        <f t="shared" si="215"/>
        <v>64.060329362773828</v>
      </c>
      <c r="O496" s="3">
        <f t="shared" si="200"/>
        <v>64.060329362773828</v>
      </c>
      <c r="P496" s="3">
        <f t="shared" si="204"/>
        <v>68.882074583627784</v>
      </c>
      <c r="Q496" s="3">
        <f t="shared" si="205"/>
        <v>21.561485073352387</v>
      </c>
      <c r="R496" s="3">
        <f t="shared" si="206"/>
        <v>45.221779828490085</v>
      </c>
      <c r="S496" s="3">
        <f t="shared" si="201"/>
        <v>1</v>
      </c>
      <c r="T496" s="3">
        <f t="shared" si="207"/>
        <v>23660.2947551377</v>
      </c>
      <c r="U496" s="3">
        <f t="shared" si="208"/>
        <v>0.5</v>
      </c>
      <c r="V496" s="3">
        <f t="shared" si="209"/>
        <v>0</v>
      </c>
      <c r="W496" s="3">
        <f t="shared" si="210"/>
        <v>23061.718570598579</v>
      </c>
      <c r="X496" s="3">
        <f t="shared" si="202"/>
        <v>10780.742536676193</v>
      </c>
      <c r="AI496" s="3"/>
      <c r="AJ496" s="3"/>
      <c r="AK496" s="15">
        <f t="shared" si="193"/>
        <v>2</v>
      </c>
      <c r="AL496" s="11">
        <f t="shared" si="197"/>
        <v>2922</v>
      </c>
      <c r="AM496" s="11" t="b">
        <f t="shared" si="192"/>
        <v>0</v>
      </c>
      <c r="AN496" s="11">
        <f t="shared" si="194"/>
        <v>36000</v>
      </c>
      <c r="AO496" s="11">
        <f t="shared" si="195"/>
        <v>0</v>
      </c>
      <c r="AP496" s="11">
        <f t="shared" si="196"/>
        <v>0.64412028922789966</v>
      </c>
      <c r="AQ496" s="11">
        <f t="shared" si="198"/>
        <v>0</v>
      </c>
      <c r="AT496" s="3"/>
      <c r="AU496" s="17"/>
      <c r="AV496" s="19"/>
      <c r="AW496" s="17"/>
      <c r="AX496" s="17">
        <f t="shared" si="217"/>
        <v>487</v>
      </c>
      <c r="AY496" s="17">
        <f t="shared" si="216"/>
        <v>48.7</v>
      </c>
      <c r="AZ496" s="17">
        <v>64.412028922789972</v>
      </c>
      <c r="BA496" s="17"/>
      <c r="BB496" s="17">
        <v>36</v>
      </c>
      <c r="BC496" s="17"/>
      <c r="BD496" s="17"/>
      <c r="BE496" s="17"/>
      <c r="BF496" s="17"/>
      <c r="BG496" s="17"/>
      <c r="BH496" s="17"/>
      <c r="BI496" s="17"/>
      <c r="BJ496" s="17"/>
      <c r="BK496" s="17"/>
      <c r="BL496" s="17"/>
      <c r="BM496" s="17"/>
      <c r="BN496" s="17"/>
      <c r="BO496" s="17"/>
      <c r="BP496" s="17"/>
      <c r="BQ496" s="17"/>
      <c r="BR496" s="17"/>
      <c r="BS496" s="17"/>
      <c r="BT496" s="17"/>
      <c r="BU496" s="17"/>
      <c r="BV496" s="17"/>
      <c r="BW496" s="17"/>
      <c r="BX496" s="17"/>
      <c r="BY496" s="17"/>
      <c r="BZ496" s="17"/>
      <c r="CA496" s="17"/>
      <c r="CB496" s="17"/>
      <c r="CC496" s="17"/>
      <c r="CD496" s="17"/>
      <c r="CE496" s="17"/>
      <c r="CF496" s="17"/>
      <c r="CG496" s="17"/>
      <c r="CH496" s="17"/>
    </row>
    <row r="497" spans="8:86" x14ac:dyDescent="0.15">
      <c r="H497" s="3">
        <f t="shared" si="211"/>
        <v>0.48500000000000038</v>
      </c>
      <c r="I497" s="3">
        <f t="shared" si="212"/>
        <v>360</v>
      </c>
      <c r="J497" s="14">
        <f t="shared" si="213"/>
        <v>500</v>
      </c>
      <c r="K497" s="3">
        <f t="shared" si="203"/>
        <v>0</v>
      </c>
      <c r="L497" s="3">
        <f t="shared" si="199"/>
        <v>500</v>
      </c>
      <c r="M497" s="15">
        <f t="shared" si="214"/>
        <v>7.0000000000000007E-2</v>
      </c>
      <c r="N497" s="3">
        <f t="shared" si="215"/>
        <v>63.994606321787344</v>
      </c>
      <c r="O497" s="3">
        <f t="shared" si="200"/>
        <v>63.994606321787344</v>
      </c>
      <c r="P497" s="3">
        <f t="shared" si="204"/>
        <v>68.811404647083165</v>
      </c>
      <c r="Q497" s="3">
        <f t="shared" si="205"/>
        <v>21.514164483842109</v>
      </c>
      <c r="R497" s="3">
        <f t="shared" si="206"/>
        <v>45.162784565462637</v>
      </c>
      <c r="S497" s="3">
        <f t="shared" si="201"/>
        <v>1</v>
      </c>
      <c r="T497" s="3">
        <f t="shared" si="207"/>
        <v>23648.620081620527</v>
      </c>
      <c r="U497" s="3">
        <f t="shared" si="208"/>
        <v>0.5</v>
      </c>
      <c r="V497" s="3">
        <f t="shared" si="209"/>
        <v>0</v>
      </c>
      <c r="W497" s="3">
        <f t="shared" si="210"/>
        <v>23038.058275843443</v>
      </c>
      <c r="X497" s="3">
        <f t="shared" si="202"/>
        <v>10757.082241921054</v>
      </c>
      <c r="AI497" s="3"/>
      <c r="AJ497" s="3"/>
      <c r="AK497" s="15">
        <f t="shared" si="193"/>
        <v>2</v>
      </c>
      <c r="AL497" s="11">
        <f t="shared" si="197"/>
        <v>2928</v>
      </c>
      <c r="AM497" s="11" t="b">
        <f t="shared" si="192"/>
        <v>0</v>
      </c>
      <c r="AN497" s="11">
        <f t="shared" si="194"/>
        <v>36000</v>
      </c>
      <c r="AO497" s="11">
        <f t="shared" si="195"/>
        <v>0</v>
      </c>
      <c r="AP497" s="11">
        <f t="shared" si="196"/>
        <v>0.64522260404271448</v>
      </c>
      <c r="AQ497" s="11">
        <f t="shared" si="198"/>
        <v>0</v>
      </c>
      <c r="AT497" s="3"/>
      <c r="AU497" s="17"/>
      <c r="AV497" s="19"/>
      <c r="AW497" s="17"/>
      <c r="AX497" s="17">
        <f t="shared" si="217"/>
        <v>488</v>
      </c>
      <c r="AY497" s="17">
        <f t="shared" si="216"/>
        <v>48.8</v>
      </c>
      <c r="AZ497" s="17">
        <v>64.522260404271449</v>
      </c>
      <c r="BA497" s="17"/>
      <c r="BB497" s="17">
        <v>36</v>
      </c>
      <c r="BC497" s="17"/>
      <c r="BD497" s="17"/>
      <c r="BE497" s="17"/>
      <c r="BF497" s="17"/>
      <c r="BG497" s="17"/>
      <c r="BH497" s="17"/>
      <c r="BI497" s="17"/>
      <c r="BJ497" s="17"/>
      <c r="BK497" s="17"/>
      <c r="BL497" s="17"/>
      <c r="BM497" s="17"/>
      <c r="BN497" s="17"/>
      <c r="BO497" s="17"/>
      <c r="BP497" s="17"/>
      <c r="BQ497" s="17"/>
      <c r="BR497" s="17"/>
      <c r="BS497" s="17"/>
      <c r="BT497" s="17"/>
      <c r="BU497" s="17"/>
      <c r="BV497" s="17"/>
      <c r="BW497" s="17"/>
      <c r="BX497" s="17"/>
      <c r="BY497" s="17"/>
      <c r="BZ497" s="17"/>
      <c r="CA497" s="17"/>
      <c r="CB497" s="17"/>
      <c r="CC497" s="17"/>
      <c r="CD497" s="17"/>
      <c r="CE497" s="17"/>
      <c r="CF497" s="17"/>
      <c r="CG497" s="17"/>
      <c r="CH497" s="17"/>
    </row>
    <row r="498" spans="8:86" x14ac:dyDescent="0.15">
      <c r="H498" s="3">
        <f t="shared" si="211"/>
        <v>0.48600000000000038</v>
      </c>
      <c r="I498" s="3">
        <f t="shared" si="212"/>
        <v>360</v>
      </c>
      <c r="J498" s="14">
        <f t="shared" si="213"/>
        <v>500</v>
      </c>
      <c r="K498" s="3">
        <f t="shared" si="203"/>
        <v>0</v>
      </c>
      <c r="L498" s="3">
        <f t="shared" si="199"/>
        <v>500</v>
      </c>
      <c r="M498" s="15">
        <f t="shared" si="214"/>
        <v>7.0000000000000007E-2</v>
      </c>
      <c r="N498" s="3">
        <f t="shared" si="215"/>
        <v>63.928915710449502</v>
      </c>
      <c r="O498" s="3">
        <f t="shared" si="200"/>
        <v>63.928915710449502</v>
      </c>
      <c r="P498" s="3">
        <f t="shared" si="204"/>
        <v>68.740769581128504</v>
      </c>
      <c r="Q498" s="3">
        <f t="shared" si="205"/>
        <v>21.46686724367887</v>
      </c>
      <c r="R498" s="3">
        <f t="shared" si="206"/>
        <v>45.103818412403683</v>
      </c>
      <c r="S498" s="3">
        <f t="shared" si="201"/>
        <v>1</v>
      </c>
      <c r="T498" s="3">
        <f t="shared" si="207"/>
        <v>23636.951168724816</v>
      </c>
      <c r="U498" s="3">
        <f t="shared" si="208"/>
        <v>0.5</v>
      </c>
      <c r="V498" s="3">
        <f t="shared" si="209"/>
        <v>0</v>
      </c>
      <c r="W498" s="3">
        <f t="shared" si="210"/>
        <v>23014.409655761821</v>
      </c>
      <c r="X498" s="3">
        <f t="shared" si="202"/>
        <v>10733.433621839435</v>
      </c>
      <c r="AI498" s="3"/>
      <c r="AJ498" s="3"/>
      <c r="AK498" s="15">
        <f t="shared" si="193"/>
        <v>2</v>
      </c>
      <c r="AL498" s="11">
        <f t="shared" si="197"/>
        <v>2934</v>
      </c>
      <c r="AM498" s="11" t="b">
        <f t="shared" si="192"/>
        <v>0</v>
      </c>
      <c r="AN498" s="11">
        <f t="shared" si="194"/>
        <v>36000</v>
      </c>
      <c r="AO498" s="11">
        <f t="shared" si="195"/>
        <v>0</v>
      </c>
      <c r="AP498" s="11">
        <f t="shared" si="196"/>
        <v>0.64632491885752941</v>
      </c>
      <c r="AQ498" s="11">
        <f t="shared" si="198"/>
        <v>0</v>
      </c>
      <c r="AT498" s="3"/>
      <c r="AU498" s="17"/>
      <c r="AV498" s="19"/>
      <c r="AW498" s="17"/>
      <c r="AX498" s="17">
        <f t="shared" si="217"/>
        <v>489</v>
      </c>
      <c r="AY498" s="17">
        <f t="shared" si="216"/>
        <v>48.9</v>
      </c>
      <c r="AZ498" s="17">
        <v>64.632491885752941</v>
      </c>
      <c r="BA498" s="17"/>
      <c r="BB498" s="17">
        <v>36</v>
      </c>
      <c r="BC498" s="17"/>
      <c r="BD498" s="17"/>
      <c r="BE498" s="17"/>
      <c r="BF498" s="17"/>
      <c r="BG498" s="17"/>
      <c r="BH498" s="17"/>
      <c r="BI498" s="17"/>
      <c r="BJ498" s="17"/>
      <c r="BK498" s="17"/>
      <c r="BL498" s="17"/>
      <c r="BM498" s="17"/>
      <c r="BN498" s="17"/>
      <c r="BO498" s="17"/>
      <c r="BP498" s="17"/>
      <c r="BQ498" s="17"/>
      <c r="BR498" s="17"/>
      <c r="BS498" s="17"/>
      <c r="BT498" s="17"/>
      <c r="BU498" s="17"/>
      <c r="BV498" s="17"/>
      <c r="BW498" s="17"/>
      <c r="BX498" s="17"/>
      <c r="BY498" s="17"/>
      <c r="BZ498" s="17"/>
      <c r="CA498" s="17"/>
      <c r="CB498" s="17"/>
      <c r="CC498" s="17"/>
      <c r="CD498" s="17"/>
      <c r="CE498" s="17"/>
      <c r="CF498" s="17"/>
      <c r="CG498" s="17"/>
      <c r="CH498" s="17"/>
    </row>
    <row r="499" spans="8:86" x14ac:dyDescent="0.15">
      <c r="H499" s="3">
        <f t="shared" si="211"/>
        <v>0.48700000000000038</v>
      </c>
      <c r="I499" s="3">
        <f t="shared" si="212"/>
        <v>360</v>
      </c>
      <c r="J499" s="14">
        <f t="shared" si="213"/>
        <v>500</v>
      </c>
      <c r="K499" s="3">
        <f t="shared" si="203"/>
        <v>0</v>
      </c>
      <c r="L499" s="3">
        <f t="shared" si="199"/>
        <v>500</v>
      </c>
      <c r="M499" s="15">
        <f t="shared" si="214"/>
        <v>7.0000000000000007E-2</v>
      </c>
      <c r="N499" s="3">
        <f t="shared" si="215"/>
        <v>63.863257512758601</v>
      </c>
      <c r="O499" s="3">
        <f t="shared" si="200"/>
        <v>63.863257512758601</v>
      </c>
      <c r="P499" s="3">
        <f t="shared" si="204"/>
        <v>68.670169368557637</v>
      </c>
      <c r="Q499" s="3">
        <f t="shared" si="205"/>
        <v>21.419593341341422</v>
      </c>
      <c r="R499" s="3">
        <f t="shared" si="206"/>
        <v>45.044881354949531</v>
      </c>
      <c r="S499" s="3">
        <f t="shared" si="201"/>
        <v>1</v>
      </c>
      <c r="T499" s="3">
        <f t="shared" si="207"/>
        <v>23625.288013608108</v>
      </c>
      <c r="U499" s="3">
        <f t="shared" si="208"/>
        <v>0.5</v>
      </c>
      <c r="V499" s="3">
        <f t="shared" si="209"/>
        <v>0</v>
      </c>
      <c r="W499" s="3">
        <f t="shared" si="210"/>
        <v>22990.772704593095</v>
      </c>
      <c r="X499" s="3">
        <f t="shared" si="202"/>
        <v>10709.79667067071</v>
      </c>
      <c r="AI499" s="3"/>
      <c r="AJ499" s="3"/>
      <c r="AK499" s="15">
        <f t="shared" si="193"/>
        <v>2</v>
      </c>
      <c r="AL499" s="11">
        <f t="shared" si="197"/>
        <v>2940</v>
      </c>
      <c r="AM499" s="11" t="b">
        <f t="shared" si="192"/>
        <v>0</v>
      </c>
      <c r="AN499" s="11">
        <f t="shared" si="194"/>
        <v>36000</v>
      </c>
      <c r="AO499" s="11">
        <f t="shared" si="195"/>
        <v>0</v>
      </c>
      <c r="AP499" s="11">
        <f t="shared" si="196"/>
        <v>0.64742723367234423</v>
      </c>
      <c r="AQ499" s="11">
        <f t="shared" si="198"/>
        <v>0</v>
      </c>
      <c r="AT499" s="3"/>
      <c r="AU499" s="17"/>
      <c r="AV499" s="19"/>
      <c r="AW499" s="17"/>
      <c r="AX499" s="17">
        <f t="shared" si="217"/>
        <v>490</v>
      </c>
      <c r="AY499" s="17">
        <f t="shared" si="216"/>
        <v>49</v>
      </c>
      <c r="AZ499" s="17">
        <v>64.742723367234419</v>
      </c>
      <c r="BA499" s="17"/>
      <c r="BB499" s="17">
        <v>36</v>
      </c>
      <c r="BC499" s="17"/>
      <c r="BD499" s="17"/>
      <c r="BE499" s="17"/>
      <c r="BF499" s="17"/>
      <c r="BG499" s="17"/>
      <c r="BH499" s="17"/>
      <c r="BI499" s="17"/>
      <c r="BJ499" s="17"/>
      <c r="BK499" s="17"/>
      <c r="BL499" s="17"/>
      <c r="BM499" s="17"/>
      <c r="BN499" s="17"/>
      <c r="BO499" s="17"/>
      <c r="BP499" s="17"/>
      <c r="BQ499" s="17"/>
      <c r="BR499" s="17"/>
      <c r="BS499" s="17"/>
      <c r="BT499" s="17"/>
      <c r="BU499" s="17"/>
      <c r="BV499" s="17"/>
      <c r="BW499" s="17"/>
      <c r="BX499" s="17"/>
      <c r="BY499" s="17"/>
      <c r="BZ499" s="17"/>
      <c r="CA499" s="17"/>
      <c r="CB499" s="17"/>
      <c r="CC499" s="17"/>
      <c r="CD499" s="17"/>
      <c r="CE499" s="17"/>
      <c r="CF499" s="17"/>
      <c r="CG499" s="17"/>
      <c r="CH499" s="17"/>
    </row>
    <row r="500" spans="8:86" x14ac:dyDescent="0.15">
      <c r="H500" s="3">
        <f t="shared" si="211"/>
        <v>0.48800000000000038</v>
      </c>
      <c r="I500" s="3">
        <f t="shared" si="212"/>
        <v>360</v>
      </c>
      <c r="J500" s="14">
        <f t="shared" si="213"/>
        <v>500</v>
      </c>
      <c r="K500" s="3">
        <f t="shared" si="203"/>
        <v>0</v>
      </c>
      <c r="L500" s="3">
        <f t="shared" si="199"/>
        <v>500</v>
      </c>
      <c r="M500" s="15">
        <f t="shared" si="214"/>
        <v>7.0000000000000007E-2</v>
      </c>
      <c r="N500" s="3">
        <f t="shared" si="215"/>
        <v>63.797631712720793</v>
      </c>
      <c r="O500" s="3">
        <f t="shared" si="200"/>
        <v>63.797631712720793</v>
      </c>
      <c r="P500" s="3">
        <f t="shared" si="204"/>
        <v>68.599603992172902</v>
      </c>
      <c r="Q500" s="3">
        <f t="shared" si="205"/>
        <v>21.372342765314201</v>
      </c>
      <c r="R500" s="3">
        <f t="shared" si="206"/>
        <v>44.985973378743552</v>
      </c>
      <c r="S500" s="3">
        <f t="shared" si="201"/>
        <v>1</v>
      </c>
      <c r="T500" s="3">
        <f t="shared" si="207"/>
        <v>23613.630613429352</v>
      </c>
      <c r="U500" s="3">
        <f t="shared" si="208"/>
        <v>0.5</v>
      </c>
      <c r="V500" s="3">
        <f t="shared" si="209"/>
        <v>0</v>
      </c>
      <c r="W500" s="3">
        <f t="shared" si="210"/>
        <v>22967.147416579486</v>
      </c>
      <c r="X500" s="3">
        <f t="shared" si="202"/>
        <v>10686.171382657101</v>
      </c>
      <c r="AI500" s="3"/>
      <c r="AJ500" s="3"/>
      <c r="AK500" s="15">
        <f t="shared" si="193"/>
        <v>2</v>
      </c>
      <c r="AL500" s="11">
        <f t="shared" si="197"/>
        <v>2946</v>
      </c>
      <c r="AM500" s="11" t="b">
        <f t="shared" si="192"/>
        <v>0</v>
      </c>
      <c r="AN500" s="11">
        <f t="shared" si="194"/>
        <v>36000</v>
      </c>
      <c r="AO500" s="11">
        <f t="shared" si="195"/>
        <v>0</v>
      </c>
      <c r="AP500" s="11">
        <f t="shared" si="196"/>
        <v>0.64852954848715905</v>
      </c>
      <c r="AQ500" s="11">
        <f t="shared" si="198"/>
        <v>0</v>
      </c>
      <c r="AT500" s="3"/>
      <c r="AU500" s="17"/>
      <c r="AV500" s="19"/>
      <c r="AW500" s="17"/>
      <c r="AX500" s="17">
        <f t="shared" si="217"/>
        <v>491</v>
      </c>
      <c r="AY500" s="17">
        <f t="shared" si="216"/>
        <v>49.1</v>
      </c>
      <c r="AZ500" s="17">
        <v>64.85295484871591</v>
      </c>
      <c r="BA500" s="17"/>
      <c r="BB500" s="17">
        <v>36</v>
      </c>
      <c r="BC500" s="17"/>
      <c r="BD500" s="17"/>
      <c r="BE500" s="17"/>
      <c r="BF500" s="17"/>
      <c r="BG500" s="17"/>
      <c r="BH500" s="17"/>
      <c r="BI500" s="17"/>
      <c r="BJ500" s="17"/>
      <c r="BK500" s="17"/>
      <c r="BL500" s="17"/>
      <c r="BM500" s="17"/>
      <c r="BN500" s="17"/>
      <c r="BO500" s="17"/>
      <c r="BP500" s="17"/>
      <c r="BQ500" s="17"/>
      <c r="BR500" s="17"/>
      <c r="BS500" s="17"/>
      <c r="BT500" s="17"/>
      <c r="BU500" s="17"/>
      <c r="BV500" s="17"/>
      <c r="BW500" s="17"/>
      <c r="BX500" s="17"/>
      <c r="BY500" s="17"/>
      <c r="BZ500" s="17"/>
      <c r="CA500" s="17"/>
      <c r="CB500" s="17"/>
      <c r="CC500" s="17"/>
      <c r="CD500" s="17"/>
      <c r="CE500" s="17"/>
      <c r="CF500" s="17"/>
      <c r="CG500" s="17"/>
      <c r="CH500" s="17"/>
    </row>
    <row r="501" spans="8:86" x14ac:dyDescent="0.15">
      <c r="H501" s="3">
        <f t="shared" si="211"/>
        <v>0.48900000000000038</v>
      </c>
      <c r="I501" s="3">
        <f t="shared" si="212"/>
        <v>360</v>
      </c>
      <c r="J501" s="14">
        <f t="shared" si="213"/>
        <v>500</v>
      </c>
      <c r="K501" s="3">
        <f t="shared" si="203"/>
        <v>0</v>
      </c>
      <c r="L501" s="3">
        <f t="shared" si="199"/>
        <v>500</v>
      </c>
      <c r="M501" s="15">
        <f t="shared" si="214"/>
        <v>7.0000000000000007E-2</v>
      </c>
      <c r="N501" s="3">
        <f t="shared" si="215"/>
        <v>63.732038294350161</v>
      </c>
      <c r="O501" s="3">
        <f t="shared" si="200"/>
        <v>63.732038294350161</v>
      </c>
      <c r="P501" s="3">
        <f t="shared" si="204"/>
        <v>68.529073434785118</v>
      </c>
      <c r="Q501" s="3">
        <f t="shared" si="205"/>
        <v>21.325115504087346</v>
      </c>
      <c r="R501" s="3">
        <f t="shared" si="206"/>
        <v>44.927094469436234</v>
      </c>
      <c r="S501" s="3">
        <f t="shared" si="201"/>
        <v>1</v>
      </c>
      <c r="T501" s="3">
        <f t="shared" si="207"/>
        <v>23601.978965348884</v>
      </c>
      <c r="U501" s="3">
        <f t="shared" si="208"/>
        <v>0.5</v>
      </c>
      <c r="V501" s="3">
        <f t="shared" si="209"/>
        <v>0</v>
      </c>
      <c r="W501" s="3">
        <f t="shared" si="210"/>
        <v>22943.533785966058</v>
      </c>
      <c r="X501" s="3">
        <f t="shared" si="202"/>
        <v>10662.557752043673</v>
      </c>
      <c r="AI501" s="3"/>
      <c r="AJ501" s="3"/>
      <c r="AK501" s="15">
        <f t="shared" si="193"/>
        <v>2</v>
      </c>
      <c r="AL501" s="11">
        <f t="shared" si="197"/>
        <v>2952</v>
      </c>
      <c r="AM501" s="11" t="b">
        <f t="shared" si="192"/>
        <v>0</v>
      </c>
      <c r="AN501" s="11">
        <f t="shared" si="194"/>
        <v>36000</v>
      </c>
      <c r="AO501" s="11">
        <f t="shared" si="195"/>
        <v>0</v>
      </c>
      <c r="AP501" s="11">
        <f t="shared" si="196"/>
        <v>0.64963186330197387</v>
      </c>
      <c r="AQ501" s="11">
        <f t="shared" si="198"/>
        <v>0</v>
      </c>
      <c r="AT501" s="3"/>
      <c r="AU501" s="17"/>
      <c r="AV501" s="19"/>
      <c r="AW501" s="17"/>
      <c r="AX501" s="17">
        <f t="shared" si="217"/>
        <v>492</v>
      </c>
      <c r="AY501" s="17">
        <f t="shared" si="216"/>
        <v>49.2</v>
      </c>
      <c r="AZ501" s="17">
        <v>64.963186330197388</v>
      </c>
      <c r="BA501" s="17"/>
      <c r="BB501" s="17">
        <v>36</v>
      </c>
      <c r="BC501" s="17"/>
      <c r="BD501" s="17"/>
      <c r="BE501" s="17"/>
      <c r="BF501" s="17"/>
      <c r="BG501" s="17"/>
      <c r="BH501" s="17"/>
      <c r="BI501" s="17"/>
      <c r="BJ501" s="17"/>
      <c r="BK501" s="17"/>
      <c r="BL501" s="17"/>
      <c r="BM501" s="17"/>
      <c r="BN501" s="17"/>
      <c r="BO501" s="17"/>
      <c r="BP501" s="17"/>
      <c r="BQ501" s="17"/>
      <c r="BR501" s="17"/>
      <c r="BS501" s="17"/>
      <c r="BT501" s="17"/>
      <c r="BU501" s="17"/>
      <c r="BV501" s="17"/>
      <c r="BW501" s="17"/>
      <c r="BX501" s="17"/>
      <c r="BY501" s="17"/>
      <c r="BZ501" s="17"/>
      <c r="CA501" s="17"/>
      <c r="CB501" s="17"/>
      <c r="CC501" s="17"/>
      <c r="CD501" s="17"/>
      <c r="CE501" s="17"/>
      <c r="CF501" s="17"/>
      <c r="CG501" s="17"/>
      <c r="CH501" s="17"/>
    </row>
    <row r="502" spans="8:86" x14ac:dyDescent="0.15">
      <c r="H502" s="3">
        <f t="shared" si="211"/>
        <v>0.49000000000000038</v>
      </c>
      <c r="I502" s="3">
        <f t="shared" si="212"/>
        <v>360</v>
      </c>
      <c r="J502" s="14">
        <f t="shared" si="213"/>
        <v>500</v>
      </c>
      <c r="K502" s="3">
        <f t="shared" si="203"/>
        <v>0</v>
      </c>
      <c r="L502" s="3">
        <f t="shared" si="199"/>
        <v>500</v>
      </c>
      <c r="M502" s="15">
        <f t="shared" si="214"/>
        <v>7.0000000000000007E-2</v>
      </c>
      <c r="N502" s="3">
        <f t="shared" si="215"/>
        <v>63.666477241668638</v>
      </c>
      <c r="O502" s="3">
        <f t="shared" si="200"/>
        <v>63.666477241668638</v>
      </c>
      <c r="P502" s="3">
        <f t="shared" si="204"/>
        <v>68.45857767921359</v>
      </c>
      <c r="Q502" s="3">
        <f t="shared" si="205"/>
        <v>21.277911546156648</v>
      </c>
      <c r="R502" s="3">
        <f t="shared" si="206"/>
        <v>44.868244612685118</v>
      </c>
      <c r="S502" s="3">
        <f t="shared" si="201"/>
        <v>1</v>
      </c>
      <c r="T502" s="3">
        <f t="shared" si="207"/>
        <v>23590.333066528474</v>
      </c>
      <c r="U502" s="3">
        <f t="shared" si="208"/>
        <v>0.5</v>
      </c>
      <c r="V502" s="3">
        <f t="shared" si="209"/>
        <v>0</v>
      </c>
      <c r="W502" s="3">
        <f t="shared" si="210"/>
        <v>22919.93180700071</v>
      </c>
      <c r="X502" s="3">
        <f t="shared" si="202"/>
        <v>10638.955773078324</v>
      </c>
      <c r="AI502" s="3"/>
      <c r="AJ502" s="3"/>
      <c r="AK502" s="15">
        <f t="shared" si="193"/>
        <v>2</v>
      </c>
      <c r="AL502" s="11">
        <f t="shared" si="197"/>
        <v>2958</v>
      </c>
      <c r="AM502" s="11" t="b">
        <f t="shared" si="192"/>
        <v>0</v>
      </c>
      <c r="AN502" s="11">
        <f t="shared" si="194"/>
        <v>36000</v>
      </c>
      <c r="AO502" s="11">
        <f t="shared" si="195"/>
        <v>0</v>
      </c>
      <c r="AP502" s="11">
        <f t="shared" si="196"/>
        <v>0.65073417811678869</v>
      </c>
      <c r="AQ502" s="11">
        <f t="shared" si="198"/>
        <v>0</v>
      </c>
      <c r="AT502" s="3"/>
      <c r="AU502" s="17"/>
      <c r="AV502" s="19"/>
      <c r="AW502" s="17"/>
      <c r="AX502" s="17">
        <f t="shared" si="217"/>
        <v>493</v>
      </c>
      <c r="AY502" s="17">
        <f t="shared" si="216"/>
        <v>49.3</v>
      </c>
      <c r="AZ502" s="17">
        <v>65.073417811678866</v>
      </c>
      <c r="BA502" s="17"/>
      <c r="BB502" s="17">
        <v>36</v>
      </c>
      <c r="BC502" s="17"/>
      <c r="BD502" s="17"/>
      <c r="BE502" s="17"/>
      <c r="BF502" s="17"/>
      <c r="BG502" s="17"/>
      <c r="BH502" s="17"/>
      <c r="BI502" s="17"/>
      <c r="BJ502" s="17"/>
      <c r="BK502" s="17"/>
      <c r="BL502" s="17"/>
      <c r="BM502" s="17"/>
      <c r="BN502" s="17"/>
      <c r="BO502" s="17"/>
      <c r="BP502" s="17"/>
      <c r="BQ502" s="17"/>
      <c r="BR502" s="17"/>
      <c r="BS502" s="17"/>
      <c r="BT502" s="17"/>
      <c r="BU502" s="17"/>
      <c r="BV502" s="17"/>
      <c r="BW502" s="17"/>
      <c r="BX502" s="17"/>
      <c r="BY502" s="17"/>
      <c r="BZ502" s="17"/>
      <c r="CA502" s="17"/>
      <c r="CB502" s="17"/>
      <c r="CC502" s="17"/>
      <c r="CD502" s="17"/>
      <c r="CE502" s="17"/>
      <c r="CF502" s="17"/>
      <c r="CG502" s="17"/>
      <c r="CH502" s="17"/>
    </row>
    <row r="503" spans="8:86" x14ac:dyDescent="0.15">
      <c r="H503" s="3">
        <f t="shared" si="211"/>
        <v>0.49100000000000038</v>
      </c>
      <c r="I503" s="3">
        <f t="shared" si="212"/>
        <v>360</v>
      </c>
      <c r="J503" s="14">
        <f t="shared" si="213"/>
        <v>500</v>
      </c>
      <c r="K503" s="3">
        <f t="shared" si="203"/>
        <v>0</v>
      </c>
      <c r="L503" s="3">
        <f t="shared" si="199"/>
        <v>500</v>
      </c>
      <c r="M503" s="15">
        <f t="shared" si="214"/>
        <v>7.0000000000000007E-2</v>
      </c>
      <c r="N503" s="3">
        <f t="shared" si="215"/>
        <v>63.600948538706064</v>
      </c>
      <c r="O503" s="3">
        <f t="shared" si="200"/>
        <v>63.600948538706064</v>
      </c>
      <c r="P503" s="3">
        <f t="shared" si="204"/>
        <v>68.388116708286091</v>
      </c>
      <c r="Q503" s="3">
        <f t="shared" si="205"/>
        <v>21.230730880023593</v>
      </c>
      <c r="R503" s="3">
        <f t="shared" si="206"/>
        <v>44.809423794154839</v>
      </c>
      <c r="S503" s="3">
        <f t="shared" si="201"/>
        <v>1</v>
      </c>
      <c r="T503" s="3">
        <f t="shared" si="207"/>
        <v>23578.69291413125</v>
      </c>
      <c r="U503" s="3">
        <f t="shared" si="208"/>
        <v>0.5</v>
      </c>
      <c r="V503" s="3">
        <f t="shared" si="209"/>
        <v>0</v>
      </c>
      <c r="W503" s="3">
        <f t="shared" si="210"/>
        <v>22896.341473934182</v>
      </c>
      <c r="X503" s="3">
        <f t="shared" si="202"/>
        <v>10615.365440011796</v>
      </c>
      <c r="AI503" s="3"/>
      <c r="AJ503" s="3"/>
      <c r="AK503" s="15">
        <f t="shared" si="193"/>
        <v>2</v>
      </c>
      <c r="AL503" s="11">
        <f t="shared" si="197"/>
        <v>2964</v>
      </c>
      <c r="AM503" s="11" t="b">
        <f t="shared" si="192"/>
        <v>0</v>
      </c>
      <c r="AN503" s="11">
        <f t="shared" si="194"/>
        <v>36000</v>
      </c>
      <c r="AO503" s="11">
        <f t="shared" si="195"/>
        <v>0</v>
      </c>
      <c r="AP503" s="11">
        <f t="shared" si="196"/>
        <v>0.65183649293160362</v>
      </c>
      <c r="AQ503" s="11">
        <f t="shared" si="198"/>
        <v>0</v>
      </c>
      <c r="AT503" s="3"/>
      <c r="AU503" s="17"/>
      <c r="AV503" s="19"/>
      <c r="AW503" s="17"/>
      <c r="AX503" s="17">
        <f t="shared" si="217"/>
        <v>494</v>
      </c>
      <c r="AY503" s="17">
        <f t="shared" si="216"/>
        <v>49.4</v>
      </c>
      <c r="AZ503" s="17">
        <v>65.183649293160357</v>
      </c>
      <c r="BA503" s="17"/>
      <c r="BB503" s="17">
        <v>36</v>
      </c>
      <c r="BC503" s="17"/>
      <c r="BD503" s="17"/>
      <c r="BE503" s="17"/>
      <c r="BF503" s="17"/>
      <c r="BG503" s="17"/>
      <c r="BH503" s="17"/>
      <c r="BI503" s="17"/>
      <c r="BJ503" s="17"/>
      <c r="BK503" s="17"/>
      <c r="BL503" s="17"/>
      <c r="BM503" s="17"/>
      <c r="BN503" s="17"/>
      <c r="BO503" s="17"/>
      <c r="BP503" s="17"/>
      <c r="BQ503" s="17"/>
      <c r="BR503" s="17"/>
      <c r="BS503" s="17"/>
      <c r="BT503" s="17"/>
      <c r="BU503" s="17"/>
      <c r="BV503" s="17"/>
      <c r="BW503" s="17"/>
      <c r="BX503" s="17"/>
      <c r="BY503" s="17"/>
      <c r="BZ503" s="17"/>
      <c r="CA503" s="17"/>
      <c r="CB503" s="17"/>
      <c r="CC503" s="17"/>
      <c r="CD503" s="17"/>
      <c r="CE503" s="17"/>
      <c r="CF503" s="17"/>
      <c r="CG503" s="17"/>
      <c r="CH503" s="17"/>
    </row>
    <row r="504" spans="8:86" x14ac:dyDescent="0.15">
      <c r="H504" s="3">
        <f t="shared" si="211"/>
        <v>0.49200000000000038</v>
      </c>
      <c r="I504" s="3">
        <f t="shared" si="212"/>
        <v>360</v>
      </c>
      <c r="J504" s="14">
        <f t="shared" si="213"/>
        <v>500</v>
      </c>
      <c r="K504" s="3">
        <f t="shared" si="203"/>
        <v>0</v>
      </c>
      <c r="L504" s="3">
        <f t="shared" si="199"/>
        <v>500</v>
      </c>
      <c r="M504" s="15">
        <f t="shared" si="214"/>
        <v>7.0000000000000007E-2</v>
      </c>
      <c r="N504" s="3">
        <f t="shared" si="215"/>
        <v>63.53545216950014</v>
      </c>
      <c r="O504" s="3">
        <f t="shared" si="200"/>
        <v>63.53545216950014</v>
      </c>
      <c r="P504" s="3">
        <f t="shared" si="204"/>
        <v>68.317690504838865</v>
      </c>
      <c r="Q504" s="3">
        <f t="shared" si="205"/>
        <v>21.183573494195329</v>
      </c>
      <c r="R504" s="3">
        <f t="shared" si="206"/>
        <v>44.750631999517097</v>
      </c>
      <c r="S504" s="3">
        <f t="shared" si="201"/>
        <v>1</v>
      </c>
      <c r="T504" s="3">
        <f t="shared" si="207"/>
        <v>23567.058505321769</v>
      </c>
      <c r="U504" s="3">
        <f t="shared" si="208"/>
        <v>0.5</v>
      </c>
      <c r="V504" s="3">
        <f t="shared" si="209"/>
        <v>0</v>
      </c>
      <c r="W504" s="3">
        <f t="shared" si="210"/>
        <v>22872.76278102005</v>
      </c>
      <c r="X504" s="3">
        <f t="shared" si="202"/>
        <v>10591.786747097665</v>
      </c>
      <c r="AI504" s="3"/>
      <c r="AJ504" s="3"/>
      <c r="AK504" s="15">
        <f t="shared" si="193"/>
        <v>2</v>
      </c>
      <c r="AL504" s="11">
        <f t="shared" si="197"/>
        <v>2970</v>
      </c>
      <c r="AM504" s="11" t="b">
        <f t="shared" si="192"/>
        <v>0</v>
      </c>
      <c r="AN504" s="11">
        <f t="shared" si="194"/>
        <v>36000</v>
      </c>
      <c r="AO504" s="11">
        <f t="shared" si="195"/>
        <v>0</v>
      </c>
      <c r="AP504" s="11">
        <f t="shared" si="196"/>
        <v>0.65293880774641855</v>
      </c>
      <c r="AQ504" s="11">
        <f t="shared" si="198"/>
        <v>0</v>
      </c>
      <c r="AT504" s="3"/>
      <c r="AU504" s="17"/>
      <c r="AV504" s="19"/>
      <c r="AW504" s="17"/>
      <c r="AX504" s="17">
        <f t="shared" si="217"/>
        <v>495</v>
      </c>
      <c r="AY504" s="17">
        <f t="shared" si="216"/>
        <v>49.5</v>
      </c>
      <c r="AZ504" s="17">
        <v>65.293880774641849</v>
      </c>
      <c r="BA504" s="17"/>
      <c r="BB504" s="17">
        <v>36</v>
      </c>
      <c r="BC504" s="17"/>
      <c r="BD504" s="17"/>
      <c r="BE504" s="17"/>
      <c r="BF504" s="17"/>
      <c r="BG504" s="17"/>
      <c r="BH504" s="17"/>
      <c r="BI504" s="17"/>
      <c r="BJ504" s="17"/>
      <c r="BK504" s="17"/>
      <c r="BL504" s="17"/>
      <c r="BM504" s="17"/>
      <c r="BN504" s="17"/>
      <c r="BO504" s="17"/>
      <c r="BP504" s="17"/>
      <c r="BQ504" s="17"/>
      <c r="BR504" s="17"/>
      <c r="BS504" s="17"/>
      <c r="BT504" s="17"/>
      <c r="BU504" s="17"/>
      <c r="BV504" s="17"/>
      <c r="BW504" s="17"/>
      <c r="BX504" s="17"/>
      <c r="BY504" s="17"/>
      <c r="BZ504" s="17"/>
      <c r="CA504" s="17"/>
      <c r="CB504" s="17"/>
      <c r="CC504" s="17"/>
      <c r="CD504" s="17"/>
      <c r="CE504" s="17"/>
      <c r="CF504" s="17"/>
      <c r="CG504" s="17"/>
      <c r="CH504" s="17"/>
    </row>
    <row r="505" spans="8:86" x14ac:dyDescent="0.15">
      <c r="H505" s="3">
        <f t="shared" si="211"/>
        <v>0.49300000000000038</v>
      </c>
      <c r="I505" s="3">
        <f t="shared" si="212"/>
        <v>360</v>
      </c>
      <c r="J505" s="14">
        <f t="shared" si="213"/>
        <v>500</v>
      </c>
      <c r="K505" s="3">
        <f t="shared" si="203"/>
        <v>0</v>
      </c>
      <c r="L505" s="3">
        <f t="shared" si="199"/>
        <v>500</v>
      </c>
      <c r="M505" s="15">
        <f t="shared" si="214"/>
        <v>7.0000000000000007E-2</v>
      </c>
      <c r="N505" s="3">
        <f t="shared" si="215"/>
        <v>63.469988118096467</v>
      </c>
      <c r="O505" s="3">
        <f t="shared" si="200"/>
        <v>63.469988118096467</v>
      </c>
      <c r="P505" s="3">
        <f t="shared" si="204"/>
        <v>68.247299051716638</v>
      </c>
      <c r="Q505" s="3">
        <f t="shared" si="205"/>
        <v>21.136439377184686</v>
      </c>
      <c r="R505" s="3">
        <f t="shared" si="206"/>
        <v>44.691869214450662</v>
      </c>
      <c r="S505" s="3">
        <f t="shared" si="201"/>
        <v>1</v>
      </c>
      <c r="T505" s="3">
        <f t="shared" si="207"/>
        <v>23555.429837265976</v>
      </c>
      <c r="U505" s="3">
        <f t="shared" si="208"/>
        <v>0.5</v>
      </c>
      <c r="V505" s="3">
        <f t="shared" si="209"/>
        <v>0</v>
      </c>
      <c r="W505" s="3">
        <f t="shared" si="210"/>
        <v>22849.195722514727</v>
      </c>
      <c r="X505" s="3">
        <f t="shared" si="202"/>
        <v>10568.219688592344</v>
      </c>
      <c r="AI505" s="3"/>
      <c r="AJ505" s="3"/>
      <c r="AK505" s="15">
        <f t="shared" si="193"/>
        <v>2</v>
      </c>
      <c r="AL505" s="11">
        <f t="shared" si="197"/>
        <v>2976</v>
      </c>
      <c r="AM505" s="11" t="b">
        <f t="shared" si="192"/>
        <v>0</v>
      </c>
      <c r="AN505" s="11">
        <f t="shared" si="194"/>
        <v>36000</v>
      </c>
      <c r="AO505" s="11">
        <f t="shared" si="195"/>
        <v>0</v>
      </c>
      <c r="AP505" s="11">
        <f t="shared" si="196"/>
        <v>0.65404112256123337</v>
      </c>
      <c r="AQ505" s="11">
        <f t="shared" si="198"/>
        <v>0</v>
      </c>
      <c r="AT505" s="3"/>
      <c r="AU505" s="17"/>
      <c r="AV505" s="19"/>
      <c r="AW505" s="17"/>
      <c r="AX505" s="17">
        <f t="shared" si="217"/>
        <v>496</v>
      </c>
      <c r="AY505" s="17">
        <f t="shared" si="216"/>
        <v>49.6</v>
      </c>
      <c r="AZ505" s="17">
        <v>65.404112256123341</v>
      </c>
      <c r="BA505" s="17"/>
      <c r="BB505" s="17">
        <v>36</v>
      </c>
      <c r="BC505" s="17"/>
      <c r="BD505" s="17"/>
      <c r="BE505" s="17"/>
      <c r="BF505" s="17"/>
      <c r="BG505" s="17"/>
      <c r="BH505" s="17"/>
      <c r="BI505" s="17"/>
      <c r="BJ505" s="17"/>
      <c r="BK505" s="17"/>
      <c r="BL505" s="17"/>
      <c r="BM505" s="17"/>
      <c r="BN505" s="17"/>
      <c r="BO505" s="17"/>
      <c r="BP505" s="17"/>
      <c r="BQ505" s="17"/>
      <c r="BR505" s="17"/>
      <c r="BS505" s="17"/>
      <c r="BT505" s="17"/>
      <c r="BU505" s="17"/>
      <c r="BV505" s="17"/>
      <c r="BW505" s="17"/>
      <c r="BX505" s="17"/>
      <c r="BY505" s="17"/>
      <c r="BZ505" s="17"/>
      <c r="CA505" s="17"/>
      <c r="CB505" s="17"/>
      <c r="CC505" s="17"/>
      <c r="CD505" s="17"/>
      <c r="CE505" s="17"/>
      <c r="CF505" s="17"/>
      <c r="CG505" s="17"/>
      <c r="CH505" s="17"/>
    </row>
    <row r="506" spans="8:86" x14ac:dyDescent="0.15">
      <c r="H506" s="3">
        <f t="shared" si="211"/>
        <v>0.49400000000000038</v>
      </c>
      <c r="I506" s="3">
        <f t="shared" si="212"/>
        <v>360</v>
      </c>
      <c r="J506" s="14">
        <f t="shared" si="213"/>
        <v>500</v>
      </c>
      <c r="K506" s="3">
        <f t="shared" si="203"/>
        <v>0</v>
      </c>
      <c r="L506" s="3">
        <f t="shared" si="199"/>
        <v>500</v>
      </c>
      <c r="M506" s="15">
        <f t="shared" si="214"/>
        <v>7.0000000000000007E-2</v>
      </c>
      <c r="N506" s="3">
        <f t="shared" si="215"/>
        <v>63.404556368548505</v>
      </c>
      <c r="O506" s="3">
        <f t="shared" si="200"/>
        <v>63.404556368548505</v>
      </c>
      <c r="P506" s="3">
        <f t="shared" si="204"/>
        <v>68.176942331772594</v>
      </c>
      <c r="Q506" s="3">
        <f t="shared" si="205"/>
        <v>21.089328517510154</v>
      </c>
      <c r="R506" s="3">
        <f t="shared" si="206"/>
        <v>44.633135424641374</v>
      </c>
      <c r="S506" s="3">
        <f t="shared" si="201"/>
        <v>1</v>
      </c>
      <c r="T506" s="3">
        <f t="shared" si="207"/>
        <v>23543.80690713122</v>
      </c>
      <c r="U506" s="3">
        <f t="shared" si="208"/>
        <v>0.5</v>
      </c>
      <c r="V506" s="3">
        <f t="shared" si="209"/>
        <v>0</v>
      </c>
      <c r="W506" s="3">
        <f t="shared" si="210"/>
        <v>22825.640292677461</v>
      </c>
      <c r="X506" s="3">
        <f t="shared" si="202"/>
        <v>10544.664258755078</v>
      </c>
      <c r="AI506" s="3"/>
      <c r="AJ506" s="3"/>
      <c r="AK506" s="15">
        <f t="shared" si="193"/>
        <v>2</v>
      </c>
      <c r="AL506" s="11">
        <f t="shared" si="197"/>
        <v>2982</v>
      </c>
      <c r="AM506" s="11" t="b">
        <f t="shared" si="192"/>
        <v>0</v>
      </c>
      <c r="AN506" s="11">
        <f t="shared" si="194"/>
        <v>36000</v>
      </c>
      <c r="AO506" s="11">
        <f t="shared" si="195"/>
        <v>0</v>
      </c>
      <c r="AP506" s="11">
        <f t="shared" si="196"/>
        <v>0.65514343737604819</v>
      </c>
      <c r="AQ506" s="11">
        <f t="shared" si="198"/>
        <v>0</v>
      </c>
      <c r="AT506" s="3"/>
      <c r="AU506" s="17"/>
      <c r="AV506" s="19"/>
      <c r="AW506" s="17"/>
      <c r="AX506" s="17">
        <f t="shared" si="217"/>
        <v>497</v>
      </c>
      <c r="AY506" s="17">
        <f t="shared" si="216"/>
        <v>49.7</v>
      </c>
      <c r="AZ506" s="17">
        <v>65.514343737604818</v>
      </c>
      <c r="BA506" s="17"/>
      <c r="BB506" s="17">
        <v>36</v>
      </c>
      <c r="BC506" s="17"/>
      <c r="BD506" s="17"/>
      <c r="BE506" s="17"/>
      <c r="BF506" s="17"/>
      <c r="BG506" s="17"/>
      <c r="BH506" s="17"/>
      <c r="BI506" s="17"/>
      <c r="BJ506" s="17"/>
      <c r="BK506" s="17"/>
      <c r="BL506" s="17"/>
      <c r="BM506" s="17"/>
      <c r="BN506" s="17"/>
      <c r="BO506" s="17"/>
      <c r="BP506" s="17"/>
      <c r="BQ506" s="17"/>
      <c r="BR506" s="17"/>
      <c r="BS506" s="17"/>
      <c r="BT506" s="17"/>
      <c r="BU506" s="17"/>
      <c r="BV506" s="17"/>
      <c r="BW506" s="17"/>
      <c r="BX506" s="17"/>
      <c r="BY506" s="17"/>
      <c r="BZ506" s="17"/>
      <c r="CA506" s="17"/>
      <c r="CB506" s="17"/>
      <c r="CC506" s="17"/>
      <c r="CD506" s="17"/>
      <c r="CE506" s="17"/>
      <c r="CF506" s="17"/>
      <c r="CG506" s="17"/>
      <c r="CH506" s="17"/>
    </row>
    <row r="507" spans="8:86" x14ac:dyDescent="0.15">
      <c r="H507" s="3">
        <f t="shared" si="211"/>
        <v>0.49500000000000038</v>
      </c>
      <c r="I507" s="3">
        <f t="shared" si="212"/>
        <v>360</v>
      </c>
      <c r="J507" s="14">
        <f t="shared" si="213"/>
        <v>500</v>
      </c>
      <c r="K507" s="3">
        <f t="shared" si="203"/>
        <v>0</v>
      </c>
      <c r="L507" s="3">
        <f t="shared" si="199"/>
        <v>500</v>
      </c>
      <c r="M507" s="15">
        <f t="shared" si="214"/>
        <v>7.0000000000000007E-2</v>
      </c>
      <c r="N507" s="3">
        <f t="shared" si="215"/>
        <v>63.33915690491758</v>
      </c>
      <c r="O507" s="3">
        <f t="shared" si="200"/>
        <v>63.33915690491758</v>
      </c>
      <c r="P507" s="3">
        <f t="shared" si="204"/>
        <v>68.10662032786837</v>
      </c>
      <c r="Q507" s="3">
        <f t="shared" si="205"/>
        <v>21.042240903695891</v>
      </c>
      <c r="R507" s="3">
        <f t="shared" si="206"/>
        <v>44.574430615782134</v>
      </c>
      <c r="S507" s="3">
        <f t="shared" si="201"/>
        <v>1</v>
      </c>
      <c r="T507" s="3">
        <f t="shared" si="207"/>
        <v>23532.189712086241</v>
      </c>
      <c r="U507" s="3">
        <f t="shared" si="208"/>
        <v>0.5</v>
      </c>
      <c r="V507" s="3">
        <f t="shared" si="209"/>
        <v>0</v>
      </c>
      <c r="W507" s="3">
        <f t="shared" si="210"/>
        <v>22802.096485770329</v>
      </c>
      <c r="X507" s="3">
        <f t="shared" si="202"/>
        <v>10521.120451847946</v>
      </c>
      <c r="AI507" s="3"/>
      <c r="AJ507" s="3"/>
      <c r="AK507" s="15">
        <f t="shared" si="193"/>
        <v>2</v>
      </c>
      <c r="AL507" s="11">
        <f t="shared" si="197"/>
        <v>2988</v>
      </c>
      <c r="AM507" s="11" t="b">
        <f t="shared" si="192"/>
        <v>0</v>
      </c>
      <c r="AN507" s="11">
        <f t="shared" si="194"/>
        <v>36000</v>
      </c>
      <c r="AO507" s="11">
        <f t="shared" si="195"/>
        <v>0</v>
      </c>
      <c r="AP507" s="11">
        <f t="shared" si="196"/>
        <v>0.65624575219086301</v>
      </c>
      <c r="AQ507" s="11">
        <f t="shared" si="198"/>
        <v>0</v>
      </c>
      <c r="AT507" s="3"/>
      <c r="AU507" s="17"/>
      <c r="AV507" s="19"/>
      <c r="AW507" s="17"/>
      <c r="AX507" s="17">
        <f t="shared" si="217"/>
        <v>498</v>
      </c>
      <c r="AY507" s="17">
        <f t="shared" si="216"/>
        <v>49.8</v>
      </c>
      <c r="AZ507" s="17">
        <v>65.624575219086296</v>
      </c>
      <c r="BA507" s="17"/>
      <c r="BB507" s="17">
        <v>36</v>
      </c>
      <c r="BC507" s="17"/>
      <c r="BD507" s="17"/>
      <c r="BE507" s="17"/>
      <c r="BF507" s="17"/>
      <c r="BG507" s="17"/>
      <c r="BH507" s="17"/>
      <c r="BI507" s="17"/>
      <c r="BJ507" s="17"/>
      <c r="BK507" s="17"/>
      <c r="BL507" s="17"/>
      <c r="BM507" s="17"/>
      <c r="BN507" s="17"/>
      <c r="BO507" s="17"/>
      <c r="BP507" s="17"/>
      <c r="BQ507" s="17"/>
      <c r="BR507" s="17"/>
      <c r="BS507" s="17"/>
      <c r="BT507" s="17"/>
      <c r="BU507" s="17"/>
      <c r="BV507" s="17"/>
      <c r="BW507" s="17"/>
      <c r="BX507" s="17"/>
      <c r="BY507" s="17"/>
      <c r="BZ507" s="17"/>
      <c r="CA507" s="17"/>
      <c r="CB507" s="17"/>
      <c r="CC507" s="17"/>
      <c r="CD507" s="17"/>
      <c r="CE507" s="17"/>
      <c r="CF507" s="17"/>
      <c r="CG507" s="17"/>
      <c r="CH507" s="17"/>
    </row>
    <row r="508" spans="8:86" x14ac:dyDescent="0.15">
      <c r="H508" s="3">
        <f t="shared" si="211"/>
        <v>0.49600000000000039</v>
      </c>
      <c r="I508" s="3">
        <f t="shared" si="212"/>
        <v>360</v>
      </c>
      <c r="J508" s="14">
        <f t="shared" si="213"/>
        <v>500</v>
      </c>
      <c r="K508" s="3">
        <f t="shared" si="203"/>
        <v>0</v>
      </c>
      <c r="L508" s="3">
        <f t="shared" si="199"/>
        <v>500</v>
      </c>
      <c r="M508" s="15">
        <f t="shared" si="214"/>
        <v>7.0000000000000007E-2</v>
      </c>
      <c r="N508" s="3">
        <f t="shared" si="215"/>
        <v>63.273789711272904</v>
      </c>
      <c r="O508" s="3">
        <f t="shared" si="200"/>
        <v>63.273789711272904</v>
      </c>
      <c r="P508" s="3">
        <f t="shared" si="204"/>
        <v>68.036333022874089</v>
      </c>
      <c r="Q508" s="3">
        <f t="shared" si="205"/>
        <v>20.99517652427172</v>
      </c>
      <c r="R508" s="3">
        <f t="shared" si="206"/>
        <v>44.515754773572908</v>
      </c>
      <c r="S508" s="3">
        <f t="shared" si="201"/>
        <v>1</v>
      </c>
      <c r="T508" s="3">
        <f t="shared" si="207"/>
        <v>23520.578249301183</v>
      </c>
      <c r="U508" s="3">
        <f t="shared" si="208"/>
        <v>0.5</v>
      </c>
      <c r="V508" s="3">
        <f t="shared" si="209"/>
        <v>0</v>
      </c>
      <c r="W508" s="3">
        <f t="shared" si="210"/>
        <v>22778.564296058245</v>
      </c>
      <c r="X508" s="3">
        <f t="shared" si="202"/>
        <v>10497.58826213586</v>
      </c>
      <c r="AI508" s="3"/>
      <c r="AJ508" s="3"/>
      <c r="AK508" s="15">
        <f t="shared" si="193"/>
        <v>2</v>
      </c>
      <c r="AL508" s="11">
        <f t="shared" si="197"/>
        <v>2994</v>
      </c>
      <c r="AM508" s="11" t="b">
        <f t="shared" si="192"/>
        <v>0</v>
      </c>
      <c r="AN508" s="11">
        <f t="shared" si="194"/>
        <v>36000</v>
      </c>
      <c r="AO508" s="11">
        <f t="shared" si="195"/>
        <v>0</v>
      </c>
      <c r="AP508" s="11">
        <f t="shared" si="196"/>
        <v>0.65734806700567783</v>
      </c>
      <c r="AQ508" s="11">
        <f t="shared" si="198"/>
        <v>0</v>
      </c>
      <c r="AT508" s="3"/>
      <c r="AU508" s="17"/>
      <c r="AV508" s="19"/>
      <c r="AW508" s="17"/>
      <c r="AX508" s="17">
        <f t="shared" si="217"/>
        <v>499</v>
      </c>
      <c r="AY508" s="17">
        <f t="shared" si="216"/>
        <v>49.9</v>
      </c>
      <c r="AZ508" s="17">
        <v>65.734806700567788</v>
      </c>
      <c r="BA508" s="17"/>
      <c r="BB508" s="17">
        <v>36</v>
      </c>
      <c r="BC508" s="17"/>
      <c r="BD508" s="17"/>
      <c r="BE508" s="17"/>
      <c r="BF508" s="17"/>
      <c r="BG508" s="17"/>
      <c r="BH508" s="17"/>
      <c r="BI508" s="17"/>
      <c r="BJ508" s="17"/>
      <c r="BK508" s="17"/>
      <c r="BL508" s="17"/>
      <c r="BM508" s="17"/>
      <c r="BN508" s="17"/>
      <c r="BO508" s="17"/>
      <c r="BP508" s="17"/>
      <c r="BQ508" s="17"/>
      <c r="BR508" s="17"/>
      <c r="BS508" s="17"/>
      <c r="BT508" s="17"/>
      <c r="BU508" s="17"/>
      <c r="BV508" s="17"/>
      <c r="BW508" s="17"/>
      <c r="BX508" s="17"/>
      <c r="BY508" s="17"/>
      <c r="BZ508" s="17"/>
      <c r="CA508" s="17"/>
      <c r="CB508" s="17"/>
      <c r="CC508" s="17"/>
      <c r="CD508" s="17"/>
      <c r="CE508" s="17"/>
      <c r="CF508" s="17"/>
      <c r="CG508" s="17"/>
      <c r="CH508" s="17"/>
    </row>
    <row r="509" spans="8:86" x14ac:dyDescent="0.15">
      <c r="H509" s="3">
        <f t="shared" si="211"/>
        <v>0.49700000000000039</v>
      </c>
      <c r="I509" s="3">
        <f t="shared" si="212"/>
        <v>360</v>
      </c>
      <c r="J509" s="14">
        <f t="shared" si="213"/>
        <v>500</v>
      </c>
      <c r="K509" s="3">
        <f t="shared" si="203"/>
        <v>0</v>
      </c>
      <c r="L509" s="3">
        <f t="shared" si="199"/>
        <v>500</v>
      </c>
      <c r="M509" s="15">
        <f t="shared" si="214"/>
        <v>7.0000000000000007E-2</v>
      </c>
      <c r="N509" s="3">
        <f t="shared" si="215"/>
        <v>63.208454771691514</v>
      </c>
      <c r="O509" s="3">
        <f t="shared" si="200"/>
        <v>63.208454771691514</v>
      </c>
      <c r="P509" s="3">
        <f t="shared" si="204"/>
        <v>67.9660803996683</v>
      </c>
      <c r="Q509" s="3">
        <f t="shared" si="205"/>
        <v>20.948135367773116</v>
      </c>
      <c r="R509" s="3">
        <f t="shared" si="206"/>
        <v>44.45710788372071</v>
      </c>
      <c r="S509" s="3">
        <f t="shared" si="201"/>
        <v>1</v>
      </c>
      <c r="T509" s="3">
        <f t="shared" si="207"/>
        <v>23508.972515947589</v>
      </c>
      <c r="U509" s="3">
        <f t="shared" si="208"/>
        <v>0.5</v>
      </c>
      <c r="V509" s="3">
        <f t="shared" si="209"/>
        <v>0</v>
      </c>
      <c r="W509" s="3">
        <f t="shared" si="210"/>
        <v>22755.043717808945</v>
      </c>
      <c r="X509" s="3">
        <f t="shared" si="202"/>
        <v>10474.067683886558</v>
      </c>
      <c r="AI509" s="3"/>
      <c r="AJ509" s="3"/>
      <c r="AK509" s="15">
        <f t="shared" si="193"/>
        <v>2</v>
      </c>
      <c r="AL509" s="11">
        <f t="shared" si="197"/>
        <v>3000</v>
      </c>
      <c r="AM509" s="11" t="b">
        <f t="shared" si="192"/>
        <v>0</v>
      </c>
      <c r="AN509" s="11">
        <f t="shared" si="194"/>
        <v>36000</v>
      </c>
      <c r="AO509" s="11">
        <f t="shared" si="195"/>
        <v>0</v>
      </c>
      <c r="AP509" s="11">
        <f t="shared" si="196"/>
        <v>0.65845038182049276</v>
      </c>
      <c r="AQ509" s="11">
        <f t="shared" si="198"/>
        <v>0</v>
      </c>
      <c r="AT509" s="3"/>
      <c r="AU509" s="17"/>
      <c r="AV509" s="19"/>
      <c r="AW509" s="17"/>
      <c r="AX509" s="17">
        <f t="shared" si="217"/>
        <v>500</v>
      </c>
      <c r="AY509" s="17">
        <f t="shared" si="216"/>
        <v>50</v>
      </c>
      <c r="AZ509" s="17">
        <v>65.845038182049279</v>
      </c>
      <c r="BA509" s="17"/>
      <c r="BB509" s="17">
        <v>36</v>
      </c>
      <c r="BC509" s="17"/>
      <c r="BD509" s="17"/>
      <c r="BE509" s="17"/>
      <c r="BF509" s="17"/>
      <c r="BG509" s="17"/>
      <c r="BH509" s="17"/>
      <c r="BI509" s="17"/>
      <c r="BJ509" s="17"/>
      <c r="BK509" s="17"/>
      <c r="BL509" s="17"/>
      <c r="BM509" s="17"/>
      <c r="BN509" s="17"/>
      <c r="BO509" s="17"/>
      <c r="BP509" s="17"/>
      <c r="BQ509" s="17"/>
      <c r="BR509" s="17"/>
      <c r="BS509" s="17"/>
      <c r="BT509" s="17"/>
      <c r="BU509" s="17"/>
      <c r="BV509" s="17"/>
      <c r="BW509" s="17"/>
      <c r="BX509" s="17"/>
      <c r="BY509" s="17"/>
      <c r="BZ509" s="17"/>
      <c r="CA509" s="17"/>
      <c r="CB509" s="17"/>
      <c r="CC509" s="17"/>
      <c r="CD509" s="17"/>
      <c r="CE509" s="17"/>
      <c r="CF509" s="17"/>
      <c r="CG509" s="17"/>
      <c r="CH509" s="17"/>
    </row>
    <row r="510" spans="8:86" x14ac:dyDescent="0.15">
      <c r="H510" s="3">
        <f t="shared" si="211"/>
        <v>0.49800000000000039</v>
      </c>
      <c r="I510" s="3">
        <f t="shared" si="212"/>
        <v>360</v>
      </c>
      <c r="J510" s="14">
        <f t="shared" si="213"/>
        <v>500</v>
      </c>
      <c r="K510" s="3">
        <f t="shared" si="203"/>
        <v>0</v>
      </c>
      <c r="L510" s="3">
        <f t="shared" si="199"/>
        <v>500</v>
      </c>
      <c r="M510" s="15">
        <f t="shared" si="214"/>
        <v>7.0000000000000007E-2</v>
      </c>
      <c r="N510" s="3">
        <f t="shared" si="215"/>
        <v>63.143152070258324</v>
      </c>
      <c r="O510" s="3">
        <f t="shared" si="200"/>
        <v>63.143152070258324</v>
      </c>
      <c r="P510" s="3">
        <f t="shared" si="204"/>
        <v>67.895862441137993</v>
      </c>
      <c r="Q510" s="3">
        <f t="shared" si="205"/>
        <v>20.901117422741223</v>
      </c>
      <c r="R510" s="3">
        <f t="shared" si="206"/>
        <v>44.398489931939608</v>
      </c>
      <c r="S510" s="3">
        <f t="shared" si="201"/>
        <v>1</v>
      </c>
      <c r="T510" s="3">
        <f t="shared" si="207"/>
        <v>23497.372509198387</v>
      </c>
      <c r="U510" s="3">
        <f t="shared" si="208"/>
        <v>0.5</v>
      </c>
      <c r="V510" s="3">
        <f t="shared" si="209"/>
        <v>0</v>
      </c>
      <c r="W510" s="3">
        <f t="shared" si="210"/>
        <v>22731.534745292996</v>
      </c>
      <c r="X510" s="3">
        <f t="shared" si="202"/>
        <v>10450.558711370611</v>
      </c>
      <c r="AI510" s="3"/>
      <c r="AJ510" s="3"/>
      <c r="AK510" s="15">
        <f t="shared" si="193"/>
        <v>2</v>
      </c>
      <c r="AL510" s="11">
        <f t="shared" si="197"/>
        <v>3006</v>
      </c>
      <c r="AM510" s="11" t="b">
        <f t="shared" si="192"/>
        <v>0</v>
      </c>
      <c r="AN510" s="11">
        <f t="shared" si="194"/>
        <v>36000</v>
      </c>
      <c r="AO510" s="11">
        <f t="shared" si="195"/>
        <v>0</v>
      </c>
      <c r="AP510" s="11">
        <f t="shared" si="196"/>
        <v>0.65955269663530758</v>
      </c>
      <c r="AQ510" s="11">
        <f t="shared" si="198"/>
        <v>0</v>
      </c>
      <c r="AT510" s="3"/>
      <c r="AU510" s="17"/>
      <c r="AV510" s="19"/>
      <c r="AW510" s="17"/>
      <c r="AX510" s="17">
        <f t="shared" si="217"/>
        <v>501</v>
      </c>
      <c r="AY510" s="17">
        <f t="shared" si="216"/>
        <v>50.1</v>
      </c>
      <c r="AZ510" s="17">
        <v>65.955269663530757</v>
      </c>
      <c r="BA510" s="17"/>
      <c r="BB510" s="17">
        <v>36</v>
      </c>
      <c r="BC510" s="17"/>
      <c r="BD510" s="17"/>
      <c r="BE510" s="17"/>
      <c r="BF510" s="17"/>
      <c r="BG510" s="17"/>
      <c r="BH510" s="17"/>
      <c r="BI510" s="17"/>
      <c r="BJ510" s="17"/>
      <c r="BK510" s="17"/>
      <c r="BL510" s="17"/>
      <c r="BM510" s="17"/>
      <c r="BN510" s="17"/>
      <c r="BO510" s="17"/>
      <c r="BP510" s="17"/>
      <c r="BQ510" s="17"/>
      <c r="BR510" s="17"/>
      <c r="BS510" s="17"/>
      <c r="BT510" s="17"/>
      <c r="BU510" s="17"/>
      <c r="BV510" s="17"/>
      <c r="BW510" s="17"/>
      <c r="BX510" s="17"/>
      <c r="BY510" s="17"/>
      <c r="BZ510" s="17"/>
      <c r="CA510" s="17"/>
      <c r="CB510" s="17"/>
      <c r="CC510" s="17"/>
      <c r="CD510" s="17"/>
      <c r="CE510" s="17"/>
      <c r="CF510" s="17"/>
      <c r="CG510" s="17"/>
      <c r="CH510" s="17"/>
    </row>
    <row r="511" spans="8:86" x14ac:dyDescent="0.15">
      <c r="H511" s="3">
        <f t="shared" si="211"/>
        <v>0.49900000000000039</v>
      </c>
      <c r="I511" s="3">
        <f t="shared" si="212"/>
        <v>360</v>
      </c>
      <c r="J511" s="14">
        <f t="shared" si="213"/>
        <v>500</v>
      </c>
      <c r="K511" s="3">
        <f t="shared" si="203"/>
        <v>0</v>
      </c>
      <c r="L511" s="3">
        <f t="shared" si="199"/>
        <v>500</v>
      </c>
      <c r="M511" s="15">
        <f t="shared" si="214"/>
        <v>7.0000000000000007E-2</v>
      </c>
      <c r="N511" s="3">
        <f t="shared" si="215"/>
        <v>63.077881591066102</v>
      </c>
      <c r="O511" s="3">
        <f t="shared" si="200"/>
        <v>63.077881591066102</v>
      </c>
      <c r="P511" s="3">
        <f t="shared" si="204"/>
        <v>67.825679130178614</v>
      </c>
      <c r="Q511" s="3">
        <f t="shared" si="205"/>
        <v>20.854122677722827</v>
      </c>
      <c r="R511" s="3">
        <f t="shared" si="206"/>
        <v>44.339900903950721</v>
      </c>
      <c r="S511" s="3">
        <f t="shared" si="201"/>
        <v>1</v>
      </c>
      <c r="T511" s="3">
        <f t="shared" si="207"/>
        <v>23485.778226227892</v>
      </c>
      <c r="U511" s="3">
        <f t="shared" si="208"/>
        <v>0.5</v>
      </c>
      <c r="V511" s="3">
        <f t="shared" si="209"/>
        <v>0</v>
      </c>
      <c r="W511" s="3">
        <f t="shared" si="210"/>
        <v>22708.037372783798</v>
      </c>
      <c r="X511" s="3">
        <f t="shared" si="202"/>
        <v>10427.061338861413</v>
      </c>
      <c r="AI511" s="3"/>
      <c r="AJ511" s="3"/>
      <c r="AK511" s="15">
        <f t="shared" si="193"/>
        <v>2</v>
      </c>
      <c r="AL511" s="11">
        <f t="shared" si="197"/>
        <v>3012</v>
      </c>
      <c r="AM511" s="11" t="b">
        <f t="shared" si="192"/>
        <v>0</v>
      </c>
      <c r="AN511" s="11">
        <f t="shared" si="194"/>
        <v>36000</v>
      </c>
      <c r="AO511" s="11">
        <f t="shared" si="195"/>
        <v>0</v>
      </c>
      <c r="AP511" s="11">
        <f t="shared" si="196"/>
        <v>0.6606550114501224</v>
      </c>
      <c r="AQ511" s="11">
        <f t="shared" si="198"/>
        <v>0</v>
      </c>
      <c r="AT511" s="3"/>
      <c r="AU511" s="17"/>
      <c r="AV511" s="19"/>
      <c r="AW511" s="17"/>
      <c r="AX511" s="17">
        <f t="shared" si="217"/>
        <v>502</v>
      </c>
      <c r="AY511" s="17">
        <f t="shared" si="216"/>
        <v>50.2</v>
      </c>
      <c r="AZ511" s="17">
        <v>66.065501145012234</v>
      </c>
      <c r="BA511" s="17"/>
      <c r="BB511" s="17">
        <v>36</v>
      </c>
      <c r="BC511" s="17"/>
      <c r="BD511" s="17"/>
      <c r="BE511" s="17"/>
      <c r="BF511" s="17"/>
      <c r="BG511" s="17"/>
      <c r="BH511" s="17"/>
      <c r="BI511" s="17"/>
      <c r="BJ511" s="17"/>
      <c r="BK511" s="17"/>
      <c r="BL511" s="17"/>
      <c r="BM511" s="17"/>
      <c r="BN511" s="17"/>
      <c r="BO511" s="17"/>
      <c r="BP511" s="17"/>
      <c r="BQ511" s="17"/>
      <c r="BR511" s="17"/>
      <c r="BS511" s="17"/>
      <c r="BT511" s="17"/>
      <c r="BU511" s="17"/>
      <c r="BV511" s="17"/>
      <c r="BW511" s="17"/>
      <c r="BX511" s="17"/>
      <c r="BY511" s="17"/>
      <c r="BZ511" s="17"/>
      <c r="CA511" s="17"/>
      <c r="CB511" s="17"/>
      <c r="CC511" s="17"/>
      <c r="CD511" s="17"/>
      <c r="CE511" s="17"/>
      <c r="CF511" s="17"/>
      <c r="CG511" s="17"/>
      <c r="CH511" s="17"/>
    </row>
    <row r="512" spans="8:86" x14ac:dyDescent="0.15">
      <c r="H512" s="3">
        <f t="shared" si="211"/>
        <v>0.50000000000000033</v>
      </c>
      <c r="I512" s="3">
        <f t="shared" si="212"/>
        <v>360</v>
      </c>
      <c r="J512" s="14">
        <f t="shared" si="213"/>
        <v>500</v>
      </c>
      <c r="K512" s="3">
        <f t="shared" si="203"/>
        <v>0</v>
      </c>
      <c r="L512" s="3">
        <f t="shared" si="199"/>
        <v>500</v>
      </c>
      <c r="M512" s="15">
        <f t="shared" si="214"/>
        <v>7.0000000000000007E-2</v>
      </c>
      <c r="N512" s="3">
        <f t="shared" si="215"/>
        <v>63.012643318215474</v>
      </c>
      <c r="O512" s="3">
        <f t="shared" si="200"/>
        <v>63.012643318215474</v>
      </c>
      <c r="P512" s="3">
        <f t="shared" si="204"/>
        <v>67.755530449694064</v>
      </c>
      <c r="Q512" s="3">
        <f t="shared" si="205"/>
        <v>20.807151121270369</v>
      </c>
      <c r="R512" s="3">
        <f t="shared" si="206"/>
        <v>44.281340785482215</v>
      </c>
      <c r="S512" s="3">
        <f t="shared" si="201"/>
        <v>1</v>
      </c>
      <c r="T512" s="3">
        <f t="shared" si="207"/>
        <v>23474.189664211848</v>
      </c>
      <c r="U512" s="3">
        <f t="shared" si="208"/>
        <v>0.5</v>
      </c>
      <c r="V512" s="3">
        <f t="shared" si="209"/>
        <v>0</v>
      </c>
      <c r="W512" s="3">
        <f t="shared" si="210"/>
        <v>22684.551594557572</v>
      </c>
      <c r="X512" s="3">
        <f t="shared" si="202"/>
        <v>10403.575560635185</v>
      </c>
      <c r="AI512" s="3"/>
      <c r="AJ512" s="3"/>
      <c r="AK512" s="15">
        <f t="shared" si="193"/>
        <v>2</v>
      </c>
      <c r="AL512" s="11">
        <f t="shared" si="197"/>
        <v>3018</v>
      </c>
      <c r="AM512" s="11" t="b">
        <f t="shared" si="192"/>
        <v>0</v>
      </c>
      <c r="AN512" s="11">
        <f t="shared" si="194"/>
        <v>36000</v>
      </c>
      <c r="AO512" s="11">
        <f t="shared" si="195"/>
        <v>0</v>
      </c>
      <c r="AP512" s="11">
        <f t="shared" si="196"/>
        <v>0.66175732626493722</v>
      </c>
      <c r="AQ512" s="11">
        <f t="shared" si="198"/>
        <v>0</v>
      </c>
      <c r="AT512" s="3"/>
      <c r="AU512" s="17"/>
      <c r="AV512" s="19"/>
      <c r="AW512" s="17"/>
      <c r="AX512" s="17">
        <f t="shared" si="217"/>
        <v>503</v>
      </c>
      <c r="AY512" s="17">
        <f t="shared" si="216"/>
        <v>50.3</v>
      </c>
      <c r="AZ512" s="17">
        <v>66.175732626493726</v>
      </c>
      <c r="BA512" s="17"/>
      <c r="BB512" s="17">
        <v>36</v>
      </c>
      <c r="BC512" s="17"/>
      <c r="BD512" s="17"/>
      <c r="BE512" s="17"/>
      <c r="BF512" s="17"/>
      <c r="BG512" s="17"/>
      <c r="BH512" s="17"/>
      <c r="BI512" s="17"/>
      <c r="BJ512" s="17"/>
      <c r="BK512" s="17"/>
      <c r="BL512" s="17"/>
      <c r="BM512" s="17"/>
      <c r="BN512" s="17"/>
      <c r="BO512" s="17"/>
      <c r="BP512" s="17"/>
      <c r="BQ512" s="17"/>
      <c r="BR512" s="17"/>
      <c r="BS512" s="17"/>
      <c r="BT512" s="17"/>
      <c r="BU512" s="17"/>
      <c r="BV512" s="17"/>
      <c r="BW512" s="17"/>
      <c r="BX512" s="17"/>
      <c r="BY512" s="17"/>
      <c r="BZ512" s="17"/>
      <c r="CA512" s="17"/>
      <c r="CB512" s="17"/>
      <c r="CC512" s="17"/>
      <c r="CD512" s="17"/>
      <c r="CE512" s="17"/>
      <c r="CF512" s="17"/>
      <c r="CG512" s="17"/>
      <c r="CH512" s="17"/>
    </row>
    <row r="513" spans="8:86" x14ac:dyDescent="0.15">
      <c r="H513" s="3">
        <f t="shared" si="211"/>
        <v>0.50100000000000033</v>
      </c>
      <c r="I513" s="3">
        <f t="shared" si="212"/>
        <v>360</v>
      </c>
      <c r="J513" s="14">
        <f t="shared" si="213"/>
        <v>500</v>
      </c>
      <c r="K513" s="3">
        <f t="shared" si="203"/>
        <v>0</v>
      </c>
      <c r="L513" s="3">
        <f t="shared" si="199"/>
        <v>500</v>
      </c>
      <c r="M513" s="15">
        <f t="shared" si="214"/>
        <v>7.0000000000000007E-2</v>
      </c>
      <c r="N513" s="3">
        <f t="shared" si="215"/>
        <v>62.947437235814888</v>
      </c>
      <c r="O513" s="3">
        <f t="shared" si="200"/>
        <v>62.947437235814888</v>
      </c>
      <c r="P513" s="3">
        <f t="shared" si="204"/>
        <v>67.685416382596657</v>
      </c>
      <c r="Q513" s="3">
        <f t="shared" si="205"/>
        <v>20.760202741941946</v>
      </c>
      <c r="R513" s="3">
        <f t="shared" si="206"/>
        <v>44.222809562269305</v>
      </c>
      <c r="S513" s="3">
        <f t="shared" si="201"/>
        <v>1</v>
      </c>
      <c r="T513" s="3">
        <f t="shared" si="207"/>
        <v>23462.606820327357</v>
      </c>
      <c r="U513" s="3">
        <f t="shared" si="208"/>
        <v>0.5</v>
      </c>
      <c r="V513" s="3">
        <f t="shared" si="209"/>
        <v>0</v>
      </c>
      <c r="W513" s="3">
        <f t="shared" si="210"/>
        <v>22661.07740489336</v>
      </c>
      <c r="X513" s="3">
        <f t="shared" si="202"/>
        <v>10380.101370970973</v>
      </c>
      <c r="AI513" s="3"/>
      <c r="AJ513" s="3"/>
      <c r="AK513" s="15">
        <f t="shared" si="193"/>
        <v>2</v>
      </c>
      <c r="AL513" s="11">
        <f t="shared" si="197"/>
        <v>3024</v>
      </c>
      <c r="AM513" s="11" t="b">
        <f t="shared" si="192"/>
        <v>0</v>
      </c>
      <c r="AN513" s="11">
        <f t="shared" si="194"/>
        <v>36000</v>
      </c>
      <c r="AO513" s="11">
        <f t="shared" si="195"/>
        <v>0</v>
      </c>
      <c r="AP513" s="11">
        <f t="shared" si="196"/>
        <v>0.66285964107975204</v>
      </c>
      <c r="AQ513" s="11">
        <f t="shared" si="198"/>
        <v>0</v>
      </c>
      <c r="AT513" s="3"/>
      <c r="AU513" s="17"/>
      <c r="AV513" s="19"/>
      <c r="AW513" s="17"/>
      <c r="AX513" s="17">
        <f t="shared" si="217"/>
        <v>504</v>
      </c>
      <c r="AY513" s="17">
        <f t="shared" si="216"/>
        <v>50.4</v>
      </c>
      <c r="AZ513" s="17">
        <v>66.285964107975204</v>
      </c>
      <c r="BA513" s="17"/>
      <c r="BB513" s="17">
        <v>36</v>
      </c>
      <c r="BC513" s="17"/>
      <c r="BD513" s="17"/>
      <c r="BE513" s="17"/>
      <c r="BF513" s="17"/>
      <c r="BG513" s="17"/>
      <c r="BH513" s="17"/>
      <c r="BI513" s="17"/>
      <c r="BJ513" s="17"/>
      <c r="BK513" s="17"/>
      <c r="BL513" s="17"/>
      <c r="BM513" s="17"/>
      <c r="BN513" s="17"/>
      <c r="BO513" s="17"/>
      <c r="BP513" s="17"/>
      <c r="BQ513" s="17"/>
      <c r="BR513" s="17"/>
      <c r="BS513" s="17"/>
      <c r="BT513" s="17"/>
      <c r="BU513" s="17"/>
      <c r="BV513" s="17"/>
      <c r="BW513" s="17"/>
      <c r="BX513" s="17"/>
      <c r="BY513" s="17"/>
      <c r="BZ513" s="17"/>
      <c r="CA513" s="17"/>
      <c r="CB513" s="17"/>
      <c r="CC513" s="17"/>
      <c r="CD513" s="17"/>
      <c r="CE513" s="17"/>
      <c r="CF513" s="17"/>
      <c r="CG513" s="17"/>
      <c r="CH513" s="17"/>
    </row>
    <row r="514" spans="8:86" x14ac:dyDescent="0.15">
      <c r="H514" s="3">
        <f t="shared" si="211"/>
        <v>0.50200000000000033</v>
      </c>
      <c r="I514" s="3">
        <f t="shared" si="212"/>
        <v>360</v>
      </c>
      <c r="J514" s="14">
        <f t="shared" si="213"/>
        <v>500</v>
      </c>
      <c r="K514" s="3">
        <f t="shared" si="203"/>
        <v>0</v>
      </c>
      <c r="L514" s="3">
        <f t="shared" si="199"/>
        <v>500</v>
      </c>
      <c r="M514" s="15">
        <f t="shared" si="214"/>
        <v>7.0000000000000007E-2</v>
      </c>
      <c r="N514" s="3">
        <f t="shared" si="215"/>
        <v>62.882263327980645</v>
      </c>
      <c r="O514" s="3">
        <f t="shared" si="200"/>
        <v>62.882263327980645</v>
      </c>
      <c r="P514" s="3">
        <f t="shared" si="204"/>
        <v>67.615336911807148</v>
      </c>
      <c r="Q514" s="3">
        <f t="shared" si="205"/>
        <v>20.713277528301294</v>
      </c>
      <c r="R514" s="3">
        <f t="shared" si="206"/>
        <v>44.164307220054219</v>
      </c>
      <c r="S514" s="3">
        <f t="shared" si="201"/>
        <v>1</v>
      </c>
      <c r="T514" s="3">
        <f t="shared" si="207"/>
        <v>23451.02969175293</v>
      </c>
      <c r="U514" s="3">
        <f t="shared" si="208"/>
        <v>0.5</v>
      </c>
      <c r="V514" s="3">
        <f t="shared" si="209"/>
        <v>0</v>
      </c>
      <c r="W514" s="3">
        <f t="shared" si="210"/>
        <v>22637.614798073031</v>
      </c>
      <c r="X514" s="3">
        <f t="shared" si="202"/>
        <v>10356.638764150646</v>
      </c>
      <c r="AI514" s="3"/>
      <c r="AJ514" s="3"/>
      <c r="AK514" s="15">
        <f t="shared" si="193"/>
        <v>2</v>
      </c>
      <c r="AL514" s="11">
        <f t="shared" si="197"/>
        <v>3030</v>
      </c>
      <c r="AM514" s="11" t="b">
        <f t="shared" si="192"/>
        <v>0</v>
      </c>
      <c r="AN514" s="11">
        <f t="shared" si="194"/>
        <v>36000</v>
      </c>
      <c r="AO514" s="11">
        <f t="shared" si="195"/>
        <v>0</v>
      </c>
      <c r="AP514" s="11">
        <f t="shared" si="196"/>
        <v>0.66396195589456697</v>
      </c>
      <c r="AQ514" s="11">
        <f t="shared" si="198"/>
        <v>0</v>
      </c>
      <c r="AT514" s="3"/>
      <c r="AU514" s="17"/>
      <c r="AV514" s="19"/>
      <c r="AW514" s="17"/>
      <c r="AX514" s="17">
        <f t="shared" si="217"/>
        <v>505</v>
      </c>
      <c r="AY514" s="17">
        <f t="shared" si="216"/>
        <v>50.5</v>
      </c>
      <c r="AZ514" s="17">
        <v>66.396195589456696</v>
      </c>
      <c r="BA514" s="17"/>
      <c r="BB514" s="17">
        <v>36</v>
      </c>
      <c r="BC514" s="17"/>
      <c r="BD514" s="17"/>
      <c r="BE514" s="17"/>
      <c r="BF514" s="17"/>
      <c r="BG514" s="17"/>
      <c r="BH514" s="17"/>
      <c r="BI514" s="17"/>
      <c r="BJ514" s="17"/>
      <c r="BK514" s="17"/>
      <c r="BL514" s="17"/>
      <c r="BM514" s="17"/>
      <c r="BN514" s="17"/>
      <c r="BO514" s="17"/>
      <c r="BP514" s="17"/>
      <c r="BQ514" s="17"/>
      <c r="BR514" s="17"/>
      <c r="BS514" s="17"/>
      <c r="BT514" s="17"/>
      <c r="BU514" s="17"/>
      <c r="BV514" s="17"/>
      <c r="BW514" s="17"/>
      <c r="BX514" s="17"/>
      <c r="BY514" s="17"/>
      <c r="BZ514" s="17"/>
      <c r="CA514" s="17"/>
      <c r="CB514" s="17"/>
      <c r="CC514" s="17"/>
      <c r="CD514" s="17"/>
      <c r="CE514" s="17"/>
      <c r="CF514" s="17"/>
      <c r="CG514" s="17"/>
      <c r="CH514" s="17"/>
    </row>
    <row r="515" spans="8:86" x14ac:dyDescent="0.15">
      <c r="H515" s="3">
        <f t="shared" si="211"/>
        <v>0.50300000000000034</v>
      </c>
      <c r="I515" s="3">
        <f t="shared" si="212"/>
        <v>360</v>
      </c>
      <c r="J515" s="14">
        <f t="shared" si="213"/>
        <v>500</v>
      </c>
      <c r="K515" s="3">
        <f t="shared" si="203"/>
        <v>0</v>
      </c>
      <c r="L515" s="3">
        <f t="shared" si="199"/>
        <v>500</v>
      </c>
      <c r="M515" s="15">
        <f t="shared" si="214"/>
        <v>7.0000000000000007E-2</v>
      </c>
      <c r="N515" s="3">
        <f t="shared" si="215"/>
        <v>62.817121578836883</v>
      </c>
      <c r="O515" s="3">
        <f t="shared" si="200"/>
        <v>62.817121578836883</v>
      </c>
      <c r="P515" s="3">
        <f t="shared" si="204"/>
        <v>67.54529202025472</v>
      </c>
      <c r="Q515" s="3">
        <f t="shared" si="205"/>
        <v>20.666375468917789</v>
      </c>
      <c r="R515" s="3">
        <f t="shared" si="206"/>
        <v>44.105833744586256</v>
      </c>
      <c r="S515" s="3">
        <f t="shared" si="201"/>
        <v>1</v>
      </c>
      <c r="T515" s="3">
        <f t="shared" si="207"/>
        <v>23439.458275668465</v>
      </c>
      <c r="U515" s="3">
        <f t="shared" si="208"/>
        <v>0.5</v>
      </c>
      <c r="V515" s="3">
        <f t="shared" si="209"/>
        <v>0</v>
      </c>
      <c r="W515" s="3">
        <f t="shared" si="210"/>
        <v>22614.163768381277</v>
      </c>
      <c r="X515" s="3">
        <f t="shared" si="202"/>
        <v>10333.187734458894</v>
      </c>
      <c r="AI515" s="3"/>
      <c r="AJ515" s="3"/>
      <c r="AK515" s="15">
        <f t="shared" si="193"/>
        <v>2</v>
      </c>
      <c r="AL515" s="11">
        <f t="shared" si="197"/>
        <v>3036</v>
      </c>
      <c r="AM515" s="11" t="b">
        <f t="shared" si="192"/>
        <v>0</v>
      </c>
      <c r="AN515" s="11">
        <f t="shared" si="194"/>
        <v>36000</v>
      </c>
      <c r="AO515" s="11">
        <f t="shared" si="195"/>
        <v>0</v>
      </c>
      <c r="AP515" s="11">
        <f t="shared" si="196"/>
        <v>0.66506427070938179</v>
      </c>
      <c r="AQ515" s="11">
        <f t="shared" si="198"/>
        <v>0</v>
      </c>
      <c r="AT515" s="3"/>
      <c r="AU515" s="17"/>
      <c r="AV515" s="19"/>
      <c r="AW515" s="17"/>
      <c r="AX515" s="17">
        <f t="shared" si="217"/>
        <v>506</v>
      </c>
      <c r="AY515" s="17">
        <f t="shared" si="216"/>
        <v>50.6</v>
      </c>
      <c r="AZ515" s="17">
        <v>66.506427070938173</v>
      </c>
      <c r="BA515" s="17"/>
      <c r="BB515" s="17">
        <v>36</v>
      </c>
      <c r="BC515" s="17"/>
      <c r="BD515" s="17"/>
      <c r="BE515" s="17"/>
      <c r="BF515" s="17"/>
      <c r="BG515" s="17"/>
      <c r="BH515" s="17"/>
      <c r="BI515" s="17"/>
      <c r="BJ515" s="17"/>
      <c r="BK515" s="17"/>
      <c r="BL515" s="17"/>
      <c r="BM515" s="17"/>
      <c r="BN515" s="17"/>
      <c r="BO515" s="17"/>
      <c r="BP515" s="17"/>
      <c r="BQ515" s="17"/>
      <c r="BR515" s="17"/>
      <c r="BS515" s="17"/>
      <c r="BT515" s="17"/>
      <c r="BU515" s="17"/>
      <c r="BV515" s="17"/>
      <c r="BW515" s="17"/>
      <c r="BX515" s="17"/>
      <c r="BY515" s="17"/>
      <c r="BZ515" s="17"/>
      <c r="CA515" s="17"/>
      <c r="CB515" s="17"/>
      <c r="CC515" s="17"/>
      <c r="CD515" s="17"/>
      <c r="CE515" s="17"/>
      <c r="CF515" s="17"/>
      <c r="CG515" s="17"/>
      <c r="CH515" s="17"/>
    </row>
    <row r="516" spans="8:86" x14ac:dyDescent="0.15">
      <c r="H516" s="3">
        <f t="shared" si="211"/>
        <v>0.50400000000000034</v>
      </c>
      <c r="I516" s="3">
        <f t="shared" si="212"/>
        <v>360</v>
      </c>
      <c r="J516" s="14">
        <f t="shared" si="213"/>
        <v>500</v>
      </c>
      <c r="K516" s="3">
        <f t="shared" si="203"/>
        <v>0</v>
      </c>
      <c r="L516" s="3">
        <f t="shared" si="199"/>
        <v>500</v>
      </c>
      <c r="M516" s="15">
        <f t="shared" si="214"/>
        <v>7.0000000000000007E-2</v>
      </c>
      <c r="N516" s="3">
        <f t="shared" si="215"/>
        <v>62.752011972515575</v>
      </c>
      <c r="O516" s="3">
        <f t="shared" si="200"/>
        <v>62.752011972515575</v>
      </c>
      <c r="P516" s="3">
        <f t="shared" si="204"/>
        <v>67.475281690876969</v>
      </c>
      <c r="Q516" s="3">
        <f t="shared" si="205"/>
        <v>20.619496552366449</v>
      </c>
      <c r="R516" s="3">
        <f t="shared" si="206"/>
        <v>44.047389121621705</v>
      </c>
      <c r="S516" s="3">
        <f t="shared" si="201"/>
        <v>1</v>
      </c>
      <c r="T516" s="3">
        <f t="shared" si="207"/>
        <v>23427.892569255258</v>
      </c>
      <c r="U516" s="3">
        <f t="shared" si="208"/>
        <v>0.5</v>
      </c>
      <c r="V516" s="3">
        <f t="shared" si="209"/>
        <v>0</v>
      </c>
      <c r="W516" s="3">
        <f t="shared" si="210"/>
        <v>22590.724310105608</v>
      </c>
      <c r="X516" s="3">
        <f t="shared" si="202"/>
        <v>10309.748276183225</v>
      </c>
      <c r="AI516" s="3"/>
      <c r="AJ516" s="3"/>
      <c r="AK516" s="15">
        <f t="shared" si="193"/>
        <v>2</v>
      </c>
      <c r="AL516" s="11">
        <f t="shared" si="197"/>
        <v>3042</v>
      </c>
      <c r="AM516" s="11" t="b">
        <f t="shared" si="192"/>
        <v>0</v>
      </c>
      <c r="AN516" s="11">
        <f t="shared" si="194"/>
        <v>36000</v>
      </c>
      <c r="AO516" s="11">
        <f t="shared" si="195"/>
        <v>0</v>
      </c>
      <c r="AP516" s="11">
        <f t="shared" si="196"/>
        <v>0.66616658552419661</v>
      </c>
      <c r="AQ516" s="11">
        <f t="shared" si="198"/>
        <v>0</v>
      </c>
      <c r="AT516" s="3"/>
      <c r="AU516" s="17"/>
      <c r="AV516" s="19"/>
      <c r="AW516" s="17"/>
      <c r="AX516" s="17">
        <f t="shared" si="217"/>
        <v>507</v>
      </c>
      <c r="AY516" s="17">
        <f t="shared" si="216"/>
        <v>50.7</v>
      </c>
      <c r="AZ516" s="17">
        <v>66.616658552419665</v>
      </c>
      <c r="BA516" s="17"/>
      <c r="BB516" s="17">
        <v>36</v>
      </c>
      <c r="BC516" s="17"/>
      <c r="BD516" s="17"/>
      <c r="BE516" s="17"/>
      <c r="BF516" s="17"/>
      <c r="BG516" s="17"/>
      <c r="BH516" s="17"/>
      <c r="BI516" s="17"/>
      <c r="BJ516" s="17"/>
      <c r="BK516" s="17"/>
      <c r="BL516" s="17"/>
      <c r="BM516" s="17"/>
      <c r="BN516" s="17"/>
      <c r="BO516" s="17"/>
      <c r="BP516" s="17"/>
      <c r="BQ516" s="17"/>
      <c r="BR516" s="17"/>
      <c r="BS516" s="17"/>
      <c r="BT516" s="17"/>
      <c r="BU516" s="17"/>
      <c r="BV516" s="17"/>
      <c r="BW516" s="17"/>
      <c r="BX516" s="17"/>
      <c r="BY516" s="17"/>
      <c r="BZ516" s="17"/>
      <c r="CA516" s="17"/>
      <c r="CB516" s="17"/>
      <c r="CC516" s="17"/>
      <c r="CD516" s="17"/>
      <c r="CE516" s="17"/>
      <c r="CF516" s="17"/>
      <c r="CG516" s="17"/>
      <c r="CH516" s="17"/>
    </row>
    <row r="517" spans="8:86" x14ac:dyDescent="0.15">
      <c r="H517" s="3">
        <f t="shared" si="211"/>
        <v>0.50500000000000034</v>
      </c>
      <c r="I517" s="3">
        <f t="shared" si="212"/>
        <v>360</v>
      </c>
      <c r="J517" s="14">
        <f t="shared" si="213"/>
        <v>500</v>
      </c>
      <c r="K517" s="3">
        <f t="shared" si="203"/>
        <v>0</v>
      </c>
      <c r="L517" s="3">
        <f t="shared" si="199"/>
        <v>500</v>
      </c>
      <c r="M517" s="15">
        <f t="shared" si="214"/>
        <v>7.0000000000000007E-2</v>
      </c>
      <c r="N517" s="3">
        <f t="shared" si="215"/>
        <v>62.686934493156535</v>
      </c>
      <c r="O517" s="3">
        <f t="shared" si="200"/>
        <v>62.686934493156535</v>
      </c>
      <c r="P517" s="3">
        <f t="shared" si="204"/>
        <v>67.40530590661993</v>
      </c>
      <c r="Q517" s="3">
        <f t="shared" si="205"/>
        <v>20.572640767227938</v>
      </c>
      <c r="R517" s="3">
        <f t="shared" si="206"/>
        <v>43.988973336923934</v>
      </c>
      <c r="S517" s="3">
        <f t="shared" si="201"/>
        <v>1</v>
      </c>
      <c r="T517" s="3">
        <f t="shared" si="207"/>
        <v>23416.332569695995</v>
      </c>
      <c r="U517" s="3">
        <f t="shared" si="208"/>
        <v>0.5</v>
      </c>
      <c r="V517" s="3">
        <f t="shared" si="209"/>
        <v>0</v>
      </c>
      <c r="W517" s="3">
        <f t="shared" si="210"/>
        <v>22567.296417536352</v>
      </c>
      <c r="X517" s="3">
        <f t="shared" si="202"/>
        <v>10286.320383613969</v>
      </c>
      <c r="AI517" s="3"/>
      <c r="AJ517" s="3"/>
      <c r="AK517" s="15">
        <f t="shared" si="193"/>
        <v>2</v>
      </c>
      <c r="AL517" s="11">
        <f t="shared" si="197"/>
        <v>3048</v>
      </c>
      <c r="AM517" s="11" t="b">
        <f t="shared" si="192"/>
        <v>0</v>
      </c>
      <c r="AN517" s="11">
        <f t="shared" si="194"/>
        <v>36000</v>
      </c>
      <c r="AO517" s="11">
        <f t="shared" si="195"/>
        <v>0</v>
      </c>
      <c r="AP517" s="11">
        <f t="shared" si="196"/>
        <v>0.66726890033901143</v>
      </c>
      <c r="AQ517" s="11">
        <f t="shared" si="198"/>
        <v>0</v>
      </c>
      <c r="AT517" s="3"/>
      <c r="AU517" s="17"/>
      <c r="AV517" s="19"/>
      <c r="AW517" s="17"/>
      <c r="AX517" s="17">
        <f t="shared" si="217"/>
        <v>508</v>
      </c>
      <c r="AY517" s="17">
        <f t="shared" si="216"/>
        <v>50.8</v>
      </c>
      <c r="AZ517" s="17">
        <v>66.726890033901142</v>
      </c>
      <c r="BA517" s="17"/>
      <c r="BB517" s="17">
        <v>36</v>
      </c>
      <c r="BC517" s="17"/>
      <c r="BD517" s="17"/>
      <c r="BE517" s="17"/>
      <c r="BF517" s="17"/>
      <c r="BG517" s="17"/>
      <c r="BH517" s="17"/>
      <c r="BI517" s="17"/>
      <c r="BJ517" s="17"/>
      <c r="BK517" s="17"/>
      <c r="BL517" s="17"/>
      <c r="BM517" s="17"/>
      <c r="BN517" s="17"/>
      <c r="BO517" s="17"/>
      <c r="BP517" s="17"/>
      <c r="BQ517" s="17"/>
      <c r="BR517" s="17"/>
      <c r="BS517" s="17"/>
      <c r="BT517" s="17"/>
      <c r="BU517" s="17"/>
      <c r="BV517" s="17"/>
      <c r="BW517" s="17"/>
      <c r="BX517" s="17"/>
      <c r="BY517" s="17"/>
      <c r="BZ517" s="17"/>
      <c r="CA517" s="17"/>
      <c r="CB517" s="17"/>
      <c r="CC517" s="17"/>
      <c r="CD517" s="17"/>
      <c r="CE517" s="17"/>
      <c r="CF517" s="17"/>
      <c r="CG517" s="17"/>
      <c r="CH517" s="17"/>
    </row>
    <row r="518" spans="8:86" x14ac:dyDescent="0.15">
      <c r="H518" s="3">
        <f t="shared" si="211"/>
        <v>0.50600000000000034</v>
      </c>
      <c r="I518" s="3">
        <f t="shared" si="212"/>
        <v>360</v>
      </c>
      <c r="J518" s="14">
        <f t="shared" si="213"/>
        <v>500</v>
      </c>
      <c r="K518" s="3">
        <f t="shared" si="203"/>
        <v>0</v>
      </c>
      <c r="L518" s="3">
        <f t="shared" si="199"/>
        <v>500</v>
      </c>
      <c r="M518" s="15">
        <f t="shared" si="214"/>
        <v>7.0000000000000007E-2</v>
      </c>
      <c r="N518" s="3">
        <f t="shared" si="215"/>
        <v>62.621889124907376</v>
      </c>
      <c r="O518" s="3">
        <f t="shared" si="200"/>
        <v>62.621889124907376</v>
      </c>
      <c r="P518" s="3">
        <f t="shared" si="204"/>
        <v>67.335364650438038</v>
      </c>
      <c r="Q518" s="3">
        <f t="shared" si="205"/>
        <v>20.525808102088547</v>
      </c>
      <c r="R518" s="3">
        <f t="shared" si="206"/>
        <v>43.930586376263292</v>
      </c>
      <c r="S518" s="3">
        <f t="shared" si="201"/>
        <v>1</v>
      </c>
      <c r="T518" s="3">
        <f t="shared" si="207"/>
        <v>23404.778274174747</v>
      </c>
      <c r="U518" s="3">
        <f t="shared" si="208"/>
        <v>0.5</v>
      </c>
      <c r="V518" s="3">
        <f t="shared" si="209"/>
        <v>0</v>
      </c>
      <c r="W518" s="3">
        <f t="shared" si="210"/>
        <v>22543.880084966655</v>
      </c>
      <c r="X518" s="3">
        <f t="shared" si="202"/>
        <v>10262.904051044274</v>
      </c>
      <c r="AI518" s="3"/>
      <c r="AJ518" s="3"/>
      <c r="AK518" s="15">
        <f t="shared" si="193"/>
        <v>2</v>
      </c>
      <c r="AL518" s="11">
        <f t="shared" si="197"/>
        <v>3054</v>
      </c>
      <c r="AM518" s="11" t="b">
        <f t="shared" si="192"/>
        <v>0</v>
      </c>
      <c r="AN518" s="11">
        <f t="shared" si="194"/>
        <v>36000</v>
      </c>
      <c r="AO518" s="11">
        <f t="shared" si="195"/>
        <v>0</v>
      </c>
      <c r="AP518" s="11">
        <f t="shared" si="196"/>
        <v>0.66837121515382625</v>
      </c>
      <c r="AQ518" s="11">
        <f t="shared" si="198"/>
        <v>0</v>
      </c>
      <c r="AT518" s="3"/>
      <c r="AU518" s="17"/>
      <c r="AV518" s="19"/>
      <c r="AW518" s="17"/>
      <c r="AX518" s="17">
        <f t="shared" si="217"/>
        <v>509</v>
      </c>
      <c r="AY518" s="17">
        <f t="shared" si="216"/>
        <v>50.9</v>
      </c>
      <c r="AZ518" s="17">
        <v>66.83712151538262</v>
      </c>
      <c r="BA518" s="17"/>
      <c r="BB518" s="17">
        <v>36</v>
      </c>
      <c r="BC518" s="17"/>
      <c r="BD518" s="17"/>
      <c r="BE518" s="17"/>
      <c r="BF518" s="17"/>
      <c r="BG518" s="17"/>
      <c r="BH518" s="17"/>
      <c r="BI518" s="17"/>
      <c r="BJ518" s="17"/>
      <c r="BK518" s="17"/>
      <c r="BL518" s="17"/>
      <c r="BM518" s="17"/>
      <c r="BN518" s="17"/>
      <c r="BO518" s="17"/>
      <c r="BP518" s="17"/>
      <c r="BQ518" s="17"/>
      <c r="BR518" s="17"/>
      <c r="BS518" s="17"/>
      <c r="BT518" s="17"/>
      <c r="BU518" s="17"/>
      <c r="BV518" s="17"/>
      <c r="BW518" s="17"/>
      <c r="BX518" s="17"/>
      <c r="BY518" s="17"/>
      <c r="BZ518" s="17"/>
      <c r="CA518" s="17"/>
      <c r="CB518" s="17"/>
      <c r="CC518" s="17"/>
      <c r="CD518" s="17"/>
      <c r="CE518" s="17"/>
      <c r="CF518" s="17"/>
      <c r="CG518" s="17"/>
      <c r="CH518" s="17"/>
    </row>
    <row r="519" spans="8:86" x14ac:dyDescent="0.15">
      <c r="H519" s="3">
        <f t="shared" si="211"/>
        <v>0.50700000000000034</v>
      </c>
      <c r="I519" s="3">
        <f t="shared" si="212"/>
        <v>360</v>
      </c>
      <c r="J519" s="14">
        <f t="shared" si="213"/>
        <v>500</v>
      </c>
      <c r="K519" s="3">
        <f t="shared" si="203"/>
        <v>0</v>
      </c>
      <c r="L519" s="3">
        <f t="shared" si="199"/>
        <v>500</v>
      </c>
      <c r="M519" s="15">
        <f t="shared" si="214"/>
        <v>7.0000000000000007E-2</v>
      </c>
      <c r="N519" s="3">
        <f t="shared" si="215"/>
        <v>62.55687585192355</v>
      </c>
      <c r="O519" s="3">
        <f t="shared" si="200"/>
        <v>62.55687585192355</v>
      </c>
      <c r="P519" s="3">
        <f t="shared" si="204"/>
        <v>67.265457905294141</v>
      </c>
      <c r="Q519" s="3">
        <f t="shared" si="205"/>
        <v>20.478998545540197</v>
      </c>
      <c r="R519" s="3">
        <f t="shared" si="206"/>
        <v>43.872228225417167</v>
      </c>
      <c r="S519" s="3">
        <f t="shared" si="201"/>
        <v>1</v>
      </c>
      <c r="T519" s="3">
        <f t="shared" si="207"/>
        <v>23393.229679876975</v>
      </c>
      <c r="U519" s="3">
        <f t="shared" si="208"/>
        <v>0.5</v>
      </c>
      <c r="V519" s="3">
        <f t="shared" si="209"/>
        <v>0</v>
      </c>
      <c r="W519" s="3">
        <f t="shared" si="210"/>
        <v>22520.475306692479</v>
      </c>
      <c r="X519" s="3">
        <f t="shared" si="202"/>
        <v>10239.499272770099</v>
      </c>
      <c r="AI519" s="3"/>
      <c r="AJ519" s="3"/>
      <c r="AK519" s="15">
        <f t="shared" si="193"/>
        <v>2</v>
      </c>
      <c r="AL519" s="11">
        <f t="shared" si="197"/>
        <v>3060</v>
      </c>
      <c r="AM519" s="11" t="b">
        <f t="shared" si="192"/>
        <v>0</v>
      </c>
      <c r="AN519" s="11">
        <f t="shared" si="194"/>
        <v>36000</v>
      </c>
      <c r="AO519" s="11">
        <f t="shared" si="195"/>
        <v>0</v>
      </c>
      <c r="AP519" s="11">
        <f t="shared" si="196"/>
        <v>0.66947352996864118</v>
      </c>
      <c r="AQ519" s="11">
        <f t="shared" si="198"/>
        <v>0</v>
      </c>
      <c r="AT519" s="3"/>
      <c r="AU519" s="17"/>
      <c r="AV519" s="19"/>
      <c r="AW519" s="17"/>
      <c r="AX519" s="17">
        <f t="shared" si="217"/>
        <v>510</v>
      </c>
      <c r="AY519" s="17">
        <f t="shared" si="216"/>
        <v>51</v>
      </c>
      <c r="AZ519" s="17">
        <v>66.947352996864112</v>
      </c>
      <c r="BA519" s="17"/>
      <c r="BB519" s="17">
        <v>36</v>
      </c>
      <c r="BC519" s="17"/>
      <c r="BD519" s="17"/>
      <c r="BE519" s="17"/>
      <c r="BF519" s="17"/>
      <c r="BG519" s="17"/>
      <c r="BH519" s="17"/>
      <c r="BI519" s="17"/>
      <c r="BJ519" s="17"/>
      <c r="BK519" s="17"/>
      <c r="BL519" s="17"/>
      <c r="BM519" s="17"/>
      <c r="BN519" s="17"/>
      <c r="BO519" s="17"/>
      <c r="BP519" s="17"/>
      <c r="BQ519" s="17"/>
      <c r="BR519" s="17"/>
      <c r="BS519" s="17"/>
      <c r="BT519" s="17"/>
      <c r="BU519" s="17"/>
      <c r="BV519" s="17"/>
      <c r="BW519" s="17"/>
      <c r="BX519" s="17"/>
      <c r="BY519" s="17"/>
      <c r="BZ519" s="17"/>
      <c r="CA519" s="17"/>
      <c r="CB519" s="17"/>
      <c r="CC519" s="17"/>
      <c r="CD519" s="17"/>
      <c r="CE519" s="17"/>
      <c r="CF519" s="17"/>
      <c r="CG519" s="17"/>
      <c r="CH519" s="17"/>
    </row>
    <row r="520" spans="8:86" x14ac:dyDescent="0.15">
      <c r="H520" s="3">
        <f t="shared" si="211"/>
        <v>0.50800000000000034</v>
      </c>
      <c r="I520" s="3">
        <f t="shared" si="212"/>
        <v>360</v>
      </c>
      <c r="J520" s="14">
        <f t="shared" si="213"/>
        <v>500</v>
      </c>
      <c r="K520" s="3">
        <f t="shared" si="203"/>
        <v>0</v>
      </c>
      <c r="L520" s="3">
        <f t="shared" si="199"/>
        <v>500</v>
      </c>
      <c r="M520" s="15">
        <f t="shared" si="214"/>
        <v>7.0000000000000007E-2</v>
      </c>
      <c r="N520" s="3">
        <f t="shared" si="215"/>
        <v>62.491894658368338</v>
      </c>
      <c r="O520" s="3">
        <f t="shared" si="200"/>
        <v>62.491894658368338</v>
      </c>
      <c r="P520" s="3">
        <f t="shared" si="204"/>
        <v>67.195585654159501</v>
      </c>
      <c r="Q520" s="3">
        <f t="shared" si="205"/>
        <v>20.432212086180442</v>
      </c>
      <c r="R520" s="3">
        <f t="shared" si="206"/>
        <v>43.813898870169972</v>
      </c>
      <c r="S520" s="3">
        <f t="shared" si="201"/>
        <v>1</v>
      </c>
      <c r="T520" s="3">
        <f t="shared" si="207"/>
        <v>23381.686783989531</v>
      </c>
      <c r="U520" s="3">
        <f t="shared" si="208"/>
        <v>0.5</v>
      </c>
      <c r="V520" s="3">
        <f t="shared" si="209"/>
        <v>0</v>
      </c>
      <c r="W520" s="3">
        <f t="shared" si="210"/>
        <v>22497.082077012601</v>
      </c>
      <c r="X520" s="3">
        <f t="shared" si="202"/>
        <v>10216.106043090222</v>
      </c>
      <c r="AI520" s="3"/>
      <c r="AJ520" s="3"/>
      <c r="AK520" s="15">
        <f t="shared" si="193"/>
        <v>2</v>
      </c>
      <c r="AL520" s="11">
        <f t="shared" si="197"/>
        <v>3066</v>
      </c>
      <c r="AM520" s="11" t="b">
        <f t="shared" si="192"/>
        <v>0</v>
      </c>
      <c r="AN520" s="11">
        <f t="shared" si="194"/>
        <v>36000</v>
      </c>
      <c r="AO520" s="11">
        <f t="shared" si="195"/>
        <v>0</v>
      </c>
      <c r="AP520" s="11">
        <f t="shared" si="196"/>
        <v>0.670575844783456</v>
      </c>
      <c r="AQ520" s="11">
        <f t="shared" si="198"/>
        <v>0</v>
      </c>
      <c r="AT520" s="3"/>
      <c r="AU520" s="17"/>
      <c r="AV520" s="19"/>
      <c r="AW520" s="17"/>
      <c r="AX520" s="17">
        <f t="shared" si="217"/>
        <v>511</v>
      </c>
      <c r="AY520" s="17">
        <f t="shared" si="216"/>
        <v>51.1</v>
      </c>
      <c r="AZ520" s="17">
        <v>67.057584478345603</v>
      </c>
      <c r="BA520" s="17"/>
      <c r="BB520" s="17">
        <v>36</v>
      </c>
      <c r="BC520" s="17"/>
      <c r="BD520" s="17"/>
      <c r="BE520" s="17"/>
      <c r="BF520" s="17"/>
      <c r="BG520" s="17"/>
      <c r="BH520" s="17"/>
      <c r="BI520" s="17"/>
      <c r="BJ520" s="17"/>
      <c r="BK520" s="17"/>
      <c r="BL520" s="17"/>
      <c r="BM520" s="17"/>
      <c r="BN520" s="17"/>
      <c r="BO520" s="17"/>
      <c r="BP520" s="17"/>
      <c r="BQ520" s="17"/>
      <c r="BR520" s="17"/>
      <c r="BS520" s="17"/>
      <c r="BT520" s="17"/>
      <c r="BU520" s="17"/>
      <c r="BV520" s="17"/>
      <c r="BW520" s="17"/>
      <c r="BX520" s="17"/>
      <c r="BY520" s="17"/>
      <c r="BZ520" s="17"/>
      <c r="CA520" s="17"/>
      <c r="CB520" s="17"/>
      <c r="CC520" s="17"/>
      <c r="CD520" s="17"/>
      <c r="CE520" s="17"/>
      <c r="CF520" s="17"/>
      <c r="CG520" s="17"/>
      <c r="CH520" s="17"/>
    </row>
    <row r="521" spans="8:86" x14ac:dyDescent="0.15">
      <c r="H521" s="3">
        <f t="shared" si="211"/>
        <v>0.50900000000000034</v>
      </c>
      <c r="I521" s="3">
        <f t="shared" si="212"/>
        <v>360</v>
      </c>
      <c r="J521" s="14">
        <f t="shared" si="213"/>
        <v>500</v>
      </c>
      <c r="K521" s="3">
        <f t="shared" si="203"/>
        <v>0</v>
      </c>
      <c r="L521" s="3">
        <f t="shared" si="199"/>
        <v>500</v>
      </c>
      <c r="M521" s="15">
        <f t="shared" si="214"/>
        <v>7.0000000000000007E-2</v>
      </c>
      <c r="N521" s="3">
        <f t="shared" si="215"/>
        <v>62.426945528412816</v>
      </c>
      <c r="O521" s="3">
        <f t="shared" si="200"/>
        <v>62.426945528412816</v>
      </c>
      <c r="P521" s="3">
        <f t="shared" si="204"/>
        <v>67.12574788001379</v>
      </c>
      <c r="Q521" s="3">
        <f t="shared" si="205"/>
        <v>20.385448712612465</v>
      </c>
      <c r="R521" s="3">
        <f t="shared" si="206"/>
        <v>43.755598296313124</v>
      </c>
      <c r="S521" s="3">
        <f t="shared" si="201"/>
        <v>1</v>
      </c>
      <c r="T521" s="3">
        <f t="shared" si="207"/>
        <v>23370.149583700662</v>
      </c>
      <c r="U521" s="3">
        <f t="shared" si="208"/>
        <v>0.5</v>
      </c>
      <c r="V521" s="3">
        <f t="shared" si="209"/>
        <v>0</v>
      </c>
      <c r="W521" s="3">
        <f t="shared" si="210"/>
        <v>22473.700390228612</v>
      </c>
      <c r="X521" s="3">
        <f t="shared" si="202"/>
        <v>10192.724356306233</v>
      </c>
      <c r="AI521" s="3"/>
      <c r="AJ521" s="3"/>
      <c r="AK521" s="15">
        <f t="shared" si="193"/>
        <v>2</v>
      </c>
      <c r="AL521" s="11">
        <f t="shared" si="197"/>
        <v>3072</v>
      </c>
      <c r="AM521" s="11" t="b">
        <f t="shared" ref="AM521:AM584" si="218">OR(AND(AL521&gt;=$AC$5,AL521&lt;=$AD$5),AND(AL521&gt;=$AC$6,AL521&lt;=$AD$6),AND(AL521&gt;=$AC$7,AL521&lt;=$AD$7),AND(AL521&gt;=$AC$8,AL521&lt;=$AD$8),AND(AL521&gt;=$AC$9,AL521&lt;=$AD$9),AND(AL521&gt;=$AC$10,AL521&lt;=$AD$10),AND(AL521&gt;=$AC$11,AL521&lt;=$AD$11),AND($AD$11&lt;$AC$11,OR(AL521&lt;$AD$11,AL521&gt;$AC$11)))</f>
        <v>0</v>
      </c>
      <c r="AN521" s="11">
        <f t="shared" si="194"/>
        <v>36000</v>
      </c>
      <c r="AO521" s="11">
        <f t="shared" si="195"/>
        <v>0</v>
      </c>
      <c r="AP521" s="11">
        <f t="shared" si="196"/>
        <v>0.67167815959827082</v>
      </c>
      <c r="AQ521" s="11">
        <f t="shared" si="198"/>
        <v>0</v>
      </c>
      <c r="AT521" s="3"/>
      <c r="AU521" s="17"/>
      <c r="AV521" s="19"/>
      <c r="AW521" s="17"/>
      <c r="AX521" s="17">
        <f t="shared" si="217"/>
        <v>512</v>
      </c>
      <c r="AY521" s="17">
        <f t="shared" si="216"/>
        <v>51.2</v>
      </c>
      <c r="AZ521" s="17">
        <v>67.167815959827081</v>
      </c>
      <c r="BA521" s="17"/>
      <c r="BB521" s="17">
        <v>36</v>
      </c>
      <c r="BC521" s="17"/>
      <c r="BD521" s="17"/>
      <c r="BE521" s="17"/>
      <c r="BF521" s="17"/>
      <c r="BG521" s="17"/>
      <c r="BH521" s="17"/>
      <c r="BI521" s="17"/>
      <c r="BJ521" s="17"/>
      <c r="BK521" s="17"/>
      <c r="BL521" s="17"/>
      <c r="BM521" s="17"/>
      <c r="BN521" s="17"/>
      <c r="BO521" s="17"/>
      <c r="BP521" s="17"/>
      <c r="BQ521" s="17"/>
      <c r="BR521" s="17"/>
      <c r="BS521" s="17"/>
      <c r="BT521" s="17"/>
      <c r="BU521" s="17"/>
      <c r="BV521" s="17"/>
      <c r="BW521" s="17"/>
      <c r="BX521" s="17"/>
      <c r="BY521" s="17"/>
      <c r="BZ521" s="17"/>
      <c r="CA521" s="17"/>
      <c r="CB521" s="17"/>
      <c r="CC521" s="17"/>
      <c r="CD521" s="17"/>
      <c r="CE521" s="17"/>
      <c r="CF521" s="17"/>
      <c r="CG521" s="17"/>
      <c r="CH521" s="17"/>
    </row>
    <row r="522" spans="8:86" x14ac:dyDescent="0.15">
      <c r="H522" s="3">
        <f t="shared" si="211"/>
        <v>0.51000000000000034</v>
      </c>
      <c r="I522" s="3">
        <f t="shared" si="212"/>
        <v>360</v>
      </c>
      <c r="J522" s="14">
        <f t="shared" si="213"/>
        <v>500</v>
      </c>
      <c r="K522" s="3">
        <f t="shared" si="203"/>
        <v>0</v>
      </c>
      <c r="L522" s="3">
        <f t="shared" si="199"/>
        <v>500</v>
      </c>
      <c r="M522" s="15">
        <f t="shared" si="214"/>
        <v>7.0000000000000007E-2</v>
      </c>
      <c r="N522" s="3">
        <f t="shared" si="215"/>
        <v>62.362028446235861</v>
      </c>
      <c r="O522" s="3">
        <f t="shared" si="200"/>
        <v>62.362028446235861</v>
      </c>
      <c r="P522" s="3">
        <f t="shared" si="204"/>
        <v>67.05594456584501</v>
      </c>
      <c r="Q522" s="3">
        <f t="shared" si="205"/>
        <v>20.338708413445062</v>
      </c>
      <c r="R522" s="3">
        <f t="shared" si="206"/>
        <v>43.697326489645036</v>
      </c>
      <c r="S522" s="3">
        <f t="shared" si="201"/>
        <v>1</v>
      </c>
      <c r="T522" s="3">
        <f t="shared" si="207"/>
        <v>23358.618076199975</v>
      </c>
      <c r="U522" s="3">
        <f t="shared" si="208"/>
        <v>0.5</v>
      </c>
      <c r="V522" s="3">
        <f t="shared" si="209"/>
        <v>0</v>
      </c>
      <c r="W522" s="3">
        <f t="shared" si="210"/>
        <v>22450.330240644911</v>
      </c>
      <c r="X522" s="3">
        <f t="shared" si="202"/>
        <v>10169.354206722532</v>
      </c>
      <c r="AI522" s="3"/>
      <c r="AJ522" s="3"/>
      <c r="AK522" s="15">
        <f t="shared" ref="AK522:AK585" si="219">1+INT(MOD(AL522/60/24-0.5,7))</f>
        <v>2</v>
      </c>
      <c r="AL522" s="11">
        <f t="shared" si="197"/>
        <v>3078</v>
      </c>
      <c r="AM522" s="11" t="b">
        <f t="shared" si="218"/>
        <v>0</v>
      </c>
      <c r="AN522" s="11">
        <f t="shared" ref="AN522:AN585" si="220">IF(AND(AM522,NOT(AM523)),$AB$26,AN521+($AB$28-IF(AND(AM521,AM522),CHOOSE(AK522,$AG$5,$AG$6,$AG$7,$AG$8,$AG$9,$AG$10,$AG$11)*$AA$22/$AA$24,0))*$AB$15)</f>
        <v>36000</v>
      </c>
      <c r="AO522" s="11">
        <f t="shared" ref="AO522:AO585" si="221">IF(AND(AM522,NOT(AM523)),$AB$27,AO521+($AB$29-IF(AND(AM521,AM522),CHOOSE(AK522,$AG$5,$AG$6,$AG$7,$AG$8,$AG$9,$AG$10,$AG$11)*$AA$23/$AA$24,0))*$AB$15)</f>
        <v>0</v>
      </c>
      <c r="AP522" s="11">
        <f t="shared" ref="AP522:AP585" si="222">IF(AN521&lt;=0,0,(AP521*AN521-(IF(AND(AM521,AM522),CHOOSE(AK522,$AI$5,$AI$6,$AI$7,$AI$8,$AI$9,$AI$10,$AI$11),$AA$37))*AP521*$AB$15+$AA$34*(AQ521-AP521)*$AB$15+$AA$33*$AB$15)/AN521)</f>
        <v>0.67278047441308564</v>
      </c>
      <c r="AQ522" s="11">
        <f t="shared" si="198"/>
        <v>0</v>
      </c>
      <c r="AT522" s="3"/>
      <c r="AU522" s="17"/>
      <c r="AV522" s="19"/>
      <c r="AW522" s="17"/>
      <c r="AX522" s="17">
        <f t="shared" si="217"/>
        <v>513</v>
      </c>
      <c r="AY522" s="17">
        <f t="shared" si="216"/>
        <v>51.3</v>
      </c>
      <c r="AZ522" s="17">
        <v>67.278047441308559</v>
      </c>
      <c r="BA522" s="17"/>
      <c r="BB522" s="17">
        <v>36</v>
      </c>
      <c r="BC522" s="17"/>
      <c r="BD522" s="17"/>
      <c r="BE522" s="17"/>
      <c r="BF522" s="17"/>
      <c r="BG522" s="17"/>
      <c r="BH522" s="17"/>
      <c r="BI522" s="17"/>
      <c r="BJ522" s="17"/>
      <c r="BK522" s="17"/>
      <c r="BL522" s="17"/>
      <c r="BM522" s="17"/>
      <c r="BN522" s="17"/>
      <c r="BO522" s="17"/>
      <c r="BP522" s="17"/>
      <c r="BQ522" s="17"/>
      <c r="BR522" s="17"/>
      <c r="BS522" s="17"/>
      <c r="BT522" s="17"/>
      <c r="BU522" s="17"/>
      <c r="BV522" s="17"/>
      <c r="BW522" s="17"/>
      <c r="BX522" s="17"/>
      <c r="BY522" s="17"/>
      <c r="BZ522" s="17"/>
      <c r="CA522" s="17"/>
      <c r="CB522" s="17"/>
      <c r="CC522" s="17"/>
      <c r="CD522" s="17"/>
      <c r="CE522" s="17"/>
      <c r="CF522" s="17"/>
      <c r="CG522" s="17"/>
      <c r="CH522" s="17"/>
    </row>
    <row r="523" spans="8:86" x14ac:dyDescent="0.15">
      <c r="H523" s="3">
        <f t="shared" si="211"/>
        <v>0.51100000000000034</v>
      </c>
      <c r="I523" s="3">
        <f t="shared" si="212"/>
        <v>360</v>
      </c>
      <c r="J523" s="14">
        <f t="shared" si="213"/>
        <v>500</v>
      </c>
      <c r="K523" s="3">
        <f t="shared" si="203"/>
        <v>0</v>
      </c>
      <c r="L523" s="3">
        <f t="shared" si="199"/>
        <v>500</v>
      </c>
      <c r="M523" s="15">
        <f t="shared" si="214"/>
        <v>7.0000000000000007E-2</v>
      </c>
      <c r="N523" s="3">
        <f t="shared" si="215"/>
        <v>62.297143396024197</v>
      </c>
      <c r="O523" s="3">
        <f t="shared" si="200"/>
        <v>62.297143396024197</v>
      </c>
      <c r="P523" s="3">
        <f t="shared" si="204"/>
        <v>66.986175694649674</v>
      </c>
      <c r="Q523" s="3">
        <f t="shared" si="205"/>
        <v>20.291991177292665</v>
      </c>
      <c r="R523" s="3">
        <f t="shared" si="206"/>
        <v>43.639083435971173</v>
      </c>
      <c r="S523" s="3">
        <f t="shared" si="201"/>
        <v>1</v>
      </c>
      <c r="T523" s="3">
        <f t="shared" si="207"/>
        <v>23347.092258678505</v>
      </c>
      <c r="U523" s="3">
        <f t="shared" si="208"/>
        <v>0.5</v>
      </c>
      <c r="V523" s="3">
        <f t="shared" si="209"/>
        <v>0</v>
      </c>
      <c r="W523" s="3">
        <f t="shared" si="210"/>
        <v>22426.971622568712</v>
      </c>
      <c r="X523" s="3">
        <f t="shared" si="202"/>
        <v>10145.995588646332</v>
      </c>
      <c r="AI523" s="3"/>
      <c r="AJ523" s="3"/>
      <c r="AK523" s="15">
        <f t="shared" si="219"/>
        <v>2</v>
      </c>
      <c r="AL523" s="11">
        <f t="shared" ref="AL523:AL586" si="223">AL522+$AB$15</f>
        <v>3084</v>
      </c>
      <c r="AM523" s="11" t="b">
        <f t="shared" si="218"/>
        <v>0</v>
      </c>
      <c r="AN523" s="11">
        <f t="shared" si="220"/>
        <v>36000</v>
      </c>
      <c r="AO523" s="11">
        <f t="shared" si="221"/>
        <v>0</v>
      </c>
      <c r="AP523" s="11">
        <f t="shared" si="222"/>
        <v>0.67388278922790046</v>
      </c>
      <c r="AQ523" s="11">
        <f t="shared" ref="AQ523:AQ586" si="224">IF(AO522&lt;=0,0,(AQ522*AO522-$AA$34*(AQ522-AP522)*$AB$15)/AO522)</f>
        <v>0</v>
      </c>
      <c r="AT523" s="3"/>
      <c r="AU523" s="17"/>
      <c r="AV523" s="19"/>
      <c r="AW523" s="17"/>
      <c r="AX523" s="17">
        <f t="shared" si="217"/>
        <v>514</v>
      </c>
      <c r="AY523" s="17">
        <f t="shared" si="216"/>
        <v>51.4</v>
      </c>
      <c r="AZ523" s="17">
        <v>67.38827892279005</v>
      </c>
      <c r="BA523" s="17"/>
      <c r="BB523" s="17">
        <v>36</v>
      </c>
      <c r="BC523" s="17"/>
      <c r="BD523" s="17"/>
      <c r="BE523" s="17"/>
      <c r="BF523" s="17"/>
      <c r="BG523" s="17"/>
      <c r="BH523" s="17"/>
      <c r="BI523" s="17"/>
      <c r="BJ523" s="17"/>
      <c r="BK523" s="17"/>
      <c r="BL523" s="17"/>
      <c r="BM523" s="17"/>
      <c r="BN523" s="17"/>
      <c r="BO523" s="17"/>
      <c r="BP523" s="17"/>
      <c r="BQ523" s="17"/>
      <c r="BR523" s="17"/>
      <c r="BS523" s="17"/>
      <c r="BT523" s="17"/>
      <c r="BU523" s="17"/>
      <c r="BV523" s="17"/>
      <c r="BW523" s="17"/>
      <c r="BX523" s="17"/>
      <c r="BY523" s="17"/>
      <c r="BZ523" s="17"/>
      <c r="CA523" s="17"/>
      <c r="CB523" s="17"/>
      <c r="CC523" s="17"/>
      <c r="CD523" s="17"/>
      <c r="CE523" s="17"/>
      <c r="CF523" s="17"/>
      <c r="CG523" s="17"/>
      <c r="CH523" s="17"/>
    </row>
    <row r="524" spans="8:86" x14ac:dyDescent="0.15">
      <c r="H524" s="3">
        <f t="shared" si="211"/>
        <v>0.51200000000000034</v>
      </c>
      <c r="I524" s="3">
        <f t="shared" si="212"/>
        <v>360</v>
      </c>
      <c r="J524" s="14">
        <f t="shared" si="213"/>
        <v>500</v>
      </c>
      <c r="K524" s="3">
        <f t="shared" si="203"/>
        <v>0</v>
      </c>
      <c r="L524" s="3">
        <f t="shared" ref="L524:L587" si="225">$L$8*$L$6/I524</f>
        <v>500</v>
      </c>
      <c r="M524" s="15">
        <f t="shared" si="214"/>
        <v>7.0000000000000007E-2</v>
      </c>
      <c r="N524" s="3">
        <f t="shared" si="215"/>
        <v>62.232290361972318</v>
      </c>
      <c r="O524" s="3">
        <f t="shared" ref="O524:O587" si="226">N524*S524</f>
        <v>62.232290361972318</v>
      </c>
      <c r="P524" s="3">
        <f t="shared" si="204"/>
        <v>66.916441249432609</v>
      </c>
      <c r="Q524" s="3">
        <f t="shared" si="205"/>
        <v>20.245296992775309</v>
      </c>
      <c r="R524" s="3">
        <f t="shared" si="206"/>
        <v>43.580869121103959</v>
      </c>
      <c r="S524" s="3">
        <f t="shared" ref="S524:S587" si="227">IF($F$10=0,0,IF($F$10=1,1,(N524-L524-1/$I$5+((L524-N524+1/$I$5)^2+4*N524/$I$5)^0.5)/2/N524))</f>
        <v>1</v>
      </c>
      <c r="T524" s="3">
        <f t="shared" si="207"/>
        <v>23335.572128328651</v>
      </c>
      <c r="U524" s="3">
        <f t="shared" si="208"/>
        <v>0.5</v>
      </c>
      <c r="V524" s="3">
        <f t="shared" si="209"/>
        <v>0</v>
      </c>
      <c r="W524" s="3">
        <f t="shared" si="210"/>
        <v>22403.624530310033</v>
      </c>
      <c r="X524" s="3">
        <f t="shared" ref="X524:X587" si="228">IF($F$19,W524-W525+X525,J524*Q524)</f>
        <v>10122.648496387654</v>
      </c>
      <c r="AI524" s="3"/>
      <c r="AJ524" s="3"/>
      <c r="AK524" s="15">
        <f t="shared" si="219"/>
        <v>2</v>
      </c>
      <c r="AL524" s="11">
        <f t="shared" si="223"/>
        <v>3090</v>
      </c>
      <c r="AM524" s="11" t="b">
        <f t="shared" si="218"/>
        <v>0</v>
      </c>
      <c r="AN524" s="11">
        <f t="shared" si="220"/>
        <v>36000</v>
      </c>
      <c r="AO524" s="11">
        <f t="shared" si="221"/>
        <v>0</v>
      </c>
      <c r="AP524" s="11">
        <f t="shared" si="222"/>
        <v>0.67498510404271539</v>
      </c>
      <c r="AQ524" s="11">
        <f t="shared" si="224"/>
        <v>0</v>
      </c>
      <c r="AT524" s="3"/>
      <c r="AU524" s="17"/>
      <c r="AV524" s="19"/>
      <c r="AW524" s="17"/>
      <c r="AX524" s="17">
        <f t="shared" si="217"/>
        <v>515</v>
      </c>
      <c r="AY524" s="17">
        <f t="shared" si="216"/>
        <v>51.5</v>
      </c>
      <c r="AZ524" s="17">
        <v>67.498510404271542</v>
      </c>
      <c r="BA524" s="17"/>
      <c r="BB524" s="17">
        <v>36</v>
      </c>
      <c r="BC524" s="17"/>
      <c r="BD524" s="17"/>
      <c r="BE524" s="17"/>
      <c r="BF524" s="17"/>
      <c r="BG524" s="17"/>
      <c r="BH524" s="17"/>
      <c r="BI524" s="17"/>
      <c r="BJ524" s="17"/>
      <c r="BK524" s="17"/>
      <c r="BL524" s="17"/>
      <c r="BM524" s="17"/>
      <c r="BN524" s="17"/>
      <c r="BO524" s="17"/>
      <c r="BP524" s="17"/>
      <c r="BQ524" s="17"/>
      <c r="BR524" s="17"/>
      <c r="BS524" s="17"/>
      <c r="BT524" s="17"/>
      <c r="BU524" s="17"/>
      <c r="BV524" s="17"/>
      <c r="BW524" s="17"/>
      <c r="BX524" s="17"/>
      <c r="BY524" s="17"/>
      <c r="BZ524" s="17"/>
      <c r="CA524" s="17"/>
      <c r="CB524" s="17"/>
      <c r="CC524" s="17"/>
      <c r="CD524" s="17"/>
      <c r="CE524" s="17"/>
      <c r="CF524" s="17"/>
      <c r="CG524" s="17"/>
      <c r="CH524" s="17"/>
    </row>
    <row r="525" spans="8:86" x14ac:dyDescent="0.15">
      <c r="H525" s="3">
        <f t="shared" si="211"/>
        <v>0.51300000000000034</v>
      </c>
      <c r="I525" s="3">
        <f t="shared" si="212"/>
        <v>360</v>
      </c>
      <c r="J525" s="14">
        <f t="shared" si="213"/>
        <v>500</v>
      </c>
      <c r="K525" s="3">
        <f t="shared" ref="K525:K588" si="229">2*$F$6*$I$6*H525+$F$6*$I$7</f>
        <v>0</v>
      </c>
      <c r="L525" s="3">
        <f t="shared" si="225"/>
        <v>500</v>
      </c>
      <c r="M525" s="15">
        <f t="shared" si="214"/>
        <v>7.0000000000000007E-2</v>
      </c>
      <c r="N525" s="3">
        <f t="shared" si="215"/>
        <v>62.167469328282507</v>
      </c>
      <c r="O525" s="3">
        <f t="shared" si="226"/>
        <v>62.167469328282507</v>
      </c>
      <c r="P525" s="3">
        <f t="shared" ref="P525:P588" si="230">O525/(1-M525)</f>
        <v>66.846741213206997</v>
      </c>
      <c r="Q525" s="3">
        <f t="shared" ref="Q525:Q588" si="231">IF($F$19,IF($F$20,0,X525/J525),(Q524*J524-T524*$I$4)/J525)</f>
        <v>20.198625848518653</v>
      </c>
      <c r="R525" s="3">
        <f t="shared" ref="R525:R588" si="232">IF($F$19,P525,(1-U525)*P525+U525*Q525)</f>
        <v>43.522683530862821</v>
      </c>
      <c r="S525" s="3">
        <f t="shared" si="227"/>
        <v>1</v>
      </c>
      <c r="T525" s="3">
        <f t="shared" ref="T525:T588" si="233">IF($F$19,0,$F$8*(P525-Q525))+R525*K525*(1-$F$11)</f>
        <v>23324.057682344173</v>
      </c>
      <c r="U525" s="3">
        <f t="shared" ref="U525:U588" si="234">IF($F$8=0,0,IF(V525=0,0.5,IF(ISERROR(EXP(V525)),0,1/V525-1/(EXP(V525)-1))))</f>
        <v>0.5</v>
      </c>
      <c r="V525" s="3">
        <f t="shared" ref="V525:V588" si="235">K525*(1-$F$11)/$F$8</f>
        <v>0</v>
      </c>
      <c r="W525" s="3">
        <f t="shared" ref="W525:W588" si="236">(I525+$L$5)*N525</f>
        <v>22380.288958181703</v>
      </c>
      <c r="X525" s="3">
        <f t="shared" si="228"/>
        <v>10099.312924259326</v>
      </c>
      <c r="AI525" s="3"/>
      <c r="AJ525" s="3"/>
      <c r="AK525" s="15">
        <f t="shared" si="219"/>
        <v>2</v>
      </c>
      <c r="AL525" s="11">
        <f t="shared" si="223"/>
        <v>3096</v>
      </c>
      <c r="AM525" s="11" t="b">
        <f t="shared" si="218"/>
        <v>0</v>
      </c>
      <c r="AN525" s="11">
        <f t="shared" si="220"/>
        <v>36000</v>
      </c>
      <c r="AO525" s="11">
        <f t="shared" si="221"/>
        <v>0</v>
      </c>
      <c r="AP525" s="11">
        <f t="shared" si="222"/>
        <v>0.67608741885753021</v>
      </c>
      <c r="AQ525" s="11">
        <f t="shared" si="224"/>
        <v>0</v>
      </c>
      <c r="AT525" s="3"/>
      <c r="AU525" s="17"/>
      <c r="AV525" s="19"/>
      <c r="AW525" s="17"/>
      <c r="AX525" s="17">
        <f t="shared" si="217"/>
        <v>516</v>
      </c>
      <c r="AY525" s="17">
        <f t="shared" si="216"/>
        <v>51.6</v>
      </c>
      <c r="AZ525" s="17">
        <v>67.60874188575302</v>
      </c>
      <c r="BA525" s="17"/>
      <c r="BB525" s="17">
        <v>36</v>
      </c>
      <c r="BC525" s="17"/>
      <c r="BD525" s="17"/>
      <c r="BE525" s="17"/>
      <c r="BF525" s="17"/>
      <c r="BG525" s="17"/>
      <c r="BH525" s="17"/>
      <c r="BI525" s="17"/>
      <c r="BJ525" s="17"/>
      <c r="BK525" s="17"/>
      <c r="BL525" s="17"/>
      <c r="BM525" s="17"/>
      <c r="BN525" s="17"/>
      <c r="BO525" s="17"/>
      <c r="BP525" s="17"/>
      <c r="BQ525" s="17"/>
      <c r="BR525" s="17"/>
      <c r="BS525" s="17"/>
      <c r="BT525" s="17"/>
      <c r="BU525" s="17"/>
      <c r="BV525" s="17"/>
      <c r="BW525" s="17"/>
      <c r="BX525" s="17"/>
      <c r="BY525" s="17"/>
      <c r="BZ525" s="17"/>
      <c r="CA525" s="17"/>
      <c r="CB525" s="17"/>
      <c r="CC525" s="17"/>
      <c r="CD525" s="17"/>
      <c r="CE525" s="17"/>
      <c r="CF525" s="17"/>
      <c r="CG525" s="17"/>
      <c r="CH525" s="17"/>
    </row>
    <row r="526" spans="8:86" x14ac:dyDescent="0.15">
      <c r="H526" s="3">
        <f t="shared" ref="H526:H589" si="237">H525+$I$4</f>
        <v>0.51400000000000035</v>
      </c>
      <c r="I526" s="3">
        <f t="shared" ref="I526:I589" si="238">$I$12-$F$6*($I$6*H526^2+$I$7*H526)</f>
        <v>360</v>
      </c>
      <c r="J526" s="14">
        <f t="shared" ref="J526:J589" si="239">$J$12-$F$6*($I$6*H526^2+$I$7*H526)</f>
        <v>500</v>
      </c>
      <c r="K526" s="3">
        <f t="shared" si="229"/>
        <v>0</v>
      </c>
      <c r="L526" s="3">
        <f t="shared" si="225"/>
        <v>500</v>
      </c>
      <c r="M526" s="15">
        <f t="shared" ref="M526:M589" si="240">$M$12*L526/$L$12</f>
        <v>7.0000000000000007E-2</v>
      </c>
      <c r="N526" s="3">
        <f t="shared" ref="N526:N589" si="241">(N525*I525+P525*$L$5-T525*$I$4)/(I526+$L$5/(1-M526))</f>
        <v>62.102680279164886</v>
      </c>
      <c r="O526" s="3">
        <f t="shared" si="226"/>
        <v>62.102680279164886</v>
      </c>
      <c r="P526" s="3">
        <f t="shared" si="230"/>
        <v>66.777075568994505</v>
      </c>
      <c r="Q526" s="3">
        <f t="shared" si="231"/>
        <v>20.151977733153963</v>
      </c>
      <c r="R526" s="3">
        <f t="shared" si="232"/>
        <v>43.464526651074237</v>
      </c>
      <c r="S526" s="3">
        <f t="shared" si="227"/>
        <v>1</v>
      </c>
      <c r="T526" s="3">
        <f t="shared" si="233"/>
        <v>23312.54891792027</v>
      </c>
      <c r="U526" s="3">
        <f t="shared" si="234"/>
        <v>0.5</v>
      </c>
      <c r="V526" s="3">
        <f t="shared" si="235"/>
        <v>0</v>
      </c>
      <c r="W526" s="3">
        <f t="shared" si="236"/>
        <v>22356.964900499359</v>
      </c>
      <c r="X526" s="3">
        <f t="shared" si="228"/>
        <v>10075.988866576981</v>
      </c>
      <c r="AI526" s="3"/>
      <c r="AJ526" s="3"/>
      <c r="AK526" s="15">
        <f t="shared" si="219"/>
        <v>2</v>
      </c>
      <c r="AL526" s="11">
        <f t="shared" si="223"/>
        <v>3102</v>
      </c>
      <c r="AM526" s="11" t="b">
        <f t="shared" si="218"/>
        <v>0</v>
      </c>
      <c r="AN526" s="11">
        <f t="shared" si="220"/>
        <v>36000</v>
      </c>
      <c r="AO526" s="11">
        <f t="shared" si="221"/>
        <v>0</v>
      </c>
      <c r="AP526" s="11">
        <f t="shared" si="222"/>
        <v>0.67718973367234503</v>
      </c>
      <c r="AQ526" s="11">
        <f t="shared" si="224"/>
        <v>0</v>
      </c>
      <c r="AT526" s="3"/>
      <c r="AU526" s="17"/>
      <c r="AV526" s="19"/>
      <c r="AW526" s="17"/>
      <c r="AX526" s="17">
        <f t="shared" si="217"/>
        <v>517</v>
      </c>
      <c r="AY526" s="17">
        <f t="shared" si="216"/>
        <v>51.7</v>
      </c>
      <c r="AZ526" s="17">
        <v>67.718973367234497</v>
      </c>
      <c r="BA526" s="17"/>
      <c r="BB526" s="17">
        <v>36</v>
      </c>
      <c r="BC526" s="17"/>
      <c r="BD526" s="17"/>
      <c r="BE526" s="17"/>
      <c r="BF526" s="17"/>
      <c r="BG526" s="17"/>
      <c r="BH526" s="17"/>
      <c r="BI526" s="17"/>
      <c r="BJ526" s="17"/>
      <c r="BK526" s="17"/>
      <c r="BL526" s="17"/>
      <c r="BM526" s="17"/>
      <c r="BN526" s="17"/>
      <c r="BO526" s="17"/>
      <c r="BP526" s="17"/>
      <c r="BQ526" s="17"/>
      <c r="BR526" s="17"/>
      <c r="BS526" s="17"/>
      <c r="BT526" s="17"/>
      <c r="BU526" s="17"/>
      <c r="BV526" s="17"/>
      <c r="BW526" s="17"/>
      <c r="BX526" s="17"/>
      <c r="BY526" s="17"/>
      <c r="BZ526" s="17"/>
      <c r="CA526" s="17"/>
      <c r="CB526" s="17"/>
      <c r="CC526" s="17"/>
      <c r="CD526" s="17"/>
      <c r="CE526" s="17"/>
      <c r="CF526" s="17"/>
      <c r="CG526" s="17"/>
      <c r="CH526" s="17"/>
    </row>
    <row r="527" spans="8:86" x14ac:dyDescent="0.15">
      <c r="H527" s="3">
        <f t="shared" si="237"/>
        <v>0.51500000000000035</v>
      </c>
      <c r="I527" s="3">
        <f t="shared" si="238"/>
        <v>360</v>
      </c>
      <c r="J527" s="14">
        <f t="shared" si="239"/>
        <v>500</v>
      </c>
      <c r="K527" s="3">
        <f t="shared" si="229"/>
        <v>0</v>
      </c>
      <c r="L527" s="3">
        <f t="shared" si="225"/>
        <v>500</v>
      </c>
      <c r="M527" s="15">
        <f t="shared" si="240"/>
        <v>7.0000000000000007E-2</v>
      </c>
      <c r="N527" s="3">
        <f t="shared" si="241"/>
        <v>62.037923198837326</v>
      </c>
      <c r="O527" s="3">
        <f t="shared" si="226"/>
        <v>62.037923198837326</v>
      </c>
      <c r="P527" s="3">
        <f t="shared" si="230"/>
        <v>66.707444299825084</v>
      </c>
      <c r="Q527" s="3">
        <f t="shared" si="231"/>
        <v>20.105352635318123</v>
      </c>
      <c r="R527" s="3">
        <f t="shared" si="232"/>
        <v>43.406398467571606</v>
      </c>
      <c r="S527" s="3">
        <f t="shared" si="227"/>
        <v>1</v>
      </c>
      <c r="T527" s="3">
        <f t="shared" si="233"/>
        <v>23301.04583225348</v>
      </c>
      <c r="U527" s="3">
        <f t="shared" si="234"/>
        <v>0.5</v>
      </c>
      <c r="V527" s="3">
        <f t="shared" si="235"/>
        <v>0</v>
      </c>
      <c r="W527" s="3">
        <f t="shared" si="236"/>
        <v>22333.652351581437</v>
      </c>
      <c r="X527" s="3">
        <f t="shared" si="228"/>
        <v>10052.676317659061</v>
      </c>
      <c r="AI527" s="3"/>
      <c r="AJ527" s="3"/>
      <c r="AK527" s="15">
        <f t="shared" si="219"/>
        <v>2</v>
      </c>
      <c r="AL527" s="11">
        <f t="shared" si="223"/>
        <v>3108</v>
      </c>
      <c r="AM527" s="11" t="b">
        <f t="shared" si="218"/>
        <v>0</v>
      </c>
      <c r="AN527" s="11">
        <f t="shared" si="220"/>
        <v>36000</v>
      </c>
      <c r="AO527" s="11">
        <f t="shared" si="221"/>
        <v>0</v>
      </c>
      <c r="AP527" s="11">
        <f t="shared" si="222"/>
        <v>0.67829204848715985</v>
      </c>
      <c r="AQ527" s="11">
        <f t="shared" si="224"/>
        <v>0</v>
      </c>
      <c r="AT527" s="3"/>
      <c r="AU527" s="17"/>
      <c r="AV527" s="19"/>
      <c r="AW527" s="17"/>
      <c r="AX527" s="17">
        <f t="shared" si="217"/>
        <v>518</v>
      </c>
      <c r="AY527" s="17">
        <f t="shared" si="216"/>
        <v>51.8</v>
      </c>
      <c r="AZ527" s="17">
        <v>67.829204848715989</v>
      </c>
      <c r="BA527" s="17"/>
      <c r="BB527" s="17">
        <v>36</v>
      </c>
      <c r="BC527" s="17"/>
      <c r="BD527" s="17"/>
      <c r="BE527" s="17"/>
      <c r="BF527" s="17"/>
      <c r="BG527" s="17"/>
      <c r="BH527" s="17"/>
      <c r="BI527" s="17"/>
      <c r="BJ527" s="17"/>
      <c r="BK527" s="17"/>
      <c r="BL527" s="17"/>
      <c r="BM527" s="17"/>
      <c r="BN527" s="17"/>
      <c r="BO527" s="17"/>
      <c r="BP527" s="17"/>
      <c r="BQ527" s="17"/>
      <c r="BR527" s="17"/>
      <c r="BS527" s="17"/>
      <c r="BT527" s="17"/>
      <c r="BU527" s="17"/>
      <c r="BV527" s="17"/>
      <c r="BW527" s="17"/>
      <c r="BX527" s="17"/>
      <c r="BY527" s="17"/>
      <c r="BZ527" s="17"/>
      <c r="CA527" s="17"/>
      <c r="CB527" s="17"/>
      <c r="CC527" s="17"/>
      <c r="CD527" s="17"/>
      <c r="CE527" s="17"/>
      <c r="CF527" s="17"/>
      <c r="CG527" s="17"/>
      <c r="CH527" s="17"/>
    </row>
    <row r="528" spans="8:86" x14ac:dyDescent="0.15">
      <c r="H528" s="3">
        <f t="shared" si="237"/>
        <v>0.51600000000000035</v>
      </c>
      <c r="I528" s="3">
        <f t="shared" si="238"/>
        <v>360</v>
      </c>
      <c r="J528" s="14">
        <f t="shared" si="239"/>
        <v>500</v>
      </c>
      <c r="K528" s="3">
        <f t="shared" si="229"/>
        <v>0</v>
      </c>
      <c r="L528" s="3">
        <f t="shared" si="225"/>
        <v>500</v>
      </c>
      <c r="M528" s="15">
        <f t="shared" si="240"/>
        <v>7.0000000000000007E-2</v>
      </c>
      <c r="N528" s="3">
        <f t="shared" si="241"/>
        <v>61.973198071525509</v>
      </c>
      <c r="O528" s="3">
        <f t="shared" si="226"/>
        <v>61.973198071525509</v>
      </c>
      <c r="P528" s="3">
        <f t="shared" si="230"/>
        <v>66.637847388737114</v>
      </c>
      <c r="Q528" s="3">
        <f t="shared" si="231"/>
        <v>20.058750543653616</v>
      </c>
      <c r="R528" s="3">
        <f t="shared" si="232"/>
        <v>43.348298966195365</v>
      </c>
      <c r="S528" s="3">
        <f t="shared" si="227"/>
        <v>1</v>
      </c>
      <c r="T528" s="3">
        <f t="shared" si="233"/>
        <v>23289.548422541749</v>
      </c>
      <c r="U528" s="3">
        <f t="shared" si="234"/>
        <v>0.5</v>
      </c>
      <c r="V528" s="3">
        <f t="shared" si="235"/>
        <v>0</v>
      </c>
      <c r="W528" s="3">
        <f t="shared" si="236"/>
        <v>22310.351305749184</v>
      </c>
      <c r="X528" s="3">
        <f t="shared" si="228"/>
        <v>10029.375271826808</v>
      </c>
      <c r="AI528" s="3"/>
      <c r="AJ528" s="3"/>
      <c r="AK528" s="15">
        <f t="shared" si="219"/>
        <v>2</v>
      </c>
      <c r="AL528" s="11">
        <f t="shared" si="223"/>
        <v>3114</v>
      </c>
      <c r="AM528" s="11" t="b">
        <f t="shared" si="218"/>
        <v>0</v>
      </c>
      <c r="AN528" s="11">
        <f t="shared" si="220"/>
        <v>36000</v>
      </c>
      <c r="AO528" s="11">
        <f t="shared" si="221"/>
        <v>0</v>
      </c>
      <c r="AP528" s="11">
        <f t="shared" si="222"/>
        <v>0.67939436330197467</v>
      </c>
      <c r="AQ528" s="11">
        <f t="shared" si="224"/>
        <v>0</v>
      </c>
      <c r="AT528" s="3"/>
      <c r="AU528" s="17"/>
      <c r="AV528" s="19"/>
      <c r="AW528" s="17"/>
      <c r="AX528" s="17">
        <f t="shared" si="217"/>
        <v>519</v>
      </c>
      <c r="AY528" s="17">
        <f t="shared" si="216"/>
        <v>51.9</v>
      </c>
      <c r="AZ528" s="17">
        <v>67.939436330197466</v>
      </c>
      <c r="BA528" s="17"/>
      <c r="BB528" s="17">
        <v>36</v>
      </c>
      <c r="BC528" s="17"/>
      <c r="BD528" s="17"/>
      <c r="BE528" s="17"/>
      <c r="BF528" s="17"/>
      <c r="BG528" s="17"/>
      <c r="BH528" s="17"/>
      <c r="BI528" s="17"/>
      <c r="BJ528" s="17"/>
      <c r="BK528" s="17"/>
      <c r="BL528" s="17"/>
      <c r="BM528" s="17"/>
      <c r="BN528" s="17"/>
      <c r="BO528" s="17"/>
      <c r="BP528" s="17"/>
      <c r="BQ528" s="17"/>
      <c r="BR528" s="17"/>
      <c r="BS528" s="17"/>
      <c r="BT528" s="17"/>
      <c r="BU528" s="17"/>
      <c r="BV528" s="17"/>
      <c r="BW528" s="17"/>
      <c r="BX528" s="17"/>
      <c r="BY528" s="17"/>
      <c r="BZ528" s="17"/>
      <c r="CA528" s="17"/>
      <c r="CB528" s="17"/>
      <c r="CC528" s="17"/>
      <c r="CD528" s="17"/>
      <c r="CE528" s="17"/>
      <c r="CF528" s="17"/>
      <c r="CG528" s="17"/>
      <c r="CH528" s="17"/>
    </row>
    <row r="529" spans="8:86" x14ac:dyDescent="0.15">
      <c r="H529" s="3">
        <f t="shared" si="237"/>
        <v>0.51700000000000035</v>
      </c>
      <c r="I529" s="3">
        <f t="shared" si="238"/>
        <v>360</v>
      </c>
      <c r="J529" s="14">
        <f t="shared" si="239"/>
        <v>500</v>
      </c>
      <c r="K529" s="3">
        <f t="shared" si="229"/>
        <v>0</v>
      </c>
      <c r="L529" s="3">
        <f t="shared" si="225"/>
        <v>500</v>
      </c>
      <c r="M529" s="15">
        <f t="shared" si="240"/>
        <v>7.0000000000000007E-2</v>
      </c>
      <c r="N529" s="3">
        <f t="shared" si="241"/>
        <v>61.908504881462896</v>
      </c>
      <c r="O529" s="3">
        <f t="shared" si="226"/>
        <v>61.908504881462896</v>
      </c>
      <c r="P529" s="3">
        <f t="shared" si="230"/>
        <v>66.568284818777315</v>
      </c>
      <c r="Q529" s="3">
        <f t="shared" si="231"/>
        <v>20.012171446808534</v>
      </c>
      <c r="R529" s="3">
        <f t="shared" si="232"/>
        <v>43.290228132792926</v>
      </c>
      <c r="S529" s="3">
        <f t="shared" si="227"/>
        <v>1</v>
      </c>
      <c r="T529" s="3">
        <f t="shared" si="233"/>
        <v>23278.056685984389</v>
      </c>
      <c r="U529" s="3">
        <f t="shared" si="234"/>
        <v>0.5</v>
      </c>
      <c r="V529" s="3">
        <f t="shared" si="235"/>
        <v>0</v>
      </c>
      <c r="W529" s="3">
        <f t="shared" si="236"/>
        <v>22287.061757326643</v>
      </c>
      <c r="X529" s="3">
        <f t="shared" si="228"/>
        <v>10006.085723404267</v>
      </c>
      <c r="AI529" s="3"/>
      <c r="AJ529" s="3"/>
      <c r="AK529" s="15">
        <f t="shared" si="219"/>
        <v>2</v>
      </c>
      <c r="AL529" s="11">
        <f t="shared" si="223"/>
        <v>3120</v>
      </c>
      <c r="AM529" s="11" t="b">
        <f t="shared" si="218"/>
        <v>0</v>
      </c>
      <c r="AN529" s="11">
        <f t="shared" si="220"/>
        <v>36000</v>
      </c>
      <c r="AO529" s="11">
        <f t="shared" si="221"/>
        <v>0</v>
      </c>
      <c r="AP529" s="11">
        <f t="shared" si="222"/>
        <v>0.6804966781167896</v>
      </c>
      <c r="AQ529" s="11">
        <f t="shared" si="224"/>
        <v>0</v>
      </c>
      <c r="AT529" s="3"/>
      <c r="AU529" s="17"/>
      <c r="AV529" s="19"/>
      <c r="AW529" s="17"/>
      <c r="AX529" s="17">
        <f t="shared" si="217"/>
        <v>520</v>
      </c>
      <c r="AY529" s="17">
        <f t="shared" si="216"/>
        <v>52</v>
      </c>
      <c r="AZ529" s="17">
        <v>68.049667811678958</v>
      </c>
      <c r="BA529" s="17"/>
      <c r="BB529" s="17">
        <v>36</v>
      </c>
      <c r="BC529" s="17"/>
      <c r="BD529" s="17"/>
      <c r="BE529" s="17"/>
      <c r="BF529" s="17"/>
      <c r="BG529" s="17"/>
      <c r="BH529" s="17"/>
      <c r="BI529" s="17"/>
      <c r="BJ529" s="17"/>
      <c r="BK529" s="17"/>
      <c r="BL529" s="17"/>
      <c r="BM529" s="17"/>
      <c r="BN529" s="17"/>
      <c r="BO529" s="17"/>
      <c r="BP529" s="17"/>
      <c r="BQ529" s="17"/>
      <c r="BR529" s="17"/>
      <c r="BS529" s="17"/>
      <c r="BT529" s="17"/>
      <c r="BU529" s="17"/>
      <c r="BV529" s="17"/>
      <c r="BW529" s="17"/>
      <c r="BX529" s="17"/>
      <c r="BY529" s="17"/>
      <c r="BZ529" s="17"/>
      <c r="CA529" s="17"/>
      <c r="CB529" s="17"/>
      <c r="CC529" s="17"/>
      <c r="CD529" s="17"/>
      <c r="CE529" s="17"/>
      <c r="CF529" s="17"/>
      <c r="CG529" s="17"/>
      <c r="CH529" s="17"/>
    </row>
    <row r="530" spans="8:86" x14ac:dyDescent="0.15">
      <c r="H530" s="3">
        <f t="shared" si="237"/>
        <v>0.51800000000000035</v>
      </c>
      <c r="I530" s="3">
        <f t="shared" si="238"/>
        <v>360</v>
      </c>
      <c r="J530" s="14">
        <f t="shared" si="239"/>
        <v>500</v>
      </c>
      <c r="K530" s="3">
        <f t="shared" si="229"/>
        <v>0</v>
      </c>
      <c r="L530" s="3">
        <f t="shared" si="225"/>
        <v>500</v>
      </c>
      <c r="M530" s="15">
        <f t="shared" si="240"/>
        <v>7.0000000000000007E-2</v>
      </c>
      <c r="N530" s="3">
        <f t="shared" si="241"/>
        <v>61.843843612890723</v>
      </c>
      <c r="O530" s="3">
        <f t="shared" si="226"/>
        <v>61.843843612890723</v>
      </c>
      <c r="P530" s="3">
        <f t="shared" si="230"/>
        <v>66.498756573000776</v>
      </c>
      <c r="Q530" s="3">
        <f t="shared" si="231"/>
        <v>19.965615333436567</v>
      </c>
      <c r="R530" s="3">
        <f t="shared" si="232"/>
        <v>43.232185953218675</v>
      </c>
      <c r="S530" s="3">
        <f t="shared" si="227"/>
        <v>1</v>
      </c>
      <c r="T530" s="3">
        <f t="shared" si="233"/>
        <v>23266.570619782105</v>
      </c>
      <c r="U530" s="3">
        <f t="shared" si="234"/>
        <v>0.5</v>
      </c>
      <c r="V530" s="3">
        <f t="shared" si="235"/>
        <v>0</v>
      </c>
      <c r="W530" s="3">
        <f t="shared" si="236"/>
        <v>22263.783700640659</v>
      </c>
      <c r="X530" s="3">
        <f t="shared" si="228"/>
        <v>9982.8076667182831</v>
      </c>
      <c r="AI530" s="3"/>
      <c r="AJ530" s="3"/>
      <c r="AK530" s="15">
        <f t="shared" si="219"/>
        <v>2</v>
      </c>
      <c r="AL530" s="11">
        <f t="shared" si="223"/>
        <v>3126</v>
      </c>
      <c r="AM530" s="11" t="b">
        <f t="shared" si="218"/>
        <v>0</v>
      </c>
      <c r="AN530" s="11">
        <f t="shared" si="220"/>
        <v>36000</v>
      </c>
      <c r="AO530" s="11">
        <f t="shared" si="221"/>
        <v>0</v>
      </c>
      <c r="AP530" s="11">
        <f t="shared" si="222"/>
        <v>0.68159899293160442</v>
      </c>
      <c r="AQ530" s="11">
        <f t="shared" si="224"/>
        <v>0</v>
      </c>
      <c r="AT530" s="3"/>
      <c r="AU530" s="17"/>
      <c r="AV530" s="19"/>
      <c r="AW530" s="17"/>
      <c r="AX530" s="17">
        <f t="shared" si="217"/>
        <v>521</v>
      </c>
      <c r="AY530" s="17">
        <f t="shared" si="216"/>
        <v>52.1</v>
      </c>
      <c r="AZ530" s="17">
        <v>68.159899293160436</v>
      </c>
      <c r="BA530" s="17"/>
      <c r="BB530" s="17">
        <v>36</v>
      </c>
      <c r="BC530" s="17"/>
      <c r="BD530" s="17"/>
      <c r="BE530" s="17"/>
      <c r="BF530" s="17"/>
      <c r="BG530" s="17"/>
      <c r="BH530" s="17"/>
      <c r="BI530" s="17"/>
      <c r="BJ530" s="17"/>
      <c r="BK530" s="17"/>
      <c r="BL530" s="17"/>
      <c r="BM530" s="17"/>
      <c r="BN530" s="17"/>
      <c r="BO530" s="17"/>
      <c r="BP530" s="17"/>
      <c r="BQ530" s="17"/>
      <c r="BR530" s="17"/>
      <c r="BS530" s="17"/>
      <c r="BT530" s="17"/>
      <c r="BU530" s="17"/>
      <c r="BV530" s="17"/>
      <c r="BW530" s="17"/>
      <c r="BX530" s="17"/>
      <c r="BY530" s="17"/>
      <c r="BZ530" s="17"/>
      <c r="CA530" s="17"/>
      <c r="CB530" s="17"/>
      <c r="CC530" s="17"/>
      <c r="CD530" s="17"/>
      <c r="CE530" s="17"/>
      <c r="CF530" s="17"/>
      <c r="CG530" s="17"/>
      <c r="CH530" s="17"/>
    </row>
    <row r="531" spans="8:86" x14ac:dyDescent="0.15">
      <c r="H531" s="3">
        <f t="shared" si="237"/>
        <v>0.51900000000000035</v>
      </c>
      <c r="I531" s="3">
        <f t="shared" si="238"/>
        <v>360</v>
      </c>
      <c r="J531" s="14">
        <f t="shared" si="239"/>
        <v>500</v>
      </c>
      <c r="K531" s="3">
        <f t="shared" si="229"/>
        <v>0</v>
      </c>
      <c r="L531" s="3">
        <f t="shared" si="225"/>
        <v>500</v>
      </c>
      <c r="M531" s="15">
        <f t="shared" si="240"/>
        <v>7.0000000000000007E-2</v>
      </c>
      <c r="N531" s="3">
        <f t="shared" si="241"/>
        <v>61.779214250057997</v>
      </c>
      <c r="O531" s="3">
        <f t="shared" si="226"/>
        <v>61.779214250057997</v>
      </c>
      <c r="P531" s="3">
        <f t="shared" si="230"/>
        <v>66.429262634470973</v>
      </c>
      <c r="Q531" s="3">
        <f t="shared" si="231"/>
        <v>19.919082192197003</v>
      </c>
      <c r="R531" s="3">
        <f t="shared" si="232"/>
        <v>43.174172413333991</v>
      </c>
      <c r="S531" s="3">
        <f t="shared" si="227"/>
        <v>1</v>
      </c>
      <c r="T531" s="3">
        <f t="shared" si="233"/>
        <v>23255.090221136987</v>
      </c>
      <c r="U531" s="3">
        <f t="shared" si="234"/>
        <v>0.5</v>
      </c>
      <c r="V531" s="3">
        <f t="shared" si="235"/>
        <v>0</v>
      </c>
      <c r="W531" s="3">
        <f t="shared" si="236"/>
        <v>22240.517130020879</v>
      </c>
      <c r="X531" s="3">
        <f t="shared" si="228"/>
        <v>9959.5410960985009</v>
      </c>
      <c r="AI531" s="3"/>
      <c r="AJ531" s="3"/>
      <c r="AK531" s="15">
        <f t="shared" si="219"/>
        <v>2</v>
      </c>
      <c r="AL531" s="11">
        <f t="shared" si="223"/>
        <v>3132</v>
      </c>
      <c r="AM531" s="11" t="b">
        <f t="shared" si="218"/>
        <v>0</v>
      </c>
      <c r="AN531" s="11">
        <f t="shared" si="220"/>
        <v>36000</v>
      </c>
      <c r="AO531" s="11">
        <f t="shared" si="221"/>
        <v>0</v>
      </c>
      <c r="AP531" s="11">
        <f t="shared" si="222"/>
        <v>0.68270130774641924</v>
      </c>
      <c r="AQ531" s="11">
        <f t="shared" si="224"/>
        <v>0</v>
      </c>
      <c r="AT531" s="3"/>
      <c r="AU531" s="17"/>
      <c r="AV531" s="19"/>
      <c r="AW531" s="17"/>
      <c r="AX531" s="17">
        <f t="shared" si="217"/>
        <v>522</v>
      </c>
      <c r="AY531" s="17">
        <f t="shared" si="216"/>
        <v>52.2</v>
      </c>
      <c r="AZ531" s="17">
        <v>68.270130774641927</v>
      </c>
      <c r="BA531" s="17"/>
      <c r="BB531" s="17">
        <v>36</v>
      </c>
      <c r="BC531" s="17"/>
      <c r="BD531" s="17"/>
      <c r="BE531" s="17"/>
      <c r="BF531" s="17"/>
      <c r="BG531" s="17"/>
      <c r="BH531" s="17"/>
      <c r="BI531" s="17"/>
      <c r="BJ531" s="17"/>
      <c r="BK531" s="17"/>
      <c r="BL531" s="17"/>
      <c r="BM531" s="17"/>
      <c r="BN531" s="17"/>
      <c r="BO531" s="17"/>
      <c r="BP531" s="17"/>
      <c r="BQ531" s="17"/>
      <c r="BR531" s="17"/>
      <c r="BS531" s="17"/>
      <c r="BT531" s="17"/>
      <c r="BU531" s="17"/>
      <c r="BV531" s="17"/>
      <c r="BW531" s="17"/>
      <c r="BX531" s="17"/>
      <c r="BY531" s="17"/>
      <c r="BZ531" s="17"/>
      <c r="CA531" s="17"/>
      <c r="CB531" s="17"/>
      <c r="CC531" s="17"/>
      <c r="CD531" s="17"/>
      <c r="CE531" s="17"/>
      <c r="CF531" s="17"/>
      <c r="CG531" s="17"/>
      <c r="CH531" s="17"/>
    </row>
    <row r="532" spans="8:86" x14ac:dyDescent="0.15">
      <c r="H532" s="3">
        <f t="shared" si="237"/>
        <v>0.52000000000000035</v>
      </c>
      <c r="I532" s="3">
        <f t="shared" si="238"/>
        <v>360</v>
      </c>
      <c r="J532" s="14">
        <f t="shared" si="239"/>
        <v>500</v>
      </c>
      <c r="K532" s="3">
        <f t="shared" si="229"/>
        <v>0</v>
      </c>
      <c r="L532" s="3">
        <f t="shared" si="225"/>
        <v>500</v>
      </c>
      <c r="M532" s="15">
        <f t="shared" si="240"/>
        <v>7.0000000000000007E-2</v>
      </c>
      <c r="N532" s="3">
        <f t="shared" si="241"/>
        <v>61.714616777221508</v>
      </c>
      <c r="O532" s="3">
        <f t="shared" si="226"/>
        <v>61.714616777221508</v>
      </c>
      <c r="P532" s="3">
        <f t="shared" si="230"/>
        <v>66.359802986259695</v>
      </c>
      <c r="Q532" s="3">
        <f t="shared" si="231"/>
        <v>19.872572011754727</v>
      </c>
      <c r="R532" s="3">
        <f t="shared" si="232"/>
        <v>43.116187499007211</v>
      </c>
      <c r="S532" s="3">
        <f t="shared" si="227"/>
        <v>1</v>
      </c>
      <c r="T532" s="3">
        <f t="shared" si="233"/>
        <v>23243.615487252482</v>
      </c>
      <c r="U532" s="3">
        <f t="shared" si="234"/>
        <v>0.5</v>
      </c>
      <c r="V532" s="3">
        <f t="shared" si="235"/>
        <v>0</v>
      </c>
      <c r="W532" s="3">
        <f t="shared" si="236"/>
        <v>22217.262039799742</v>
      </c>
      <c r="X532" s="3">
        <f t="shared" si="228"/>
        <v>9936.286005877364</v>
      </c>
      <c r="AI532" s="3"/>
      <c r="AJ532" s="3"/>
      <c r="AK532" s="15">
        <f t="shared" si="219"/>
        <v>2</v>
      </c>
      <c r="AL532" s="11">
        <f t="shared" si="223"/>
        <v>3138</v>
      </c>
      <c r="AM532" s="11" t="b">
        <f t="shared" si="218"/>
        <v>0</v>
      </c>
      <c r="AN532" s="11">
        <f t="shared" si="220"/>
        <v>36000</v>
      </c>
      <c r="AO532" s="11">
        <f t="shared" si="221"/>
        <v>0</v>
      </c>
      <c r="AP532" s="11">
        <f t="shared" si="222"/>
        <v>0.68380362256123406</v>
      </c>
      <c r="AQ532" s="11">
        <f t="shared" si="224"/>
        <v>0</v>
      </c>
      <c r="AT532" s="3"/>
      <c r="AU532" s="17"/>
      <c r="AV532" s="19"/>
      <c r="AW532" s="17"/>
      <c r="AX532" s="17">
        <f t="shared" si="217"/>
        <v>523</v>
      </c>
      <c r="AY532" s="17">
        <f t="shared" ref="AY532:AY595" si="242">IF(ISNUMBER(AX532),IF(ROUND((AX532)*$AG$15*$AB$15,0) &lt;= 10080, ROUND((AX532)*$AG$15,0)*$AB$15/60, 168),168)</f>
        <v>52.3</v>
      </c>
      <c r="AZ532" s="17">
        <v>68.380362256123405</v>
      </c>
      <c r="BA532" s="17"/>
      <c r="BB532" s="17">
        <v>36</v>
      </c>
      <c r="BC532" s="17"/>
      <c r="BD532" s="17"/>
      <c r="BE532" s="17"/>
      <c r="BF532" s="17"/>
      <c r="BG532" s="17"/>
      <c r="BH532" s="17"/>
      <c r="BI532" s="17"/>
      <c r="BJ532" s="17"/>
      <c r="BK532" s="17"/>
      <c r="BL532" s="17"/>
      <c r="BM532" s="17"/>
      <c r="BN532" s="17"/>
      <c r="BO532" s="17"/>
      <c r="BP532" s="17"/>
      <c r="BQ532" s="17"/>
      <c r="BR532" s="17"/>
      <c r="BS532" s="17"/>
      <c r="BT532" s="17"/>
      <c r="BU532" s="17"/>
      <c r="BV532" s="17"/>
      <c r="BW532" s="17"/>
      <c r="BX532" s="17"/>
      <c r="BY532" s="17"/>
      <c r="BZ532" s="17"/>
      <c r="CA532" s="17"/>
      <c r="CB532" s="17"/>
      <c r="CC532" s="17"/>
      <c r="CD532" s="17"/>
      <c r="CE532" s="17"/>
      <c r="CF532" s="17"/>
      <c r="CG532" s="17"/>
      <c r="CH532" s="17"/>
    </row>
    <row r="533" spans="8:86" x14ac:dyDescent="0.15">
      <c r="H533" s="3">
        <f t="shared" si="237"/>
        <v>0.52100000000000035</v>
      </c>
      <c r="I533" s="3">
        <f t="shared" si="238"/>
        <v>360</v>
      </c>
      <c r="J533" s="14">
        <f t="shared" si="239"/>
        <v>500</v>
      </c>
      <c r="K533" s="3">
        <f t="shared" si="229"/>
        <v>0</v>
      </c>
      <c r="L533" s="3">
        <f t="shared" si="225"/>
        <v>500</v>
      </c>
      <c r="M533" s="15">
        <f t="shared" si="240"/>
        <v>7.0000000000000007E-2</v>
      </c>
      <c r="N533" s="3">
        <f t="shared" si="241"/>
        <v>61.650051178645803</v>
      </c>
      <c r="O533" s="3">
        <f t="shared" si="226"/>
        <v>61.650051178645803</v>
      </c>
      <c r="P533" s="3">
        <f t="shared" si="230"/>
        <v>66.290377611447099</v>
      </c>
      <c r="Q533" s="3">
        <f t="shared" si="231"/>
        <v>19.826084780780224</v>
      </c>
      <c r="R533" s="3">
        <f t="shared" si="232"/>
        <v>43.05823119611366</v>
      </c>
      <c r="S533" s="3">
        <f t="shared" si="227"/>
        <v>1</v>
      </c>
      <c r="T533" s="3">
        <f t="shared" si="233"/>
        <v>23232.146415333438</v>
      </c>
      <c r="U533" s="3">
        <f t="shared" si="234"/>
        <v>0.5</v>
      </c>
      <c r="V533" s="3">
        <f t="shared" si="235"/>
        <v>0</v>
      </c>
      <c r="W533" s="3">
        <f t="shared" si="236"/>
        <v>22194.01842431249</v>
      </c>
      <c r="X533" s="3">
        <f t="shared" si="228"/>
        <v>9913.0423903901119</v>
      </c>
      <c r="AI533" s="3"/>
      <c r="AJ533" s="3"/>
      <c r="AK533" s="15">
        <f t="shared" si="219"/>
        <v>2</v>
      </c>
      <c r="AL533" s="11">
        <f t="shared" si="223"/>
        <v>3144</v>
      </c>
      <c r="AM533" s="11" t="b">
        <f t="shared" si="218"/>
        <v>0</v>
      </c>
      <c r="AN533" s="11">
        <f t="shared" si="220"/>
        <v>36000</v>
      </c>
      <c r="AO533" s="11">
        <f t="shared" si="221"/>
        <v>0</v>
      </c>
      <c r="AP533" s="11">
        <f t="shared" si="222"/>
        <v>0.68490593737604888</v>
      </c>
      <c r="AQ533" s="11">
        <f t="shared" si="224"/>
        <v>0</v>
      </c>
      <c r="AT533" s="3"/>
      <c r="AU533" s="17"/>
      <c r="AV533" s="19"/>
      <c r="AW533" s="17"/>
      <c r="AX533" s="17">
        <f t="shared" si="217"/>
        <v>524</v>
      </c>
      <c r="AY533" s="17">
        <f t="shared" si="242"/>
        <v>52.4</v>
      </c>
      <c r="AZ533" s="17">
        <v>68.490593737604883</v>
      </c>
      <c r="BA533" s="17"/>
      <c r="BB533" s="17">
        <v>36</v>
      </c>
      <c r="BC533" s="17"/>
      <c r="BD533" s="17"/>
      <c r="BE533" s="17"/>
      <c r="BF533" s="17"/>
      <c r="BG533" s="17"/>
      <c r="BH533" s="17"/>
      <c r="BI533" s="17"/>
      <c r="BJ533" s="17"/>
      <c r="BK533" s="17"/>
      <c r="BL533" s="17"/>
      <c r="BM533" s="17"/>
      <c r="BN533" s="17"/>
      <c r="BO533" s="17"/>
      <c r="BP533" s="17"/>
      <c r="BQ533" s="17"/>
      <c r="BR533" s="17"/>
      <c r="BS533" s="17"/>
      <c r="BT533" s="17"/>
      <c r="BU533" s="17"/>
      <c r="BV533" s="17"/>
      <c r="BW533" s="17"/>
      <c r="BX533" s="17"/>
      <c r="BY533" s="17"/>
      <c r="BZ533" s="17"/>
      <c r="CA533" s="17"/>
      <c r="CB533" s="17"/>
      <c r="CC533" s="17"/>
      <c r="CD533" s="17"/>
      <c r="CE533" s="17"/>
      <c r="CF533" s="17"/>
      <c r="CG533" s="17"/>
      <c r="CH533" s="17"/>
    </row>
    <row r="534" spans="8:86" x14ac:dyDescent="0.15">
      <c r="H534" s="3">
        <f t="shared" si="237"/>
        <v>0.52200000000000035</v>
      </c>
      <c r="I534" s="3">
        <f t="shared" si="238"/>
        <v>360</v>
      </c>
      <c r="J534" s="14">
        <f t="shared" si="239"/>
        <v>500</v>
      </c>
      <c r="K534" s="3">
        <f t="shared" si="229"/>
        <v>0</v>
      </c>
      <c r="L534" s="3">
        <f t="shared" si="225"/>
        <v>500</v>
      </c>
      <c r="M534" s="15">
        <f t="shared" si="240"/>
        <v>7.0000000000000007E-2</v>
      </c>
      <c r="N534" s="3">
        <f t="shared" si="241"/>
        <v>61.585517438603219</v>
      </c>
      <c r="O534" s="3">
        <f t="shared" si="226"/>
        <v>61.585517438603219</v>
      </c>
      <c r="P534" s="3">
        <f t="shared" si="230"/>
        <v>66.220986493121742</v>
      </c>
      <c r="Q534" s="3">
        <f t="shared" si="231"/>
        <v>19.779620487949558</v>
      </c>
      <c r="R534" s="3">
        <f t="shared" si="232"/>
        <v>43.00030349053565</v>
      </c>
      <c r="S534" s="3">
        <f t="shared" si="227"/>
        <v>1</v>
      </c>
      <c r="T534" s="3">
        <f t="shared" si="233"/>
        <v>23220.683002586091</v>
      </c>
      <c r="U534" s="3">
        <f t="shared" si="234"/>
        <v>0.5</v>
      </c>
      <c r="V534" s="3">
        <f t="shared" si="235"/>
        <v>0</v>
      </c>
      <c r="W534" s="3">
        <f t="shared" si="236"/>
        <v>22170.786277897158</v>
      </c>
      <c r="X534" s="3">
        <f t="shared" si="228"/>
        <v>9889.8102439747781</v>
      </c>
      <c r="AI534" s="3"/>
      <c r="AJ534" s="3"/>
      <c r="AK534" s="15">
        <f t="shared" si="219"/>
        <v>2</v>
      </c>
      <c r="AL534" s="11">
        <f t="shared" si="223"/>
        <v>3150</v>
      </c>
      <c r="AM534" s="11" t="b">
        <f t="shared" si="218"/>
        <v>0</v>
      </c>
      <c r="AN534" s="11">
        <f t="shared" si="220"/>
        <v>36000</v>
      </c>
      <c r="AO534" s="11">
        <f t="shared" si="221"/>
        <v>0</v>
      </c>
      <c r="AP534" s="11">
        <f t="shared" si="222"/>
        <v>0.68600825219086381</v>
      </c>
      <c r="AQ534" s="11">
        <f t="shared" si="224"/>
        <v>0</v>
      </c>
      <c r="AT534" s="3"/>
      <c r="AU534" s="17"/>
      <c r="AV534" s="19"/>
      <c r="AW534" s="17"/>
      <c r="AX534" s="17">
        <f t="shared" si="217"/>
        <v>525</v>
      </c>
      <c r="AY534" s="17">
        <f t="shared" si="242"/>
        <v>52.5</v>
      </c>
      <c r="AZ534" s="17">
        <v>68.600825219086374</v>
      </c>
      <c r="BA534" s="17"/>
      <c r="BB534" s="17">
        <v>36</v>
      </c>
      <c r="BC534" s="17"/>
      <c r="BD534" s="17"/>
      <c r="BE534" s="17"/>
      <c r="BF534" s="17"/>
      <c r="BG534" s="17"/>
      <c r="BH534" s="17"/>
      <c r="BI534" s="17"/>
      <c r="BJ534" s="17"/>
      <c r="BK534" s="17"/>
      <c r="BL534" s="17"/>
      <c r="BM534" s="17"/>
      <c r="BN534" s="17"/>
      <c r="BO534" s="17"/>
      <c r="BP534" s="17"/>
      <c r="BQ534" s="17"/>
      <c r="BR534" s="17"/>
      <c r="BS534" s="17"/>
      <c r="BT534" s="17"/>
      <c r="BU534" s="17"/>
      <c r="BV534" s="17"/>
      <c r="BW534" s="17"/>
      <c r="BX534" s="17"/>
      <c r="BY534" s="17"/>
      <c r="BZ534" s="17"/>
      <c r="CA534" s="17"/>
      <c r="CB534" s="17"/>
      <c r="CC534" s="17"/>
      <c r="CD534" s="17"/>
      <c r="CE534" s="17"/>
      <c r="CF534" s="17"/>
      <c r="CG534" s="17"/>
      <c r="CH534" s="17"/>
    </row>
    <row r="535" spans="8:86" x14ac:dyDescent="0.15">
      <c r="H535" s="3">
        <f t="shared" si="237"/>
        <v>0.52300000000000035</v>
      </c>
      <c r="I535" s="3">
        <f t="shared" si="238"/>
        <v>360</v>
      </c>
      <c r="J535" s="14">
        <f t="shared" si="239"/>
        <v>500</v>
      </c>
      <c r="K535" s="3">
        <f t="shared" si="229"/>
        <v>0</v>
      </c>
      <c r="L535" s="3">
        <f t="shared" si="225"/>
        <v>500</v>
      </c>
      <c r="M535" s="15">
        <f t="shared" si="240"/>
        <v>7.0000000000000007E-2</v>
      </c>
      <c r="N535" s="3">
        <f t="shared" si="241"/>
        <v>61.521015541373806</v>
      </c>
      <c r="O535" s="3">
        <f t="shared" si="226"/>
        <v>61.521015541373806</v>
      </c>
      <c r="P535" s="3">
        <f t="shared" si="230"/>
        <v>66.15162961438044</v>
      </c>
      <c r="Q535" s="3">
        <f t="shared" si="231"/>
        <v>19.733179121944385</v>
      </c>
      <c r="R535" s="3">
        <f t="shared" si="232"/>
        <v>42.942404368162414</v>
      </c>
      <c r="S535" s="3">
        <f t="shared" si="227"/>
        <v>1</v>
      </c>
      <c r="T535" s="3">
        <f t="shared" si="233"/>
        <v>23209.225246218026</v>
      </c>
      <c r="U535" s="3">
        <f t="shared" si="234"/>
        <v>0.5</v>
      </c>
      <c r="V535" s="3">
        <f t="shared" si="235"/>
        <v>0</v>
      </c>
      <c r="W535" s="3">
        <f t="shared" si="236"/>
        <v>22147.565594894571</v>
      </c>
      <c r="X535" s="3">
        <f t="shared" si="228"/>
        <v>9866.589560972192</v>
      </c>
      <c r="AI535" s="3"/>
      <c r="AJ535" s="3"/>
      <c r="AK535" s="15">
        <f t="shared" si="219"/>
        <v>2</v>
      </c>
      <c r="AL535" s="11">
        <f t="shared" si="223"/>
        <v>3156</v>
      </c>
      <c r="AM535" s="11" t="b">
        <f t="shared" si="218"/>
        <v>0</v>
      </c>
      <c r="AN535" s="11">
        <f t="shared" si="220"/>
        <v>36000</v>
      </c>
      <c r="AO535" s="11">
        <f t="shared" si="221"/>
        <v>0</v>
      </c>
      <c r="AP535" s="11">
        <f t="shared" si="222"/>
        <v>0.68711056700567863</v>
      </c>
      <c r="AQ535" s="11">
        <f t="shared" si="224"/>
        <v>0</v>
      </c>
      <c r="AT535" s="3"/>
      <c r="AU535" s="17"/>
      <c r="AV535" s="19"/>
      <c r="AW535" s="17"/>
      <c r="AX535" s="17">
        <f t="shared" si="217"/>
        <v>526</v>
      </c>
      <c r="AY535" s="17">
        <f t="shared" si="242"/>
        <v>52.6</v>
      </c>
      <c r="AZ535" s="17">
        <v>68.711056700567866</v>
      </c>
      <c r="BA535" s="17"/>
      <c r="BB535" s="17">
        <v>36</v>
      </c>
      <c r="BC535" s="17"/>
      <c r="BD535" s="17"/>
      <c r="BE535" s="17"/>
      <c r="BF535" s="17"/>
      <c r="BG535" s="17"/>
      <c r="BH535" s="17"/>
      <c r="BI535" s="17"/>
      <c r="BJ535" s="17"/>
      <c r="BK535" s="17"/>
      <c r="BL535" s="17"/>
      <c r="BM535" s="17"/>
      <c r="BN535" s="17"/>
      <c r="BO535" s="17"/>
      <c r="BP535" s="17"/>
      <c r="BQ535" s="17"/>
      <c r="BR535" s="17"/>
      <c r="BS535" s="17"/>
      <c r="BT535" s="17"/>
      <c r="BU535" s="17"/>
      <c r="BV535" s="17"/>
      <c r="BW535" s="17"/>
      <c r="BX535" s="17"/>
      <c r="BY535" s="17"/>
      <c r="BZ535" s="17"/>
      <c r="CA535" s="17"/>
      <c r="CB535" s="17"/>
      <c r="CC535" s="17"/>
      <c r="CD535" s="17"/>
      <c r="CE535" s="17"/>
      <c r="CF535" s="17"/>
      <c r="CG535" s="17"/>
      <c r="CH535" s="17"/>
    </row>
    <row r="536" spans="8:86" x14ac:dyDescent="0.15">
      <c r="H536" s="3">
        <f t="shared" si="237"/>
        <v>0.52400000000000035</v>
      </c>
      <c r="I536" s="3">
        <f t="shared" si="238"/>
        <v>360</v>
      </c>
      <c r="J536" s="14">
        <f t="shared" si="239"/>
        <v>500</v>
      </c>
      <c r="K536" s="3">
        <f t="shared" si="229"/>
        <v>0</v>
      </c>
      <c r="L536" s="3">
        <f t="shared" si="225"/>
        <v>500</v>
      </c>
      <c r="M536" s="15">
        <f t="shared" si="240"/>
        <v>7.0000000000000007E-2</v>
      </c>
      <c r="N536" s="3">
        <f t="shared" si="241"/>
        <v>61.456545471245427</v>
      </c>
      <c r="O536" s="3">
        <f t="shared" si="226"/>
        <v>61.456545471245427</v>
      </c>
      <c r="P536" s="3">
        <f t="shared" si="230"/>
        <v>66.082306958328417</v>
      </c>
      <c r="Q536" s="3">
        <f t="shared" si="231"/>
        <v>19.686760671451946</v>
      </c>
      <c r="R536" s="3">
        <f t="shared" si="232"/>
        <v>42.884533814890183</v>
      </c>
      <c r="S536" s="3">
        <f t="shared" si="227"/>
        <v>1</v>
      </c>
      <c r="T536" s="3">
        <f t="shared" si="233"/>
        <v>23197.773143438233</v>
      </c>
      <c r="U536" s="3">
        <f t="shared" si="234"/>
        <v>0.5</v>
      </c>
      <c r="V536" s="3">
        <f t="shared" si="235"/>
        <v>0</v>
      </c>
      <c r="W536" s="3">
        <f t="shared" si="236"/>
        <v>22124.356369648354</v>
      </c>
      <c r="X536" s="3">
        <f t="shared" si="228"/>
        <v>9843.3803357259731</v>
      </c>
      <c r="AI536" s="3"/>
      <c r="AJ536" s="3"/>
      <c r="AK536" s="15">
        <f t="shared" si="219"/>
        <v>2</v>
      </c>
      <c r="AL536" s="11">
        <f t="shared" si="223"/>
        <v>3162</v>
      </c>
      <c r="AM536" s="11" t="b">
        <f t="shared" si="218"/>
        <v>0</v>
      </c>
      <c r="AN536" s="11">
        <f t="shared" si="220"/>
        <v>36000</v>
      </c>
      <c r="AO536" s="11">
        <f t="shared" si="221"/>
        <v>0</v>
      </c>
      <c r="AP536" s="11">
        <f t="shared" si="222"/>
        <v>0.68821288182049345</v>
      </c>
      <c r="AQ536" s="11">
        <f t="shared" si="224"/>
        <v>0</v>
      </c>
      <c r="AT536" s="3"/>
      <c r="AU536" s="17"/>
      <c r="AV536" s="19"/>
      <c r="AW536" s="17"/>
      <c r="AX536" s="17">
        <f t="shared" si="217"/>
        <v>527</v>
      </c>
      <c r="AY536" s="17">
        <f t="shared" si="242"/>
        <v>52.7</v>
      </c>
      <c r="AZ536" s="17">
        <v>68.821288182049344</v>
      </c>
      <c r="BA536" s="17"/>
      <c r="BB536" s="17">
        <v>36</v>
      </c>
      <c r="BC536" s="17"/>
      <c r="BD536" s="17"/>
      <c r="BE536" s="17"/>
      <c r="BF536" s="17"/>
      <c r="BG536" s="17"/>
      <c r="BH536" s="17"/>
      <c r="BI536" s="17"/>
      <c r="BJ536" s="17"/>
      <c r="BK536" s="17"/>
      <c r="BL536" s="17"/>
      <c r="BM536" s="17"/>
      <c r="BN536" s="17"/>
      <c r="BO536" s="17"/>
      <c r="BP536" s="17"/>
      <c r="BQ536" s="17"/>
      <c r="BR536" s="17"/>
      <c r="BS536" s="17"/>
      <c r="BT536" s="17"/>
      <c r="BU536" s="17"/>
      <c r="BV536" s="17"/>
      <c r="BW536" s="17"/>
      <c r="BX536" s="17"/>
      <c r="BY536" s="17"/>
      <c r="BZ536" s="17"/>
      <c r="CA536" s="17"/>
      <c r="CB536" s="17"/>
      <c r="CC536" s="17"/>
      <c r="CD536" s="17"/>
      <c r="CE536" s="17"/>
      <c r="CF536" s="17"/>
      <c r="CG536" s="17"/>
      <c r="CH536" s="17"/>
    </row>
    <row r="537" spans="8:86" x14ac:dyDescent="0.15">
      <c r="H537" s="3">
        <f t="shared" si="237"/>
        <v>0.52500000000000036</v>
      </c>
      <c r="I537" s="3">
        <f t="shared" si="238"/>
        <v>360</v>
      </c>
      <c r="J537" s="14">
        <f t="shared" si="239"/>
        <v>500</v>
      </c>
      <c r="K537" s="3">
        <f t="shared" si="229"/>
        <v>0</v>
      </c>
      <c r="L537" s="3">
        <f t="shared" si="225"/>
        <v>500</v>
      </c>
      <c r="M537" s="15">
        <f t="shared" si="240"/>
        <v>7.0000000000000007E-2</v>
      </c>
      <c r="N537" s="3">
        <f t="shared" si="241"/>
        <v>61.392107212513658</v>
      </c>
      <c r="O537" s="3">
        <f t="shared" si="226"/>
        <v>61.392107212513658</v>
      </c>
      <c r="P537" s="3">
        <f t="shared" si="230"/>
        <v>66.013018508079213</v>
      </c>
      <c r="Q537" s="3">
        <f t="shared" si="231"/>
        <v>19.640365125165069</v>
      </c>
      <c r="R537" s="3">
        <f t="shared" si="232"/>
        <v>42.826691816622144</v>
      </c>
      <c r="S537" s="3">
        <f t="shared" si="227"/>
        <v>1</v>
      </c>
      <c r="T537" s="3">
        <f t="shared" si="233"/>
        <v>23186.326691457074</v>
      </c>
      <c r="U537" s="3">
        <f t="shared" si="234"/>
        <v>0.5</v>
      </c>
      <c r="V537" s="3">
        <f t="shared" si="235"/>
        <v>0</v>
      </c>
      <c r="W537" s="3">
        <f t="shared" si="236"/>
        <v>22101.158596504916</v>
      </c>
      <c r="X537" s="3">
        <f t="shared" si="228"/>
        <v>9820.182562582535</v>
      </c>
      <c r="AI537" s="3"/>
      <c r="AJ537" s="3"/>
      <c r="AK537" s="15">
        <f t="shared" si="219"/>
        <v>2</v>
      </c>
      <c r="AL537" s="11">
        <f t="shared" si="223"/>
        <v>3168</v>
      </c>
      <c r="AM537" s="11" t="b">
        <f t="shared" si="218"/>
        <v>0</v>
      </c>
      <c r="AN537" s="11">
        <f t="shared" si="220"/>
        <v>36000</v>
      </c>
      <c r="AO537" s="11">
        <f t="shared" si="221"/>
        <v>0</v>
      </c>
      <c r="AP537" s="11">
        <f t="shared" si="222"/>
        <v>0.68931519663530827</v>
      </c>
      <c r="AQ537" s="11">
        <f t="shared" si="224"/>
        <v>0</v>
      </c>
      <c r="AT537" s="3"/>
      <c r="AU537" s="17"/>
      <c r="AV537" s="19"/>
      <c r="AW537" s="17"/>
      <c r="AX537" s="17">
        <f t="shared" si="217"/>
        <v>528</v>
      </c>
      <c r="AY537" s="17">
        <f t="shared" si="242"/>
        <v>52.8</v>
      </c>
      <c r="AZ537" s="17">
        <v>68.931519663530821</v>
      </c>
      <c r="BA537" s="17"/>
      <c r="BB537" s="17">
        <v>36</v>
      </c>
      <c r="BC537" s="17"/>
      <c r="BD537" s="17"/>
      <c r="BE537" s="17"/>
      <c r="BF537" s="17"/>
      <c r="BG537" s="17"/>
      <c r="BH537" s="17"/>
      <c r="BI537" s="17"/>
      <c r="BJ537" s="17"/>
      <c r="BK537" s="17"/>
      <c r="BL537" s="17"/>
      <c r="BM537" s="17"/>
      <c r="BN537" s="17"/>
      <c r="BO537" s="17"/>
      <c r="BP537" s="17"/>
      <c r="BQ537" s="17"/>
      <c r="BR537" s="17"/>
      <c r="BS537" s="17"/>
      <c r="BT537" s="17"/>
      <c r="BU537" s="17"/>
      <c r="BV537" s="17"/>
      <c r="BW537" s="17"/>
      <c r="BX537" s="17"/>
      <c r="BY537" s="17"/>
      <c r="BZ537" s="17"/>
      <c r="CA537" s="17"/>
      <c r="CB537" s="17"/>
      <c r="CC537" s="17"/>
      <c r="CD537" s="17"/>
      <c r="CE537" s="17"/>
      <c r="CF537" s="17"/>
      <c r="CG537" s="17"/>
      <c r="CH537" s="17"/>
    </row>
    <row r="538" spans="8:86" x14ac:dyDescent="0.15">
      <c r="H538" s="3">
        <f t="shared" si="237"/>
        <v>0.52600000000000036</v>
      </c>
      <c r="I538" s="3">
        <f t="shared" si="238"/>
        <v>360</v>
      </c>
      <c r="J538" s="14">
        <f t="shared" si="239"/>
        <v>500</v>
      </c>
      <c r="K538" s="3">
        <f t="shared" si="229"/>
        <v>0</v>
      </c>
      <c r="L538" s="3">
        <f t="shared" si="225"/>
        <v>500</v>
      </c>
      <c r="M538" s="15">
        <f t="shared" si="240"/>
        <v>7.0000000000000007E-2</v>
      </c>
      <c r="N538" s="3">
        <f t="shared" si="241"/>
        <v>61.327700749481828</v>
      </c>
      <c r="O538" s="3">
        <f t="shared" si="226"/>
        <v>61.327700749481828</v>
      </c>
      <c r="P538" s="3">
        <f t="shared" si="230"/>
        <v>65.943764246754654</v>
      </c>
      <c r="Q538" s="3">
        <f t="shared" si="231"/>
        <v>19.593992471782155</v>
      </c>
      <c r="R538" s="3">
        <f t="shared" si="232"/>
        <v>42.768878359268406</v>
      </c>
      <c r="S538" s="3">
        <f t="shared" si="227"/>
        <v>1</v>
      </c>
      <c r="T538" s="3">
        <f t="shared" si="233"/>
        <v>23174.885887486249</v>
      </c>
      <c r="U538" s="3">
        <f t="shared" si="234"/>
        <v>0.5</v>
      </c>
      <c r="V538" s="3">
        <f t="shared" si="235"/>
        <v>0</v>
      </c>
      <c r="W538" s="3">
        <f t="shared" si="236"/>
        <v>22077.972269813457</v>
      </c>
      <c r="X538" s="3">
        <f t="shared" si="228"/>
        <v>9796.996235891078</v>
      </c>
      <c r="AI538" s="3"/>
      <c r="AJ538" s="3"/>
      <c r="AK538" s="15">
        <f t="shared" si="219"/>
        <v>2</v>
      </c>
      <c r="AL538" s="11">
        <f t="shared" si="223"/>
        <v>3174</v>
      </c>
      <c r="AM538" s="11" t="b">
        <f t="shared" si="218"/>
        <v>0</v>
      </c>
      <c r="AN538" s="11">
        <f t="shared" si="220"/>
        <v>36000</v>
      </c>
      <c r="AO538" s="11">
        <f t="shared" si="221"/>
        <v>0</v>
      </c>
      <c r="AP538" s="11">
        <f t="shared" si="222"/>
        <v>0.69041751145012309</v>
      </c>
      <c r="AQ538" s="11">
        <f t="shared" si="224"/>
        <v>0</v>
      </c>
      <c r="AT538" s="3"/>
      <c r="AU538" s="17"/>
      <c r="AV538" s="19"/>
      <c r="AW538" s="17"/>
      <c r="AX538" s="17">
        <f t="shared" si="217"/>
        <v>529</v>
      </c>
      <c r="AY538" s="17">
        <f t="shared" si="242"/>
        <v>52.9</v>
      </c>
      <c r="AZ538" s="17">
        <v>69.041751145012313</v>
      </c>
      <c r="BA538" s="17"/>
      <c r="BB538" s="17">
        <v>36</v>
      </c>
      <c r="BC538" s="17"/>
      <c r="BD538" s="17"/>
      <c r="BE538" s="17"/>
      <c r="BF538" s="17"/>
      <c r="BG538" s="17"/>
      <c r="BH538" s="17"/>
      <c r="BI538" s="17"/>
      <c r="BJ538" s="17"/>
      <c r="BK538" s="17"/>
      <c r="BL538" s="17"/>
      <c r="BM538" s="17"/>
      <c r="BN538" s="17"/>
      <c r="BO538" s="17"/>
      <c r="BP538" s="17"/>
      <c r="BQ538" s="17"/>
      <c r="BR538" s="17"/>
      <c r="BS538" s="17"/>
      <c r="BT538" s="17"/>
      <c r="BU538" s="17"/>
      <c r="BV538" s="17"/>
      <c r="BW538" s="17"/>
      <c r="BX538" s="17"/>
      <c r="BY538" s="17"/>
      <c r="BZ538" s="17"/>
      <c r="CA538" s="17"/>
      <c r="CB538" s="17"/>
      <c r="CC538" s="17"/>
      <c r="CD538" s="17"/>
      <c r="CE538" s="17"/>
      <c r="CF538" s="17"/>
      <c r="CG538" s="17"/>
      <c r="CH538" s="17"/>
    </row>
    <row r="539" spans="8:86" x14ac:dyDescent="0.15">
      <c r="H539" s="3">
        <f t="shared" si="237"/>
        <v>0.52700000000000036</v>
      </c>
      <c r="I539" s="3">
        <f t="shared" si="238"/>
        <v>360</v>
      </c>
      <c r="J539" s="14">
        <f t="shared" si="239"/>
        <v>500</v>
      </c>
      <c r="K539" s="3">
        <f t="shared" si="229"/>
        <v>0</v>
      </c>
      <c r="L539" s="3">
        <f t="shared" si="225"/>
        <v>500</v>
      </c>
      <c r="M539" s="15">
        <f t="shared" si="240"/>
        <v>7.0000000000000007E-2</v>
      </c>
      <c r="N539" s="3">
        <f t="shared" si="241"/>
        <v>61.263326066461033</v>
      </c>
      <c r="O539" s="3">
        <f t="shared" si="226"/>
        <v>61.263326066461033</v>
      </c>
      <c r="P539" s="3">
        <f t="shared" si="230"/>
        <v>65.874544157484991</v>
      </c>
      <c r="Q539" s="3">
        <f t="shared" si="231"/>
        <v>19.547642700007181</v>
      </c>
      <c r="R539" s="3">
        <f t="shared" si="232"/>
        <v>42.711093428746082</v>
      </c>
      <c r="S539" s="3">
        <f t="shared" si="227"/>
        <v>1</v>
      </c>
      <c r="T539" s="3">
        <f t="shared" si="233"/>
        <v>23163.450728738906</v>
      </c>
      <c r="U539" s="3">
        <f t="shared" si="234"/>
        <v>0.5</v>
      </c>
      <c r="V539" s="3">
        <f t="shared" si="235"/>
        <v>0</v>
      </c>
      <c r="W539" s="3">
        <f t="shared" si="236"/>
        <v>22054.797383925972</v>
      </c>
      <c r="X539" s="3">
        <f t="shared" si="228"/>
        <v>9773.8213500035909</v>
      </c>
      <c r="AI539" s="3"/>
      <c r="AJ539" s="3"/>
      <c r="AK539" s="15">
        <f t="shared" si="219"/>
        <v>2</v>
      </c>
      <c r="AL539" s="11">
        <f t="shared" si="223"/>
        <v>3180</v>
      </c>
      <c r="AM539" s="11" t="b">
        <f t="shared" si="218"/>
        <v>0</v>
      </c>
      <c r="AN539" s="11">
        <f t="shared" si="220"/>
        <v>36000</v>
      </c>
      <c r="AO539" s="11">
        <f t="shared" si="221"/>
        <v>0</v>
      </c>
      <c r="AP539" s="11">
        <f t="shared" si="222"/>
        <v>0.69151982626493802</v>
      </c>
      <c r="AQ539" s="11">
        <f t="shared" si="224"/>
        <v>0</v>
      </c>
      <c r="AT539" s="3"/>
      <c r="AU539" s="17"/>
      <c r="AV539" s="19"/>
      <c r="AW539" s="17"/>
      <c r="AX539" s="17">
        <f t="shared" si="217"/>
        <v>530</v>
      </c>
      <c r="AY539" s="17">
        <f t="shared" si="242"/>
        <v>53</v>
      </c>
      <c r="AZ539" s="17">
        <v>69.151982626493805</v>
      </c>
      <c r="BA539" s="17"/>
      <c r="BB539" s="17">
        <v>36</v>
      </c>
      <c r="BC539" s="17"/>
      <c r="BD539" s="17"/>
      <c r="BE539" s="17"/>
      <c r="BF539" s="17"/>
      <c r="BG539" s="17"/>
      <c r="BH539" s="17"/>
      <c r="BI539" s="17"/>
      <c r="BJ539" s="17"/>
      <c r="BK539" s="17"/>
      <c r="BL539" s="17"/>
      <c r="BM539" s="17"/>
      <c r="BN539" s="17"/>
      <c r="BO539" s="17"/>
      <c r="BP539" s="17"/>
      <c r="BQ539" s="17"/>
      <c r="BR539" s="17"/>
      <c r="BS539" s="17"/>
      <c r="BT539" s="17"/>
      <c r="BU539" s="17"/>
      <c r="BV539" s="17"/>
      <c r="BW539" s="17"/>
      <c r="BX539" s="17"/>
      <c r="BY539" s="17"/>
      <c r="BZ539" s="17"/>
      <c r="CA539" s="17"/>
      <c r="CB539" s="17"/>
      <c r="CC539" s="17"/>
      <c r="CD539" s="17"/>
      <c r="CE539" s="17"/>
      <c r="CF539" s="17"/>
      <c r="CG539" s="17"/>
      <c r="CH539" s="17"/>
    </row>
    <row r="540" spans="8:86" x14ac:dyDescent="0.15">
      <c r="H540" s="3">
        <f t="shared" si="237"/>
        <v>0.52800000000000036</v>
      </c>
      <c r="I540" s="3">
        <f t="shared" si="238"/>
        <v>360</v>
      </c>
      <c r="J540" s="14">
        <f t="shared" si="239"/>
        <v>500</v>
      </c>
      <c r="K540" s="3">
        <f t="shared" si="229"/>
        <v>0</v>
      </c>
      <c r="L540" s="3">
        <f t="shared" si="225"/>
        <v>500</v>
      </c>
      <c r="M540" s="15">
        <f t="shared" si="240"/>
        <v>7.0000000000000007E-2</v>
      </c>
      <c r="N540" s="3">
        <f t="shared" si="241"/>
        <v>61.198983147770093</v>
      </c>
      <c r="O540" s="3">
        <f t="shared" si="226"/>
        <v>61.198983147770093</v>
      </c>
      <c r="P540" s="3">
        <f t="shared" si="230"/>
        <v>65.805358223408703</v>
      </c>
      <c r="Q540" s="3">
        <f t="shared" si="231"/>
        <v>19.501315798549705</v>
      </c>
      <c r="R540" s="3">
        <f t="shared" si="232"/>
        <v>42.6533370109792</v>
      </c>
      <c r="S540" s="3">
        <f t="shared" si="227"/>
        <v>1</v>
      </c>
      <c r="T540" s="3">
        <f t="shared" si="233"/>
        <v>23152.021212429499</v>
      </c>
      <c r="U540" s="3">
        <f t="shared" si="234"/>
        <v>0.5</v>
      </c>
      <c r="V540" s="3">
        <f t="shared" si="235"/>
        <v>0</v>
      </c>
      <c r="W540" s="3">
        <f t="shared" si="236"/>
        <v>22031.633933197234</v>
      </c>
      <c r="X540" s="3">
        <f t="shared" si="228"/>
        <v>9750.6578992748528</v>
      </c>
      <c r="AI540" s="3"/>
      <c r="AJ540" s="3"/>
      <c r="AK540" s="15">
        <f t="shared" si="219"/>
        <v>2</v>
      </c>
      <c r="AL540" s="11">
        <f t="shared" si="223"/>
        <v>3186</v>
      </c>
      <c r="AM540" s="11" t="b">
        <f t="shared" si="218"/>
        <v>0</v>
      </c>
      <c r="AN540" s="11">
        <f t="shared" si="220"/>
        <v>36000</v>
      </c>
      <c r="AO540" s="11">
        <f t="shared" si="221"/>
        <v>0</v>
      </c>
      <c r="AP540" s="11">
        <f t="shared" si="222"/>
        <v>0.69262214107975284</v>
      </c>
      <c r="AQ540" s="11">
        <f t="shared" si="224"/>
        <v>0</v>
      </c>
      <c r="AT540" s="3"/>
      <c r="AU540" s="17"/>
      <c r="AV540" s="19"/>
      <c r="AW540" s="17"/>
      <c r="AX540" s="17">
        <f t="shared" si="217"/>
        <v>531</v>
      </c>
      <c r="AY540" s="17">
        <f t="shared" si="242"/>
        <v>53.1</v>
      </c>
      <c r="AZ540" s="17">
        <v>69.262214107975282</v>
      </c>
      <c r="BA540" s="17"/>
      <c r="BB540" s="17">
        <v>36</v>
      </c>
      <c r="BC540" s="17"/>
      <c r="BD540" s="17"/>
      <c r="BE540" s="17"/>
      <c r="BF540" s="17"/>
      <c r="BG540" s="17"/>
      <c r="BH540" s="17"/>
      <c r="BI540" s="17"/>
      <c r="BJ540" s="17"/>
      <c r="BK540" s="17"/>
      <c r="BL540" s="17"/>
      <c r="BM540" s="17"/>
      <c r="BN540" s="17"/>
      <c r="BO540" s="17"/>
      <c r="BP540" s="17"/>
      <c r="BQ540" s="17"/>
      <c r="BR540" s="17"/>
      <c r="BS540" s="17"/>
      <c r="BT540" s="17"/>
      <c r="BU540" s="17"/>
      <c r="BV540" s="17"/>
      <c r="BW540" s="17"/>
      <c r="BX540" s="17"/>
      <c r="BY540" s="17"/>
      <c r="BZ540" s="17"/>
      <c r="CA540" s="17"/>
      <c r="CB540" s="17"/>
      <c r="CC540" s="17"/>
      <c r="CD540" s="17"/>
      <c r="CE540" s="17"/>
      <c r="CF540" s="17"/>
      <c r="CG540" s="17"/>
      <c r="CH540" s="17"/>
    </row>
    <row r="541" spans="8:86" x14ac:dyDescent="0.15">
      <c r="H541" s="3">
        <f t="shared" si="237"/>
        <v>0.52900000000000036</v>
      </c>
      <c r="I541" s="3">
        <f t="shared" si="238"/>
        <v>360</v>
      </c>
      <c r="J541" s="14">
        <f t="shared" si="239"/>
        <v>500</v>
      </c>
      <c r="K541" s="3">
        <f t="shared" si="229"/>
        <v>0</v>
      </c>
      <c r="L541" s="3">
        <f t="shared" si="225"/>
        <v>500</v>
      </c>
      <c r="M541" s="15">
        <f t="shared" si="240"/>
        <v>7.0000000000000007E-2</v>
      </c>
      <c r="N541" s="3">
        <f t="shared" si="241"/>
        <v>61.134671977735564</v>
      </c>
      <c r="O541" s="3">
        <f t="shared" si="226"/>
        <v>61.134671977735564</v>
      </c>
      <c r="P541" s="3">
        <f t="shared" si="230"/>
        <v>65.736206427672656</v>
      </c>
      <c r="Q541" s="3">
        <f t="shared" si="231"/>
        <v>19.455011756124847</v>
      </c>
      <c r="R541" s="3">
        <f t="shared" si="232"/>
        <v>42.595609091898751</v>
      </c>
      <c r="S541" s="3">
        <f t="shared" si="227"/>
        <v>1</v>
      </c>
      <c r="T541" s="3">
        <f t="shared" si="233"/>
        <v>23140.597335773906</v>
      </c>
      <c r="U541" s="3">
        <f t="shared" si="234"/>
        <v>0.5</v>
      </c>
      <c r="V541" s="3">
        <f t="shared" si="235"/>
        <v>0</v>
      </c>
      <c r="W541" s="3">
        <f t="shared" si="236"/>
        <v>22008.481911984803</v>
      </c>
      <c r="X541" s="3">
        <f t="shared" si="228"/>
        <v>9727.505878062424</v>
      </c>
      <c r="AI541" s="3"/>
      <c r="AJ541" s="3"/>
      <c r="AK541" s="15">
        <f t="shared" si="219"/>
        <v>2</v>
      </c>
      <c r="AL541" s="11">
        <f t="shared" si="223"/>
        <v>3192</v>
      </c>
      <c r="AM541" s="11" t="b">
        <f t="shared" si="218"/>
        <v>0</v>
      </c>
      <c r="AN541" s="11">
        <f t="shared" si="220"/>
        <v>36000</v>
      </c>
      <c r="AO541" s="11">
        <f t="shared" si="221"/>
        <v>0</v>
      </c>
      <c r="AP541" s="11">
        <f t="shared" si="222"/>
        <v>0.69372445589456766</v>
      </c>
      <c r="AQ541" s="11">
        <f t="shared" si="224"/>
        <v>0</v>
      </c>
      <c r="AT541" s="3"/>
      <c r="AU541" s="17"/>
      <c r="AV541" s="19"/>
      <c r="AW541" s="17"/>
      <c r="AX541" s="17">
        <f t="shared" si="217"/>
        <v>532</v>
      </c>
      <c r="AY541" s="17">
        <f t="shared" si="242"/>
        <v>53.2</v>
      </c>
      <c r="AZ541" s="17">
        <v>69.37244558945676</v>
      </c>
      <c r="BA541" s="17"/>
      <c r="BB541" s="17">
        <v>36</v>
      </c>
      <c r="BC541" s="17"/>
      <c r="BD541" s="17"/>
      <c r="BE541" s="17"/>
      <c r="BF541" s="17"/>
      <c r="BG541" s="17"/>
      <c r="BH541" s="17"/>
      <c r="BI541" s="17"/>
      <c r="BJ541" s="17"/>
      <c r="BK541" s="17"/>
      <c r="BL541" s="17"/>
      <c r="BM541" s="17"/>
      <c r="BN541" s="17"/>
      <c r="BO541" s="17"/>
      <c r="BP541" s="17"/>
      <c r="BQ541" s="17"/>
      <c r="BR541" s="17"/>
      <c r="BS541" s="17"/>
      <c r="BT541" s="17"/>
      <c r="BU541" s="17"/>
      <c r="BV541" s="17"/>
      <c r="BW541" s="17"/>
      <c r="BX541" s="17"/>
      <c r="BY541" s="17"/>
      <c r="BZ541" s="17"/>
      <c r="CA541" s="17"/>
      <c r="CB541" s="17"/>
      <c r="CC541" s="17"/>
      <c r="CD541" s="17"/>
      <c r="CE541" s="17"/>
      <c r="CF541" s="17"/>
      <c r="CG541" s="17"/>
      <c r="CH541" s="17"/>
    </row>
    <row r="542" spans="8:86" x14ac:dyDescent="0.15">
      <c r="H542" s="3">
        <f t="shared" si="237"/>
        <v>0.53000000000000036</v>
      </c>
      <c r="I542" s="3">
        <f t="shared" si="238"/>
        <v>360</v>
      </c>
      <c r="J542" s="14">
        <f t="shared" si="239"/>
        <v>500</v>
      </c>
      <c r="K542" s="3">
        <f t="shared" si="229"/>
        <v>0</v>
      </c>
      <c r="L542" s="3">
        <f t="shared" si="225"/>
        <v>500</v>
      </c>
      <c r="M542" s="15">
        <f t="shared" si="240"/>
        <v>7.0000000000000007E-2</v>
      </c>
      <c r="N542" s="3">
        <f t="shared" si="241"/>
        <v>61.070392540691756</v>
      </c>
      <c r="O542" s="3">
        <f t="shared" si="226"/>
        <v>61.070392540691756</v>
      </c>
      <c r="P542" s="3">
        <f t="shared" si="230"/>
        <v>65.667088753431997</v>
      </c>
      <c r="Q542" s="3">
        <f t="shared" si="231"/>
        <v>19.4087305614533</v>
      </c>
      <c r="R542" s="3">
        <f t="shared" si="232"/>
        <v>42.537909657442647</v>
      </c>
      <c r="S542" s="3">
        <f t="shared" si="227"/>
        <v>1</v>
      </c>
      <c r="T542" s="3">
        <f t="shared" si="233"/>
        <v>23129.179095989351</v>
      </c>
      <c r="U542" s="3">
        <f t="shared" si="234"/>
        <v>0.5</v>
      </c>
      <c r="V542" s="3">
        <f t="shared" si="235"/>
        <v>0</v>
      </c>
      <c r="W542" s="3">
        <f t="shared" si="236"/>
        <v>21985.341314649031</v>
      </c>
      <c r="X542" s="3">
        <f t="shared" si="228"/>
        <v>9704.3652807266499</v>
      </c>
      <c r="AI542" s="3"/>
      <c r="AJ542" s="3"/>
      <c r="AK542" s="15">
        <f t="shared" si="219"/>
        <v>2</v>
      </c>
      <c r="AL542" s="11">
        <f t="shared" si="223"/>
        <v>3198</v>
      </c>
      <c r="AM542" s="11" t="b">
        <f t="shared" si="218"/>
        <v>0</v>
      </c>
      <c r="AN542" s="11">
        <f t="shared" si="220"/>
        <v>36000</v>
      </c>
      <c r="AO542" s="11">
        <f t="shared" si="221"/>
        <v>0</v>
      </c>
      <c r="AP542" s="11">
        <f t="shared" si="222"/>
        <v>0.69482677070938248</v>
      </c>
      <c r="AQ542" s="11">
        <f t="shared" si="224"/>
        <v>0</v>
      </c>
      <c r="AT542" s="3"/>
      <c r="AU542" s="17"/>
      <c r="AV542" s="19"/>
      <c r="AW542" s="17"/>
      <c r="AX542" s="17">
        <f t="shared" si="217"/>
        <v>533</v>
      </c>
      <c r="AY542" s="17">
        <f t="shared" si="242"/>
        <v>53.3</v>
      </c>
      <c r="AZ542" s="17">
        <v>69.482677070938252</v>
      </c>
      <c r="BA542" s="17"/>
      <c r="BB542" s="17">
        <v>36</v>
      </c>
      <c r="BC542" s="17"/>
      <c r="BD542" s="17"/>
      <c r="BE542" s="17"/>
      <c r="BF542" s="17"/>
      <c r="BG542" s="17"/>
      <c r="BH542" s="17"/>
      <c r="BI542" s="17"/>
      <c r="BJ542" s="17"/>
      <c r="BK542" s="17"/>
      <c r="BL542" s="17"/>
      <c r="BM542" s="17"/>
      <c r="BN542" s="17"/>
      <c r="BO542" s="17"/>
      <c r="BP542" s="17"/>
      <c r="BQ542" s="17"/>
      <c r="BR542" s="17"/>
      <c r="BS542" s="17"/>
      <c r="BT542" s="17"/>
      <c r="BU542" s="17"/>
      <c r="BV542" s="17"/>
      <c r="BW542" s="17"/>
      <c r="BX542" s="17"/>
      <c r="BY542" s="17"/>
      <c r="BZ542" s="17"/>
      <c r="CA542" s="17"/>
      <c r="CB542" s="17"/>
      <c r="CC542" s="17"/>
      <c r="CD542" s="17"/>
      <c r="CE542" s="17"/>
      <c r="CF542" s="17"/>
      <c r="CG542" s="17"/>
      <c r="CH542" s="17"/>
    </row>
    <row r="543" spans="8:86" x14ac:dyDescent="0.15">
      <c r="H543" s="3">
        <f t="shared" si="237"/>
        <v>0.53100000000000036</v>
      </c>
      <c r="I543" s="3">
        <f t="shared" si="238"/>
        <v>360</v>
      </c>
      <c r="J543" s="14">
        <f t="shared" si="239"/>
        <v>500</v>
      </c>
      <c r="K543" s="3">
        <f t="shared" si="229"/>
        <v>0</v>
      </c>
      <c r="L543" s="3">
        <f t="shared" si="225"/>
        <v>500</v>
      </c>
      <c r="M543" s="15">
        <f t="shared" si="240"/>
        <v>7.0000000000000007E-2</v>
      </c>
      <c r="N543" s="3">
        <f t="shared" si="241"/>
        <v>61.00614482098068</v>
      </c>
      <c r="O543" s="3">
        <f t="shared" si="226"/>
        <v>61.00614482098068</v>
      </c>
      <c r="P543" s="3">
        <f t="shared" si="230"/>
        <v>65.598005183850191</v>
      </c>
      <c r="Q543" s="3">
        <f t="shared" si="231"/>
        <v>19.362472203261319</v>
      </c>
      <c r="R543" s="3">
        <f t="shared" si="232"/>
        <v>42.480238693555755</v>
      </c>
      <c r="S543" s="3">
        <f t="shared" si="227"/>
        <v>1</v>
      </c>
      <c r="T543" s="3">
        <f t="shared" si="233"/>
        <v>23117.766490294434</v>
      </c>
      <c r="U543" s="3">
        <f t="shared" si="234"/>
        <v>0.5</v>
      </c>
      <c r="V543" s="3">
        <f t="shared" si="235"/>
        <v>0</v>
      </c>
      <c r="W543" s="3">
        <f t="shared" si="236"/>
        <v>21962.212135553043</v>
      </c>
      <c r="X543" s="3">
        <f t="shared" si="228"/>
        <v>9681.2361016306604</v>
      </c>
      <c r="AI543" s="3"/>
      <c r="AJ543" s="3"/>
      <c r="AK543" s="15">
        <f t="shared" si="219"/>
        <v>2</v>
      </c>
      <c r="AL543" s="11">
        <f t="shared" si="223"/>
        <v>3204</v>
      </c>
      <c r="AM543" s="11" t="b">
        <f t="shared" si="218"/>
        <v>0</v>
      </c>
      <c r="AN543" s="11">
        <f t="shared" si="220"/>
        <v>36000</v>
      </c>
      <c r="AO543" s="11">
        <f t="shared" si="221"/>
        <v>0</v>
      </c>
      <c r="AP543" s="11">
        <f t="shared" si="222"/>
        <v>0.6959290855241973</v>
      </c>
      <c r="AQ543" s="11">
        <f t="shared" si="224"/>
        <v>0</v>
      </c>
      <c r="AT543" s="3"/>
      <c r="AU543" s="17"/>
      <c r="AV543" s="19"/>
      <c r="AW543" s="17"/>
      <c r="AX543" s="17">
        <f t="shared" si="217"/>
        <v>534</v>
      </c>
      <c r="AY543" s="17">
        <f t="shared" si="242"/>
        <v>53.4</v>
      </c>
      <c r="AZ543" s="17">
        <v>69.592908552419729</v>
      </c>
      <c r="BA543" s="17"/>
      <c r="BB543" s="17">
        <v>36</v>
      </c>
      <c r="BC543" s="17"/>
      <c r="BD543" s="17"/>
      <c r="BE543" s="17"/>
      <c r="BF543" s="17"/>
      <c r="BG543" s="17"/>
      <c r="BH543" s="17"/>
      <c r="BI543" s="17"/>
      <c r="BJ543" s="17"/>
      <c r="BK543" s="17"/>
      <c r="BL543" s="17"/>
      <c r="BM543" s="17"/>
      <c r="BN543" s="17"/>
      <c r="BO543" s="17"/>
      <c r="BP543" s="17"/>
      <c r="BQ543" s="17"/>
      <c r="BR543" s="17"/>
      <c r="BS543" s="17"/>
      <c r="BT543" s="17"/>
      <c r="BU543" s="17"/>
      <c r="BV543" s="17"/>
      <c r="BW543" s="17"/>
      <c r="BX543" s="17"/>
      <c r="BY543" s="17"/>
      <c r="BZ543" s="17"/>
      <c r="CA543" s="17"/>
      <c r="CB543" s="17"/>
      <c r="CC543" s="17"/>
      <c r="CD543" s="17"/>
      <c r="CE543" s="17"/>
      <c r="CF543" s="17"/>
      <c r="CG543" s="17"/>
      <c r="CH543" s="17"/>
    </row>
    <row r="544" spans="8:86" x14ac:dyDescent="0.15">
      <c r="H544" s="3">
        <f t="shared" si="237"/>
        <v>0.53200000000000036</v>
      </c>
      <c r="I544" s="3">
        <f t="shared" si="238"/>
        <v>360</v>
      </c>
      <c r="J544" s="14">
        <f t="shared" si="239"/>
        <v>500</v>
      </c>
      <c r="K544" s="3">
        <f t="shared" si="229"/>
        <v>0</v>
      </c>
      <c r="L544" s="3">
        <f t="shared" si="225"/>
        <v>500</v>
      </c>
      <c r="M544" s="15">
        <f t="shared" si="240"/>
        <v>7.0000000000000007E-2</v>
      </c>
      <c r="N544" s="3">
        <f t="shared" si="241"/>
        <v>60.941928802952084</v>
      </c>
      <c r="O544" s="3">
        <f t="shared" si="226"/>
        <v>60.941928802952084</v>
      </c>
      <c r="P544" s="3">
        <f t="shared" si="230"/>
        <v>65.528955702099026</v>
      </c>
      <c r="Q544" s="3">
        <f t="shared" si="231"/>
        <v>19.31623667028073</v>
      </c>
      <c r="R544" s="3">
        <f t="shared" si="232"/>
        <v>42.422596186189878</v>
      </c>
      <c r="S544" s="3">
        <f t="shared" si="227"/>
        <v>1</v>
      </c>
      <c r="T544" s="3">
        <f t="shared" si="233"/>
        <v>23106.359515909149</v>
      </c>
      <c r="U544" s="3">
        <f t="shared" si="234"/>
        <v>0.5</v>
      </c>
      <c r="V544" s="3">
        <f t="shared" si="235"/>
        <v>0</v>
      </c>
      <c r="W544" s="3">
        <f t="shared" si="236"/>
        <v>21939.09436906275</v>
      </c>
      <c r="X544" s="3">
        <f t="shared" si="228"/>
        <v>9658.1183351403652</v>
      </c>
      <c r="AI544" s="3"/>
      <c r="AJ544" s="3"/>
      <c r="AK544" s="15">
        <f t="shared" si="219"/>
        <v>2</v>
      </c>
      <c r="AL544" s="11">
        <f t="shared" si="223"/>
        <v>3210</v>
      </c>
      <c r="AM544" s="11" t="b">
        <f t="shared" si="218"/>
        <v>0</v>
      </c>
      <c r="AN544" s="11">
        <f t="shared" si="220"/>
        <v>36000</v>
      </c>
      <c r="AO544" s="11">
        <f t="shared" si="221"/>
        <v>0</v>
      </c>
      <c r="AP544" s="11">
        <f t="shared" si="222"/>
        <v>0.69703140033901223</v>
      </c>
      <c r="AQ544" s="11">
        <f t="shared" si="224"/>
        <v>0</v>
      </c>
      <c r="AT544" s="3"/>
      <c r="AU544" s="17"/>
      <c r="AV544" s="19"/>
      <c r="AW544" s="17"/>
      <c r="AX544" s="17">
        <f t="shared" si="217"/>
        <v>535</v>
      </c>
      <c r="AY544" s="17">
        <f t="shared" si="242"/>
        <v>53.5</v>
      </c>
      <c r="AZ544" s="17">
        <v>69.703140033901221</v>
      </c>
      <c r="BA544" s="17"/>
      <c r="BB544" s="17">
        <v>36</v>
      </c>
      <c r="BC544" s="17"/>
      <c r="BD544" s="17"/>
      <c r="BE544" s="17"/>
      <c r="BF544" s="17"/>
      <c r="BG544" s="17"/>
      <c r="BH544" s="17"/>
      <c r="BI544" s="17"/>
      <c r="BJ544" s="17"/>
      <c r="BK544" s="17"/>
      <c r="BL544" s="17"/>
      <c r="BM544" s="17"/>
      <c r="BN544" s="17"/>
      <c r="BO544" s="17"/>
      <c r="BP544" s="17"/>
      <c r="BQ544" s="17"/>
      <c r="BR544" s="17"/>
      <c r="BS544" s="17"/>
      <c r="BT544" s="17"/>
      <c r="BU544" s="17"/>
      <c r="BV544" s="17"/>
      <c r="BW544" s="17"/>
      <c r="BX544" s="17"/>
      <c r="BY544" s="17"/>
      <c r="BZ544" s="17"/>
      <c r="CA544" s="17"/>
      <c r="CB544" s="17"/>
      <c r="CC544" s="17"/>
      <c r="CD544" s="17"/>
      <c r="CE544" s="17"/>
      <c r="CF544" s="17"/>
      <c r="CG544" s="17"/>
      <c r="CH544" s="17"/>
    </row>
    <row r="545" spans="8:86" x14ac:dyDescent="0.15">
      <c r="H545" s="3">
        <f t="shared" si="237"/>
        <v>0.53300000000000036</v>
      </c>
      <c r="I545" s="3">
        <f t="shared" si="238"/>
        <v>360</v>
      </c>
      <c r="J545" s="14">
        <f t="shared" si="239"/>
        <v>500</v>
      </c>
      <c r="K545" s="3">
        <f t="shared" si="229"/>
        <v>0</v>
      </c>
      <c r="L545" s="3">
        <f t="shared" si="225"/>
        <v>500</v>
      </c>
      <c r="M545" s="15">
        <f t="shared" si="240"/>
        <v>7.0000000000000007E-2</v>
      </c>
      <c r="N545" s="3">
        <f t="shared" si="241"/>
        <v>60.877744470963442</v>
      </c>
      <c r="O545" s="3">
        <f t="shared" si="226"/>
        <v>60.877744470963442</v>
      </c>
      <c r="P545" s="3">
        <f t="shared" si="230"/>
        <v>65.459940291358549</v>
      </c>
      <c r="Q545" s="3">
        <f t="shared" si="231"/>
        <v>19.270023951248913</v>
      </c>
      <c r="R545" s="3">
        <f t="shared" si="232"/>
        <v>42.364982121303733</v>
      </c>
      <c r="S545" s="3">
        <f t="shared" si="227"/>
        <v>1</v>
      </c>
      <c r="T545" s="3">
        <f t="shared" si="233"/>
        <v>23094.958170054815</v>
      </c>
      <c r="U545" s="3">
        <f t="shared" si="234"/>
        <v>0.5</v>
      </c>
      <c r="V545" s="3">
        <f t="shared" si="235"/>
        <v>0</v>
      </c>
      <c r="W545" s="3">
        <f t="shared" si="236"/>
        <v>21915.98800954684</v>
      </c>
      <c r="X545" s="3">
        <f t="shared" si="228"/>
        <v>9635.0119756244567</v>
      </c>
      <c r="AI545" s="3"/>
      <c r="AJ545" s="3"/>
      <c r="AK545" s="15">
        <f t="shared" si="219"/>
        <v>2</v>
      </c>
      <c r="AL545" s="11">
        <f t="shared" si="223"/>
        <v>3216</v>
      </c>
      <c r="AM545" s="11" t="b">
        <f t="shared" si="218"/>
        <v>0</v>
      </c>
      <c r="AN545" s="11">
        <f t="shared" si="220"/>
        <v>36000</v>
      </c>
      <c r="AO545" s="11">
        <f t="shared" si="221"/>
        <v>0</v>
      </c>
      <c r="AP545" s="11">
        <f t="shared" si="222"/>
        <v>0.69813371515382716</v>
      </c>
      <c r="AQ545" s="11">
        <f t="shared" si="224"/>
        <v>0</v>
      </c>
      <c r="AT545" s="3"/>
      <c r="AU545" s="17"/>
      <c r="AV545" s="19"/>
      <c r="AW545" s="17"/>
      <c r="AX545" s="17">
        <f t="shared" si="217"/>
        <v>536</v>
      </c>
      <c r="AY545" s="17">
        <f t="shared" si="242"/>
        <v>53.6</v>
      </c>
      <c r="AZ545" s="17">
        <v>69.813371515382713</v>
      </c>
      <c r="BA545" s="17"/>
      <c r="BB545" s="17">
        <v>36</v>
      </c>
      <c r="BC545" s="17"/>
      <c r="BD545" s="17"/>
      <c r="BE545" s="17"/>
      <c r="BF545" s="17"/>
      <c r="BG545" s="17"/>
      <c r="BH545" s="17"/>
      <c r="BI545" s="17"/>
      <c r="BJ545" s="17"/>
      <c r="BK545" s="17"/>
      <c r="BL545" s="17"/>
      <c r="BM545" s="17"/>
      <c r="BN545" s="17"/>
      <c r="BO545" s="17"/>
      <c r="BP545" s="17"/>
      <c r="BQ545" s="17"/>
      <c r="BR545" s="17"/>
      <c r="BS545" s="17"/>
      <c r="BT545" s="17"/>
      <c r="BU545" s="17"/>
      <c r="BV545" s="17"/>
      <c r="BW545" s="17"/>
      <c r="BX545" s="17"/>
      <c r="BY545" s="17"/>
      <c r="BZ545" s="17"/>
      <c r="CA545" s="17"/>
      <c r="CB545" s="17"/>
      <c r="CC545" s="17"/>
      <c r="CD545" s="17"/>
      <c r="CE545" s="17"/>
      <c r="CF545" s="17"/>
      <c r="CG545" s="17"/>
      <c r="CH545" s="17"/>
    </row>
    <row r="546" spans="8:86" x14ac:dyDescent="0.15">
      <c r="H546" s="3">
        <f t="shared" si="237"/>
        <v>0.53400000000000036</v>
      </c>
      <c r="I546" s="3">
        <f t="shared" si="238"/>
        <v>360</v>
      </c>
      <c r="J546" s="14">
        <f t="shared" si="239"/>
        <v>500</v>
      </c>
      <c r="K546" s="3">
        <f t="shared" si="229"/>
        <v>0</v>
      </c>
      <c r="L546" s="3">
        <f t="shared" si="225"/>
        <v>500</v>
      </c>
      <c r="M546" s="15">
        <f t="shared" si="240"/>
        <v>7.0000000000000007E-2</v>
      </c>
      <c r="N546" s="3">
        <f t="shared" si="241"/>
        <v>60.813591809379957</v>
      </c>
      <c r="O546" s="3">
        <f t="shared" si="226"/>
        <v>60.813591809379957</v>
      </c>
      <c r="P546" s="3">
        <f t="shared" si="230"/>
        <v>65.390958934817164</v>
      </c>
      <c r="Q546" s="3">
        <f t="shared" si="231"/>
        <v>19.223834034908801</v>
      </c>
      <c r="R546" s="3">
        <f t="shared" si="232"/>
        <v>42.307396484862984</v>
      </c>
      <c r="S546" s="3">
        <f t="shared" si="227"/>
        <v>1</v>
      </c>
      <c r="T546" s="3">
        <f t="shared" si="233"/>
        <v>23083.562449954181</v>
      </c>
      <c r="U546" s="3">
        <f t="shared" si="234"/>
        <v>0.5</v>
      </c>
      <c r="V546" s="3">
        <f t="shared" si="235"/>
        <v>0</v>
      </c>
      <c r="W546" s="3">
        <f t="shared" si="236"/>
        <v>21892.893051376785</v>
      </c>
      <c r="X546" s="3">
        <f t="shared" si="228"/>
        <v>9611.9170174544015</v>
      </c>
      <c r="AI546" s="3"/>
      <c r="AJ546" s="3"/>
      <c r="AK546" s="15">
        <f t="shared" si="219"/>
        <v>2</v>
      </c>
      <c r="AL546" s="11">
        <f t="shared" si="223"/>
        <v>3222</v>
      </c>
      <c r="AM546" s="11" t="b">
        <f t="shared" si="218"/>
        <v>0</v>
      </c>
      <c r="AN546" s="11">
        <f t="shared" si="220"/>
        <v>36000</v>
      </c>
      <c r="AO546" s="11">
        <f t="shared" si="221"/>
        <v>0</v>
      </c>
      <c r="AP546" s="11">
        <f t="shared" si="222"/>
        <v>0.69923602996864198</v>
      </c>
      <c r="AQ546" s="11">
        <f t="shared" si="224"/>
        <v>0</v>
      </c>
      <c r="AT546" s="3"/>
      <c r="AU546" s="17"/>
      <c r="AV546" s="19"/>
      <c r="AW546" s="17"/>
      <c r="AX546" s="17">
        <f t="shared" si="217"/>
        <v>537</v>
      </c>
      <c r="AY546" s="17">
        <f t="shared" si="242"/>
        <v>53.7</v>
      </c>
      <c r="AZ546" s="17">
        <v>69.923602996864204</v>
      </c>
      <c r="BA546" s="17"/>
      <c r="BB546" s="17">
        <v>36</v>
      </c>
      <c r="BC546" s="17"/>
      <c r="BD546" s="17"/>
      <c r="BE546" s="17"/>
      <c r="BF546" s="17"/>
      <c r="BG546" s="17"/>
      <c r="BH546" s="17"/>
      <c r="BI546" s="17"/>
      <c r="BJ546" s="17"/>
      <c r="BK546" s="17"/>
      <c r="BL546" s="17"/>
      <c r="BM546" s="17"/>
      <c r="BN546" s="17"/>
      <c r="BO546" s="17"/>
      <c r="BP546" s="17"/>
      <c r="BQ546" s="17"/>
      <c r="BR546" s="17"/>
      <c r="BS546" s="17"/>
      <c r="BT546" s="17"/>
      <c r="BU546" s="17"/>
      <c r="BV546" s="17"/>
      <c r="BW546" s="17"/>
      <c r="BX546" s="17"/>
      <c r="BY546" s="17"/>
      <c r="BZ546" s="17"/>
      <c r="CA546" s="17"/>
      <c r="CB546" s="17"/>
      <c r="CC546" s="17"/>
      <c r="CD546" s="17"/>
      <c r="CE546" s="17"/>
      <c r="CF546" s="17"/>
      <c r="CG546" s="17"/>
      <c r="CH546" s="17"/>
    </row>
    <row r="547" spans="8:86" x14ac:dyDescent="0.15">
      <c r="H547" s="3">
        <f t="shared" si="237"/>
        <v>0.53500000000000036</v>
      </c>
      <c r="I547" s="3">
        <f t="shared" si="238"/>
        <v>360</v>
      </c>
      <c r="J547" s="14">
        <f t="shared" si="239"/>
        <v>500</v>
      </c>
      <c r="K547" s="3">
        <f t="shared" si="229"/>
        <v>0</v>
      </c>
      <c r="L547" s="3">
        <f t="shared" si="225"/>
        <v>500</v>
      </c>
      <c r="M547" s="15">
        <f t="shared" si="240"/>
        <v>7.0000000000000007E-2</v>
      </c>
      <c r="N547" s="3">
        <f t="shared" si="241"/>
        <v>60.749470802574521</v>
      </c>
      <c r="O547" s="3">
        <f t="shared" si="226"/>
        <v>60.749470802574521</v>
      </c>
      <c r="P547" s="3">
        <f t="shared" si="230"/>
        <v>65.322011615671528</v>
      </c>
      <c r="Q547" s="3">
        <f t="shared" si="231"/>
        <v>19.177666910008895</v>
      </c>
      <c r="R547" s="3">
        <f t="shared" si="232"/>
        <v>42.249839262840212</v>
      </c>
      <c r="S547" s="3">
        <f t="shared" si="227"/>
        <v>1</v>
      </c>
      <c r="T547" s="3">
        <f t="shared" si="233"/>
        <v>23072.172352831316</v>
      </c>
      <c r="U547" s="3">
        <f t="shared" si="234"/>
        <v>0.5</v>
      </c>
      <c r="V547" s="3">
        <f t="shared" si="235"/>
        <v>0</v>
      </c>
      <c r="W547" s="3">
        <f t="shared" si="236"/>
        <v>21869.809488926829</v>
      </c>
      <c r="X547" s="3">
        <f t="shared" si="228"/>
        <v>9588.8334550044474</v>
      </c>
      <c r="AI547" s="3"/>
      <c r="AJ547" s="3"/>
      <c r="AK547" s="15">
        <f t="shared" si="219"/>
        <v>2</v>
      </c>
      <c r="AL547" s="11">
        <f t="shared" si="223"/>
        <v>3228</v>
      </c>
      <c r="AM547" s="11" t="b">
        <f t="shared" si="218"/>
        <v>0</v>
      </c>
      <c r="AN547" s="11">
        <f t="shared" si="220"/>
        <v>36000</v>
      </c>
      <c r="AO547" s="11">
        <f t="shared" si="221"/>
        <v>0</v>
      </c>
      <c r="AP547" s="11">
        <f t="shared" si="222"/>
        <v>0.7003383447834568</v>
      </c>
      <c r="AQ547" s="11">
        <f t="shared" si="224"/>
        <v>0</v>
      </c>
      <c r="AT547" s="3"/>
      <c r="AU547" s="17"/>
      <c r="AV547" s="19"/>
      <c r="AW547" s="17"/>
      <c r="AX547" s="17">
        <f t="shared" si="217"/>
        <v>538</v>
      </c>
      <c r="AY547" s="17">
        <f t="shared" si="242"/>
        <v>53.8</v>
      </c>
      <c r="AZ547" s="17">
        <v>70.033834478345682</v>
      </c>
      <c r="BA547" s="17"/>
      <c r="BB547" s="17">
        <v>36</v>
      </c>
      <c r="BC547" s="17"/>
      <c r="BD547" s="17"/>
      <c r="BE547" s="17"/>
      <c r="BF547" s="17"/>
      <c r="BG547" s="17"/>
      <c r="BH547" s="17"/>
      <c r="BI547" s="17"/>
      <c r="BJ547" s="17"/>
      <c r="BK547" s="17"/>
      <c r="BL547" s="17"/>
      <c r="BM547" s="17"/>
      <c r="BN547" s="17"/>
      <c r="BO547" s="17"/>
      <c r="BP547" s="17"/>
      <c r="BQ547" s="17"/>
      <c r="BR547" s="17"/>
      <c r="BS547" s="17"/>
      <c r="BT547" s="17"/>
      <c r="BU547" s="17"/>
      <c r="BV547" s="17"/>
      <c r="BW547" s="17"/>
      <c r="BX547" s="17"/>
      <c r="BY547" s="17"/>
      <c r="BZ547" s="17"/>
      <c r="CA547" s="17"/>
      <c r="CB547" s="17"/>
      <c r="CC547" s="17"/>
      <c r="CD547" s="17"/>
      <c r="CE547" s="17"/>
      <c r="CF547" s="17"/>
      <c r="CG547" s="17"/>
      <c r="CH547" s="17"/>
    </row>
    <row r="548" spans="8:86" x14ac:dyDescent="0.15">
      <c r="H548" s="3">
        <f t="shared" si="237"/>
        <v>0.53600000000000037</v>
      </c>
      <c r="I548" s="3">
        <f t="shared" si="238"/>
        <v>360</v>
      </c>
      <c r="J548" s="14">
        <f t="shared" si="239"/>
        <v>500</v>
      </c>
      <c r="K548" s="3">
        <f t="shared" si="229"/>
        <v>0</v>
      </c>
      <c r="L548" s="3">
        <f t="shared" si="225"/>
        <v>500</v>
      </c>
      <c r="M548" s="15">
        <f t="shared" si="240"/>
        <v>7.0000000000000007E-2</v>
      </c>
      <c r="N548" s="3">
        <f t="shared" si="241"/>
        <v>60.685381434927777</v>
      </c>
      <c r="O548" s="3">
        <f t="shared" si="226"/>
        <v>60.685381434927777</v>
      </c>
      <c r="P548" s="3">
        <f t="shared" si="230"/>
        <v>65.253098317126643</v>
      </c>
      <c r="Q548" s="3">
        <f t="shared" si="231"/>
        <v>19.131522565303232</v>
      </c>
      <c r="R548" s="3">
        <f t="shared" si="232"/>
        <v>42.192310441214936</v>
      </c>
      <c r="S548" s="3">
        <f t="shared" si="227"/>
        <v>1</v>
      </c>
      <c r="T548" s="3">
        <f t="shared" si="233"/>
        <v>23060.787875911708</v>
      </c>
      <c r="U548" s="3">
        <f t="shared" si="234"/>
        <v>0.5</v>
      </c>
      <c r="V548" s="3">
        <f t="shared" si="235"/>
        <v>0</v>
      </c>
      <c r="W548" s="3">
        <f t="shared" si="236"/>
        <v>21846.737316573999</v>
      </c>
      <c r="X548" s="3">
        <f t="shared" si="228"/>
        <v>9565.7612826516161</v>
      </c>
      <c r="AI548" s="3"/>
      <c r="AJ548" s="3"/>
      <c r="AK548" s="15">
        <f t="shared" si="219"/>
        <v>2</v>
      </c>
      <c r="AL548" s="11">
        <f t="shared" si="223"/>
        <v>3234</v>
      </c>
      <c r="AM548" s="11" t="b">
        <f t="shared" si="218"/>
        <v>0</v>
      </c>
      <c r="AN548" s="11">
        <f t="shared" si="220"/>
        <v>36000</v>
      </c>
      <c r="AO548" s="11">
        <f t="shared" si="221"/>
        <v>0</v>
      </c>
      <c r="AP548" s="11">
        <f t="shared" si="222"/>
        <v>0.70144065959827162</v>
      </c>
      <c r="AQ548" s="11">
        <f t="shared" si="224"/>
        <v>0</v>
      </c>
      <c r="AT548" s="3"/>
      <c r="AU548" s="17"/>
      <c r="AV548" s="19"/>
      <c r="AW548" s="17"/>
      <c r="AX548" s="17">
        <f t="shared" si="217"/>
        <v>539</v>
      </c>
      <c r="AY548" s="17">
        <f t="shared" si="242"/>
        <v>53.9</v>
      </c>
      <c r="AZ548" s="17">
        <v>70.144065959827159</v>
      </c>
      <c r="BA548" s="17"/>
      <c r="BB548" s="17">
        <v>36</v>
      </c>
      <c r="BC548" s="17"/>
      <c r="BD548" s="17"/>
      <c r="BE548" s="17"/>
      <c r="BF548" s="17"/>
      <c r="BG548" s="17"/>
      <c r="BH548" s="17"/>
      <c r="BI548" s="17"/>
      <c r="BJ548" s="17"/>
      <c r="BK548" s="17"/>
      <c r="BL548" s="17"/>
      <c r="BM548" s="17"/>
      <c r="BN548" s="17"/>
      <c r="BO548" s="17"/>
      <c r="BP548" s="17"/>
      <c r="BQ548" s="17"/>
      <c r="BR548" s="17"/>
      <c r="BS548" s="17"/>
      <c r="BT548" s="17"/>
      <c r="BU548" s="17"/>
      <c r="BV548" s="17"/>
      <c r="BW548" s="17"/>
      <c r="BX548" s="17"/>
      <c r="BY548" s="17"/>
      <c r="BZ548" s="17"/>
      <c r="CA548" s="17"/>
      <c r="CB548" s="17"/>
      <c r="CC548" s="17"/>
      <c r="CD548" s="17"/>
      <c r="CE548" s="17"/>
      <c r="CF548" s="17"/>
      <c r="CG548" s="17"/>
      <c r="CH548" s="17"/>
    </row>
    <row r="549" spans="8:86" x14ac:dyDescent="0.15">
      <c r="H549" s="3">
        <f t="shared" si="237"/>
        <v>0.53700000000000037</v>
      </c>
      <c r="I549" s="3">
        <f t="shared" si="238"/>
        <v>360</v>
      </c>
      <c r="J549" s="14">
        <f t="shared" si="239"/>
        <v>500</v>
      </c>
      <c r="K549" s="3">
        <f t="shared" si="229"/>
        <v>0</v>
      </c>
      <c r="L549" s="3">
        <f t="shared" si="225"/>
        <v>500</v>
      </c>
      <c r="M549" s="15">
        <f t="shared" si="240"/>
        <v>7.0000000000000007E-2</v>
      </c>
      <c r="N549" s="3">
        <f t="shared" si="241"/>
        <v>60.621323690828021</v>
      </c>
      <c r="O549" s="3">
        <f t="shared" si="226"/>
        <v>60.621323690828021</v>
      </c>
      <c r="P549" s="3">
        <f t="shared" si="230"/>
        <v>65.184219022395723</v>
      </c>
      <c r="Q549" s="3">
        <f t="shared" si="231"/>
        <v>19.08540098955141</v>
      </c>
      <c r="R549" s="3">
        <f t="shared" si="232"/>
        <v>42.134810005973563</v>
      </c>
      <c r="S549" s="3">
        <f t="shared" si="227"/>
        <v>1</v>
      </c>
      <c r="T549" s="3">
        <f t="shared" si="233"/>
        <v>23049.409016422156</v>
      </c>
      <c r="U549" s="3">
        <f t="shared" si="234"/>
        <v>0.5</v>
      </c>
      <c r="V549" s="3">
        <f t="shared" si="235"/>
        <v>0</v>
      </c>
      <c r="W549" s="3">
        <f t="shared" si="236"/>
        <v>21823.676528698088</v>
      </c>
      <c r="X549" s="3">
        <f t="shared" si="228"/>
        <v>9542.700494775705</v>
      </c>
      <c r="AI549" s="3"/>
      <c r="AJ549" s="3"/>
      <c r="AK549" s="15">
        <f t="shared" si="219"/>
        <v>2</v>
      </c>
      <c r="AL549" s="11">
        <f t="shared" si="223"/>
        <v>3240</v>
      </c>
      <c r="AM549" s="11" t="b">
        <f t="shared" si="218"/>
        <v>0</v>
      </c>
      <c r="AN549" s="11">
        <f t="shared" si="220"/>
        <v>36000</v>
      </c>
      <c r="AO549" s="11">
        <f t="shared" si="221"/>
        <v>0</v>
      </c>
      <c r="AP549" s="11">
        <f t="shared" si="222"/>
        <v>0.70254297441308644</v>
      </c>
      <c r="AQ549" s="11">
        <f t="shared" si="224"/>
        <v>0</v>
      </c>
      <c r="AT549" s="3"/>
      <c r="AU549" s="17"/>
      <c r="AV549" s="19"/>
      <c r="AW549" s="17"/>
      <c r="AX549" s="17">
        <f t="shared" si="217"/>
        <v>540</v>
      </c>
      <c r="AY549" s="17">
        <f t="shared" si="242"/>
        <v>54</v>
      </c>
      <c r="AZ549" s="17">
        <v>70.254297441308637</v>
      </c>
      <c r="BA549" s="17"/>
      <c r="BB549" s="17">
        <v>36</v>
      </c>
      <c r="BC549" s="17"/>
      <c r="BD549" s="17"/>
      <c r="BE549" s="17"/>
      <c r="BF549" s="17"/>
      <c r="BG549" s="17"/>
      <c r="BH549" s="17"/>
      <c r="BI549" s="17"/>
      <c r="BJ549" s="17"/>
      <c r="BK549" s="17"/>
      <c r="BL549" s="17"/>
      <c r="BM549" s="17"/>
      <c r="BN549" s="17"/>
      <c r="BO549" s="17"/>
      <c r="BP549" s="17"/>
      <c r="BQ549" s="17"/>
      <c r="BR549" s="17"/>
      <c r="BS549" s="17"/>
      <c r="BT549" s="17"/>
      <c r="BU549" s="17"/>
      <c r="BV549" s="17"/>
      <c r="BW549" s="17"/>
      <c r="BX549" s="17"/>
      <c r="BY549" s="17"/>
      <c r="BZ549" s="17"/>
      <c r="CA549" s="17"/>
      <c r="CB549" s="17"/>
      <c r="CC549" s="17"/>
      <c r="CD549" s="17"/>
      <c r="CE549" s="17"/>
      <c r="CF549" s="17"/>
      <c r="CG549" s="17"/>
      <c r="CH549" s="17"/>
    </row>
    <row r="550" spans="8:86" x14ac:dyDescent="0.15">
      <c r="H550" s="3">
        <f t="shared" si="237"/>
        <v>0.53800000000000037</v>
      </c>
      <c r="I550" s="3">
        <f t="shared" si="238"/>
        <v>360</v>
      </c>
      <c r="J550" s="14">
        <f t="shared" si="239"/>
        <v>500</v>
      </c>
      <c r="K550" s="3">
        <f t="shared" si="229"/>
        <v>0</v>
      </c>
      <c r="L550" s="3">
        <f t="shared" si="225"/>
        <v>500</v>
      </c>
      <c r="M550" s="15">
        <f t="shared" si="240"/>
        <v>7.0000000000000007E-2</v>
      </c>
      <c r="N550" s="3">
        <f t="shared" si="241"/>
        <v>60.557297554671294</v>
      </c>
      <c r="O550" s="3">
        <f t="shared" si="226"/>
        <v>60.557297554671294</v>
      </c>
      <c r="P550" s="3">
        <f t="shared" si="230"/>
        <v>65.115373714700326</v>
      </c>
      <c r="Q550" s="3">
        <f t="shared" si="231"/>
        <v>19.039302171518564</v>
      </c>
      <c r="R550" s="3">
        <f t="shared" si="232"/>
        <v>42.077337943109441</v>
      </c>
      <c r="S550" s="3">
        <f t="shared" si="227"/>
        <v>1</v>
      </c>
      <c r="T550" s="3">
        <f t="shared" si="233"/>
        <v>23038.035771590879</v>
      </c>
      <c r="U550" s="3">
        <f t="shared" si="234"/>
        <v>0.5</v>
      </c>
      <c r="V550" s="3">
        <f t="shared" si="235"/>
        <v>0</v>
      </c>
      <c r="W550" s="3">
        <f t="shared" si="236"/>
        <v>21800.627119681667</v>
      </c>
      <c r="X550" s="3">
        <f t="shared" si="228"/>
        <v>9519.6510857592821</v>
      </c>
      <c r="AI550" s="3"/>
      <c r="AJ550" s="3"/>
      <c r="AK550" s="15">
        <f t="shared" si="219"/>
        <v>2</v>
      </c>
      <c r="AL550" s="11">
        <f t="shared" si="223"/>
        <v>3246</v>
      </c>
      <c r="AM550" s="11" t="b">
        <f t="shared" si="218"/>
        <v>0</v>
      </c>
      <c r="AN550" s="11">
        <f t="shared" si="220"/>
        <v>36000</v>
      </c>
      <c r="AO550" s="11">
        <f t="shared" si="221"/>
        <v>0</v>
      </c>
      <c r="AP550" s="11">
        <f t="shared" si="222"/>
        <v>0.70364528922790137</v>
      </c>
      <c r="AQ550" s="11">
        <f t="shared" si="224"/>
        <v>0</v>
      </c>
      <c r="AT550" s="3"/>
      <c r="AU550" s="17"/>
      <c r="AV550" s="19"/>
      <c r="AW550" s="17"/>
      <c r="AX550" s="17">
        <f t="shared" si="217"/>
        <v>541</v>
      </c>
      <c r="AY550" s="17">
        <f t="shared" si="242"/>
        <v>54.1</v>
      </c>
      <c r="AZ550" s="17">
        <v>70.364528922790143</v>
      </c>
      <c r="BA550" s="17"/>
      <c r="BB550" s="17">
        <v>36</v>
      </c>
      <c r="BC550" s="17"/>
      <c r="BD550" s="17"/>
      <c r="BE550" s="17"/>
      <c r="BF550" s="17"/>
      <c r="BG550" s="17"/>
      <c r="BH550" s="17"/>
      <c r="BI550" s="17"/>
      <c r="BJ550" s="17"/>
      <c r="BK550" s="17"/>
      <c r="BL550" s="17"/>
      <c r="BM550" s="17"/>
      <c r="BN550" s="17"/>
      <c r="BO550" s="17"/>
      <c r="BP550" s="17"/>
      <c r="BQ550" s="17"/>
      <c r="BR550" s="17"/>
      <c r="BS550" s="17"/>
      <c r="BT550" s="17"/>
      <c r="BU550" s="17"/>
      <c r="BV550" s="17"/>
      <c r="BW550" s="17"/>
      <c r="BX550" s="17"/>
      <c r="BY550" s="17"/>
      <c r="BZ550" s="17"/>
      <c r="CA550" s="17"/>
      <c r="CB550" s="17"/>
      <c r="CC550" s="17"/>
      <c r="CD550" s="17"/>
      <c r="CE550" s="17"/>
      <c r="CF550" s="17"/>
      <c r="CG550" s="17"/>
      <c r="CH550" s="17"/>
    </row>
    <row r="551" spans="8:86" x14ac:dyDescent="0.15">
      <c r="H551" s="3">
        <f t="shared" si="237"/>
        <v>0.53900000000000037</v>
      </c>
      <c r="I551" s="3">
        <f t="shared" si="238"/>
        <v>360</v>
      </c>
      <c r="J551" s="14">
        <f t="shared" si="239"/>
        <v>500</v>
      </c>
      <c r="K551" s="3">
        <f t="shared" si="229"/>
        <v>0</v>
      </c>
      <c r="L551" s="3">
        <f t="shared" si="225"/>
        <v>500</v>
      </c>
      <c r="M551" s="15">
        <f t="shared" si="240"/>
        <v>7.0000000000000007E-2</v>
      </c>
      <c r="N551" s="3">
        <f t="shared" si="241"/>
        <v>60.493303010861318</v>
      </c>
      <c r="O551" s="3">
        <f t="shared" si="226"/>
        <v>60.493303010861318</v>
      </c>
      <c r="P551" s="3">
        <f t="shared" si="230"/>
        <v>65.046562377270234</v>
      </c>
      <c r="Q551" s="3">
        <f t="shared" si="231"/>
        <v>18.993226099975381</v>
      </c>
      <c r="R551" s="3">
        <f t="shared" si="232"/>
        <v>42.019894238622811</v>
      </c>
      <c r="S551" s="3">
        <f t="shared" si="227"/>
        <v>1</v>
      </c>
      <c r="T551" s="3">
        <f t="shared" si="233"/>
        <v>23026.668138647427</v>
      </c>
      <c r="U551" s="3">
        <f t="shared" si="234"/>
        <v>0.5</v>
      </c>
      <c r="V551" s="3">
        <f t="shared" si="235"/>
        <v>0</v>
      </c>
      <c r="W551" s="3">
        <f t="shared" si="236"/>
        <v>21777.589083910076</v>
      </c>
      <c r="X551" s="3">
        <f t="shared" si="228"/>
        <v>9496.6130499876908</v>
      </c>
      <c r="AI551" s="3"/>
      <c r="AJ551" s="3"/>
      <c r="AK551" s="15">
        <f t="shared" si="219"/>
        <v>2</v>
      </c>
      <c r="AL551" s="11">
        <f t="shared" si="223"/>
        <v>3252</v>
      </c>
      <c r="AM551" s="11" t="b">
        <f t="shared" si="218"/>
        <v>0</v>
      </c>
      <c r="AN551" s="11">
        <f t="shared" si="220"/>
        <v>36000</v>
      </c>
      <c r="AO551" s="11">
        <f t="shared" si="221"/>
        <v>0</v>
      </c>
      <c r="AP551" s="11">
        <f t="shared" si="222"/>
        <v>0.70474760404271619</v>
      </c>
      <c r="AQ551" s="11">
        <f t="shared" si="224"/>
        <v>0</v>
      </c>
      <c r="AT551" s="3"/>
      <c r="AU551" s="17"/>
      <c r="AV551" s="19"/>
      <c r="AW551" s="17"/>
      <c r="AX551" s="17">
        <f t="shared" si="217"/>
        <v>542</v>
      </c>
      <c r="AY551" s="17">
        <f t="shared" si="242"/>
        <v>54.2</v>
      </c>
      <c r="AZ551" s="17">
        <v>70.47476040427162</v>
      </c>
      <c r="BA551" s="17"/>
      <c r="BB551" s="17">
        <v>36</v>
      </c>
      <c r="BC551" s="17"/>
      <c r="BD551" s="17"/>
      <c r="BE551" s="17"/>
      <c r="BF551" s="17"/>
      <c r="BG551" s="17"/>
      <c r="BH551" s="17"/>
      <c r="BI551" s="17"/>
      <c r="BJ551" s="17"/>
      <c r="BK551" s="17"/>
      <c r="BL551" s="17"/>
      <c r="BM551" s="17"/>
      <c r="BN551" s="17"/>
      <c r="BO551" s="17"/>
      <c r="BP551" s="17"/>
      <c r="BQ551" s="17"/>
      <c r="BR551" s="17"/>
      <c r="BS551" s="17"/>
      <c r="BT551" s="17"/>
      <c r="BU551" s="17"/>
      <c r="BV551" s="17"/>
      <c r="BW551" s="17"/>
      <c r="BX551" s="17"/>
      <c r="BY551" s="17"/>
      <c r="BZ551" s="17"/>
      <c r="CA551" s="17"/>
      <c r="CB551" s="17"/>
      <c r="CC551" s="17"/>
      <c r="CD551" s="17"/>
      <c r="CE551" s="17"/>
      <c r="CF551" s="17"/>
      <c r="CG551" s="17"/>
      <c r="CH551" s="17"/>
    </row>
    <row r="552" spans="8:86" x14ac:dyDescent="0.15">
      <c r="H552" s="3">
        <f t="shared" si="237"/>
        <v>0.54000000000000037</v>
      </c>
      <c r="I552" s="3">
        <f t="shared" si="238"/>
        <v>360</v>
      </c>
      <c r="J552" s="14">
        <f t="shared" si="239"/>
        <v>500</v>
      </c>
      <c r="K552" s="3">
        <f t="shared" si="229"/>
        <v>0</v>
      </c>
      <c r="L552" s="3">
        <f t="shared" si="225"/>
        <v>500</v>
      </c>
      <c r="M552" s="15">
        <f t="shared" si="240"/>
        <v>7.0000000000000007E-2</v>
      </c>
      <c r="N552" s="3">
        <f t="shared" si="241"/>
        <v>60.429340043809525</v>
      </c>
      <c r="O552" s="3">
        <f t="shared" si="226"/>
        <v>60.429340043809525</v>
      </c>
      <c r="P552" s="3">
        <f t="shared" si="230"/>
        <v>64.977784993343576</v>
      </c>
      <c r="Q552" s="3">
        <f t="shared" si="231"/>
        <v>18.947172763698088</v>
      </c>
      <c r="R552" s="3">
        <f t="shared" si="232"/>
        <v>41.962478878520834</v>
      </c>
      <c r="S552" s="3">
        <f t="shared" si="227"/>
        <v>1</v>
      </c>
      <c r="T552" s="3">
        <f t="shared" si="233"/>
        <v>23015.306114822743</v>
      </c>
      <c r="U552" s="3">
        <f t="shared" si="234"/>
        <v>0.5</v>
      </c>
      <c r="V552" s="3">
        <f t="shared" si="235"/>
        <v>0</v>
      </c>
      <c r="W552" s="3">
        <f t="shared" si="236"/>
        <v>21754.56241577143</v>
      </c>
      <c r="X552" s="3">
        <f t="shared" si="228"/>
        <v>9473.5863818490434</v>
      </c>
      <c r="AI552" s="3"/>
      <c r="AJ552" s="3"/>
      <c r="AK552" s="15">
        <f t="shared" si="219"/>
        <v>2</v>
      </c>
      <c r="AL552" s="11">
        <f t="shared" si="223"/>
        <v>3258</v>
      </c>
      <c r="AM552" s="11" t="b">
        <f t="shared" si="218"/>
        <v>0</v>
      </c>
      <c r="AN552" s="11">
        <f t="shared" si="220"/>
        <v>36000</v>
      </c>
      <c r="AO552" s="11">
        <f t="shared" si="221"/>
        <v>0</v>
      </c>
      <c r="AP552" s="11">
        <f t="shared" si="222"/>
        <v>0.70584991885753101</v>
      </c>
      <c r="AQ552" s="11">
        <f t="shared" si="224"/>
        <v>0</v>
      </c>
      <c r="AT552" s="3"/>
      <c r="AU552" s="17"/>
      <c r="AV552" s="19"/>
      <c r="AW552" s="17"/>
      <c r="AX552" s="17">
        <f t="shared" si="217"/>
        <v>543</v>
      </c>
      <c r="AY552" s="17">
        <f t="shared" si="242"/>
        <v>54.3</v>
      </c>
      <c r="AZ552" s="17">
        <v>70.584991885753098</v>
      </c>
      <c r="BA552" s="17"/>
      <c r="BB552" s="17">
        <v>36</v>
      </c>
      <c r="BC552" s="17"/>
      <c r="BD552" s="17"/>
      <c r="BE552" s="17"/>
      <c r="BF552" s="17"/>
      <c r="BG552" s="17"/>
      <c r="BH552" s="17"/>
      <c r="BI552" s="17"/>
      <c r="BJ552" s="17"/>
      <c r="BK552" s="17"/>
      <c r="BL552" s="17"/>
      <c r="BM552" s="17"/>
      <c r="BN552" s="17"/>
      <c r="BO552" s="17"/>
      <c r="BP552" s="17"/>
      <c r="BQ552" s="17"/>
      <c r="BR552" s="17"/>
      <c r="BS552" s="17"/>
      <c r="BT552" s="17"/>
      <c r="BU552" s="17"/>
      <c r="BV552" s="17"/>
      <c r="BW552" s="17"/>
      <c r="BX552" s="17"/>
      <c r="BY552" s="17"/>
      <c r="BZ552" s="17"/>
      <c r="CA552" s="17"/>
      <c r="CB552" s="17"/>
      <c r="CC552" s="17"/>
      <c r="CD552" s="17"/>
      <c r="CE552" s="17"/>
      <c r="CF552" s="17"/>
      <c r="CG552" s="17"/>
      <c r="CH552" s="17"/>
    </row>
    <row r="553" spans="8:86" x14ac:dyDescent="0.15">
      <c r="H553" s="3">
        <f t="shared" si="237"/>
        <v>0.54100000000000037</v>
      </c>
      <c r="I553" s="3">
        <f t="shared" si="238"/>
        <v>360</v>
      </c>
      <c r="J553" s="14">
        <f t="shared" si="239"/>
        <v>500</v>
      </c>
      <c r="K553" s="3">
        <f t="shared" si="229"/>
        <v>0</v>
      </c>
      <c r="L553" s="3">
        <f t="shared" si="225"/>
        <v>500</v>
      </c>
      <c r="M553" s="15">
        <f t="shared" si="240"/>
        <v>7.0000000000000007E-2</v>
      </c>
      <c r="N553" s="3">
        <f t="shared" si="241"/>
        <v>60.365408637935019</v>
      </c>
      <c r="O553" s="3">
        <f t="shared" si="226"/>
        <v>60.365408637935019</v>
      </c>
      <c r="P553" s="3">
        <f t="shared" si="230"/>
        <v>64.909041546166691</v>
      </c>
      <c r="Q553" s="3">
        <f t="shared" si="231"/>
        <v>18.901142151468441</v>
      </c>
      <c r="R553" s="3">
        <f t="shared" si="232"/>
        <v>41.905091848817563</v>
      </c>
      <c r="S553" s="3">
        <f t="shared" si="227"/>
        <v>1</v>
      </c>
      <c r="T553" s="3">
        <f t="shared" si="233"/>
        <v>23003.949697349126</v>
      </c>
      <c r="U553" s="3">
        <f t="shared" si="234"/>
        <v>0.5</v>
      </c>
      <c r="V553" s="3">
        <f t="shared" si="235"/>
        <v>0</v>
      </c>
      <c r="W553" s="3">
        <f t="shared" si="236"/>
        <v>21731.547109656607</v>
      </c>
      <c r="X553" s="3">
        <f t="shared" si="228"/>
        <v>9450.5710757342204</v>
      </c>
      <c r="AI553" s="3"/>
      <c r="AJ553" s="3"/>
      <c r="AK553" s="15">
        <f t="shared" si="219"/>
        <v>2</v>
      </c>
      <c r="AL553" s="11">
        <f t="shared" si="223"/>
        <v>3264</v>
      </c>
      <c r="AM553" s="11" t="b">
        <f t="shared" si="218"/>
        <v>0</v>
      </c>
      <c r="AN553" s="11">
        <f t="shared" si="220"/>
        <v>36000</v>
      </c>
      <c r="AO553" s="11">
        <f t="shared" si="221"/>
        <v>0</v>
      </c>
      <c r="AP553" s="11">
        <f t="shared" si="222"/>
        <v>0.70695223367234583</v>
      </c>
      <c r="AQ553" s="11">
        <f t="shared" si="224"/>
        <v>0</v>
      </c>
      <c r="AT553" s="3"/>
      <c r="AU553" s="17"/>
      <c r="AV553" s="19"/>
      <c r="AW553" s="17"/>
      <c r="AX553" s="17">
        <f t="shared" si="217"/>
        <v>544</v>
      </c>
      <c r="AY553" s="17">
        <f t="shared" si="242"/>
        <v>54.4</v>
      </c>
      <c r="AZ553" s="17">
        <v>70.69522336723459</v>
      </c>
      <c r="BA553" s="17"/>
      <c r="BB553" s="17">
        <v>36</v>
      </c>
      <c r="BC553" s="17"/>
      <c r="BD553" s="17"/>
      <c r="BE553" s="17"/>
      <c r="BF553" s="17"/>
      <c r="BG553" s="17"/>
      <c r="BH553" s="17"/>
      <c r="BI553" s="17"/>
      <c r="BJ553" s="17"/>
      <c r="BK553" s="17"/>
      <c r="BL553" s="17"/>
      <c r="BM553" s="17"/>
      <c r="BN553" s="17"/>
      <c r="BO553" s="17"/>
      <c r="BP553" s="17"/>
      <c r="BQ553" s="17"/>
      <c r="BR553" s="17"/>
      <c r="BS553" s="17"/>
      <c r="BT553" s="17"/>
      <c r="BU553" s="17"/>
      <c r="BV553" s="17"/>
      <c r="BW553" s="17"/>
      <c r="BX553" s="17"/>
      <c r="BY553" s="17"/>
      <c r="BZ553" s="17"/>
      <c r="CA553" s="17"/>
      <c r="CB553" s="17"/>
      <c r="CC553" s="17"/>
      <c r="CD553" s="17"/>
      <c r="CE553" s="17"/>
      <c r="CF553" s="17"/>
      <c r="CG553" s="17"/>
      <c r="CH553" s="17"/>
    </row>
    <row r="554" spans="8:86" x14ac:dyDescent="0.15">
      <c r="H554" s="3">
        <f t="shared" si="237"/>
        <v>0.54200000000000037</v>
      </c>
      <c r="I554" s="3">
        <f t="shared" si="238"/>
        <v>360</v>
      </c>
      <c r="J554" s="14">
        <f t="shared" si="239"/>
        <v>500</v>
      </c>
      <c r="K554" s="3">
        <f t="shared" si="229"/>
        <v>0</v>
      </c>
      <c r="L554" s="3">
        <f t="shared" si="225"/>
        <v>500</v>
      </c>
      <c r="M554" s="15">
        <f t="shared" si="240"/>
        <v>7.0000000000000007E-2</v>
      </c>
      <c r="N554" s="3">
        <f t="shared" si="241"/>
        <v>60.301508777664608</v>
      </c>
      <c r="O554" s="3">
        <f t="shared" si="226"/>
        <v>60.301508777664608</v>
      </c>
      <c r="P554" s="3">
        <f t="shared" si="230"/>
        <v>64.840332018994204</v>
      </c>
      <c r="Q554" s="3">
        <f t="shared" si="231"/>
        <v>18.855134252073743</v>
      </c>
      <c r="R554" s="3">
        <f t="shared" si="232"/>
        <v>41.847733135533971</v>
      </c>
      <c r="S554" s="3">
        <f t="shared" si="227"/>
        <v>1</v>
      </c>
      <c r="T554" s="3">
        <f t="shared" si="233"/>
        <v>22992.598883460232</v>
      </c>
      <c r="U554" s="3">
        <f t="shared" si="234"/>
        <v>0.5</v>
      </c>
      <c r="V554" s="3">
        <f t="shared" si="235"/>
        <v>0</v>
      </c>
      <c r="W554" s="3">
        <f t="shared" si="236"/>
        <v>21708.543159959259</v>
      </c>
      <c r="X554" s="3">
        <f t="shared" si="228"/>
        <v>9427.5671260368708</v>
      </c>
      <c r="AI554" s="3"/>
      <c r="AJ554" s="3"/>
      <c r="AK554" s="15">
        <f t="shared" si="219"/>
        <v>2</v>
      </c>
      <c r="AL554" s="11">
        <f t="shared" si="223"/>
        <v>3270</v>
      </c>
      <c r="AM554" s="11" t="b">
        <f t="shared" si="218"/>
        <v>0</v>
      </c>
      <c r="AN554" s="11">
        <f t="shared" si="220"/>
        <v>36000</v>
      </c>
      <c r="AO554" s="11">
        <f t="shared" si="221"/>
        <v>0</v>
      </c>
      <c r="AP554" s="11">
        <f t="shared" si="222"/>
        <v>0.70805454848716065</v>
      </c>
      <c r="AQ554" s="11">
        <f t="shared" si="224"/>
        <v>0</v>
      </c>
      <c r="AT554" s="3"/>
      <c r="AU554" s="17"/>
      <c r="AV554" s="19"/>
      <c r="AW554" s="17"/>
      <c r="AX554" s="17">
        <f t="shared" si="217"/>
        <v>545</v>
      </c>
      <c r="AY554" s="17">
        <f t="shared" si="242"/>
        <v>54.5</v>
      </c>
      <c r="AZ554" s="17">
        <v>70.805454848716067</v>
      </c>
      <c r="BA554" s="17"/>
      <c r="BB554" s="17">
        <v>36</v>
      </c>
      <c r="BC554" s="17"/>
      <c r="BD554" s="17"/>
      <c r="BE554" s="17"/>
      <c r="BF554" s="17"/>
      <c r="BG554" s="17"/>
      <c r="BH554" s="17"/>
      <c r="BI554" s="17"/>
      <c r="BJ554" s="17"/>
      <c r="BK554" s="17"/>
      <c r="BL554" s="17"/>
      <c r="BM554" s="17"/>
      <c r="BN554" s="17"/>
      <c r="BO554" s="17"/>
      <c r="BP554" s="17"/>
      <c r="BQ554" s="17"/>
      <c r="BR554" s="17"/>
      <c r="BS554" s="17"/>
      <c r="BT554" s="17"/>
      <c r="BU554" s="17"/>
      <c r="BV554" s="17"/>
      <c r="BW554" s="17"/>
      <c r="BX554" s="17"/>
      <c r="BY554" s="17"/>
      <c r="BZ554" s="17"/>
      <c r="CA554" s="17"/>
      <c r="CB554" s="17"/>
      <c r="CC554" s="17"/>
      <c r="CD554" s="17"/>
      <c r="CE554" s="17"/>
      <c r="CF554" s="17"/>
      <c r="CG554" s="17"/>
      <c r="CH554" s="17"/>
    </row>
    <row r="555" spans="8:86" x14ac:dyDescent="0.15">
      <c r="H555" s="3">
        <f t="shared" si="237"/>
        <v>0.54300000000000037</v>
      </c>
      <c r="I555" s="3">
        <f t="shared" si="238"/>
        <v>360</v>
      </c>
      <c r="J555" s="14">
        <f t="shared" si="239"/>
        <v>500</v>
      </c>
      <c r="K555" s="3">
        <f t="shared" si="229"/>
        <v>0</v>
      </c>
      <c r="L555" s="3">
        <f t="shared" si="225"/>
        <v>500</v>
      </c>
      <c r="M555" s="15">
        <f t="shared" si="240"/>
        <v>7.0000000000000007E-2</v>
      </c>
      <c r="N555" s="3">
        <f t="shared" si="241"/>
        <v>60.237640447432767</v>
      </c>
      <c r="O555" s="3">
        <f t="shared" si="226"/>
        <v>60.237640447432767</v>
      </c>
      <c r="P555" s="3">
        <f t="shared" si="230"/>
        <v>64.771656395088996</v>
      </c>
      <c r="Q555" s="3">
        <f t="shared" si="231"/>
        <v>18.809149054306822</v>
      </c>
      <c r="R555" s="3">
        <f t="shared" si="232"/>
        <v>41.790402724697913</v>
      </c>
      <c r="S555" s="3">
        <f t="shared" si="227"/>
        <v>1</v>
      </c>
      <c r="T555" s="3">
        <f t="shared" si="233"/>
        <v>22981.253670391088</v>
      </c>
      <c r="U555" s="3">
        <f t="shared" si="234"/>
        <v>0.5</v>
      </c>
      <c r="V555" s="3">
        <f t="shared" si="235"/>
        <v>0</v>
      </c>
      <c r="W555" s="3">
        <f t="shared" si="236"/>
        <v>21685.550561075797</v>
      </c>
      <c r="X555" s="3">
        <f t="shared" si="228"/>
        <v>9404.5745271534106</v>
      </c>
      <c r="AI555" s="3"/>
      <c r="AJ555" s="3"/>
      <c r="AK555" s="15">
        <f t="shared" si="219"/>
        <v>2</v>
      </c>
      <c r="AL555" s="11">
        <f t="shared" si="223"/>
        <v>3276</v>
      </c>
      <c r="AM555" s="11" t="b">
        <f t="shared" si="218"/>
        <v>0</v>
      </c>
      <c r="AN555" s="11">
        <f t="shared" si="220"/>
        <v>36000</v>
      </c>
      <c r="AO555" s="11">
        <f t="shared" si="221"/>
        <v>0</v>
      </c>
      <c r="AP555" s="11">
        <f t="shared" si="222"/>
        <v>0.70915686330197558</v>
      </c>
      <c r="AQ555" s="11">
        <f t="shared" si="224"/>
        <v>0</v>
      </c>
      <c r="AT555" s="3"/>
      <c r="AU555" s="17"/>
      <c r="AV555" s="19"/>
      <c r="AW555" s="17"/>
      <c r="AX555" s="17">
        <f t="shared" si="217"/>
        <v>546</v>
      </c>
      <c r="AY555" s="17">
        <f t="shared" si="242"/>
        <v>54.6</v>
      </c>
      <c r="AZ555" s="17">
        <v>70.915686330197559</v>
      </c>
      <c r="BA555" s="17"/>
      <c r="BB555" s="17">
        <v>36</v>
      </c>
      <c r="BC555" s="17"/>
      <c r="BD555" s="17"/>
      <c r="BE555" s="17"/>
      <c r="BF555" s="17"/>
      <c r="BG555" s="17"/>
      <c r="BH555" s="17"/>
      <c r="BI555" s="17"/>
      <c r="BJ555" s="17"/>
      <c r="BK555" s="17"/>
      <c r="BL555" s="17"/>
      <c r="BM555" s="17"/>
      <c r="BN555" s="17"/>
      <c r="BO555" s="17"/>
      <c r="BP555" s="17"/>
      <c r="BQ555" s="17"/>
      <c r="BR555" s="17"/>
      <c r="BS555" s="17"/>
      <c r="BT555" s="17"/>
      <c r="BU555" s="17"/>
      <c r="BV555" s="17"/>
      <c r="BW555" s="17"/>
      <c r="BX555" s="17"/>
      <c r="BY555" s="17"/>
      <c r="BZ555" s="17"/>
      <c r="CA555" s="17"/>
      <c r="CB555" s="17"/>
      <c r="CC555" s="17"/>
      <c r="CD555" s="17"/>
      <c r="CE555" s="17"/>
      <c r="CF555" s="17"/>
      <c r="CG555" s="17"/>
      <c r="CH555" s="17"/>
    </row>
    <row r="556" spans="8:86" x14ac:dyDescent="0.15">
      <c r="H556" s="3">
        <f t="shared" si="237"/>
        <v>0.54400000000000037</v>
      </c>
      <c r="I556" s="3">
        <f t="shared" si="238"/>
        <v>360</v>
      </c>
      <c r="J556" s="14">
        <f t="shared" si="239"/>
        <v>500</v>
      </c>
      <c r="K556" s="3">
        <f t="shared" si="229"/>
        <v>0</v>
      </c>
      <c r="L556" s="3">
        <f t="shared" si="225"/>
        <v>500</v>
      </c>
      <c r="M556" s="15">
        <f t="shared" si="240"/>
        <v>7.0000000000000007E-2</v>
      </c>
      <c r="N556" s="3">
        <f t="shared" si="241"/>
        <v>60.173803631681686</v>
      </c>
      <c r="O556" s="3">
        <f t="shared" si="226"/>
        <v>60.173803631681686</v>
      </c>
      <c r="P556" s="3">
        <f t="shared" si="230"/>
        <v>64.70301465772225</v>
      </c>
      <c r="Q556" s="3">
        <f t="shared" si="231"/>
        <v>18.76318654696604</v>
      </c>
      <c r="R556" s="3">
        <f t="shared" si="232"/>
        <v>41.733100602344145</v>
      </c>
      <c r="S556" s="3">
        <f t="shared" si="227"/>
        <v>1</v>
      </c>
      <c r="T556" s="3">
        <f t="shared" si="233"/>
        <v>22969.914055378104</v>
      </c>
      <c r="U556" s="3">
        <f t="shared" si="234"/>
        <v>0.5</v>
      </c>
      <c r="V556" s="3">
        <f t="shared" si="235"/>
        <v>0</v>
      </c>
      <c r="W556" s="3">
        <f t="shared" si="236"/>
        <v>21662.569307405407</v>
      </c>
      <c r="X556" s="3">
        <f t="shared" si="228"/>
        <v>9381.5932734830203</v>
      </c>
      <c r="AI556" s="3"/>
      <c r="AJ556" s="3"/>
      <c r="AK556" s="15">
        <f t="shared" si="219"/>
        <v>2</v>
      </c>
      <c r="AL556" s="11">
        <f t="shared" si="223"/>
        <v>3282</v>
      </c>
      <c r="AM556" s="11" t="b">
        <f t="shared" si="218"/>
        <v>0</v>
      </c>
      <c r="AN556" s="11">
        <f t="shared" si="220"/>
        <v>36000</v>
      </c>
      <c r="AO556" s="11">
        <f t="shared" si="221"/>
        <v>0</v>
      </c>
      <c r="AP556" s="11">
        <f t="shared" si="222"/>
        <v>0.7102591781167904</v>
      </c>
      <c r="AQ556" s="11">
        <f t="shared" si="224"/>
        <v>0</v>
      </c>
      <c r="AT556" s="3"/>
      <c r="AU556" s="17"/>
      <c r="AV556" s="19"/>
      <c r="AW556" s="17"/>
      <c r="AX556" s="17">
        <f t="shared" si="217"/>
        <v>547</v>
      </c>
      <c r="AY556" s="17">
        <f t="shared" si="242"/>
        <v>54.7</v>
      </c>
      <c r="AZ556" s="17">
        <v>71.025917811679037</v>
      </c>
      <c r="BA556" s="17"/>
      <c r="BB556" s="17">
        <v>36</v>
      </c>
      <c r="BC556" s="17"/>
      <c r="BD556" s="17"/>
      <c r="BE556" s="17"/>
      <c r="BF556" s="17"/>
      <c r="BG556" s="17"/>
      <c r="BH556" s="17"/>
      <c r="BI556" s="17"/>
      <c r="BJ556" s="17"/>
      <c r="BK556" s="17"/>
      <c r="BL556" s="17"/>
      <c r="BM556" s="17"/>
      <c r="BN556" s="17"/>
      <c r="BO556" s="17"/>
      <c r="BP556" s="17"/>
      <c r="BQ556" s="17"/>
      <c r="BR556" s="17"/>
      <c r="BS556" s="17"/>
      <c r="BT556" s="17"/>
      <c r="BU556" s="17"/>
      <c r="BV556" s="17"/>
      <c r="BW556" s="17"/>
      <c r="BX556" s="17"/>
      <c r="BY556" s="17"/>
      <c r="BZ556" s="17"/>
      <c r="CA556" s="17"/>
      <c r="CB556" s="17"/>
      <c r="CC556" s="17"/>
      <c r="CD556" s="17"/>
      <c r="CE556" s="17"/>
      <c r="CF556" s="17"/>
      <c r="CG556" s="17"/>
      <c r="CH556" s="17"/>
    </row>
    <row r="557" spans="8:86" x14ac:dyDescent="0.15">
      <c r="H557" s="3">
        <f t="shared" si="237"/>
        <v>0.54500000000000037</v>
      </c>
      <c r="I557" s="3">
        <f t="shared" si="238"/>
        <v>360</v>
      </c>
      <c r="J557" s="14">
        <f t="shared" si="239"/>
        <v>500</v>
      </c>
      <c r="K557" s="3">
        <f t="shared" si="229"/>
        <v>0</v>
      </c>
      <c r="L557" s="3">
        <f t="shared" si="225"/>
        <v>500</v>
      </c>
      <c r="M557" s="15">
        <f t="shared" si="240"/>
        <v>7.0000000000000007E-2</v>
      </c>
      <c r="N557" s="3">
        <f t="shared" si="241"/>
        <v>60.109998314861187</v>
      </c>
      <c r="O557" s="3">
        <f t="shared" si="226"/>
        <v>60.109998314861187</v>
      </c>
      <c r="P557" s="3">
        <f t="shared" si="230"/>
        <v>64.63440679017333</v>
      </c>
      <c r="Q557" s="3">
        <f t="shared" si="231"/>
        <v>18.717246718855282</v>
      </c>
      <c r="R557" s="3">
        <f t="shared" si="232"/>
        <v>41.675826754514304</v>
      </c>
      <c r="S557" s="3">
        <f t="shared" si="227"/>
        <v>1</v>
      </c>
      <c r="T557" s="3">
        <f t="shared" si="233"/>
        <v>22958.580035659026</v>
      </c>
      <c r="U557" s="3">
        <f t="shared" si="234"/>
        <v>0.5</v>
      </c>
      <c r="V557" s="3">
        <f t="shared" si="235"/>
        <v>0</v>
      </c>
      <c r="W557" s="3">
        <f t="shared" si="236"/>
        <v>21639.599393350029</v>
      </c>
      <c r="X557" s="3">
        <f t="shared" si="228"/>
        <v>9358.6233594276418</v>
      </c>
      <c r="AI557" s="3"/>
      <c r="AJ557" s="3"/>
      <c r="AK557" s="15">
        <f t="shared" si="219"/>
        <v>2</v>
      </c>
      <c r="AL557" s="11">
        <f t="shared" si="223"/>
        <v>3288</v>
      </c>
      <c r="AM557" s="11" t="b">
        <f t="shared" si="218"/>
        <v>0</v>
      </c>
      <c r="AN557" s="11">
        <f t="shared" si="220"/>
        <v>36000</v>
      </c>
      <c r="AO557" s="11">
        <f t="shared" si="221"/>
        <v>0</v>
      </c>
      <c r="AP557" s="11">
        <f t="shared" si="222"/>
        <v>0.71136149293160522</v>
      </c>
      <c r="AQ557" s="11">
        <f t="shared" si="224"/>
        <v>0</v>
      </c>
      <c r="AT557" s="3"/>
      <c r="AU557" s="17"/>
      <c r="AV557" s="19"/>
      <c r="AW557" s="17"/>
      <c r="AX557" s="17">
        <f t="shared" si="217"/>
        <v>548</v>
      </c>
      <c r="AY557" s="17">
        <f t="shared" si="242"/>
        <v>54.8</v>
      </c>
      <c r="AZ557" s="17">
        <v>71.136149293160528</v>
      </c>
      <c r="BA557" s="17"/>
      <c r="BB557" s="17">
        <v>36</v>
      </c>
      <c r="BC557" s="17"/>
      <c r="BD557" s="17"/>
      <c r="BE557" s="17"/>
      <c r="BF557" s="17"/>
      <c r="BG557" s="17"/>
      <c r="BH557" s="17"/>
      <c r="BI557" s="17"/>
      <c r="BJ557" s="17"/>
      <c r="BK557" s="17"/>
      <c r="BL557" s="17"/>
      <c r="BM557" s="17"/>
      <c r="BN557" s="17"/>
      <c r="BO557" s="17"/>
      <c r="BP557" s="17"/>
      <c r="BQ557" s="17"/>
      <c r="BR557" s="17"/>
      <c r="BS557" s="17"/>
      <c r="BT557" s="17"/>
      <c r="BU557" s="17"/>
      <c r="BV557" s="17"/>
      <c r="BW557" s="17"/>
      <c r="BX557" s="17"/>
      <c r="BY557" s="17"/>
      <c r="BZ557" s="17"/>
      <c r="CA557" s="17"/>
      <c r="CB557" s="17"/>
      <c r="CC557" s="17"/>
      <c r="CD557" s="17"/>
      <c r="CE557" s="17"/>
      <c r="CF557" s="17"/>
      <c r="CG557" s="17"/>
      <c r="CH557" s="17"/>
    </row>
    <row r="558" spans="8:86" x14ac:dyDescent="0.15">
      <c r="H558" s="3">
        <f t="shared" si="237"/>
        <v>0.54600000000000037</v>
      </c>
      <c r="I558" s="3">
        <f t="shared" si="238"/>
        <v>360</v>
      </c>
      <c r="J558" s="14">
        <f t="shared" si="239"/>
        <v>500</v>
      </c>
      <c r="K558" s="3">
        <f t="shared" si="229"/>
        <v>0</v>
      </c>
      <c r="L558" s="3">
        <f t="shared" si="225"/>
        <v>500</v>
      </c>
      <c r="M558" s="15">
        <f t="shared" si="240"/>
        <v>7.0000000000000007E-2</v>
      </c>
      <c r="N558" s="3">
        <f t="shared" si="241"/>
        <v>60.046224481428808</v>
      </c>
      <c r="O558" s="3">
        <f t="shared" si="226"/>
        <v>60.046224481428808</v>
      </c>
      <c r="P558" s="3">
        <f t="shared" si="230"/>
        <v>64.565832775729902</v>
      </c>
      <c r="Q558" s="3">
        <f t="shared" si="231"/>
        <v>18.671329558783963</v>
      </c>
      <c r="R558" s="3">
        <f t="shared" si="232"/>
        <v>41.618581167256934</v>
      </c>
      <c r="S558" s="3">
        <f t="shared" si="227"/>
        <v>1</v>
      </c>
      <c r="T558" s="3">
        <f t="shared" si="233"/>
        <v>22947.251608472969</v>
      </c>
      <c r="U558" s="3">
        <f t="shared" si="234"/>
        <v>0.5</v>
      </c>
      <c r="V558" s="3">
        <f t="shared" si="235"/>
        <v>0</v>
      </c>
      <c r="W558" s="3">
        <f t="shared" si="236"/>
        <v>21616.64081331437</v>
      </c>
      <c r="X558" s="3">
        <f t="shared" si="228"/>
        <v>9335.6647793919819</v>
      </c>
      <c r="AI558" s="3"/>
      <c r="AJ558" s="3"/>
      <c r="AK558" s="15">
        <f t="shared" si="219"/>
        <v>2</v>
      </c>
      <c r="AL558" s="11">
        <f t="shared" si="223"/>
        <v>3294</v>
      </c>
      <c r="AM558" s="11" t="b">
        <f t="shared" si="218"/>
        <v>0</v>
      </c>
      <c r="AN558" s="11">
        <f t="shared" si="220"/>
        <v>36000</v>
      </c>
      <c r="AO558" s="11">
        <f t="shared" si="221"/>
        <v>0</v>
      </c>
      <c r="AP558" s="11">
        <f t="shared" si="222"/>
        <v>0.71246380774642004</v>
      </c>
      <c r="AQ558" s="11">
        <f t="shared" si="224"/>
        <v>0</v>
      </c>
      <c r="AT558" s="3"/>
      <c r="AU558" s="17"/>
      <c r="AV558" s="19"/>
      <c r="AW558" s="17"/>
      <c r="AX558" s="17">
        <f t="shared" ref="AX558:AX621" si="243">IF(AX557&gt;=$AG$14,$AG$14,AX557+1)</f>
        <v>549</v>
      </c>
      <c r="AY558" s="17">
        <f t="shared" si="242"/>
        <v>54.9</v>
      </c>
      <c r="AZ558" s="17">
        <v>71.246380774642006</v>
      </c>
      <c r="BA558" s="17"/>
      <c r="BB558" s="17">
        <v>36</v>
      </c>
      <c r="BC558" s="17"/>
      <c r="BD558" s="17"/>
      <c r="BE558" s="17"/>
      <c r="BF558" s="17"/>
      <c r="BG558" s="17"/>
      <c r="BH558" s="17"/>
      <c r="BI558" s="17"/>
      <c r="BJ558" s="17"/>
      <c r="BK558" s="17"/>
      <c r="BL558" s="17"/>
      <c r="BM558" s="17"/>
      <c r="BN558" s="17"/>
      <c r="BO558" s="17"/>
      <c r="BP558" s="17"/>
      <c r="BQ558" s="17"/>
      <c r="BR558" s="17"/>
      <c r="BS558" s="17"/>
      <c r="BT558" s="17"/>
      <c r="BU558" s="17"/>
      <c r="BV558" s="17"/>
      <c r="BW558" s="17"/>
      <c r="BX558" s="17"/>
      <c r="BY558" s="17"/>
      <c r="BZ558" s="17"/>
      <c r="CA558" s="17"/>
      <c r="CB558" s="17"/>
      <c r="CC558" s="17"/>
      <c r="CD558" s="17"/>
      <c r="CE558" s="17"/>
      <c r="CF558" s="17"/>
      <c r="CG558" s="17"/>
      <c r="CH558" s="17"/>
    </row>
    <row r="559" spans="8:86" x14ac:dyDescent="0.15">
      <c r="H559" s="3">
        <f t="shared" si="237"/>
        <v>0.54700000000000037</v>
      </c>
      <c r="I559" s="3">
        <f t="shared" si="238"/>
        <v>360</v>
      </c>
      <c r="J559" s="14">
        <f t="shared" si="239"/>
        <v>500</v>
      </c>
      <c r="K559" s="3">
        <f t="shared" si="229"/>
        <v>0</v>
      </c>
      <c r="L559" s="3">
        <f t="shared" si="225"/>
        <v>500</v>
      </c>
      <c r="M559" s="15">
        <f t="shared" si="240"/>
        <v>7.0000000000000007E-2</v>
      </c>
      <c r="N559" s="3">
        <f t="shared" si="241"/>
        <v>59.98248211584972</v>
      </c>
      <c r="O559" s="3">
        <f t="shared" si="226"/>
        <v>59.98248211584972</v>
      </c>
      <c r="P559" s="3">
        <f t="shared" si="230"/>
        <v>64.497292597687874</v>
      </c>
      <c r="Q559" s="3">
        <f t="shared" si="231"/>
        <v>18.625435055567017</v>
      </c>
      <c r="R559" s="3">
        <f t="shared" si="232"/>
        <v>41.561363826627442</v>
      </c>
      <c r="S559" s="3">
        <f t="shared" si="227"/>
        <v>1</v>
      </c>
      <c r="T559" s="3">
        <f t="shared" si="233"/>
        <v>22935.928771060429</v>
      </c>
      <c r="U559" s="3">
        <f t="shared" si="234"/>
        <v>0.5</v>
      </c>
      <c r="V559" s="3">
        <f t="shared" si="235"/>
        <v>0</v>
      </c>
      <c r="W559" s="3">
        <f t="shared" si="236"/>
        <v>21593.693561705899</v>
      </c>
      <c r="X559" s="3">
        <f t="shared" si="228"/>
        <v>9312.7175277835086</v>
      </c>
      <c r="AI559" s="3"/>
      <c r="AJ559" s="3"/>
      <c r="AK559" s="15">
        <f t="shared" si="219"/>
        <v>2</v>
      </c>
      <c r="AL559" s="11">
        <f t="shared" si="223"/>
        <v>3300</v>
      </c>
      <c r="AM559" s="11" t="b">
        <f t="shared" si="218"/>
        <v>0</v>
      </c>
      <c r="AN559" s="11">
        <f t="shared" si="220"/>
        <v>36000</v>
      </c>
      <c r="AO559" s="11">
        <f t="shared" si="221"/>
        <v>0</v>
      </c>
      <c r="AP559" s="11">
        <f t="shared" si="222"/>
        <v>0.71356612256123486</v>
      </c>
      <c r="AQ559" s="11">
        <f t="shared" si="224"/>
        <v>0</v>
      </c>
      <c r="AT559" s="3"/>
      <c r="AU559" s="17"/>
      <c r="AV559" s="19"/>
      <c r="AW559" s="17"/>
      <c r="AX559" s="17">
        <f t="shared" si="243"/>
        <v>550</v>
      </c>
      <c r="AY559" s="17">
        <f t="shared" si="242"/>
        <v>55</v>
      </c>
      <c r="AZ559" s="17">
        <v>71.356612256123483</v>
      </c>
      <c r="BA559" s="17"/>
      <c r="BB559" s="17">
        <v>36</v>
      </c>
      <c r="BC559" s="17"/>
      <c r="BD559" s="17"/>
      <c r="BE559" s="17"/>
      <c r="BF559" s="17"/>
      <c r="BG559" s="17"/>
      <c r="BH559" s="17"/>
      <c r="BI559" s="17"/>
      <c r="BJ559" s="17"/>
      <c r="BK559" s="17"/>
      <c r="BL559" s="17"/>
      <c r="BM559" s="17"/>
      <c r="BN559" s="17"/>
      <c r="BO559" s="17"/>
      <c r="BP559" s="17"/>
      <c r="BQ559" s="17"/>
      <c r="BR559" s="17"/>
      <c r="BS559" s="17"/>
      <c r="BT559" s="17"/>
      <c r="BU559" s="17"/>
      <c r="BV559" s="17"/>
      <c r="BW559" s="17"/>
      <c r="BX559" s="17"/>
      <c r="BY559" s="17"/>
      <c r="BZ559" s="17"/>
      <c r="CA559" s="17"/>
      <c r="CB559" s="17"/>
      <c r="CC559" s="17"/>
      <c r="CD559" s="17"/>
      <c r="CE559" s="17"/>
      <c r="CF559" s="17"/>
      <c r="CG559" s="17"/>
      <c r="CH559" s="17"/>
    </row>
    <row r="560" spans="8:86" x14ac:dyDescent="0.15">
      <c r="H560" s="3">
        <f t="shared" si="237"/>
        <v>0.54800000000000038</v>
      </c>
      <c r="I560" s="3">
        <f t="shared" si="238"/>
        <v>360</v>
      </c>
      <c r="J560" s="14">
        <f t="shared" si="239"/>
        <v>500</v>
      </c>
      <c r="K560" s="3">
        <f t="shared" si="229"/>
        <v>0</v>
      </c>
      <c r="L560" s="3">
        <f t="shared" si="225"/>
        <v>500</v>
      </c>
      <c r="M560" s="15">
        <f t="shared" si="240"/>
        <v>7.0000000000000007E-2</v>
      </c>
      <c r="N560" s="3">
        <f t="shared" si="241"/>
        <v>59.918771202596773</v>
      </c>
      <c r="O560" s="3">
        <f t="shared" si="226"/>
        <v>59.918771202596773</v>
      </c>
      <c r="P560" s="3">
        <f t="shared" si="230"/>
        <v>64.428786239351368</v>
      </c>
      <c r="Q560" s="3">
        <f t="shared" si="231"/>
        <v>18.579563198024893</v>
      </c>
      <c r="R560" s="3">
        <f t="shared" si="232"/>
        <v>41.504174718688134</v>
      </c>
      <c r="S560" s="3">
        <f t="shared" si="227"/>
        <v>1</v>
      </c>
      <c r="T560" s="3">
        <f t="shared" si="233"/>
        <v>22924.611520663238</v>
      </c>
      <c r="U560" s="3">
        <f t="shared" si="234"/>
        <v>0.5</v>
      </c>
      <c r="V560" s="3">
        <f t="shared" si="235"/>
        <v>0</v>
      </c>
      <c r="W560" s="3">
        <f t="shared" si="236"/>
        <v>21570.757632934838</v>
      </c>
      <c r="X560" s="3">
        <f t="shared" si="228"/>
        <v>9289.7815990124473</v>
      </c>
      <c r="AI560" s="3"/>
      <c r="AJ560" s="3"/>
      <c r="AK560" s="15">
        <f t="shared" si="219"/>
        <v>2</v>
      </c>
      <c r="AL560" s="11">
        <f t="shared" si="223"/>
        <v>3306</v>
      </c>
      <c r="AM560" s="11" t="b">
        <f t="shared" si="218"/>
        <v>0</v>
      </c>
      <c r="AN560" s="11">
        <f t="shared" si="220"/>
        <v>36000</v>
      </c>
      <c r="AO560" s="11">
        <f t="shared" si="221"/>
        <v>0</v>
      </c>
      <c r="AP560" s="11">
        <f t="shared" si="222"/>
        <v>0.71466843737604979</v>
      </c>
      <c r="AQ560" s="11">
        <f t="shared" si="224"/>
        <v>0</v>
      </c>
      <c r="AT560" s="3"/>
      <c r="AU560" s="17"/>
      <c r="AV560" s="19"/>
      <c r="AW560" s="17"/>
      <c r="AX560" s="17">
        <f t="shared" si="243"/>
        <v>551</v>
      </c>
      <c r="AY560" s="17">
        <f t="shared" si="242"/>
        <v>55.1</v>
      </c>
      <c r="AZ560" s="17">
        <v>71.466843737604975</v>
      </c>
      <c r="BA560" s="17"/>
      <c r="BB560" s="17">
        <v>36</v>
      </c>
      <c r="BC560" s="17"/>
      <c r="BD560" s="17"/>
      <c r="BE560" s="17"/>
      <c r="BF560" s="17"/>
      <c r="BG560" s="17"/>
      <c r="BH560" s="17"/>
      <c r="BI560" s="17"/>
      <c r="BJ560" s="17"/>
      <c r="BK560" s="17"/>
      <c r="BL560" s="17"/>
      <c r="BM560" s="17"/>
      <c r="BN560" s="17"/>
      <c r="BO560" s="17"/>
      <c r="BP560" s="17"/>
      <c r="BQ560" s="17"/>
      <c r="BR560" s="17"/>
      <c r="BS560" s="17"/>
      <c r="BT560" s="17"/>
      <c r="BU560" s="17"/>
      <c r="BV560" s="17"/>
      <c r="BW560" s="17"/>
      <c r="BX560" s="17"/>
      <c r="BY560" s="17"/>
      <c r="BZ560" s="17"/>
      <c r="CA560" s="17"/>
      <c r="CB560" s="17"/>
      <c r="CC560" s="17"/>
      <c r="CD560" s="17"/>
      <c r="CE560" s="17"/>
      <c r="CF560" s="17"/>
      <c r="CG560" s="17"/>
      <c r="CH560" s="17"/>
    </row>
    <row r="561" spans="8:86" x14ac:dyDescent="0.15">
      <c r="H561" s="3">
        <f t="shared" si="237"/>
        <v>0.54900000000000038</v>
      </c>
      <c r="I561" s="3">
        <f t="shared" si="238"/>
        <v>360</v>
      </c>
      <c r="J561" s="14">
        <f t="shared" si="239"/>
        <v>500</v>
      </c>
      <c r="K561" s="3">
        <f t="shared" si="229"/>
        <v>0</v>
      </c>
      <c r="L561" s="3">
        <f t="shared" si="225"/>
        <v>500</v>
      </c>
      <c r="M561" s="15">
        <f t="shared" si="240"/>
        <v>7.0000000000000007E-2</v>
      </c>
      <c r="N561" s="3">
        <f t="shared" si="241"/>
        <v>59.855091726150484</v>
      </c>
      <c r="O561" s="3">
        <f t="shared" si="226"/>
        <v>59.855091726150484</v>
      </c>
      <c r="P561" s="3">
        <f t="shared" si="230"/>
        <v>64.360313684032789</v>
      </c>
      <c r="Q561" s="3">
        <f t="shared" si="231"/>
        <v>18.53371397498357</v>
      </c>
      <c r="R561" s="3">
        <f t="shared" si="232"/>
        <v>41.44701382950818</v>
      </c>
      <c r="S561" s="3">
        <f t="shared" si="227"/>
        <v>1</v>
      </c>
      <c r="T561" s="3">
        <f t="shared" si="233"/>
        <v>22913.299854524608</v>
      </c>
      <c r="U561" s="3">
        <f t="shared" si="234"/>
        <v>0.5</v>
      </c>
      <c r="V561" s="3">
        <f t="shared" si="235"/>
        <v>0</v>
      </c>
      <c r="W561" s="3">
        <f t="shared" si="236"/>
        <v>21547.833021414175</v>
      </c>
      <c r="X561" s="3">
        <f t="shared" si="228"/>
        <v>9266.8569874917848</v>
      </c>
      <c r="AI561" s="3"/>
      <c r="AJ561" s="3"/>
      <c r="AK561" s="15">
        <f t="shared" si="219"/>
        <v>2</v>
      </c>
      <c r="AL561" s="11">
        <f t="shared" si="223"/>
        <v>3312</v>
      </c>
      <c r="AM561" s="11" t="b">
        <f t="shared" si="218"/>
        <v>0</v>
      </c>
      <c r="AN561" s="11">
        <f t="shared" si="220"/>
        <v>36000</v>
      </c>
      <c r="AO561" s="11">
        <f t="shared" si="221"/>
        <v>0</v>
      </c>
      <c r="AP561" s="11">
        <f t="shared" si="222"/>
        <v>0.71577075219086461</v>
      </c>
      <c r="AQ561" s="11">
        <f t="shared" si="224"/>
        <v>0</v>
      </c>
      <c r="AT561" s="3"/>
      <c r="AU561" s="17"/>
      <c r="AV561" s="19"/>
      <c r="AW561" s="17"/>
      <c r="AX561" s="17">
        <f t="shared" si="243"/>
        <v>552</v>
      </c>
      <c r="AY561" s="17">
        <f t="shared" si="242"/>
        <v>55.2</v>
      </c>
      <c r="AZ561" s="17">
        <v>71.577075219086467</v>
      </c>
      <c r="BA561" s="17"/>
      <c r="BB561" s="17">
        <v>36</v>
      </c>
      <c r="BC561" s="17"/>
      <c r="BD561" s="17"/>
      <c r="BE561" s="17"/>
      <c r="BF561" s="17"/>
      <c r="BG561" s="17"/>
      <c r="BH561" s="17"/>
      <c r="BI561" s="17"/>
      <c r="BJ561" s="17"/>
      <c r="BK561" s="17"/>
      <c r="BL561" s="17"/>
      <c r="BM561" s="17"/>
      <c r="BN561" s="17"/>
      <c r="BO561" s="17"/>
      <c r="BP561" s="17"/>
      <c r="BQ561" s="17"/>
      <c r="BR561" s="17"/>
      <c r="BS561" s="17"/>
      <c r="BT561" s="17"/>
      <c r="BU561" s="17"/>
      <c r="BV561" s="17"/>
      <c r="BW561" s="17"/>
      <c r="BX561" s="17"/>
      <c r="BY561" s="17"/>
      <c r="BZ561" s="17"/>
      <c r="CA561" s="17"/>
      <c r="CB561" s="17"/>
      <c r="CC561" s="17"/>
      <c r="CD561" s="17"/>
      <c r="CE561" s="17"/>
      <c r="CF561" s="17"/>
      <c r="CG561" s="17"/>
      <c r="CH561" s="17"/>
    </row>
    <row r="562" spans="8:86" x14ac:dyDescent="0.15">
      <c r="H562" s="3">
        <f t="shared" si="237"/>
        <v>0.55000000000000038</v>
      </c>
      <c r="I562" s="3">
        <f t="shared" si="238"/>
        <v>360</v>
      </c>
      <c r="J562" s="14">
        <f t="shared" si="239"/>
        <v>500</v>
      </c>
      <c r="K562" s="3">
        <f t="shared" si="229"/>
        <v>0</v>
      </c>
      <c r="L562" s="3">
        <f t="shared" si="225"/>
        <v>500</v>
      </c>
      <c r="M562" s="15">
        <f t="shared" si="240"/>
        <v>7.0000000000000007E-2</v>
      </c>
      <c r="N562" s="3">
        <f t="shared" si="241"/>
        <v>59.79144367099903</v>
      </c>
      <c r="O562" s="3">
        <f t="shared" si="226"/>
        <v>59.79144367099903</v>
      </c>
      <c r="P562" s="3">
        <f t="shared" si="230"/>
        <v>64.29187491505273</v>
      </c>
      <c r="Q562" s="3">
        <f t="shared" si="231"/>
        <v>18.487887375274521</v>
      </c>
      <c r="R562" s="3">
        <f t="shared" si="232"/>
        <v>41.389881145163628</v>
      </c>
      <c r="S562" s="3">
        <f t="shared" si="227"/>
        <v>1</v>
      </c>
      <c r="T562" s="3">
        <f t="shared" si="233"/>
        <v>22901.993769889104</v>
      </c>
      <c r="U562" s="3">
        <f t="shared" si="234"/>
        <v>0.5</v>
      </c>
      <c r="V562" s="3">
        <f t="shared" si="235"/>
        <v>0</v>
      </c>
      <c r="W562" s="3">
        <f t="shared" si="236"/>
        <v>21524.91972155965</v>
      </c>
      <c r="X562" s="3">
        <f t="shared" si="228"/>
        <v>9243.9436876372602</v>
      </c>
      <c r="AI562" s="3"/>
      <c r="AJ562" s="3"/>
      <c r="AK562" s="15">
        <f t="shared" si="219"/>
        <v>2</v>
      </c>
      <c r="AL562" s="11">
        <f t="shared" si="223"/>
        <v>3318</v>
      </c>
      <c r="AM562" s="11" t="b">
        <f t="shared" si="218"/>
        <v>0</v>
      </c>
      <c r="AN562" s="11">
        <f t="shared" si="220"/>
        <v>36000</v>
      </c>
      <c r="AO562" s="11">
        <f t="shared" si="221"/>
        <v>0</v>
      </c>
      <c r="AP562" s="11">
        <f t="shared" si="222"/>
        <v>0.71687306700567943</v>
      </c>
      <c r="AQ562" s="11">
        <f t="shared" si="224"/>
        <v>0</v>
      </c>
      <c r="AT562" s="3"/>
      <c r="AU562" s="17"/>
      <c r="AV562" s="19"/>
      <c r="AW562" s="17"/>
      <c r="AX562" s="17">
        <f t="shared" si="243"/>
        <v>553</v>
      </c>
      <c r="AY562" s="17">
        <f t="shared" si="242"/>
        <v>55.3</v>
      </c>
      <c r="AZ562" s="17">
        <v>71.687306700567945</v>
      </c>
      <c r="BA562" s="17"/>
      <c r="BB562" s="17">
        <v>36</v>
      </c>
      <c r="BC562" s="17"/>
      <c r="BD562" s="17"/>
      <c r="BE562" s="17"/>
      <c r="BF562" s="17"/>
      <c r="BG562" s="17"/>
      <c r="BH562" s="17"/>
      <c r="BI562" s="17"/>
      <c r="BJ562" s="17"/>
      <c r="BK562" s="17"/>
      <c r="BL562" s="17"/>
      <c r="BM562" s="17"/>
      <c r="BN562" s="17"/>
      <c r="BO562" s="17"/>
      <c r="BP562" s="17"/>
      <c r="BQ562" s="17"/>
      <c r="BR562" s="17"/>
      <c r="BS562" s="17"/>
      <c r="BT562" s="17"/>
      <c r="BU562" s="17"/>
      <c r="BV562" s="17"/>
      <c r="BW562" s="17"/>
      <c r="BX562" s="17"/>
      <c r="BY562" s="17"/>
      <c r="BZ562" s="17"/>
      <c r="CA562" s="17"/>
      <c r="CB562" s="17"/>
      <c r="CC562" s="17"/>
      <c r="CD562" s="17"/>
      <c r="CE562" s="17"/>
      <c r="CF562" s="17"/>
      <c r="CG562" s="17"/>
      <c r="CH562" s="17"/>
    </row>
    <row r="563" spans="8:86" x14ac:dyDescent="0.15">
      <c r="H563" s="3">
        <f t="shared" si="237"/>
        <v>0.55100000000000038</v>
      </c>
      <c r="I563" s="3">
        <f t="shared" si="238"/>
        <v>360</v>
      </c>
      <c r="J563" s="14">
        <f t="shared" si="239"/>
        <v>500</v>
      </c>
      <c r="K563" s="3">
        <f t="shared" si="229"/>
        <v>0</v>
      </c>
      <c r="L563" s="3">
        <f t="shared" si="225"/>
        <v>500</v>
      </c>
      <c r="M563" s="15">
        <f t="shared" si="240"/>
        <v>7.0000000000000007E-2</v>
      </c>
      <c r="N563" s="3">
        <f t="shared" si="241"/>
        <v>59.72782702163822</v>
      </c>
      <c r="O563" s="3">
        <f t="shared" si="226"/>
        <v>59.72782702163822</v>
      </c>
      <c r="P563" s="3">
        <f t="shared" si="230"/>
        <v>64.223469915740026</v>
      </c>
      <c r="Q563" s="3">
        <f t="shared" si="231"/>
        <v>18.442083387734744</v>
      </c>
      <c r="R563" s="3">
        <f t="shared" si="232"/>
        <v>41.332776651737383</v>
      </c>
      <c r="S563" s="3">
        <f t="shared" si="227"/>
        <v>1</v>
      </c>
      <c r="T563" s="3">
        <f t="shared" si="233"/>
        <v>22890.693264002643</v>
      </c>
      <c r="U563" s="3">
        <f t="shared" si="234"/>
        <v>0.5</v>
      </c>
      <c r="V563" s="3">
        <f t="shared" si="235"/>
        <v>0</v>
      </c>
      <c r="W563" s="3">
        <f t="shared" si="236"/>
        <v>21502.01772778976</v>
      </c>
      <c r="X563" s="3">
        <f t="shared" si="228"/>
        <v>9221.0416938673716</v>
      </c>
      <c r="AI563" s="3"/>
      <c r="AJ563" s="3"/>
      <c r="AK563" s="15">
        <f t="shared" si="219"/>
        <v>2</v>
      </c>
      <c r="AL563" s="11">
        <f t="shared" si="223"/>
        <v>3324</v>
      </c>
      <c r="AM563" s="11" t="b">
        <f t="shared" si="218"/>
        <v>0</v>
      </c>
      <c r="AN563" s="11">
        <f t="shared" si="220"/>
        <v>36000</v>
      </c>
      <c r="AO563" s="11">
        <f t="shared" si="221"/>
        <v>0</v>
      </c>
      <c r="AP563" s="11">
        <f t="shared" si="222"/>
        <v>0.71797538182049425</v>
      </c>
      <c r="AQ563" s="11">
        <f t="shared" si="224"/>
        <v>0</v>
      </c>
      <c r="AT563" s="3"/>
      <c r="AU563" s="17"/>
      <c r="AV563" s="19"/>
      <c r="AW563" s="17"/>
      <c r="AX563" s="17">
        <f t="shared" si="243"/>
        <v>554</v>
      </c>
      <c r="AY563" s="17">
        <f t="shared" si="242"/>
        <v>55.4</v>
      </c>
      <c r="AZ563" s="17">
        <v>71.797538182049422</v>
      </c>
      <c r="BA563" s="17"/>
      <c r="BB563" s="17">
        <v>36</v>
      </c>
      <c r="BC563" s="17"/>
      <c r="BD563" s="17"/>
      <c r="BE563" s="17"/>
      <c r="BF563" s="17"/>
      <c r="BG563" s="17"/>
      <c r="BH563" s="17"/>
      <c r="BI563" s="17"/>
      <c r="BJ563" s="17"/>
      <c r="BK563" s="17"/>
      <c r="BL563" s="17"/>
      <c r="BM563" s="17"/>
      <c r="BN563" s="17"/>
      <c r="BO563" s="17"/>
      <c r="BP563" s="17"/>
      <c r="BQ563" s="17"/>
      <c r="BR563" s="17"/>
      <c r="BS563" s="17"/>
      <c r="BT563" s="17"/>
      <c r="BU563" s="17"/>
      <c r="BV563" s="17"/>
      <c r="BW563" s="17"/>
      <c r="BX563" s="17"/>
      <c r="BY563" s="17"/>
      <c r="BZ563" s="17"/>
      <c r="CA563" s="17"/>
      <c r="CB563" s="17"/>
      <c r="CC563" s="17"/>
      <c r="CD563" s="17"/>
      <c r="CE563" s="17"/>
      <c r="CF563" s="17"/>
      <c r="CG563" s="17"/>
      <c r="CH563" s="17"/>
    </row>
    <row r="564" spans="8:86" x14ac:dyDescent="0.15">
      <c r="H564" s="3">
        <f t="shared" si="237"/>
        <v>0.55200000000000038</v>
      </c>
      <c r="I564" s="3">
        <f t="shared" si="238"/>
        <v>360</v>
      </c>
      <c r="J564" s="14">
        <f t="shared" si="239"/>
        <v>500</v>
      </c>
      <c r="K564" s="3">
        <f t="shared" si="229"/>
        <v>0</v>
      </c>
      <c r="L564" s="3">
        <f t="shared" si="225"/>
        <v>500</v>
      </c>
      <c r="M564" s="15">
        <f t="shared" si="240"/>
        <v>7.0000000000000007E-2</v>
      </c>
      <c r="N564" s="3">
        <f t="shared" si="241"/>
        <v>59.66424176257155</v>
      </c>
      <c r="O564" s="3">
        <f t="shared" si="226"/>
        <v>59.66424176257155</v>
      </c>
      <c r="P564" s="3">
        <f t="shared" si="230"/>
        <v>64.15509866943178</v>
      </c>
      <c r="Q564" s="3">
        <f t="shared" si="231"/>
        <v>18.396302001206738</v>
      </c>
      <c r="R564" s="3">
        <f t="shared" si="232"/>
        <v>41.275700335319257</v>
      </c>
      <c r="S564" s="3">
        <f t="shared" si="227"/>
        <v>1</v>
      </c>
      <c r="T564" s="3">
        <f t="shared" si="233"/>
        <v>22879.398334112524</v>
      </c>
      <c r="U564" s="3">
        <f t="shared" si="234"/>
        <v>0.5</v>
      </c>
      <c r="V564" s="3">
        <f t="shared" si="235"/>
        <v>0</v>
      </c>
      <c r="W564" s="3">
        <f t="shared" si="236"/>
        <v>21479.127034525758</v>
      </c>
      <c r="X564" s="3">
        <f t="shared" si="228"/>
        <v>9198.1510006033695</v>
      </c>
      <c r="AI564" s="3"/>
      <c r="AJ564" s="3"/>
      <c r="AK564" s="15">
        <f t="shared" si="219"/>
        <v>2</v>
      </c>
      <c r="AL564" s="11">
        <f t="shared" si="223"/>
        <v>3330</v>
      </c>
      <c r="AM564" s="11" t="b">
        <f t="shared" si="218"/>
        <v>0</v>
      </c>
      <c r="AN564" s="11">
        <f t="shared" si="220"/>
        <v>36000</v>
      </c>
      <c r="AO564" s="11">
        <f t="shared" si="221"/>
        <v>0</v>
      </c>
      <c r="AP564" s="11">
        <f t="shared" si="222"/>
        <v>0.71907769663530907</v>
      </c>
      <c r="AQ564" s="11">
        <f t="shared" si="224"/>
        <v>0</v>
      </c>
      <c r="AT564" s="3"/>
      <c r="AU564" s="17"/>
      <c r="AV564" s="19"/>
      <c r="AW564" s="17"/>
      <c r="AX564" s="17">
        <f t="shared" si="243"/>
        <v>555</v>
      </c>
      <c r="AY564" s="17">
        <f t="shared" si="242"/>
        <v>55.5</v>
      </c>
      <c r="AZ564" s="17">
        <v>71.907769663530914</v>
      </c>
      <c r="BA564" s="17"/>
      <c r="BB564" s="17">
        <v>36</v>
      </c>
      <c r="BC564" s="17"/>
      <c r="BD564" s="17"/>
      <c r="BE564" s="17"/>
      <c r="BF564" s="17"/>
      <c r="BG564" s="17"/>
      <c r="BH564" s="17"/>
      <c r="BI564" s="17"/>
      <c r="BJ564" s="17"/>
      <c r="BK564" s="17"/>
      <c r="BL564" s="17"/>
      <c r="BM564" s="17"/>
      <c r="BN564" s="17"/>
      <c r="BO564" s="17"/>
      <c r="BP564" s="17"/>
      <c r="BQ564" s="17"/>
      <c r="BR564" s="17"/>
      <c r="BS564" s="17"/>
      <c r="BT564" s="17"/>
      <c r="BU564" s="17"/>
      <c r="BV564" s="17"/>
      <c r="BW564" s="17"/>
      <c r="BX564" s="17"/>
      <c r="BY564" s="17"/>
      <c r="BZ564" s="17"/>
      <c r="CA564" s="17"/>
      <c r="CB564" s="17"/>
      <c r="CC564" s="17"/>
      <c r="CD564" s="17"/>
      <c r="CE564" s="17"/>
      <c r="CF564" s="17"/>
      <c r="CG564" s="17"/>
      <c r="CH564" s="17"/>
    </row>
    <row r="565" spans="8:86" x14ac:dyDescent="0.15">
      <c r="H565" s="3">
        <f t="shared" si="237"/>
        <v>0.55300000000000038</v>
      </c>
      <c r="I565" s="3">
        <f t="shared" si="238"/>
        <v>360</v>
      </c>
      <c r="J565" s="14">
        <f t="shared" si="239"/>
        <v>500</v>
      </c>
      <c r="K565" s="3">
        <f t="shared" si="229"/>
        <v>0</v>
      </c>
      <c r="L565" s="3">
        <f t="shared" si="225"/>
        <v>500</v>
      </c>
      <c r="M565" s="15">
        <f t="shared" si="240"/>
        <v>7.0000000000000007E-2</v>
      </c>
      <c r="N565" s="3">
        <f t="shared" si="241"/>
        <v>59.600687878310126</v>
      </c>
      <c r="O565" s="3">
        <f t="shared" si="226"/>
        <v>59.600687878310126</v>
      </c>
      <c r="P565" s="3">
        <f t="shared" si="230"/>
        <v>64.086761159473255</v>
      </c>
      <c r="Q565" s="3">
        <f t="shared" si="231"/>
        <v>18.350543204538514</v>
      </c>
      <c r="R565" s="3">
        <f t="shared" si="232"/>
        <v>41.218652182005883</v>
      </c>
      <c r="S565" s="3">
        <f t="shared" si="227"/>
        <v>1</v>
      </c>
      <c r="T565" s="3">
        <f t="shared" si="233"/>
        <v>22868.108977467371</v>
      </c>
      <c r="U565" s="3">
        <f t="shared" si="234"/>
        <v>0.5</v>
      </c>
      <c r="V565" s="3">
        <f t="shared" si="235"/>
        <v>0</v>
      </c>
      <c r="W565" s="3">
        <f t="shared" si="236"/>
        <v>21456.247636191645</v>
      </c>
      <c r="X565" s="3">
        <f t="shared" si="228"/>
        <v>9175.2716022692566</v>
      </c>
      <c r="AI565" s="3"/>
      <c r="AJ565" s="3"/>
      <c r="AK565" s="15">
        <f t="shared" si="219"/>
        <v>2</v>
      </c>
      <c r="AL565" s="11">
        <f t="shared" si="223"/>
        <v>3336</v>
      </c>
      <c r="AM565" s="11" t="b">
        <f t="shared" si="218"/>
        <v>0</v>
      </c>
      <c r="AN565" s="11">
        <f t="shared" si="220"/>
        <v>36000</v>
      </c>
      <c r="AO565" s="11">
        <f t="shared" si="221"/>
        <v>0</v>
      </c>
      <c r="AP565" s="11">
        <f t="shared" si="222"/>
        <v>0.720180011450124</v>
      </c>
      <c r="AQ565" s="11">
        <f t="shared" si="224"/>
        <v>0</v>
      </c>
      <c r="AT565" s="3"/>
      <c r="AU565" s="17"/>
      <c r="AV565" s="19"/>
      <c r="AW565" s="17"/>
      <c r="AX565" s="17">
        <f t="shared" si="243"/>
        <v>556</v>
      </c>
      <c r="AY565" s="17">
        <f t="shared" si="242"/>
        <v>55.6</v>
      </c>
      <c r="AZ565" s="17">
        <v>72.018001145012406</v>
      </c>
      <c r="BA565" s="17"/>
      <c r="BB565" s="17">
        <v>36</v>
      </c>
      <c r="BC565" s="17"/>
      <c r="BD565" s="17"/>
      <c r="BE565" s="17"/>
      <c r="BF565" s="17"/>
      <c r="BG565" s="17"/>
      <c r="BH565" s="17"/>
      <c r="BI565" s="17"/>
      <c r="BJ565" s="17"/>
      <c r="BK565" s="17"/>
      <c r="BL565" s="17"/>
      <c r="BM565" s="17"/>
      <c r="BN565" s="17"/>
      <c r="BO565" s="17"/>
      <c r="BP565" s="17"/>
      <c r="BQ565" s="17"/>
      <c r="BR565" s="17"/>
      <c r="BS565" s="17"/>
      <c r="BT565" s="17"/>
      <c r="BU565" s="17"/>
      <c r="BV565" s="17"/>
      <c r="BW565" s="17"/>
      <c r="BX565" s="17"/>
      <c r="BY565" s="17"/>
      <c r="BZ565" s="17"/>
      <c r="CA565" s="17"/>
      <c r="CB565" s="17"/>
      <c r="CC565" s="17"/>
      <c r="CD565" s="17"/>
      <c r="CE565" s="17"/>
      <c r="CF565" s="17"/>
      <c r="CG565" s="17"/>
      <c r="CH565" s="17"/>
    </row>
    <row r="566" spans="8:86" x14ac:dyDescent="0.15">
      <c r="H566" s="3">
        <f t="shared" si="237"/>
        <v>0.55400000000000038</v>
      </c>
      <c r="I566" s="3">
        <f t="shared" si="238"/>
        <v>360</v>
      </c>
      <c r="J566" s="14">
        <f t="shared" si="239"/>
        <v>500</v>
      </c>
      <c r="K566" s="3">
        <f t="shared" si="229"/>
        <v>0</v>
      </c>
      <c r="L566" s="3">
        <f t="shared" si="225"/>
        <v>500</v>
      </c>
      <c r="M566" s="15">
        <f t="shared" si="240"/>
        <v>7.0000000000000007E-2</v>
      </c>
      <c r="N566" s="3">
        <f t="shared" si="241"/>
        <v>59.537165353372714</v>
      </c>
      <c r="O566" s="3">
        <f t="shared" si="226"/>
        <v>59.537165353372714</v>
      </c>
      <c r="P566" s="3">
        <f t="shared" si="230"/>
        <v>64.01845736921797</v>
      </c>
      <c r="Q566" s="3">
        <f t="shared" si="231"/>
        <v>18.304806986583579</v>
      </c>
      <c r="R566" s="3">
        <f t="shared" si="232"/>
        <v>41.161632177900771</v>
      </c>
      <c r="S566" s="3">
        <f t="shared" si="227"/>
        <v>1</v>
      </c>
      <c r="T566" s="3">
        <f t="shared" si="233"/>
        <v>22856.825191317195</v>
      </c>
      <c r="U566" s="3">
        <f t="shared" si="234"/>
        <v>0.5</v>
      </c>
      <c r="V566" s="3">
        <f t="shared" si="235"/>
        <v>0</v>
      </c>
      <c r="W566" s="3">
        <f t="shared" si="236"/>
        <v>21433.379527214176</v>
      </c>
      <c r="X566" s="3">
        <f t="shared" si="228"/>
        <v>9152.4034932917893</v>
      </c>
      <c r="AI566" s="3"/>
      <c r="AJ566" s="3"/>
      <c r="AK566" s="15">
        <f t="shared" si="219"/>
        <v>2</v>
      </c>
      <c r="AL566" s="11">
        <f t="shared" si="223"/>
        <v>3342</v>
      </c>
      <c r="AM566" s="11" t="b">
        <f t="shared" si="218"/>
        <v>0</v>
      </c>
      <c r="AN566" s="11">
        <f t="shared" si="220"/>
        <v>36000</v>
      </c>
      <c r="AO566" s="11">
        <f t="shared" si="221"/>
        <v>0</v>
      </c>
      <c r="AP566" s="11">
        <f t="shared" si="222"/>
        <v>0.72128232626493882</v>
      </c>
      <c r="AQ566" s="11">
        <f t="shared" si="224"/>
        <v>0</v>
      </c>
      <c r="AT566" s="3"/>
      <c r="AU566" s="17"/>
      <c r="AV566" s="19"/>
      <c r="AW566" s="17"/>
      <c r="AX566" s="17">
        <f t="shared" si="243"/>
        <v>557</v>
      </c>
      <c r="AY566" s="17">
        <f t="shared" si="242"/>
        <v>55.7</v>
      </c>
      <c r="AZ566" s="17">
        <v>72.128232626493883</v>
      </c>
      <c r="BA566" s="17"/>
      <c r="BB566" s="17">
        <v>36</v>
      </c>
      <c r="BC566" s="17"/>
      <c r="BD566" s="17"/>
      <c r="BE566" s="17"/>
      <c r="BF566" s="17"/>
      <c r="BG566" s="17"/>
      <c r="BH566" s="17"/>
      <c r="BI566" s="17"/>
      <c r="BJ566" s="17"/>
      <c r="BK566" s="17"/>
      <c r="BL566" s="17"/>
      <c r="BM566" s="17"/>
      <c r="BN566" s="17"/>
      <c r="BO566" s="17"/>
      <c r="BP566" s="17"/>
      <c r="BQ566" s="17"/>
      <c r="BR566" s="17"/>
      <c r="BS566" s="17"/>
      <c r="BT566" s="17"/>
      <c r="BU566" s="17"/>
      <c r="BV566" s="17"/>
      <c r="BW566" s="17"/>
      <c r="BX566" s="17"/>
      <c r="BY566" s="17"/>
      <c r="BZ566" s="17"/>
      <c r="CA566" s="17"/>
      <c r="CB566" s="17"/>
      <c r="CC566" s="17"/>
      <c r="CD566" s="17"/>
      <c r="CE566" s="17"/>
      <c r="CF566" s="17"/>
      <c r="CG566" s="17"/>
      <c r="CH566" s="17"/>
    </row>
    <row r="567" spans="8:86" x14ac:dyDescent="0.15">
      <c r="H567" s="3">
        <f t="shared" si="237"/>
        <v>0.55500000000000038</v>
      </c>
      <c r="I567" s="3">
        <f t="shared" si="238"/>
        <v>360</v>
      </c>
      <c r="J567" s="14">
        <f t="shared" si="239"/>
        <v>500</v>
      </c>
      <c r="K567" s="3">
        <f t="shared" si="229"/>
        <v>0</v>
      </c>
      <c r="L567" s="3">
        <f t="shared" si="225"/>
        <v>500</v>
      </c>
      <c r="M567" s="15">
        <f t="shared" si="240"/>
        <v>7.0000000000000007E-2</v>
      </c>
      <c r="N567" s="3">
        <f t="shared" si="241"/>
        <v>59.473674172285719</v>
      </c>
      <c r="O567" s="3">
        <f t="shared" si="226"/>
        <v>59.473674172285719</v>
      </c>
      <c r="P567" s="3">
        <f t="shared" si="230"/>
        <v>63.950187282027656</v>
      </c>
      <c r="Q567" s="3">
        <f t="shared" si="231"/>
        <v>18.259093336200944</v>
      </c>
      <c r="R567" s="3">
        <f t="shared" si="232"/>
        <v>41.104640309114302</v>
      </c>
      <c r="S567" s="3">
        <f t="shared" si="227"/>
        <v>1</v>
      </c>
      <c r="T567" s="3">
        <f t="shared" si="233"/>
        <v>22845.546972913355</v>
      </c>
      <c r="U567" s="3">
        <f t="shared" si="234"/>
        <v>0.5</v>
      </c>
      <c r="V567" s="3">
        <f t="shared" si="235"/>
        <v>0</v>
      </c>
      <c r="W567" s="3">
        <f t="shared" si="236"/>
        <v>21410.522702022859</v>
      </c>
      <c r="X567" s="3">
        <f t="shared" si="228"/>
        <v>9129.5466681004727</v>
      </c>
      <c r="AI567" s="3"/>
      <c r="AJ567" s="3"/>
      <c r="AK567" s="15">
        <f t="shared" si="219"/>
        <v>2</v>
      </c>
      <c r="AL567" s="11">
        <f t="shared" si="223"/>
        <v>3348</v>
      </c>
      <c r="AM567" s="11" t="b">
        <f t="shared" si="218"/>
        <v>0</v>
      </c>
      <c r="AN567" s="11">
        <f t="shared" si="220"/>
        <v>36000</v>
      </c>
      <c r="AO567" s="11">
        <f t="shared" si="221"/>
        <v>0</v>
      </c>
      <c r="AP567" s="11">
        <f t="shared" si="222"/>
        <v>0.72238464107975364</v>
      </c>
      <c r="AQ567" s="11">
        <f t="shared" si="224"/>
        <v>0</v>
      </c>
      <c r="AT567" s="3"/>
      <c r="AU567" s="17"/>
      <c r="AV567" s="19"/>
      <c r="AW567" s="17"/>
      <c r="AX567" s="17">
        <f t="shared" si="243"/>
        <v>558</v>
      </c>
      <c r="AY567" s="17">
        <f t="shared" si="242"/>
        <v>55.8</v>
      </c>
      <c r="AZ567" s="17">
        <v>72.238464107975361</v>
      </c>
      <c r="BA567" s="17"/>
      <c r="BB567" s="17">
        <v>36</v>
      </c>
      <c r="BC567" s="17"/>
      <c r="BD567" s="17"/>
      <c r="BE567" s="17"/>
      <c r="BF567" s="17"/>
      <c r="BG567" s="17"/>
      <c r="BH567" s="17"/>
      <c r="BI567" s="17"/>
      <c r="BJ567" s="17"/>
      <c r="BK567" s="17"/>
      <c r="BL567" s="17"/>
      <c r="BM567" s="17"/>
      <c r="BN567" s="17"/>
      <c r="BO567" s="17"/>
      <c r="BP567" s="17"/>
      <c r="BQ567" s="17"/>
      <c r="BR567" s="17"/>
      <c r="BS567" s="17"/>
      <c r="BT567" s="17"/>
      <c r="BU567" s="17"/>
      <c r="BV567" s="17"/>
      <c r="BW567" s="17"/>
      <c r="BX567" s="17"/>
      <c r="BY567" s="17"/>
      <c r="BZ567" s="17"/>
      <c r="CA567" s="17"/>
      <c r="CB567" s="17"/>
      <c r="CC567" s="17"/>
      <c r="CD567" s="17"/>
      <c r="CE567" s="17"/>
      <c r="CF567" s="17"/>
      <c r="CG567" s="17"/>
      <c r="CH567" s="17"/>
    </row>
    <row r="568" spans="8:86" x14ac:dyDescent="0.15">
      <c r="H568" s="3">
        <f t="shared" si="237"/>
        <v>0.55600000000000038</v>
      </c>
      <c r="I568" s="3">
        <f t="shared" si="238"/>
        <v>360</v>
      </c>
      <c r="J568" s="14">
        <f t="shared" si="239"/>
        <v>500</v>
      </c>
      <c r="K568" s="3">
        <f t="shared" si="229"/>
        <v>0</v>
      </c>
      <c r="L568" s="3">
        <f t="shared" si="225"/>
        <v>500</v>
      </c>
      <c r="M568" s="15">
        <f t="shared" si="240"/>
        <v>7.0000000000000007E-2</v>
      </c>
      <c r="N568" s="3">
        <f t="shared" si="241"/>
        <v>59.410214319583183</v>
      </c>
      <c r="O568" s="3">
        <f t="shared" si="226"/>
        <v>59.410214319583183</v>
      </c>
      <c r="P568" s="3">
        <f t="shared" si="230"/>
        <v>63.881950881272246</v>
      </c>
      <c r="Q568" s="3">
        <f t="shared" si="231"/>
        <v>18.213402242255118</v>
      </c>
      <c r="R568" s="3">
        <f t="shared" si="232"/>
        <v>41.04767656176368</v>
      </c>
      <c r="S568" s="3">
        <f t="shared" si="227"/>
        <v>1</v>
      </c>
      <c r="T568" s="3">
        <f t="shared" si="233"/>
        <v>22834.274319508568</v>
      </c>
      <c r="U568" s="3">
        <f t="shared" si="234"/>
        <v>0.5</v>
      </c>
      <c r="V568" s="3">
        <f t="shared" si="235"/>
        <v>0</v>
      </c>
      <c r="W568" s="3">
        <f t="shared" si="236"/>
        <v>21387.677155049947</v>
      </c>
      <c r="X568" s="3">
        <f t="shared" si="228"/>
        <v>9106.7011211275585</v>
      </c>
      <c r="AI568" s="3"/>
      <c r="AJ568" s="3"/>
      <c r="AK568" s="15">
        <f t="shared" si="219"/>
        <v>2</v>
      </c>
      <c r="AL568" s="11">
        <f t="shared" si="223"/>
        <v>3354</v>
      </c>
      <c r="AM568" s="11" t="b">
        <f t="shared" si="218"/>
        <v>0</v>
      </c>
      <c r="AN568" s="11">
        <f t="shared" si="220"/>
        <v>36000</v>
      </c>
      <c r="AO568" s="11">
        <f t="shared" si="221"/>
        <v>0</v>
      </c>
      <c r="AP568" s="11">
        <f t="shared" si="222"/>
        <v>0.72348695589456846</v>
      </c>
      <c r="AQ568" s="11">
        <f t="shared" si="224"/>
        <v>0</v>
      </c>
      <c r="AT568" s="3"/>
      <c r="AU568" s="17"/>
      <c r="AV568" s="19"/>
      <c r="AW568" s="17"/>
      <c r="AX568" s="17">
        <f t="shared" si="243"/>
        <v>559</v>
      </c>
      <c r="AY568" s="17">
        <f t="shared" si="242"/>
        <v>55.9</v>
      </c>
      <c r="AZ568" s="17">
        <v>72.348695589456852</v>
      </c>
      <c r="BA568" s="17"/>
      <c r="BB568" s="17">
        <v>36</v>
      </c>
      <c r="BC568" s="17"/>
      <c r="BD568" s="17"/>
      <c r="BE568" s="17"/>
      <c r="BF568" s="17"/>
      <c r="BG568" s="17"/>
      <c r="BH568" s="17"/>
      <c r="BI568" s="17"/>
      <c r="BJ568" s="17"/>
      <c r="BK568" s="17"/>
      <c r="BL568" s="17"/>
      <c r="BM568" s="17"/>
      <c r="BN568" s="17"/>
      <c r="BO568" s="17"/>
      <c r="BP568" s="17"/>
      <c r="BQ568" s="17"/>
      <c r="BR568" s="17"/>
      <c r="BS568" s="17"/>
      <c r="BT568" s="17"/>
      <c r="BU568" s="17"/>
      <c r="BV568" s="17"/>
      <c r="BW568" s="17"/>
      <c r="BX568" s="17"/>
      <c r="BY568" s="17"/>
      <c r="BZ568" s="17"/>
      <c r="CA568" s="17"/>
      <c r="CB568" s="17"/>
      <c r="CC568" s="17"/>
      <c r="CD568" s="17"/>
      <c r="CE568" s="17"/>
      <c r="CF568" s="17"/>
      <c r="CG568" s="17"/>
      <c r="CH568" s="17"/>
    </row>
    <row r="569" spans="8:86" x14ac:dyDescent="0.15">
      <c r="H569" s="3">
        <f t="shared" si="237"/>
        <v>0.55700000000000038</v>
      </c>
      <c r="I569" s="3">
        <f t="shared" si="238"/>
        <v>360</v>
      </c>
      <c r="J569" s="14">
        <f t="shared" si="239"/>
        <v>500</v>
      </c>
      <c r="K569" s="3">
        <f t="shared" si="229"/>
        <v>0</v>
      </c>
      <c r="L569" s="3">
        <f t="shared" si="225"/>
        <v>500</v>
      </c>
      <c r="M569" s="15">
        <f t="shared" si="240"/>
        <v>7.0000000000000007E-2</v>
      </c>
      <c r="N569" s="3">
        <f t="shared" si="241"/>
        <v>59.346785779806773</v>
      </c>
      <c r="O569" s="3">
        <f t="shared" si="226"/>
        <v>59.346785779806773</v>
      </c>
      <c r="P569" s="3">
        <f t="shared" si="230"/>
        <v>63.813748150329864</v>
      </c>
      <c r="Q569" s="3">
        <f t="shared" si="231"/>
        <v>18.1677336936161</v>
      </c>
      <c r="R569" s="3">
        <f t="shared" si="232"/>
        <v>40.990740921972986</v>
      </c>
      <c r="S569" s="3">
        <f t="shared" si="227"/>
        <v>1</v>
      </c>
      <c r="T569" s="3">
        <f t="shared" si="233"/>
        <v>22823.007228356881</v>
      </c>
      <c r="U569" s="3">
        <f t="shared" si="234"/>
        <v>0.5</v>
      </c>
      <c r="V569" s="3">
        <f t="shared" si="235"/>
        <v>0</v>
      </c>
      <c r="W569" s="3">
        <f t="shared" si="236"/>
        <v>21364.842880730437</v>
      </c>
      <c r="X569" s="3">
        <f t="shared" si="228"/>
        <v>9083.8668468080505</v>
      </c>
      <c r="AI569" s="3"/>
      <c r="AJ569" s="3"/>
      <c r="AK569" s="15">
        <f t="shared" si="219"/>
        <v>2</v>
      </c>
      <c r="AL569" s="11">
        <f t="shared" si="223"/>
        <v>3360</v>
      </c>
      <c r="AM569" s="11" t="b">
        <f t="shared" si="218"/>
        <v>0</v>
      </c>
      <c r="AN569" s="11">
        <f t="shared" si="220"/>
        <v>36000</v>
      </c>
      <c r="AO569" s="11">
        <f t="shared" si="221"/>
        <v>0</v>
      </c>
      <c r="AP569" s="11">
        <f t="shared" si="222"/>
        <v>0.72458927070938328</v>
      </c>
      <c r="AQ569" s="11">
        <f t="shared" si="224"/>
        <v>0</v>
      </c>
      <c r="AT569" s="3"/>
      <c r="AU569" s="17"/>
      <c r="AV569" s="19"/>
      <c r="AW569" s="17"/>
      <c r="AX569" s="17">
        <f t="shared" si="243"/>
        <v>560</v>
      </c>
      <c r="AY569" s="17">
        <f t="shared" si="242"/>
        <v>56</v>
      </c>
      <c r="AZ569" s="17">
        <v>72.45892707093833</v>
      </c>
      <c r="BA569" s="17"/>
      <c r="BB569" s="17">
        <v>36</v>
      </c>
      <c r="BC569" s="17"/>
      <c r="BD569" s="17"/>
      <c r="BE569" s="17"/>
      <c r="BF569" s="17"/>
      <c r="BG569" s="17"/>
      <c r="BH569" s="17"/>
      <c r="BI569" s="17"/>
      <c r="BJ569" s="17"/>
      <c r="BK569" s="17"/>
      <c r="BL569" s="17"/>
      <c r="BM569" s="17"/>
      <c r="BN569" s="17"/>
      <c r="BO569" s="17"/>
      <c r="BP569" s="17"/>
      <c r="BQ569" s="17"/>
      <c r="BR569" s="17"/>
      <c r="BS569" s="17"/>
      <c r="BT569" s="17"/>
      <c r="BU569" s="17"/>
      <c r="BV569" s="17"/>
      <c r="BW569" s="17"/>
      <c r="BX569" s="17"/>
      <c r="BY569" s="17"/>
      <c r="BZ569" s="17"/>
      <c r="CA569" s="17"/>
      <c r="CB569" s="17"/>
      <c r="CC569" s="17"/>
      <c r="CD569" s="17"/>
      <c r="CE569" s="17"/>
      <c r="CF569" s="17"/>
      <c r="CG569" s="17"/>
      <c r="CH569" s="17"/>
    </row>
    <row r="570" spans="8:86" x14ac:dyDescent="0.15">
      <c r="H570" s="3">
        <f t="shared" si="237"/>
        <v>0.55800000000000038</v>
      </c>
      <c r="I570" s="3">
        <f t="shared" si="238"/>
        <v>360</v>
      </c>
      <c r="J570" s="14">
        <f t="shared" si="239"/>
        <v>500</v>
      </c>
      <c r="K570" s="3">
        <f t="shared" si="229"/>
        <v>0</v>
      </c>
      <c r="L570" s="3">
        <f t="shared" si="225"/>
        <v>500</v>
      </c>
      <c r="M570" s="15">
        <f t="shared" si="240"/>
        <v>7.0000000000000007E-2</v>
      </c>
      <c r="N570" s="3">
        <f t="shared" si="241"/>
        <v>59.283388537505772</v>
      </c>
      <c r="O570" s="3">
        <f t="shared" si="226"/>
        <v>59.283388537505772</v>
      </c>
      <c r="P570" s="3">
        <f t="shared" si="230"/>
        <v>63.745579072586857</v>
      </c>
      <c r="Q570" s="3">
        <f t="shared" si="231"/>
        <v>18.122087679159389</v>
      </c>
      <c r="R570" s="3">
        <f t="shared" si="232"/>
        <v>40.933833375873121</v>
      </c>
      <c r="S570" s="3">
        <f t="shared" si="227"/>
        <v>1</v>
      </c>
      <c r="T570" s="3">
        <f t="shared" si="233"/>
        <v>22811.745696713737</v>
      </c>
      <c r="U570" s="3">
        <f t="shared" si="234"/>
        <v>0.5</v>
      </c>
      <c r="V570" s="3">
        <f t="shared" si="235"/>
        <v>0</v>
      </c>
      <c r="W570" s="3">
        <f t="shared" si="236"/>
        <v>21342.019873502079</v>
      </c>
      <c r="X570" s="3">
        <f t="shared" si="228"/>
        <v>9061.0438395796937</v>
      </c>
      <c r="AI570" s="3"/>
      <c r="AJ570" s="3"/>
      <c r="AK570" s="15">
        <f t="shared" si="219"/>
        <v>2</v>
      </c>
      <c r="AL570" s="11">
        <f t="shared" si="223"/>
        <v>3366</v>
      </c>
      <c r="AM570" s="11" t="b">
        <f t="shared" si="218"/>
        <v>0</v>
      </c>
      <c r="AN570" s="11">
        <f t="shared" si="220"/>
        <v>36000</v>
      </c>
      <c r="AO570" s="11">
        <f t="shared" si="221"/>
        <v>0</v>
      </c>
      <c r="AP570" s="11">
        <f t="shared" si="222"/>
        <v>0.72569158552419821</v>
      </c>
      <c r="AQ570" s="11">
        <f t="shared" si="224"/>
        <v>0</v>
      </c>
      <c r="AT570" s="3"/>
      <c r="AU570" s="17"/>
      <c r="AV570" s="19"/>
      <c r="AW570" s="17"/>
      <c r="AX570" s="17">
        <f t="shared" si="243"/>
        <v>561</v>
      </c>
      <c r="AY570" s="17">
        <f t="shared" si="242"/>
        <v>56.1</v>
      </c>
      <c r="AZ570" s="17">
        <v>72.569158552419822</v>
      </c>
      <c r="BA570" s="17"/>
      <c r="BB570" s="17">
        <v>36</v>
      </c>
      <c r="BC570" s="17"/>
      <c r="BD570" s="17"/>
      <c r="BE570" s="17"/>
      <c r="BF570" s="17"/>
      <c r="BG570" s="17"/>
      <c r="BH570" s="17"/>
      <c r="BI570" s="17"/>
      <c r="BJ570" s="17"/>
      <c r="BK570" s="17"/>
      <c r="BL570" s="17"/>
      <c r="BM570" s="17"/>
      <c r="BN570" s="17"/>
      <c r="BO570" s="17"/>
      <c r="BP570" s="17"/>
      <c r="BQ570" s="17"/>
      <c r="BR570" s="17"/>
      <c r="BS570" s="17"/>
      <c r="BT570" s="17"/>
      <c r="BU570" s="17"/>
      <c r="BV570" s="17"/>
      <c r="BW570" s="17"/>
      <c r="BX570" s="17"/>
      <c r="BY570" s="17"/>
      <c r="BZ570" s="17"/>
      <c r="CA570" s="17"/>
      <c r="CB570" s="17"/>
      <c r="CC570" s="17"/>
      <c r="CD570" s="17"/>
      <c r="CE570" s="17"/>
      <c r="CF570" s="17"/>
      <c r="CG570" s="17"/>
      <c r="CH570" s="17"/>
    </row>
    <row r="571" spans="8:86" x14ac:dyDescent="0.15">
      <c r="H571" s="3">
        <f t="shared" si="237"/>
        <v>0.55900000000000039</v>
      </c>
      <c r="I571" s="3">
        <f t="shared" si="238"/>
        <v>360</v>
      </c>
      <c r="J571" s="14">
        <f t="shared" si="239"/>
        <v>500</v>
      </c>
      <c r="K571" s="3">
        <f t="shared" si="229"/>
        <v>0</v>
      </c>
      <c r="L571" s="3">
        <f t="shared" si="225"/>
        <v>500</v>
      </c>
      <c r="M571" s="15">
        <f t="shared" si="240"/>
        <v>7.0000000000000007E-2</v>
      </c>
      <c r="N571" s="3">
        <f t="shared" si="241"/>
        <v>59.220022577237131</v>
      </c>
      <c r="O571" s="3">
        <f t="shared" si="226"/>
        <v>59.220022577237131</v>
      </c>
      <c r="P571" s="3">
        <f t="shared" si="230"/>
        <v>63.677443631437782</v>
      </c>
      <c r="Q571" s="3">
        <f t="shared" si="231"/>
        <v>18.076464187765961</v>
      </c>
      <c r="R571" s="3">
        <f t="shared" si="232"/>
        <v>40.876953909601873</v>
      </c>
      <c r="S571" s="3">
        <f t="shared" si="227"/>
        <v>1</v>
      </c>
      <c r="T571" s="3">
        <f t="shared" si="233"/>
        <v>22800.489721835907</v>
      </c>
      <c r="U571" s="3">
        <f t="shared" si="234"/>
        <v>0.5</v>
      </c>
      <c r="V571" s="3">
        <f t="shared" si="235"/>
        <v>0</v>
      </c>
      <c r="W571" s="3">
        <f t="shared" si="236"/>
        <v>21319.208127805367</v>
      </c>
      <c r="X571" s="3">
        <f t="shared" si="228"/>
        <v>9038.2320938829798</v>
      </c>
      <c r="AI571" s="3"/>
      <c r="AJ571" s="3"/>
      <c r="AK571" s="15">
        <f t="shared" si="219"/>
        <v>2</v>
      </c>
      <c r="AL571" s="11">
        <f t="shared" si="223"/>
        <v>3372</v>
      </c>
      <c r="AM571" s="11" t="b">
        <f t="shared" si="218"/>
        <v>0</v>
      </c>
      <c r="AN571" s="11">
        <f t="shared" si="220"/>
        <v>36000</v>
      </c>
      <c r="AO571" s="11">
        <f t="shared" si="221"/>
        <v>0</v>
      </c>
      <c r="AP571" s="11">
        <f t="shared" si="222"/>
        <v>0.72679390033901303</v>
      </c>
      <c r="AQ571" s="11">
        <f t="shared" si="224"/>
        <v>0</v>
      </c>
      <c r="AT571" s="3"/>
      <c r="AU571" s="17"/>
      <c r="AV571" s="19"/>
      <c r="AW571" s="17"/>
      <c r="AX571" s="17">
        <f t="shared" si="243"/>
        <v>562</v>
      </c>
      <c r="AY571" s="17">
        <f t="shared" si="242"/>
        <v>56.2</v>
      </c>
      <c r="AZ571" s="17">
        <v>72.679390033901299</v>
      </c>
      <c r="BA571" s="17"/>
      <c r="BB571" s="17">
        <v>36</v>
      </c>
      <c r="BC571" s="17"/>
      <c r="BD571" s="17"/>
      <c r="BE571" s="17"/>
      <c r="BF571" s="17"/>
      <c r="BG571" s="17"/>
      <c r="BH571" s="17"/>
      <c r="BI571" s="17"/>
      <c r="BJ571" s="17"/>
      <c r="BK571" s="17"/>
      <c r="BL571" s="17"/>
      <c r="BM571" s="17"/>
      <c r="BN571" s="17"/>
      <c r="BO571" s="17"/>
      <c r="BP571" s="17"/>
      <c r="BQ571" s="17"/>
      <c r="BR571" s="17"/>
      <c r="BS571" s="17"/>
      <c r="BT571" s="17"/>
      <c r="BU571" s="17"/>
      <c r="BV571" s="17"/>
      <c r="BW571" s="17"/>
      <c r="BX571" s="17"/>
      <c r="BY571" s="17"/>
      <c r="BZ571" s="17"/>
      <c r="CA571" s="17"/>
      <c r="CB571" s="17"/>
      <c r="CC571" s="17"/>
      <c r="CD571" s="17"/>
      <c r="CE571" s="17"/>
      <c r="CF571" s="17"/>
      <c r="CG571" s="17"/>
      <c r="CH571" s="17"/>
    </row>
    <row r="572" spans="8:86" x14ac:dyDescent="0.15">
      <c r="H572" s="3">
        <f t="shared" si="237"/>
        <v>0.56000000000000039</v>
      </c>
      <c r="I572" s="3">
        <f t="shared" si="238"/>
        <v>360</v>
      </c>
      <c r="J572" s="14">
        <f t="shared" si="239"/>
        <v>500</v>
      </c>
      <c r="K572" s="3">
        <f t="shared" si="229"/>
        <v>0</v>
      </c>
      <c r="L572" s="3">
        <f t="shared" si="225"/>
        <v>500</v>
      </c>
      <c r="M572" s="15">
        <f t="shared" si="240"/>
        <v>7.0000000000000007E-2</v>
      </c>
      <c r="N572" s="3">
        <f t="shared" si="241"/>
        <v>59.156687883565368</v>
      </c>
      <c r="O572" s="3">
        <f t="shared" si="226"/>
        <v>59.156687883565368</v>
      </c>
      <c r="P572" s="3">
        <f t="shared" si="230"/>
        <v>63.609341810285343</v>
      </c>
      <c r="Q572" s="3">
        <f t="shared" si="231"/>
        <v>18.030863208322288</v>
      </c>
      <c r="R572" s="3">
        <f t="shared" si="232"/>
        <v>40.820102509303815</v>
      </c>
      <c r="S572" s="3">
        <f t="shared" si="227"/>
        <v>1</v>
      </c>
      <c r="T572" s="3">
        <f t="shared" si="233"/>
        <v>22789.239300981528</v>
      </c>
      <c r="U572" s="3">
        <f t="shared" si="234"/>
        <v>0.5</v>
      </c>
      <c r="V572" s="3">
        <f t="shared" si="235"/>
        <v>0</v>
      </c>
      <c r="W572" s="3">
        <f t="shared" si="236"/>
        <v>21296.407638083532</v>
      </c>
      <c r="X572" s="3">
        <f t="shared" si="228"/>
        <v>9015.4316041611437</v>
      </c>
      <c r="AI572" s="3"/>
      <c r="AJ572" s="3"/>
      <c r="AK572" s="15">
        <f t="shared" si="219"/>
        <v>2</v>
      </c>
      <c r="AL572" s="11">
        <f t="shared" si="223"/>
        <v>3378</v>
      </c>
      <c r="AM572" s="11" t="b">
        <f t="shared" si="218"/>
        <v>0</v>
      </c>
      <c r="AN572" s="11">
        <f t="shared" si="220"/>
        <v>36000</v>
      </c>
      <c r="AO572" s="11">
        <f t="shared" si="221"/>
        <v>0</v>
      </c>
      <c r="AP572" s="11">
        <f t="shared" si="222"/>
        <v>0.72789621515382785</v>
      </c>
      <c r="AQ572" s="11">
        <f t="shared" si="224"/>
        <v>0</v>
      </c>
      <c r="AT572" s="3"/>
      <c r="AU572" s="17"/>
      <c r="AV572" s="19"/>
      <c r="AW572" s="17"/>
      <c r="AX572" s="17">
        <f t="shared" si="243"/>
        <v>563</v>
      </c>
      <c r="AY572" s="17">
        <f t="shared" si="242"/>
        <v>56.3</v>
      </c>
      <c r="AZ572" s="17">
        <v>72.789621515382791</v>
      </c>
      <c r="BA572" s="17"/>
      <c r="BB572" s="17">
        <v>36</v>
      </c>
      <c r="BC572" s="17"/>
      <c r="BD572" s="17"/>
      <c r="BE572" s="17"/>
      <c r="BF572" s="17"/>
      <c r="BG572" s="17"/>
      <c r="BH572" s="17"/>
      <c r="BI572" s="17"/>
      <c r="BJ572" s="17"/>
      <c r="BK572" s="17"/>
      <c r="BL572" s="17"/>
      <c r="BM572" s="17"/>
      <c r="BN572" s="17"/>
      <c r="BO572" s="17"/>
      <c r="BP572" s="17"/>
      <c r="BQ572" s="17"/>
      <c r="BR572" s="17"/>
      <c r="BS572" s="17"/>
      <c r="BT572" s="17"/>
      <c r="BU572" s="17"/>
      <c r="BV572" s="17"/>
      <c r="BW572" s="17"/>
      <c r="BX572" s="17"/>
      <c r="BY572" s="17"/>
      <c r="BZ572" s="17"/>
      <c r="CA572" s="17"/>
      <c r="CB572" s="17"/>
      <c r="CC572" s="17"/>
      <c r="CD572" s="17"/>
      <c r="CE572" s="17"/>
      <c r="CF572" s="17"/>
      <c r="CG572" s="17"/>
      <c r="CH572" s="17"/>
    </row>
    <row r="573" spans="8:86" x14ac:dyDescent="0.15">
      <c r="H573" s="3">
        <f t="shared" si="237"/>
        <v>0.56100000000000039</v>
      </c>
      <c r="I573" s="3">
        <f t="shared" si="238"/>
        <v>360</v>
      </c>
      <c r="J573" s="14">
        <f t="shared" si="239"/>
        <v>500</v>
      </c>
      <c r="K573" s="3">
        <f t="shared" si="229"/>
        <v>0</v>
      </c>
      <c r="L573" s="3">
        <f t="shared" si="225"/>
        <v>500</v>
      </c>
      <c r="M573" s="15">
        <f t="shared" si="240"/>
        <v>7.0000000000000007E-2</v>
      </c>
      <c r="N573" s="3">
        <f t="shared" si="241"/>
        <v>59.093384441062639</v>
      </c>
      <c r="O573" s="3">
        <f t="shared" si="226"/>
        <v>59.093384441062639</v>
      </c>
      <c r="P573" s="3">
        <f t="shared" si="230"/>
        <v>63.541273592540477</v>
      </c>
      <c r="Q573" s="3">
        <f t="shared" si="231"/>
        <v>17.985284729720327</v>
      </c>
      <c r="R573" s="3">
        <f t="shared" si="232"/>
        <v>40.763279161130399</v>
      </c>
      <c r="S573" s="3">
        <f t="shared" si="227"/>
        <v>1</v>
      </c>
      <c r="T573" s="3">
        <f t="shared" si="233"/>
        <v>22777.994431410076</v>
      </c>
      <c r="U573" s="3">
        <f t="shared" si="234"/>
        <v>0.5</v>
      </c>
      <c r="V573" s="3">
        <f t="shared" si="235"/>
        <v>0</v>
      </c>
      <c r="W573" s="3">
        <f t="shared" si="236"/>
        <v>21273.61839878255</v>
      </c>
      <c r="X573" s="3">
        <f t="shared" si="228"/>
        <v>8992.6423648601631</v>
      </c>
      <c r="AI573" s="3"/>
      <c r="AJ573" s="3"/>
      <c r="AK573" s="15">
        <f t="shared" si="219"/>
        <v>2</v>
      </c>
      <c r="AL573" s="11">
        <f t="shared" si="223"/>
        <v>3384</v>
      </c>
      <c r="AM573" s="11" t="b">
        <f t="shared" si="218"/>
        <v>0</v>
      </c>
      <c r="AN573" s="11">
        <f t="shared" si="220"/>
        <v>36000</v>
      </c>
      <c r="AO573" s="11">
        <f t="shared" si="221"/>
        <v>0</v>
      </c>
      <c r="AP573" s="11">
        <f t="shared" si="222"/>
        <v>0.72899852996864267</v>
      </c>
      <c r="AQ573" s="11">
        <f t="shared" si="224"/>
        <v>0</v>
      </c>
      <c r="AT573" s="3"/>
      <c r="AU573" s="17"/>
      <c r="AV573" s="19"/>
      <c r="AW573" s="17"/>
      <c r="AX573" s="17">
        <f t="shared" si="243"/>
        <v>564</v>
      </c>
      <c r="AY573" s="17">
        <f t="shared" si="242"/>
        <v>56.4</v>
      </c>
      <c r="AZ573" s="17">
        <v>72.899852996864269</v>
      </c>
      <c r="BA573" s="17"/>
      <c r="BB573" s="17">
        <v>36</v>
      </c>
      <c r="BC573" s="17"/>
      <c r="BD573" s="17"/>
      <c r="BE573" s="17"/>
      <c r="BF573" s="17"/>
      <c r="BG573" s="17"/>
      <c r="BH573" s="17"/>
      <c r="BI573" s="17"/>
      <c r="BJ573" s="17"/>
      <c r="BK573" s="17"/>
      <c r="BL573" s="17"/>
      <c r="BM573" s="17"/>
      <c r="BN573" s="17"/>
      <c r="BO573" s="17"/>
      <c r="BP573" s="17"/>
      <c r="BQ573" s="17"/>
      <c r="BR573" s="17"/>
      <c r="BS573" s="17"/>
      <c r="BT573" s="17"/>
      <c r="BU573" s="17"/>
      <c r="BV573" s="17"/>
      <c r="BW573" s="17"/>
      <c r="BX573" s="17"/>
      <c r="BY573" s="17"/>
      <c r="BZ573" s="17"/>
      <c r="CA573" s="17"/>
      <c r="CB573" s="17"/>
      <c r="CC573" s="17"/>
      <c r="CD573" s="17"/>
      <c r="CE573" s="17"/>
      <c r="CF573" s="17"/>
      <c r="CG573" s="17"/>
      <c r="CH573" s="17"/>
    </row>
    <row r="574" spans="8:86" x14ac:dyDescent="0.15">
      <c r="H574" s="3">
        <f t="shared" si="237"/>
        <v>0.56200000000000039</v>
      </c>
      <c r="I574" s="3">
        <f t="shared" si="238"/>
        <v>360</v>
      </c>
      <c r="J574" s="14">
        <f t="shared" si="239"/>
        <v>500</v>
      </c>
      <c r="K574" s="3">
        <f t="shared" si="229"/>
        <v>0</v>
      </c>
      <c r="L574" s="3">
        <f t="shared" si="225"/>
        <v>500</v>
      </c>
      <c r="M574" s="15">
        <f t="shared" si="240"/>
        <v>7.0000000000000007E-2</v>
      </c>
      <c r="N574" s="3">
        <f t="shared" si="241"/>
        <v>59.030112234308724</v>
      </c>
      <c r="O574" s="3">
        <f t="shared" si="226"/>
        <v>59.030112234308724</v>
      </c>
      <c r="P574" s="3">
        <f t="shared" si="230"/>
        <v>63.473238961622286</v>
      </c>
      <c r="Q574" s="3">
        <f t="shared" si="231"/>
        <v>17.939728740857507</v>
      </c>
      <c r="R574" s="3">
        <f t="shared" si="232"/>
        <v>40.706483851239895</v>
      </c>
      <c r="S574" s="3">
        <f t="shared" si="227"/>
        <v>1</v>
      </c>
      <c r="T574" s="3">
        <f t="shared" si="233"/>
        <v>22766.75511038239</v>
      </c>
      <c r="U574" s="3">
        <f t="shared" si="234"/>
        <v>0.5</v>
      </c>
      <c r="V574" s="3">
        <f t="shared" si="235"/>
        <v>0</v>
      </c>
      <c r="W574" s="3">
        <f t="shared" si="236"/>
        <v>21250.84040435114</v>
      </c>
      <c r="X574" s="3">
        <f t="shared" si="228"/>
        <v>8969.8643704287533</v>
      </c>
      <c r="AI574" s="3"/>
      <c r="AJ574" s="3"/>
      <c r="AK574" s="15">
        <f t="shared" si="219"/>
        <v>2</v>
      </c>
      <c r="AL574" s="11">
        <f t="shared" si="223"/>
        <v>3390</v>
      </c>
      <c r="AM574" s="11" t="b">
        <f t="shared" si="218"/>
        <v>0</v>
      </c>
      <c r="AN574" s="11">
        <f t="shared" si="220"/>
        <v>36000</v>
      </c>
      <c r="AO574" s="11">
        <f t="shared" si="221"/>
        <v>0</v>
      </c>
      <c r="AP574" s="11">
        <f t="shared" si="222"/>
        <v>0.73010084478345749</v>
      </c>
      <c r="AQ574" s="11">
        <f t="shared" si="224"/>
        <v>0</v>
      </c>
      <c r="AT574" s="3"/>
      <c r="AU574" s="17"/>
      <c r="AV574" s="19"/>
      <c r="AW574" s="17"/>
      <c r="AX574" s="17">
        <f t="shared" si="243"/>
        <v>565</v>
      </c>
      <c r="AY574" s="17">
        <f t="shared" si="242"/>
        <v>56.5</v>
      </c>
      <c r="AZ574" s="17">
        <v>73.010084478345746</v>
      </c>
      <c r="BA574" s="17"/>
      <c r="BB574" s="17">
        <v>36</v>
      </c>
      <c r="BC574" s="17"/>
      <c r="BD574" s="17"/>
      <c r="BE574" s="17"/>
      <c r="BF574" s="17"/>
      <c r="BG574" s="17"/>
      <c r="BH574" s="17"/>
      <c r="BI574" s="17"/>
      <c r="BJ574" s="17"/>
      <c r="BK574" s="17"/>
      <c r="BL574" s="17"/>
      <c r="BM574" s="17"/>
      <c r="BN574" s="17"/>
      <c r="BO574" s="17"/>
      <c r="BP574" s="17"/>
      <c r="BQ574" s="17"/>
      <c r="BR574" s="17"/>
      <c r="BS574" s="17"/>
      <c r="BT574" s="17"/>
      <c r="BU574" s="17"/>
      <c r="BV574" s="17"/>
      <c r="BW574" s="17"/>
      <c r="BX574" s="17"/>
      <c r="BY574" s="17"/>
      <c r="BZ574" s="17"/>
      <c r="CA574" s="17"/>
      <c r="CB574" s="17"/>
      <c r="CC574" s="17"/>
      <c r="CD574" s="17"/>
      <c r="CE574" s="17"/>
      <c r="CF574" s="17"/>
      <c r="CG574" s="17"/>
      <c r="CH574" s="17"/>
    </row>
    <row r="575" spans="8:86" x14ac:dyDescent="0.15">
      <c r="H575" s="3">
        <f t="shared" si="237"/>
        <v>0.56300000000000039</v>
      </c>
      <c r="I575" s="3">
        <f t="shared" si="238"/>
        <v>360</v>
      </c>
      <c r="J575" s="14">
        <f t="shared" si="239"/>
        <v>500</v>
      </c>
      <c r="K575" s="3">
        <f t="shared" si="229"/>
        <v>0</v>
      </c>
      <c r="L575" s="3">
        <f t="shared" si="225"/>
        <v>500</v>
      </c>
      <c r="M575" s="15">
        <f t="shared" si="240"/>
        <v>7.0000000000000007E-2</v>
      </c>
      <c r="N575" s="3">
        <f t="shared" si="241"/>
        <v>58.966871247890985</v>
      </c>
      <c r="O575" s="3">
        <f t="shared" si="226"/>
        <v>58.966871247890985</v>
      </c>
      <c r="P575" s="3">
        <f t="shared" si="230"/>
        <v>63.405237900958056</v>
      </c>
      <c r="Q575" s="3">
        <f t="shared" si="231"/>
        <v>17.894195230636743</v>
      </c>
      <c r="R575" s="3">
        <f t="shared" si="232"/>
        <v>40.649716565797398</v>
      </c>
      <c r="S575" s="3">
        <f t="shared" si="227"/>
        <v>1</v>
      </c>
      <c r="T575" s="3">
        <f t="shared" si="233"/>
        <v>22755.521335160658</v>
      </c>
      <c r="U575" s="3">
        <f t="shared" si="234"/>
        <v>0.5</v>
      </c>
      <c r="V575" s="3">
        <f t="shared" si="235"/>
        <v>0</v>
      </c>
      <c r="W575" s="3">
        <f t="shared" si="236"/>
        <v>21228.073649240756</v>
      </c>
      <c r="X575" s="3">
        <f t="shared" si="228"/>
        <v>8947.097615318371</v>
      </c>
      <c r="AI575" s="3"/>
      <c r="AJ575" s="3"/>
      <c r="AK575" s="15">
        <f t="shared" si="219"/>
        <v>2</v>
      </c>
      <c r="AL575" s="11">
        <f t="shared" si="223"/>
        <v>3396</v>
      </c>
      <c r="AM575" s="11" t="b">
        <f t="shared" si="218"/>
        <v>0</v>
      </c>
      <c r="AN575" s="11">
        <f t="shared" si="220"/>
        <v>36000</v>
      </c>
      <c r="AO575" s="11">
        <f t="shared" si="221"/>
        <v>0</v>
      </c>
      <c r="AP575" s="11">
        <f t="shared" si="222"/>
        <v>0.73120315959827242</v>
      </c>
      <c r="AQ575" s="11">
        <f t="shared" si="224"/>
        <v>0</v>
      </c>
      <c r="AT575" s="3"/>
      <c r="AU575" s="17"/>
      <c r="AV575" s="19"/>
      <c r="AW575" s="17"/>
      <c r="AX575" s="17">
        <f t="shared" si="243"/>
        <v>566</v>
      </c>
      <c r="AY575" s="17">
        <f t="shared" si="242"/>
        <v>56.6</v>
      </c>
      <c r="AZ575" s="17">
        <v>73.120315959827238</v>
      </c>
      <c r="BA575" s="17"/>
      <c r="BB575" s="17">
        <v>36</v>
      </c>
      <c r="BC575" s="17"/>
      <c r="BD575" s="17"/>
      <c r="BE575" s="17"/>
      <c r="BF575" s="17"/>
      <c r="BG575" s="17"/>
      <c r="BH575" s="17"/>
      <c r="BI575" s="17"/>
      <c r="BJ575" s="17"/>
      <c r="BK575" s="17"/>
      <c r="BL575" s="17"/>
      <c r="BM575" s="17"/>
      <c r="BN575" s="17"/>
      <c r="BO575" s="17"/>
      <c r="BP575" s="17"/>
      <c r="BQ575" s="17"/>
      <c r="BR575" s="17"/>
      <c r="BS575" s="17"/>
      <c r="BT575" s="17"/>
      <c r="BU575" s="17"/>
      <c r="BV575" s="17"/>
      <c r="BW575" s="17"/>
      <c r="BX575" s="17"/>
      <c r="BY575" s="17"/>
      <c r="BZ575" s="17"/>
      <c r="CA575" s="17"/>
      <c r="CB575" s="17"/>
      <c r="CC575" s="17"/>
      <c r="CD575" s="17"/>
      <c r="CE575" s="17"/>
      <c r="CF575" s="17"/>
      <c r="CG575" s="17"/>
      <c r="CH575" s="17"/>
    </row>
    <row r="576" spans="8:86" x14ac:dyDescent="0.15">
      <c r="H576" s="3">
        <f t="shared" si="237"/>
        <v>0.56400000000000039</v>
      </c>
      <c r="I576" s="3">
        <f t="shared" si="238"/>
        <v>360</v>
      </c>
      <c r="J576" s="14">
        <f t="shared" si="239"/>
        <v>500</v>
      </c>
      <c r="K576" s="3">
        <f t="shared" si="229"/>
        <v>0</v>
      </c>
      <c r="L576" s="3">
        <f t="shared" si="225"/>
        <v>500</v>
      </c>
      <c r="M576" s="15">
        <f t="shared" si="240"/>
        <v>7.0000000000000007E-2</v>
      </c>
      <c r="N576" s="3">
        <f t="shared" si="241"/>
        <v>58.903661466404436</v>
      </c>
      <c r="O576" s="3">
        <f t="shared" si="226"/>
        <v>58.903661466404436</v>
      </c>
      <c r="P576" s="3">
        <f t="shared" si="230"/>
        <v>63.337270393983268</v>
      </c>
      <c r="Q576" s="3">
        <f t="shared" si="231"/>
        <v>17.84868418796642</v>
      </c>
      <c r="R576" s="3">
        <f t="shared" si="232"/>
        <v>40.592977290974844</v>
      </c>
      <c r="S576" s="3">
        <f t="shared" si="227"/>
        <v>1</v>
      </c>
      <c r="T576" s="3">
        <f t="shared" si="233"/>
        <v>22744.293103008426</v>
      </c>
      <c r="U576" s="3">
        <f t="shared" si="234"/>
        <v>0.5</v>
      </c>
      <c r="V576" s="3">
        <f t="shared" si="235"/>
        <v>0</v>
      </c>
      <c r="W576" s="3">
        <f t="shared" si="236"/>
        <v>21205.318127905597</v>
      </c>
      <c r="X576" s="3">
        <f t="shared" si="228"/>
        <v>8924.3420939832104</v>
      </c>
      <c r="AI576" s="3"/>
      <c r="AJ576" s="3"/>
      <c r="AK576" s="15">
        <f t="shared" si="219"/>
        <v>2</v>
      </c>
      <c r="AL576" s="11">
        <f t="shared" si="223"/>
        <v>3402</v>
      </c>
      <c r="AM576" s="11" t="b">
        <f t="shared" si="218"/>
        <v>0</v>
      </c>
      <c r="AN576" s="11">
        <f t="shared" si="220"/>
        <v>36000</v>
      </c>
      <c r="AO576" s="11">
        <f t="shared" si="221"/>
        <v>0</v>
      </c>
      <c r="AP576" s="11">
        <f t="shared" si="222"/>
        <v>0.73230547441308724</v>
      </c>
      <c r="AQ576" s="11">
        <f t="shared" si="224"/>
        <v>0</v>
      </c>
      <c r="AT576" s="3"/>
      <c r="AU576" s="17"/>
      <c r="AV576" s="19"/>
      <c r="AW576" s="17"/>
      <c r="AX576" s="17">
        <f t="shared" si="243"/>
        <v>567</v>
      </c>
      <c r="AY576" s="17">
        <f t="shared" si="242"/>
        <v>56.7</v>
      </c>
      <c r="AZ576" s="17">
        <v>73.23054744130873</v>
      </c>
      <c r="BA576" s="17"/>
      <c r="BB576" s="17">
        <v>36</v>
      </c>
      <c r="BC576" s="17"/>
      <c r="BD576" s="17"/>
      <c r="BE576" s="17"/>
      <c r="BF576" s="17"/>
      <c r="BG576" s="17"/>
      <c r="BH576" s="17"/>
      <c r="BI576" s="17"/>
      <c r="BJ576" s="17"/>
      <c r="BK576" s="17"/>
      <c r="BL576" s="17"/>
      <c r="BM576" s="17"/>
      <c r="BN576" s="17"/>
      <c r="BO576" s="17"/>
      <c r="BP576" s="17"/>
      <c r="BQ576" s="17"/>
      <c r="BR576" s="17"/>
      <c r="BS576" s="17"/>
      <c r="BT576" s="17"/>
      <c r="BU576" s="17"/>
      <c r="BV576" s="17"/>
      <c r="BW576" s="17"/>
      <c r="BX576" s="17"/>
      <c r="BY576" s="17"/>
      <c r="BZ576" s="17"/>
      <c r="CA576" s="17"/>
      <c r="CB576" s="17"/>
      <c r="CC576" s="17"/>
      <c r="CD576" s="17"/>
      <c r="CE576" s="17"/>
      <c r="CF576" s="17"/>
      <c r="CG576" s="17"/>
      <c r="CH576" s="17"/>
    </row>
    <row r="577" spans="8:86" x14ac:dyDescent="0.15">
      <c r="H577" s="3">
        <f t="shared" si="237"/>
        <v>0.56500000000000039</v>
      </c>
      <c r="I577" s="3">
        <f t="shared" si="238"/>
        <v>360</v>
      </c>
      <c r="J577" s="14">
        <f t="shared" si="239"/>
        <v>500</v>
      </c>
      <c r="K577" s="3">
        <f t="shared" si="229"/>
        <v>0</v>
      </c>
      <c r="L577" s="3">
        <f t="shared" si="225"/>
        <v>500</v>
      </c>
      <c r="M577" s="15">
        <f t="shared" si="240"/>
        <v>7.0000000000000007E-2</v>
      </c>
      <c r="N577" s="3">
        <f t="shared" si="241"/>
        <v>58.840482874451631</v>
      </c>
      <c r="O577" s="3">
        <f t="shared" si="226"/>
        <v>58.840482874451631</v>
      </c>
      <c r="P577" s="3">
        <f t="shared" si="230"/>
        <v>63.269336424141542</v>
      </c>
      <c r="Q577" s="3">
        <f t="shared" si="231"/>
        <v>17.803195601760404</v>
      </c>
      <c r="R577" s="3">
        <f t="shared" si="232"/>
        <v>40.536266012950975</v>
      </c>
      <c r="S577" s="3">
        <f t="shared" si="227"/>
        <v>1</v>
      </c>
      <c r="T577" s="3">
        <f t="shared" si="233"/>
        <v>22733.070411190569</v>
      </c>
      <c r="U577" s="3">
        <f t="shared" si="234"/>
        <v>0.5</v>
      </c>
      <c r="V577" s="3">
        <f t="shared" si="235"/>
        <v>0</v>
      </c>
      <c r="W577" s="3">
        <f t="shared" si="236"/>
        <v>21182.573834802588</v>
      </c>
      <c r="X577" s="3">
        <f t="shared" si="228"/>
        <v>8901.5978008802012</v>
      </c>
      <c r="AI577" s="3"/>
      <c r="AJ577" s="3"/>
      <c r="AK577" s="15">
        <f t="shared" si="219"/>
        <v>2</v>
      </c>
      <c r="AL577" s="11">
        <f t="shared" si="223"/>
        <v>3408</v>
      </c>
      <c r="AM577" s="11" t="b">
        <f t="shared" si="218"/>
        <v>0</v>
      </c>
      <c r="AN577" s="11">
        <f t="shared" si="220"/>
        <v>36000</v>
      </c>
      <c r="AO577" s="11">
        <f t="shared" si="221"/>
        <v>0</v>
      </c>
      <c r="AP577" s="11">
        <f t="shared" si="222"/>
        <v>0.73340778922790206</v>
      </c>
      <c r="AQ577" s="11">
        <f t="shared" si="224"/>
        <v>0</v>
      </c>
      <c r="AT577" s="3"/>
      <c r="AU577" s="17"/>
      <c r="AV577" s="19"/>
      <c r="AW577" s="17"/>
      <c r="AX577" s="17">
        <f t="shared" si="243"/>
        <v>568</v>
      </c>
      <c r="AY577" s="17">
        <f t="shared" si="242"/>
        <v>56.8</v>
      </c>
      <c r="AZ577" s="17">
        <v>73.340778922790207</v>
      </c>
      <c r="BA577" s="17"/>
      <c r="BB577" s="17">
        <v>36</v>
      </c>
      <c r="BC577" s="17"/>
      <c r="BD577" s="17"/>
      <c r="BE577" s="17"/>
      <c r="BF577" s="17"/>
      <c r="BG577" s="17"/>
      <c r="BH577" s="17"/>
      <c r="BI577" s="17"/>
      <c r="BJ577" s="17"/>
      <c r="BK577" s="17"/>
      <c r="BL577" s="17"/>
      <c r="BM577" s="17"/>
      <c r="BN577" s="17"/>
      <c r="BO577" s="17"/>
      <c r="BP577" s="17"/>
      <c r="BQ577" s="17"/>
      <c r="BR577" s="17"/>
      <c r="BS577" s="17"/>
      <c r="BT577" s="17"/>
      <c r="BU577" s="17"/>
      <c r="BV577" s="17"/>
      <c r="BW577" s="17"/>
      <c r="BX577" s="17"/>
      <c r="BY577" s="17"/>
      <c r="BZ577" s="17"/>
      <c r="CA577" s="17"/>
      <c r="CB577" s="17"/>
      <c r="CC577" s="17"/>
      <c r="CD577" s="17"/>
      <c r="CE577" s="17"/>
      <c r="CF577" s="17"/>
      <c r="CG577" s="17"/>
      <c r="CH577" s="17"/>
    </row>
    <row r="578" spans="8:86" x14ac:dyDescent="0.15">
      <c r="H578" s="3">
        <f t="shared" si="237"/>
        <v>0.56600000000000039</v>
      </c>
      <c r="I578" s="3">
        <f t="shared" si="238"/>
        <v>360</v>
      </c>
      <c r="J578" s="14">
        <f t="shared" si="239"/>
        <v>500</v>
      </c>
      <c r="K578" s="3">
        <f t="shared" si="229"/>
        <v>0</v>
      </c>
      <c r="L578" s="3">
        <f t="shared" si="225"/>
        <v>500</v>
      </c>
      <c r="M578" s="15">
        <f t="shared" si="240"/>
        <v>7.0000000000000007E-2</v>
      </c>
      <c r="N578" s="3">
        <f t="shared" si="241"/>
        <v>58.777335456642767</v>
      </c>
      <c r="O578" s="3">
        <f t="shared" si="226"/>
        <v>58.777335456642767</v>
      </c>
      <c r="P578" s="3">
        <f t="shared" si="230"/>
        <v>63.201435974884703</v>
      </c>
      <c r="Q578" s="3">
        <f t="shared" si="231"/>
        <v>17.757729460938023</v>
      </c>
      <c r="R578" s="3">
        <f t="shared" si="232"/>
        <v>40.479582717911363</v>
      </c>
      <c r="S578" s="3">
        <f t="shared" si="227"/>
        <v>1</v>
      </c>
      <c r="T578" s="3">
        <f t="shared" si="233"/>
        <v>22721.85325697334</v>
      </c>
      <c r="U578" s="3">
        <f t="shared" si="234"/>
        <v>0.5</v>
      </c>
      <c r="V578" s="3">
        <f t="shared" si="235"/>
        <v>0</v>
      </c>
      <c r="W578" s="3">
        <f t="shared" si="236"/>
        <v>21159.840764391396</v>
      </c>
      <c r="X578" s="3">
        <f t="shared" si="228"/>
        <v>8878.8647304690112</v>
      </c>
      <c r="AI578" s="3"/>
      <c r="AJ578" s="3"/>
      <c r="AK578" s="15">
        <f t="shared" si="219"/>
        <v>2</v>
      </c>
      <c r="AL578" s="11">
        <f t="shared" si="223"/>
        <v>3414</v>
      </c>
      <c r="AM578" s="11" t="b">
        <f t="shared" si="218"/>
        <v>0</v>
      </c>
      <c r="AN578" s="11">
        <f t="shared" si="220"/>
        <v>36000</v>
      </c>
      <c r="AO578" s="11">
        <f t="shared" si="221"/>
        <v>0</v>
      </c>
      <c r="AP578" s="11">
        <f t="shared" si="222"/>
        <v>0.73451010404271688</v>
      </c>
      <c r="AQ578" s="11">
        <f t="shared" si="224"/>
        <v>0</v>
      </c>
      <c r="AT578" s="3"/>
      <c r="AU578" s="17"/>
      <c r="AV578" s="19"/>
      <c r="AW578" s="17"/>
      <c r="AX578" s="17">
        <f t="shared" si="243"/>
        <v>569</v>
      </c>
      <c r="AY578" s="17">
        <f t="shared" si="242"/>
        <v>56.9</v>
      </c>
      <c r="AZ578" s="17">
        <v>73.451010404271685</v>
      </c>
      <c r="BA578" s="17"/>
      <c r="BB578" s="17">
        <v>36</v>
      </c>
      <c r="BC578" s="17"/>
      <c r="BD578" s="17"/>
      <c r="BE578" s="17"/>
      <c r="BF578" s="17"/>
      <c r="BG578" s="17"/>
      <c r="BH578" s="17"/>
      <c r="BI578" s="17"/>
      <c r="BJ578" s="17"/>
      <c r="BK578" s="17"/>
      <c r="BL578" s="17"/>
      <c r="BM578" s="17"/>
      <c r="BN578" s="17"/>
      <c r="BO578" s="17"/>
      <c r="BP578" s="17"/>
      <c r="BQ578" s="17"/>
      <c r="BR578" s="17"/>
      <c r="BS578" s="17"/>
      <c r="BT578" s="17"/>
      <c r="BU578" s="17"/>
      <c r="BV578" s="17"/>
      <c r="BW578" s="17"/>
      <c r="BX578" s="17"/>
      <c r="BY578" s="17"/>
      <c r="BZ578" s="17"/>
      <c r="CA578" s="17"/>
      <c r="CB578" s="17"/>
      <c r="CC578" s="17"/>
      <c r="CD578" s="17"/>
      <c r="CE578" s="17"/>
      <c r="CF578" s="17"/>
      <c r="CG578" s="17"/>
      <c r="CH578" s="17"/>
    </row>
    <row r="579" spans="8:86" x14ac:dyDescent="0.15">
      <c r="H579" s="3">
        <f t="shared" si="237"/>
        <v>0.56700000000000039</v>
      </c>
      <c r="I579" s="3">
        <f t="shared" si="238"/>
        <v>360</v>
      </c>
      <c r="J579" s="14">
        <f t="shared" si="239"/>
        <v>500</v>
      </c>
      <c r="K579" s="3">
        <f t="shared" si="229"/>
        <v>0</v>
      </c>
      <c r="L579" s="3">
        <f t="shared" si="225"/>
        <v>500</v>
      </c>
      <c r="M579" s="15">
        <f t="shared" si="240"/>
        <v>7.0000000000000007E-2</v>
      </c>
      <c r="N579" s="3">
        <f t="shared" si="241"/>
        <v>58.714219197595611</v>
      </c>
      <c r="O579" s="3">
        <f t="shared" si="226"/>
        <v>58.714219197595611</v>
      </c>
      <c r="P579" s="3">
        <f t="shared" si="230"/>
        <v>63.133569029672707</v>
      </c>
      <c r="Q579" s="3">
        <f t="shared" si="231"/>
        <v>17.712285754424077</v>
      </c>
      <c r="R579" s="3">
        <f t="shared" si="232"/>
        <v>40.422927392048393</v>
      </c>
      <c r="S579" s="3">
        <f t="shared" si="227"/>
        <v>1</v>
      </c>
      <c r="T579" s="3">
        <f t="shared" si="233"/>
        <v>22710.641637624314</v>
      </c>
      <c r="U579" s="3">
        <f t="shared" si="234"/>
        <v>0.5</v>
      </c>
      <c r="V579" s="3">
        <f t="shared" si="235"/>
        <v>0</v>
      </c>
      <c r="W579" s="3">
        <f t="shared" si="236"/>
        <v>21137.118911134421</v>
      </c>
      <c r="X579" s="3">
        <f t="shared" si="228"/>
        <v>8856.142877212038</v>
      </c>
      <c r="AI579" s="3"/>
      <c r="AJ579" s="3"/>
      <c r="AK579" s="15">
        <f t="shared" si="219"/>
        <v>2</v>
      </c>
      <c r="AL579" s="11">
        <f t="shared" si="223"/>
        <v>3420</v>
      </c>
      <c r="AM579" s="11" t="b">
        <f t="shared" si="218"/>
        <v>0</v>
      </c>
      <c r="AN579" s="11">
        <f t="shared" si="220"/>
        <v>36000</v>
      </c>
      <c r="AO579" s="11">
        <f t="shared" si="221"/>
        <v>0</v>
      </c>
      <c r="AP579" s="11">
        <f t="shared" si="222"/>
        <v>0.7356124188575317</v>
      </c>
      <c r="AQ579" s="11">
        <f t="shared" si="224"/>
        <v>0</v>
      </c>
      <c r="AT579" s="3"/>
      <c r="AU579" s="17"/>
      <c r="AV579" s="19"/>
      <c r="AW579" s="17"/>
      <c r="AX579" s="17">
        <f t="shared" si="243"/>
        <v>570</v>
      </c>
      <c r="AY579" s="17">
        <f t="shared" si="242"/>
        <v>57</v>
      </c>
      <c r="AZ579" s="17">
        <v>73.561241885753176</v>
      </c>
      <c r="BA579" s="17"/>
      <c r="BB579" s="17">
        <v>36</v>
      </c>
      <c r="BC579" s="17"/>
      <c r="BD579" s="17"/>
      <c r="BE579" s="17"/>
      <c r="BF579" s="17"/>
      <c r="BG579" s="17"/>
      <c r="BH579" s="17"/>
      <c r="BI579" s="17"/>
      <c r="BJ579" s="17"/>
      <c r="BK579" s="17"/>
      <c r="BL579" s="17"/>
      <c r="BM579" s="17"/>
      <c r="BN579" s="17"/>
      <c r="BO579" s="17"/>
      <c r="BP579" s="17"/>
      <c r="BQ579" s="17"/>
      <c r="BR579" s="17"/>
      <c r="BS579" s="17"/>
      <c r="BT579" s="17"/>
      <c r="BU579" s="17"/>
      <c r="BV579" s="17"/>
      <c r="BW579" s="17"/>
      <c r="BX579" s="17"/>
      <c r="BY579" s="17"/>
      <c r="BZ579" s="17"/>
      <c r="CA579" s="17"/>
      <c r="CB579" s="17"/>
      <c r="CC579" s="17"/>
      <c r="CD579" s="17"/>
      <c r="CE579" s="17"/>
      <c r="CF579" s="17"/>
      <c r="CG579" s="17"/>
      <c r="CH579" s="17"/>
    </row>
    <row r="580" spans="8:86" x14ac:dyDescent="0.15">
      <c r="H580" s="3">
        <f t="shared" si="237"/>
        <v>0.56800000000000039</v>
      </c>
      <c r="I580" s="3">
        <f t="shared" si="238"/>
        <v>360</v>
      </c>
      <c r="J580" s="14">
        <f t="shared" si="239"/>
        <v>500</v>
      </c>
      <c r="K580" s="3">
        <f t="shared" si="229"/>
        <v>0</v>
      </c>
      <c r="L580" s="3">
        <f t="shared" si="225"/>
        <v>500</v>
      </c>
      <c r="M580" s="15">
        <f t="shared" si="240"/>
        <v>7.0000000000000007E-2</v>
      </c>
      <c r="N580" s="3">
        <f t="shared" si="241"/>
        <v>58.651134081935552</v>
      </c>
      <c r="O580" s="3">
        <f t="shared" si="226"/>
        <v>58.651134081935552</v>
      </c>
      <c r="P580" s="3">
        <f t="shared" si="230"/>
        <v>63.065735571973718</v>
      </c>
      <c r="Q580" s="3">
        <f t="shared" si="231"/>
        <v>17.666864471148827</v>
      </c>
      <c r="R580" s="3">
        <f t="shared" si="232"/>
        <v>40.366300021561273</v>
      </c>
      <c r="S580" s="3">
        <f t="shared" si="227"/>
        <v>1</v>
      </c>
      <c r="T580" s="3">
        <f t="shared" si="233"/>
        <v>22699.435550412447</v>
      </c>
      <c r="U580" s="3">
        <f t="shared" si="234"/>
        <v>0.5</v>
      </c>
      <c r="V580" s="3">
        <f t="shared" si="235"/>
        <v>0</v>
      </c>
      <c r="W580" s="3">
        <f t="shared" si="236"/>
        <v>21114.408269496798</v>
      </c>
      <c r="X580" s="3">
        <f t="shared" si="228"/>
        <v>8833.4322355744134</v>
      </c>
      <c r="AI580" s="3"/>
      <c r="AJ580" s="3"/>
      <c r="AK580" s="15">
        <f t="shared" si="219"/>
        <v>2</v>
      </c>
      <c r="AL580" s="11">
        <f t="shared" si="223"/>
        <v>3426</v>
      </c>
      <c r="AM580" s="11" t="b">
        <f t="shared" si="218"/>
        <v>0</v>
      </c>
      <c r="AN580" s="11">
        <f t="shared" si="220"/>
        <v>36000</v>
      </c>
      <c r="AO580" s="11">
        <f t="shared" si="221"/>
        <v>0</v>
      </c>
      <c r="AP580" s="11">
        <f t="shared" si="222"/>
        <v>0.73671473367234663</v>
      </c>
      <c r="AQ580" s="11">
        <f t="shared" si="224"/>
        <v>0</v>
      </c>
      <c r="AT580" s="3"/>
      <c r="AU580" s="17"/>
      <c r="AV580" s="19"/>
      <c r="AW580" s="17"/>
      <c r="AX580" s="17">
        <f t="shared" si="243"/>
        <v>571</v>
      </c>
      <c r="AY580" s="17">
        <f t="shared" si="242"/>
        <v>57.1</v>
      </c>
      <c r="AZ580" s="17">
        <v>73.671473367234668</v>
      </c>
      <c r="BA580" s="17"/>
      <c r="BB580" s="17">
        <v>36</v>
      </c>
      <c r="BC580" s="17"/>
      <c r="BD580" s="17"/>
      <c r="BE580" s="17"/>
      <c r="BF580" s="17"/>
      <c r="BG580" s="17"/>
      <c r="BH580" s="17"/>
      <c r="BI580" s="17"/>
      <c r="BJ580" s="17"/>
      <c r="BK580" s="17"/>
      <c r="BL580" s="17"/>
      <c r="BM580" s="17"/>
      <c r="BN580" s="17"/>
      <c r="BO580" s="17"/>
      <c r="BP580" s="17"/>
      <c r="BQ580" s="17"/>
      <c r="BR580" s="17"/>
      <c r="BS580" s="17"/>
      <c r="BT580" s="17"/>
      <c r="BU580" s="17"/>
      <c r="BV580" s="17"/>
      <c r="BW580" s="17"/>
      <c r="BX580" s="17"/>
      <c r="BY580" s="17"/>
      <c r="BZ580" s="17"/>
      <c r="CA580" s="17"/>
      <c r="CB580" s="17"/>
      <c r="CC580" s="17"/>
      <c r="CD580" s="17"/>
      <c r="CE580" s="17"/>
      <c r="CF580" s="17"/>
      <c r="CG580" s="17"/>
      <c r="CH580" s="17"/>
    </row>
    <row r="581" spans="8:86" x14ac:dyDescent="0.15">
      <c r="H581" s="3">
        <f t="shared" si="237"/>
        <v>0.56900000000000039</v>
      </c>
      <c r="I581" s="3">
        <f t="shared" si="238"/>
        <v>360</v>
      </c>
      <c r="J581" s="14">
        <f t="shared" si="239"/>
        <v>500</v>
      </c>
      <c r="K581" s="3">
        <f t="shared" si="229"/>
        <v>0</v>
      </c>
      <c r="L581" s="3">
        <f t="shared" si="225"/>
        <v>500</v>
      </c>
      <c r="M581" s="15">
        <f t="shared" si="240"/>
        <v>7.0000000000000007E-2</v>
      </c>
      <c r="N581" s="3">
        <f t="shared" si="241"/>
        <v>58.588080094295513</v>
      </c>
      <c r="O581" s="3">
        <f t="shared" si="226"/>
        <v>58.588080094295513</v>
      </c>
      <c r="P581" s="3">
        <f t="shared" si="230"/>
        <v>62.997935585263996</v>
      </c>
      <c r="Q581" s="3">
        <f t="shared" si="231"/>
        <v>17.621465600048001</v>
      </c>
      <c r="R581" s="3">
        <f t="shared" si="232"/>
        <v>40.309700592656</v>
      </c>
      <c r="S581" s="3">
        <f t="shared" si="227"/>
        <v>1</v>
      </c>
      <c r="T581" s="3">
        <f t="shared" si="233"/>
        <v>22688.234992607995</v>
      </c>
      <c r="U581" s="3">
        <f t="shared" si="234"/>
        <v>0.5</v>
      </c>
      <c r="V581" s="3">
        <f t="shared" si="235"/>
        <v>0</v>
      </c>
      <c r="W581" s="3">
        <f t="shared" si="236"/>
        <v>21091.708833946384</v>
      </c>
      <c r="X581" s="3">
        <f t="shared" si="228"/>
        <v>8810.7328000240013</v>
      </c>
      <c r="AI581" s="3"/>
      <c r="AJ581" s="3"/>
      <c r="AK581" s="15">
        <f t="shared" si="219"/>
        <v>2</v>
      </c>
      <c r="AL581" s="11">
        <f t="shared" si="223"/>
        <v>3432</v>
      </c>
      <c r="AM581" s="11" t="b">
        <f t="shared" si="218"/>
        <v>0</v>
      </c>
      <c r="AN581" s="11">
        <f t="shared" si="220"/>
        <v>36000</v>
      </c>
      <c r="AO581" s="11">
        <f t="shared" si="221"/>
        <v>0</v>
      </c>
      <c r="AP581" s="11">
        <f t="shared" si="222"/>
        <v>0.73781704848716145</v>
      </c>
      <c r="AQ581" s="11">
        <f t="shared" si="224"/>
        <v>0</v>
      </c>
      <c r="AT581" s="3"/>
      <c r="AU581" s="17"/>
      <c r="AV581" s="19"/>
      <c r="AW581" s="17"/>
      <c r="AX581" s="17">
        <f t="shared" si="243"/>
        <v>572</v>
      </c>
      <c r="AY581" s="17">
        <f t="shared" si="242"/>
        <v>57.2</v>
      </c>
      <c r="AZ581" s="17">
        <v>73.781704848716146</v>
      </c>
      <c r="BA581" s="17"/>
      <c r="BB581" s="17">
        <v>36</v>
      </c>
      <c r="BC581" s="17"/>
      <c r="BD581" s="17"/>
      <c r="BE581" s="17"/>
      <c r="BF581" s="17"/>
      <c r="BG581" s="17"/>
      <c r="BH581" s="17"/>
      <c r="BI581" s="17"/>
      <c r="BJ581" s="17"/>
      <c r="BK581" s="17"/>
      <c r="BL581" s="17"/>
      <c r="BM581" s="17"/>
      <c r="BN581" s="17"/>
      <c r="BO581" s="17"/>
      <c r="BP581" s="17"/>
      <c r="BQ581" s="17"/>
      <c r="BR581" s="17"/>
      <c r="BS581" s="17"/>
      <c r="BT581" s="17"/>
      <c r="BU581" s="17"/>
      <c r="BV581" s="17"/>
      <c r="BW581" s="17"/>
      <c r="BX581" s="17"/>
      <c r="BY581" s="17"/>
      <c r="BZ581" s="17"/>
      <c r="CA581" s="17"/>
      <c r="CB581" s="17"/>
      <c r="CC581" s="17"/>
      <c r="CD581" s="17"/>
      <c r="CE581" s="17"/>
      <c r="CF581" s="17"/>
      <c r="CG581" s="17"/>
      <c r="CH581" s="17"/>
    </row>
    <row r="582" spans="8:86" x14ac:dyDescent="0.15">
      <c r="H582" s="3">
        <f t="shared" si="237"/>
        <v>0.5700000000000004</v>
      </c>
      <c r="I582" s="3">
        <f t="shared" si="238"/>
        <v>360</v>
      </c>
      <c r="J582" s="14">
        <f t="shared" si="239"/>
        <v>500</v>
      </c>
      <c r="K582" s="3">
        <f t="shared" si="229"/>
        <v>0</v>
      </c>
      <c r="L582" s="3">
        <f t="shared" si="225"/>
        <v>500</v>
      </c>
      <c r="M582" s="15">
        <f t="shared" si="240"/>
        <v>7.0000000000000007E-2</v>
      </c>
      <c r="N582" s="3">
        <f t="shared" si="241"/>
        <v>58.525057219316039</v>
      </c>
      <c r="O582" s="3">
        <f t="shared" si="226"/>
        <v>58.525057219316039</v>
      </c>
      <c r="P582" s="3">
        <f t="shared" si="230"/>
        <v>62.930169053028003</v>
      </c>
      <c r="Q582" s="3">
        <f t="shared" si="231"/>
        <v>17.576089130062787</v>
      </c>
      <c r="R582" s="3">
        <f t="shared" si="232"/>
        <v>40.253129091545397</v>
      </c>
      <c r="S582" s="3">
        <f t="shared" si="227"/>
        <v>1</v>
      </c>
      <c r="T582" s="3">
        <f t="shared" si="233"/>
        <v>22677.039961482606</v>
      </c>
      <c r="U582" s="3">
        <f t="shared" si="234"/>
        <v>0.5</v>
      </c>
      <c r="V582" s="3">
        <f t="shared" si="235"/>
        <v>0</v>
      </c>
      <c r="W582" s="3">
        <f t="shared" si="236"/>
        <v>21069.020598953775</v>
      </c>
      <c r="X582" s="3">
        <f t="shared" si="228"/>
        <v>8788.0445650313941</v>
      </c>
      <c r="AI582" s="3"/>
      <c r="AJ582" s="3"/>
      <c r="AK582" s="15">
        <f t="shared" si="219"/>
        <v>2</v>
      </c>
      <c r="AL582" s="11">
        <f t="shared" si="223"/>
        <v>3438</v>
      </c>
      <c r="AM582" s="11" t="b">
        <f t="shared" si="218"/>
        <v>0</v>
      </c>
      <c r="AN582" s="11">
        <f t="shared" si="220"/>
        <v>36000</v>
      </c>
      <c r="AO582" s="11">
        <f t="shared" si="221"/>
        <v>0</v>
      </c>
      <c r="AP582" s="11">
        <f t="shared" si="222"/>
        <v>0.73891936330197627</v>
      </c>
      <c r="AQ582" s="11">
        <f t="shared" si="224"/>
        <v>0</v>
      </c>
      <c r="AT582" s="3"/>
      <c r="AU582" s="17"/>
      <c r="AV582" s="19"/>
      <c r="AW582" s="17"/>
      <c r="AX582" s="17">
        <f t="shared" si="243"/>
        <v>573</v>
      </c>
      <c r="AY582" s="17">
        <f t="shared" si="242"/>
        <v>57.3</v>
      </c>
      <c r="AZ582" s="17">
        <v>73.891936330197623</v>
      </c>
      <c r="BA582" s="17"/>
      <c r="BB582" s="17">
        <v>36</v>
      </c>
      <c r="BC582" s="17"/>
      <c r="BD582" s="17"/>
      <c r="BE582" s="17"/>
      <c r="BF582" s="17"/>
      <c r="BG582" s="17"/>
      <c r="BH582" s="17"/>
      <c r="BI582" s="17"/>
      <c r="BJ582" s="17"/>
      <c r="BK582" s="17"/>
      <c r="BL582" s="17"/>
      <c r="BM582" s="17"/>
      <c r="BN582" s="17"/>
      <c r="BO582" s="17"/>
      <c r="BP582" s="17"/>
      <c r="BQ582" s="17"/>
      <c r="BR582" s="17"/>
      <c r="BS582" s="17"/>
      <c r="BT582" s="17"/>
      <c r="BU582" s="17"/>
      <c r="BV582" s="17"/>
      <c r="BW582" s="17"/>
      <c r="BX582" s="17"/>
      <c r="BY582" s="17"/>
      <c r="BZ582" s="17"/>
      <c r="CA582" s="17"/>
      <c r="CB582" s="17"/>
      <c r="CC582" s="17"/>
      <c r="CD582" s="17"/>
      <c r="CE582" s="17"/>
      <c r="CF582" s="17"/>
      <c r="CG582" s="17"/>
      <c r="CH582" s="17"/>
    </row>
    <row r="583" spans="8:86" x14ac:dyDescent="0.15">
      <c r="H583" s="3">
        <f t="shared" si="237"/>
        <v>0.5710000000000004</v>
      </c>
      <c r="I583" s="3">
        <f t="shared" si="238"/>
        <v>360</v>
      </c>
      <c r="J583" s="14">
        <f t="shared" si="239"/>
        <v>500</v>
      </c>
      <c r="K583" s="3">
        <f t="shared" si="229"/>
        <v>0</v>
      </c>
      <c r="L583" s="3">
        <f t="shared" si="225"/>
        <v>500</v>
      </c>
      <c r="M583" s="15">
        <f t="shared" si="240"/>
        <v>7.0000000000000007E-2</v>
      </c>
      <c r="N583" s="3">
        <f t="shared" si="241"/>
        <v>58.462065441645258</v>
      </c>
      <c r="O583" s="3">
        <f t="shared" si="226"/>
        <v>58.462065441645258</v>
      </c>
      <c r="P583" s="3">
        <f t="shared" si="230"/>
        <v>62.862435958758347</v>
      </c>
      <c r="Q583" s="3">
        <f t="shared" si="231"/>
        <v>17.530735050139821</v>
      </c>
      <c r="R583" s="3">
        <f t="shared" si="232"/>
        <v>40.196585504449082</v>
      </c>
      <c r="S583" s="3">
        <f t="shared" si="227"/>
        <v>1</v>
      </c>
      <c r="T583" s="3">
        <f t="shared" si="233"/>
        <v>22665.850454309264</v>
      </c>
      <c r="U583" s="3">
        <f t="shared" si="234"/>
        <v>0.5</v>
      </c>
      <c r="V583" s="3">
        <f t="shared" si="235"/>
        <v>0</v>
      </c>
      <c r="W583" s="3">
        <f t="shared" si="236"/>
        <v>21046.343558992292</v>
      </c>
      <c r="X583" s="3">
        <f t="shared" si="228"/>
        <v>8765.3675250699107</v>
      </c>
      <c r="AI583" s="3"/>
      <c r="AJ583" s="3"/>
      <c r="AK583" s="15">
        <f t="shared" si="219"/>
        <v>2</v>
      </c>
      <c r="AL583" s="11">
        <f t="shared" si="223"/>
        <v>3444</v>
      </c>
      <c r="AM583" s="11" t="b">
        <f t="shared" si="218"/>
        <v>0</v>
      </c>
      <c r="AN583" s="11">
        <f t="shared" si="220"/>
        <v>36000</v>
      </c>
      <c r="AO583" s="11">
        <f t="shared" si="221"/>
        <v>0</v>
      </c>
      <c r="AP583" s="11">
        <f t="shared" si="222"/>
        <v>0.74002167811679109</v>
      </c>
      <c r="AQ583" s="11">
        <f t="shared" si="224"/>
        <v>0</v>
      </c>
      <c r="AT583" s="3"/>
      <c r="AU583" s="17"/>
      <c r="AV583" s="19"/>
      <c r="AW583" s="17"/>
      <c r="AX583" s="17">
        <f t="shared" si="243"/>
        <v>574</v>
      </c>
      <c r="AY583" s="17">
        <f t="shared" si="242"/>
        <v>57.4</v>
      </c>
      <c r="AZ583" s="17">
        <v>74.002167811679115</v>
      </c>
      <c r="BA583" s="17"/>
      <c r="BB583" s="17">
        <v>36</v>
      </c>
      <c r="BC583" s="17"/>
      <c r="BD583" s="17"/>
      <c r="BE583" s="17"/>
      <c r="BF583" s="17"/>
      <c r="BG583" s="17"/>
      <c r="BH583" s="17"/>
      <c r="BI583" s="17"/>
      <c r="BJ583" s="17"/>
      <c r="BK583" s="17"/>
      <c r="BL583" s="17"/>
      <c r="BM583" s="17"/>
      <c r="BN583" s="17"/>
      <c r="BO583" s="17"/>
      <c r="BP583" s="17"/>
      <c r="BQ583" s="17"/>
      <c r="BR583" s="17"/>
      <c r="BS583" s="17"/>
      <c r="BT583" s="17"/>
      <c r="BU583" s="17"/>
      <c r="BV583" s="17"/>
      <c r="BW583" s="17"/>
      <c r="BX583" s="17"/>
      <c r="BY583" s="17"/>
      <c r="BZ583" s="17"/>
      <c r="CA583" s="17"/>
      <c r="CB583" s="17"/>
      <c r="CC583" s="17"/>
      <c r="CD583" s="17"/>
      <c r="CE583" s="17"/>
      <c r="CF583" s="17"/>
      <c r="CG583" s="17"/>
      <c r="CH583" s="17"/>
    </row>
    <row r="584" spans="8:86" x14ac:dyDescent="0.15">
      <c r="H584" s="3">
        <f t="shared" si="237"/>
        <v>0.5720000000000004</v>
      </c>
      <c r="I584" s="3">
        <f t="shared" si="238"/>
        <v>360</v>
      </c>
      <c r="J584" s="14">
        <f t="shared" si="239"/>
        <v>500</v>
      </c>
      <c r="K584" s="3">
        <f t="shared" si="229"/>
        <v>0</v>
      </c>
      <c r="L584" s="3">
        <f t="shared" si="225"/>
        <v>500</v>
      </c>
      <c r="M584" s="15">
        <f t="shared" si="240"/>
        <v>7.0000000000000007E-2</v>
      </c>
      <c r="N584" s="3">
        <f t="shared" si="241"/>
        <v>58.399104745938843</v>
      </c>
      <c r="O584" s="3">
        <f t="shared" si="226"/>
        <v>58.399104745938843</v>
      </c>
      <c r="P584" s="3">
        <f t="shared" si="230"/>
        <v>62.79473628595575</v>
      </c>
      <c r="Q584" s="3">
        <f t="shared" si="231"/>
        <v>17.485403349231206</v>
      </c>
      <c r="R584" s="3">
        <f t="shared" si="232"/>
        <v>40.140069817593478</v>
      </c>
      <c r="S584" s="3">
        <f t="shared" si="227"/>
        <v>1</v>
      </c>
      <c r="T584" s="3">
        <f t="shared" si="233"/>
        <v>22654.666468362273</v>
      </c>
      <c r="U584" s="3">
        <f t="shared" si="234"/>
        <v>0.5</v>
      </c>
      <c r="V584" s="3">
        <f t="shared" si="235"/>
        <v>0</v>
      </c>
      <c r="W584" s="3">
        <f t="shared" si="236"/>
        <v>21023.677708537984</v>
      </c>
      <c r="X584" s="3">
        <f t="shared" si="228"/>
        <v>8742.7016746156023</v>
      </c>
      <c r="AI584" s="3"/>
      <c r="AJ584" s="3"/>
      <c r="AK584" s="15">
        <f t="shared" si="219"/>
        <v>2</v>
      </c>
      <c r="AL584" s="11">
        <f t="shared" si="223"/>
        <v>3450</v>
      </c>
      <c r="AM584" s="11" t="b">
        <f t="shared" si="218"/>
        <v>0</v>
      </c>
      <c r="AN584" s="11">
        <f t="shared" si="220"/>
        <v>36000</v>
      </c>
      <c r="AO584" s="11">
        <f t="shared" si="221"/>
        <v>0</v>
      </c>
      <c r="AP584" s="11">
        <f t="shared" si="222"/>
        <v>0.74112399293160591</v>
      </c>
      <c r="AQ584" s="11">
        <f t="shared" si="224"/>
        <v>0</v>
      </c>
      <c r="AT584" s="3"/>
      <c r="AU584" s="17"/>
      <c r="AV584" s="19"/>
      <c r="AW584" s="17"/>
      <c r="AX584" s="17">
        <f t="shared" si="243"/>
        <v>575</v>
      </c>
      <c r="AY584" s="17">
        <f t="shared" si="242"/>
        <v>57.5</v>
      </c>
      <c r="AZ584" s="17">
        <v>74.112399293160593</v>
      </c>
      <c r="BA584" s="17"/>
      <c r="BB584" s="17">
        <v>36</v>
      </c>
      <c r="BC584" s="17"/>
      <c r="BD584" s="17"/>
      <c r="BE584" s="17"/>
      <c r="BF584" s="17"/>
      <c r="BG584" s="17"/>
      <c r="BH584" s="17"/>
      <c r="BI584" s="17"/>
      <c r="BJ584" s="17"/>
      <c r="BK584" s="17"/>
      <c r="BL584" s="17"/>
      <c r="BM584" s="17"/>
      <c r="BN584" s="17"/>
      <c r="BO584" s="17"/>
      <c r="BP584" s="17"/>
      <c r="BQ584" s="17"/>
      <c r="BR584" s="17"/>
      <c r="BS584" s="17"/>
      <c r="BT584" s="17"/>
      <c r="BU584" s="17"/>
      <c r="BV584" s="17"/>
      <c r="BW584" s="17"/>
      <c r="BX584" s="17"/>
      <c r="BY584" s="17"/>
      <c r="BZ584" s="17"/>
      <c r="CA584" s="17"/>
      <c r="CB584" s="17"/>
      <c r="CC584" s="17"/>
      <c r="CD584" s="17"/>
      <c r="CE584" s="17"/>
      <c r="CF584" s="17"/>
      <c r="CG584" s="17"/>
      <c r="CH584" s="17"/>
    </row>
    <row r="585" spans="8:86" x14ac:dyDescent="0.15">
      <c r="H585" s="3">
        <f t="shared" si="237"/>
        <v>0.5730000000000004</v>
      </c>
      <c r="I585" s="3">
        <f t="shared" si="238"/>
        <v>360</v>
      </c>
      <c r="J585" s="14">
        <f t="shared" si="239"/>
        <v>500</v>
      </c>
      <c r="K585" s="3">
        <f t="shared" si="229"/>
        <v>0</v>
      </c>
      <c r="L585" s="3">
        <f t="shared" si="225"/>
        <v>500</v>
      </c>
      <c r="M585" s="15">
        <f t="shared" si="240"/>
        <v>7.0000000000000007E-2</v>
      </c>
      <c r="N585" s="3">
        <f t="shared" si="241"/>
        <v>58.336175116860055</v>
      </c>
      <c r="O585" s="3">
        <f t="shared" si="226"/>
        <v>58.336175116860055</v>
      </c>
      <c r="P585" s="3">
        <f t="shared" si="230"/>
        <v>62.727070018129098</v>
      </c>
      <c r="Q585" s="3">
        <f t="shared" si="231"/>
        <v>17.440094016294481</v>
      </c>
      <c r="R585" s="3">
        <f t="shared" si="232"/>
        <v>40.083582017211789</v>
      </c>
      <c r="S585" s="3">
        <f t="shared" si="227"/>
        <v>1</v>
      </c>
      <c r="T585" s="3">
        <f t="shared" si="233"/>
        <v>22643.48800091731</v>
      </c>
      <c r="U585" s="3">
        <f t="shared" si="234"/>
        <v>0.5</v>
      </c>
      <c r="V585" s="3">
        <f t="shared" si="235"/>
        <v>0</v>
      </c>
      <c r="W585" s="3">
        <f t="shared" si="236"/>
        <v>21001.023042069621</v>
      </c>
      <c r="X585" s="3">
        <f t="shared" si="228"/>
        <v>8720.0470081472395</v>
      </c>
      <c r="AI585" s="3"/>
      <c r="AJ585" s="3"/>
      <c r="AK585" s="15">
        <f t="shared" si="219"/>
        <v>2</v>
      </c>
      <c r="AL585" s="11">
        <f t="shared" si="223"/>
        <v>3456</v>
      </c>
      <c r="AM585" s="11" t="b">
        <f t="shared" ref="AM585:AM648" si="244">OR(AND(AL585&gt;=$AC$5,AL585&lt;=$AD$5),AND(AL585&gt;=$AC$6,AL585&lt;=$AD$6),AND(AL585&gt;=$AC$7,AL585&lt;=$AD$7),AND(AL585&gt;=$AC$8,AL585&lt;=$AD$8),AND(AL585&gt;=$AC$9,AL585&lt;=$AD$9),AND(AL585&gt;=$AC$10,AL585&lt;=$AD$10),AND(AL585&gt;=$AC$11,AL585&lt;=$AD$11),AND($AD$11&lt;$AC$11,OR(AL585&lt;$AD$11,AL585&gt;$AC$11)))</f>
        <v>0</v>
      </c>
      <c r="AN585" s="11">
        <f t="shared" si="220"/>
        <v>36000</v>
      </c>
      <c r="AO585" s="11">
        <f t="shared" si="221"/>
        <v>0</v>
      </c>
      <c r="AP585" s="11">
        <f t="shared" si="222"/>
        <v>0.74222630774642084</v>
      </c>
      <c r="AQ585" s="11">
        <f t="shared" si="224"/>
        <v>0</v>
      </c>
      <c r="AT585" s="3"/>
      <c r="AU585" s="17"/>
      <c r="AV585" s="19"/>
      <c r="AW585" s="17"/>
      <c r="AX585" s="17">
        <f t="shared" si="243"/>
        <v>576</v>
      </c>
      <c r="AY585" s="17">
        <f t="shared" si="242"/>
        <v>57.6</v>
      </c>
      <c r="AZ585" s="17">
        <v>74.222630774642084</v>
      </c>
      <c r="BA585" s="17"/>
      <c r="BB585" s="17">
        <v>36</v>
      </c>
      <c r="BC585" s="17"/>
      <c r="BD585" s="17"/>
      <c r="BE585" s="17"/>
      <c r="BF585" s="17"/>
      <c r="BG585" s="17"/>
      <c r="BH585" s="17"/>
      <c r="BI585" s="17"/>
      <c r="BJ585" s="17"/>
      <c r="BK585" s="17"/>
      <c r="BL585" s="17"/>
      <c r="BM585" s="17"/>
      <c r="BN585" s="17"/>
      <c r="BO585" s="17"/>
      <c r="BP585" s="17"/>
      <c r="BQ585" s="17"/>
      <c r="BR585" s="17"/>
      <c r="BS585" s="17"/>
      <c r="BT585" s="17"/>
      <c r="BU585" s="17"/>
      <c r="BV585" s="17"/>
      <c r="BW585" s="17"/>
      <c r="BX585" s="17"/>
      <c r="BY585" s="17"/>
      <c r="BZ585" s="17"/>
      <c r="CA585" s="17"/>
      <c r="CB585" s="17"/>
      <c r="CC585" s="17"/>
      <c r="CD585" s="17"/>
      <c r="CE585" s="17"/>
      <c r="CF585" s="17"/>
      <c r="CG585" s="17"/>
      <c r="CH585" s="17"/>
    </row>
    <row r="586" spans="8:86" x14ac:dyDescent="0.15">
      <c r="H586" s="3">
        <f t="shared" si="237"/>
        <v>0.5740000000000004</v>
      </c>
      <c r="I586" s="3">
        <f t="shared" si="238"/>
        <v>360</v>
      </c>
      <c r="J586" s="14">
        <f t="shared" si="239"/>
        <v>500</v>
      </c>
      <c r="K586" s="3">
        <f t="shared" si="229"/>
        <v>0</v>
      </c>
      <c r="L586" s="3">
        <f t="shared" si="225"/>
        <v>500</v>
      </c>
      <c r="M586" s="15">
        <f t="shared" si="240"/>
        <v>7.0000000000000007E-2</v>
      </c>
      <c r="N586" s="3">
        <f t="shared" si="241"/>
        <v>58.273276539079731</v>
      </c>
      <c r="O586" s="3">
        <f t="shared" si="226"/>
        <v>58.273276539079731</v>
      </c>
      <c r="P586" s="3">
        <f t="shared" si="230"/>
        <v>62.659437138795411</v>
      </c>
      <c r="Q586" s="3">
        <f t="shared" si="231"/>
        <v>17.394807040292648</v>
      </c>
      <c r="R586" s="3">
        <f t="shared" si="232"/>
        <v>40.027122089544029</v>
      </c>
      <c r="S586" s="3">
        <f t="shared" si="227"/>
        <v>1</v>
      </c>
      <c r="T586" s="3">
        <f t="shared" si="233"/>
        <v>22632.315049251381</v>
      </c>
      <c r="U586" s="3">
        <f t="shared" si="234"/>
        <v>0.5</v>
      </c>
      <c r="V586" s="3">
        <f t="shared" si="235"/>
        <v>0</v>
      </c>
      <c r="W586" s="3">
        <f t="shared" si="236"/>
        <v>20978.379554068702</v>
      </c>
      <c r="X586" s="3">
        <f t="shared" si="228"/>
        <v>8697.403520146323</v>
      </c>
      <c r="AI586" s="3"/>
      <c r="AJ586" s="3"/>
      <c r="AK586" s="15">
        <f t="shared" ref="AK586:AK649" si="245">1+INT(MOD(AL586/60/24-0.5,7))</f>
        <v>2</v>
      </c>
      <c r="AL586" s="11">
        <f t="shared" si="223"/>
        <v>3462</v>
      </c>
      <c r="AM586" s="11" t="b">
        <f t="shared" si="244"/>
        <v>0</v>
      </c>
      <c r="AN586" s="11">
        <f t="shared" ref="AN586:AN649" si="246">IF(AND(AM586,NOT(AM587)),$AB$26,AN585+($AB$28-IF(AND(AM585,AM586),CHOOSE(AK586,$AG$5,$AG$6,$AG$7,$AG$8,$AG$9,$AG$10,$AG$11)*$AA$22/$AA$24,0))*$AB$15)</f>
        <v>36000</v>
      </c>
      <c r="AO586" s="11">
        <f t="shared" ref="AO586:AO649" si="247">IF(AND(AM586,NOT(AM587)),$AB$27,AO585+($AB$29-IF(AND(AM585,AM586),CHOOSE(AK586,$AG$5,$AG$6,$AG$7,$AG$8,$AG$9,$AG$10,$AG$11)*$AA$23/$AA$24,0))*$AB$15)</f>
        <v>0</v>
      </c>
      <c r="AP586" s="11">
        <f t="shared" ref="AP586:AP649" si="248">IF(AN585&lt;=0,0,(AP585*AN585-(IF(AND(AM585,AM586),CHOOSE(AK586,$AI$5,$AI$6,$AI$7,$AI$8,$AI$9,$AI$10,$AI$11),$AA$37))*AP585*$AB$15+$AA$34*(AQ585-AP585)*$AB$15+$AA$33*$AB$15)/AN585)</f>
        <v>0.74332862256123577</v>
      </c>
      <c r="AQ586" s="11">
        <f t="shared" si="224"/>
        <v>0</v>
      </c>
      <c r="AT586" s="3"/>
      <c r="AU586" s="17"/>
      <c r="AV586" s="19"/>
      <c r="AW586" s="17"/>
      <c r="AX586" s="17">
        <f t="shared" si="243"/>
        <v>577</v>
      </c>
      <c r="AY586" s="17">
        <f t="shared" si="242"/>
        <v>57.7</v>
      </c>
      <c r="AZ586" s="17">
        <v>74.332862256123576</v>
      </c>
      <c r="BA586" s="17"/>
      <c r="BB586" s="17">
        <v>36</v>
      </c>
      <c r="BC586" s="17"/>
      <c r="BD586" s="17"/>
      <c r="BE586" s="17"/>
      <c r="BF586" s="17"/>
      <c r="BG586" s="17"/>
      <c r="BH586" s="17"/>
      <c r="BI586" s="17"/>
      <c r="BJ586" s="17"/>
      <c r="BK586" s="17"/>
      <c r="BL586" s="17"/>
      <c r="BM586" s="17"/>
      <c r="BN586" s="17"/>
      <c r="BO586" s="17"/>
      <c r="BP586" s="17"/>
      <c r="BQ586" s="17"/>
      <c r="BR586" s="17"/>
      <c r="BS586" s="17"/>
      <c r="BT586" s="17"/>
      <c r="BU586" s="17"/>
      <c r="BV586" s="17"/>
      <c r="BW586" s="17"/>
      <c r="BX586" s="17"/>
      <c r="BY586" s="17"/>
      <c r="BZ586" s="17"/>
      <c r="CA586" s="17"/>
      <c r="CB586" s="17"/>
      <c r="CC586" s="17"/>
      <c r="CD586" s="17"/>
      <c r="CE586" s="17"/>
      <c r="CF586" s="17"/>
      <c r="CG586" s="17"/>
      <c r="CH586" s="17"/>
    </row>
    <row r="587" spans="8:86" x14ac:dyDescent="0.15">
      <c r="H587" s="3">
        <f t="shared" si="237"/>
        <v>0.5750000000000004</v>
      </c>
      <c r="I587" s="3">
        <f t="shared" si="238"/>
        <v>360</v>
      </c>
      <c r="J587" s="14">
        <f t="shared" si="239"/>
        <v>500</v>
      </c>
      <c r="K587" s="3">
        <f t="shared" si="229"/>
        <v>0</v>
      </c>
      <c r="L587" s="3">
        <f t="shared" si="225"/>
        <v>500</v>
      </c>
      <c r="M587" s="15">
        <f t="shared" si="240"/>
        <v>7.0000000000000007E-2</v>
      </c>
      <c r="N587" s="3">
        <f t="shared" si="241"/>
        <v>58.210408997276254</v>
      </c>
      <c r="O587" s="3">
        <f t="shared" si="226"/>
        <v>58.210408997276254</v>
      </c>
      <c r="P587" s="3">
        <f t="shared" si="230"/>
        <v>62.591837631479848</v>
      </c>
      <c r="Q587" s="3">
        <f t="shared" si="231"/>
        <v>17.349542410194143</v>
      </c>
      <c r="R587" s="3">
        <f t="shared" si="232"/>
        <v>39.970690020836997</v>
      </c>
      <c r="S587" s="3">
        <f t="shared" si="227"/>
        <v>1</v>
      </c>
      <c r="T587" s="3">
        <f t="shared" si="233"/>
        <v>22621.147610642849</v>
      </c>
      <c r="U587" s="3">
        <f t="shared" si="234"/>
        <v>0.5</v>
      </c>
      <c r="V587" s="3">
        <f t="shared" si="235"/>
        <v>0</v>
      </c>
      <c r="W587" s="3">
        <f t="shared" si="236"/>
        <v>20955.747239019453</v>
      </c>
      <c r="X587" s="3">
        <f t="shared" si="228"/>
        <v>8674.7712050970713</v>
      </c>
      <c r="AI587" s="3"/>
      <c r="AJ587" s="3"/>
      <c r="AK587" s="15">
        <f t="shared" si="245"/>
        <v>2</v>
      </c>
      <c r="AL587" s="11">
        <f t="shared" ref="AL587:AL650" si="249">AL586+$AB$15</f>
        <v>3468</v>
      </c>
      <c r="AM587" s="11" t="b">
        <f t="shared" si="244"/>
        <v>0</v>
      </c>
      <c r="AN587" s="11">
        <f t="shared" si="246"/>
        <v>36000</v>
      </c>
      <c r="AO587" s="11">
        <f t="shared" si="247"/>
        <v>0</v>
      </c>
      <c r="AP587" s="11">
        <f t="shared" si="248"/>
        <v>0.74443093737605059</v>
      </c>
      <c r="AQ587" s="11">
        <f t="shared" ref="AQ587:AQ650" si="250">IF(AO586&lt;=0,0,(AQ586*AO586-$AA$34*(AQ586-AP586)*$AB$15)/AO586)</f>
        <v>0</v>
      </c>
      <c r="AT587" s="3"/>
      <c r="AU587" s="17"/>
      <c r="AV587" s="19"/>
      <c r="AW587" s="17"/>
      <c r="AX587" s="17">
        <f t="shared" si="243"/>
        <v>578</v>
      </c>
      <c r="AY587" s="17">
        <f t="shared" si="242"/>
        <v>57.8</v>
      </c>
      <c r="AZ587" s="17">
        <v>74.443093737605054</v>
      </c>
      <c r="BA587" s="17"/>
      <c r="BB587" s="17">
        <v>36</v>
      </c>
      <c r="BC587" s="17"/>
      <c r="BD587" s="17"/>
      <c r="BE587" s="17"/>
      <c r="BF587" s="17"/>
      <c r="BG587" s="17"/>
      <c r="BH587" s="17"/>
      <c r="BI587" s="17"/>
      <c r="BJ587" s="17"/>
      <c r="BK587" s="17"/>
      <c r="BL587" s="17"/>
      <c r="BM587" s="17"/>
      <c r="BN587" s="17"/>
      <c r="BO587" s="17"/>
      <c r="BP587" s="17"/>
      <c r="BQ587" s="17"/>
      <c r="BR587" s="17"/>
      <c r="BS587" s="17"/>
      <c r="BT587" s="17"/>
      <c r="BU587" s="17"/>
      <c r="BV587" s="17"/>
      <c r="BW587" s="17"/>
      <c r="BX587" s="17"/>
      <c r="BY587" s="17"/>
      <c r="BZ587" s="17"/>
      <c r="CA587" s="17"/>
      <c r="CB587" s="17"/>
      <c r="CC587" s="17"/>
      <c r="CD587" s="17"/>
      <c r="CE587" s="17"/>
      <c r="CF587" s="17"/>
      <c r="CG587" s="17"/>
      <c r="CH587" s="17"/>
    </row>
    <row r="588" spans="8:86" x14ac:dyDescent="0.15">
      <c r="H588" s="3">
        <f t="shared" si="237"/>
        <v>0.5760000000000004</v>
      </c>
      <c r="I588" s="3">
        <f t="shared" si="238"/>
        <v>360</v>
      </c>
      <c r="J588" s="14">
        <f t="shared" si="239"/>
        <v>500</v>
      </c>
      <c r="K588" s="3">
        <f t="shared" si="229"/>
        <v>0</v>
      </c>
      <c r="L588" s="3">
        <f t="shared" ref="L588:L651" si="251">$L$8*$L$6/I588</f>
        <v>500</v>
      </c>
      <c r="M588" s="15">
        <f t="shared" si="240"/>
        <v>7.0000000000000007E-2</v>
      </c>
      <c r="N588" s="3">
        <f t="shared" si="241"/>
        <v>58.147572476135579</v>
      </c>
      <c r="O588" s="3">
        <f t="shared" ref="O588:O651" si="252">N588*S588</f>
        <v>58.147572476135579</v>
      </c>
      <c r="P588" s="3">
        <f t="shared" si="230"/>
        <v>62.524271479715679</v>
      </c>
      <c r="Q588" s="3">
        <f t="shared" si="231"/>
        <v>17.304300114972854</v>
      </c>
      <c r="R588" s="3">
        <f t="shared" si="232"/>
        <v>39.914285797344263</v>
      </c>
      <c r="S588" s="3">
        <f t="shared" ref="S588:S651" si="253">IF($F$10=0,0,IF($F$10=1,1,(N588-L588-1/$I$5+((L588-N588+1/$I$5)^2+4*N588/$I$5)^0.5)/2/N588))</f>
        <v>1</v>
      </c>
      <c r="T588" s="3">
        <f t="shared" si="233"/>
        <v>22609.985682371414</v>
      </c>
      <c r="U588" s="3">
        <f t="shared" si="234"/>
        <v>0.5</v>
      </c>
      <c r="V588" s="3">
        <f t="shared" si="235"/>
        <v>0</v>
      </c>
      <c r="W588" s="3">
        <f t="shared" si="236"/>
        <v>20933.126091408809</v>
      </c>
      <c r="X588" s="3">
        <f t="shared" ref="X588:X651" si="254">IF($F$19,W588-W589+X589,J588*Q588)</f>
        <v>8652.1500574864276</v>
      </c>
      <c r="AI588" s="3"/>
      <c r="AJ588" s="3"/>
      <c r="AK588" s="15">
        <f t="shared" si="245"/>
        <v>2</v>
      </c>
      <c r="AL588" s="11">
        <f t="shared" si="249"/>
        <v>3474</v>
      </c>
      <c r="AM588" s="11" t="b">
        <f t="shared" si="244"/>
        <v>0</v>
      </c>
      <c r="AN588" s="11">
        <f t="shared" si="246"/>
        <v>36000</v>
      </c>
      <c r="AO588" s="11">
        <f t="shared" si="247"/>
        <v>0</v>
      </c>
      <c r="AP588" s="11">
        <f t="shared" si="248"/>
        <v>0.74553325219086541</v>
      </c>
      <c r="AQ588" s="11">
        <f t="shared" si="250"/>
        <v>0</v>
      </c>
      <c r="AT588" s="3"/>
      <c r="AU588" s="17"/>
      <c r="AV588" s="19"/>
      <c r="AW588" s="17"/>
      <c r="AX588" s="17">
        <f t="shared" si="243"/>
        <v>579</v>
      </c>
      <c r="AY588" s="17">
        <f t="shared" si="242"/>
        <v>57.9</v>
      </c>
      <c r="AZ588" s="17">
        <v>74.553325219086545</v>
      </c>
      <c r="BA588" s="17"/>
      <c r="BB588" s="17">
        <v>36</v>
      </c>
      <c r="BC588" s="17"/>
      <c r="BD588" s="17"/>
      <c r="BE588" s="17"/>
      <c r="BF588" s="17"/>
      <c r="BG588" s="17"/>
      <c r="BH588" s="17"/>
      <c r="BI588" s="17"/>
      <c r="BJ588" s="17"/>
      <c r="BK588" s="17"/>
      <c r="BL588" s="17"/>
      <c r="BM588" s="17"/>
      <c r="BN588" s="17"/>
      <c r="BO588" s="17"/>
      <c r="BP588" s="17"/>
      <c r="BQ588" s="17"/>
      <c r="BR588" s="17"/>
      <c r="BS588" s="17"/>
      <c r="BT588" s="17"/>
      <c r="BU588" s="17"/>
      <c r="BV588" s="17"/>
      <c r="BW588" s="17"/>
      <c r="BX588" s="17"/>
      <c r="BY588" s="17"/>
      <c r="BZ588" s="17"/>
      <c r="CA588" s="17"/>
      <c r="CB588" s="17"/>
      <c r="CC588" s="17"/>
      <c r="CD588" s="17"/>
      <c r="CE588" s="17"/>
      <c r="CF588" s="17"/>
      <c r="CG588" s="17"/>
      <c r="CH588" s="17"/>
    </row>
    <row r="589" spans="8:86" x14ac:dyDescent="0.15">
      <c r="H589" s="3">
        <f t="shared" si="237"/>
        <v>0.5770000000000004</v>
      </c>
      <c r="I589" s="3">
        <f t="shared" si="238"/>
        <v>360</v>
      </c>
      <c r="J589" s="14">
        <f t="shared" si="239"/>
        <v>500</v>
      </c>
      <c r="K589" s="3">
        <f t="shared" ref="K589:K652" si="255">2*$F$6*$I$6*H589+$F$6*$I$7</f>
        <v>0</v>
      </c>
      <c r="L589" s="3">
        <f t="shared" si="251"/>
        <v>500</v>
      </c>
      <c r="M589" s="15">
        <f t="shared" si="240"/>
        <v>7.0000000000000007E-2</v>
      </c>
      <c r="N589" s="3">
        <f t="shared" si="241"/>
        <v>58.084766960351217</v>
      </c>
      <c r="O589" s="3">
        <f t="shared" si="252"/>
        <v>58.084766960351217</v>
      </c>
      <c r="P589" s="3">
        <f t="shared" ref="P589:P652" si="256">O589/(1-M589)</f>
        <v>62.456738667044327</v>
      </c>
      <c r="Q589" s="3">
        <f t="shared" ref="Q589:Q652" si="257">IF($F$19,IF($F$20,0,X589/J589),(Q588*J588-T588*$I$4)/J589)</f>
        <v>17.259080143608113</v>
      </c>
      <c r="R589" s="3">
        <f t="shared" ref="R589:R652" si="258">IF($F$19,P589,(1-U589)*P589+U589*Q589)</f>
        <v>39.857909405326218</v>
      </c>
      <c r="S589" s="3">
        <f t="shared" si="253"/>
        <v>1</v>
      </c>
      <c r="T589" s="3">
        <f t="shared" ref="T589:T652" si="259">IF($F$19,0,$F$8*(P589-Q589))+R589*K589*(1-$F$11)</f>
        <v>22598.829261718111</v>
      </c>
      <c r="U589" s="3">
        <f t="shared" ref="U589:U652" si="260">IF($F$8=0,0,IF(V589=0,0.5,IF(ISERROR(EXP(V589)),0,1/V589-1/(EXP(V589)-1))))</f>
        <v>0.5</v>
      </c>
      <c r="V589" s="3">
        <f t="shared" ref="V589:V652" si="261">K589*(1-$F$11)/$F$8</f>
        <v>0</v>
      </c>
      <c r="W589" s="3">
        <f t="shared" ref="W589:W652" si="262">(I589+$L$5)*N589</f>
        <v>20910.516105726438</v>
      </c>
      <c r="X589" s="3">
        <f t="shared" si="254"/>
        <v>8629.5400718040564</v>
      </c>
      <c r="AI589" s="3"/>
      <c r="AJ589" s="3"/>
      <c r="AK589" s="15">
        <f t="shared" si="245"/>
        <v>2</v>
      </c>
      <c r="AL589" s="11">
        <f t="shared" si="249"/>
        <v>3480</v>
      </c>
      <c r="AM589" s="11" t="b">
        <f t="shared" si="244"/>
        <v>0</v>
      </c>
      <c r="AN589" s="11">
        <f t="shared" si="246"/>
        <v>36000</v>
      </c>
      <c r="AO589" s="11">
        <f t="shared" si="247"/>
        <v>0</v>
      </c>
      <c r="AP589" s="11">
        <f t="shared" si="248"/>
        <v>0.74663556700568023</v>
      </c>
      <c r="AQ589" s="11">
        <f t="shared" si="250"/>
        <v>0</v>
      </c>
      <c r="AT589" s="3"/>
      <c r="AU589" s="17"/>
      <c r="AV589" s="19"/>
      <c r="AW589" s="17"/>
      <c r="AX589" s="17">
        <f t="shared" si="243"/>
        <v>580</v>
      </c>
      <c r="AY589" s="17">
        <f t="shared" si="242"/>
        <v>58</v>
      </c>
      <c r="AZ589" s="17">
        <v>74.663556700568023</v>
      </c>
      <c r="BA589" s="17"/>
      <c r="BB589" s="17">
        <v>36</v>
      </c>
      <c r="BC589" s="17"/>
      <c r="BD589" s="17"/>
      <c r="BE589" s="17"/>
      <c r="BF589" s="17"/>
      <c r="BG589" s="17"/>
      <c r="BH589" s="17"/>
      <c r="BI589" s="17"/>
      <c r="BJ589" s="17"/>
      <c r="BK589" s="17"/>
      <c r="BL589" s="17"/>
      <c r="BM589" s="17"/>
      <c r="BN589" s="17"/>
      <c r="BO589" s="17"/>
      <c r="BP589" s="17"/>
      <c r="BQ589" s="17"/>
      <c r="BR589" s="17"/>
      <c r="BS589" s="17"/>
      <c r="BT589" s="17"/>
      <c r="BU589" s="17"/>
      <c r="BV589" s="17"/>
      <c r="BW589" s="17"/>
      <c r="BX589" s="17"/>
      <c r="BY589" s="17"/>
      <c r="BZ589" s="17"/>
      <c r="CA589" s="17"/>
      <c r="CB589" s="17"/>
      <c r="CC589" s="17"/>
      <c r="CD589" s="17"/>
      <c r="CE589" s="17"/>
      <c r="CF589" s="17"/>
      <c r="CG589" s="17"/>
      <c r="CH589" s="17"/>
    </row>
    <row r="590" spans="8:86" x14ac:dyDescent="0.15">
      <c r="H590" s="3">
        <f t="shared" ref="H590:H653" si="263">H589+$I$4</f>
        <v>0.5780000000000004</v>
      </c>
      <c r="I590" s="3">
        <f t="shared" ref="I590:I653" si="264">$I$12-$F$6*($I$6*H590^2+$I$7*H590)</f>
        <v>360</v>
      </c>
      <c r="J590" s="14">
        <f t="shared" ref="J590:J653" si="265">$J$12-$F$6*($I$6*H590^2+$I$7*H590)</f>
        <v>500</v>
      </c>
      <c r="K590" s="3">
        <f t="shared" si="255"/>
        <v>0</v>
      </c>
      <c r="L590" s="3">
        <f t="shared" si="251"/>
        <v>500</v>
      </c>
      <c r="M590" s="15">
        <f t="shared" ref="M590:M653" si="266">$M$12*L590/$L$12</f>
        <v>7.0000000000000007E-2</v>
      </c>
      <c r="N590" s="3">
        <f t="shared" ref="N590:N653" si="267">(N589*I589+P589*$L$5-T589*$I$4)/(I590+$L$5/(1-M590))</f>
        <v>58.021992434624217</v>
      </c>
      <c r="O590" s="3">
        <f t="shared" si="252"/>
        <v>58.021992434624217</v>
      </c>
      <c r="P590" s="3">
        <f t="shared" si="256"/>
        <v>62.389239177015291</v>
      </c>
      <c r="Q590" s="3">
        <f t="shared" si="257"/>
        <v>17.213882485084675</v>
      </c>
      <c r="R590" s="3">
        <f t="shared" si="258"/>
        <v>39.801560831049983</v>
      </c>
      <c r="S590" s="3">
        <f t="shared" si="253"/>
        <v>1</v>
      </c>
      <c r="T590" s="3">
        <f t="shared" si="259"/>
        <v>22587.678345965309</v>
      </c>
      <c r="U590" s="3">
        <f t="shared" si="260"/>
        <v>0.5</v>
      </c>
      <c r="V590" s="3">
        <f t="shared" si="261"/>
        <v>0</v>
      </c>
      <c r="W590" s="3">
        <f t="shared" si="262"/>
        <v>20887.917276464719</v>
      </c>
      <c r="X590" s="3">
        <f t="shared" si="254"/>
        <v>8606.9412425423379</v>
      </c>
      <c r="AI590" s="3"/>
      <c r="AJ590" s="3"/>
      <c r="AK590" s="15">
        <f t="shared" si="245"/>
        <v>2</v>
      </c>
      <c r="AL590" s="11">
        <f t="shared" si="249"/>
        <v>3486</v>
      </c>
      <c r="AM590" s="11" t="b">
        <f t="shared" si="244"/>
        <v>0</v>
      </c>
      <c r="AN590" s="11">
        <f t="shared" si="246"/>
        <v>36000</v>
      </c>
      <c r="AO590" s="11">
        <f t="shared" si="247"/>
        <v>0</v>
      </c>
      <c r="AP590" s="11">
        <f t="shared" si="248"/>
        <v>0.74773788182049505</v>
      </c>
      <c r="AQ590" s="11">
        <f t="shared" si="250"/>
        <v>0</v>
      </c>
      <c r="AT590" s="3"/>
      <c r="AU590" s="17"/>
      <c r="AV590" s="19"/>
      <c r="AW590" s="17"/>
      <c r="AX590" s="17">
        <f t="shared" si="243"/>
        <v>581</v>
      </c>
      <c r="AY590" s="17">
        <f t="shared" si="242"/>
        <v>58.1</v>
      </c>
      <c r="AZ590" s="17">
        <v>74.773788182049501</v>
      </c>
      <c r="BA590" s="17"/>
      <c r="BB590" s="17">
        <v>36</v>
      </c>
      <c r="BC590" s="17"/>
      <c r="BD590" s="17"/>
      <c r="BE590" s="17"/>
      <c r="BF590" s="17"/>
      <c r="BG590" s="17"/>
      <c r="BH590" s="17"/>
      <c r="BI590" s="17"/>
      <c r="BJ590" s="17"/>
      <c r="BK590" s="17"/>
      <c r="BL590" s="17"/>
      <c r="BM590" s="17"/>
      <c r="BN590" s="17"/>
      <c r="BO590" s="17"/>
      <c r="BP590" s="17"/>
      <c r="BQ590" s="17"/>
      <c r="BR590" s="17"/>
      <c r="BS590" s="17"/>
      <c r="BT590" s="17"/>
      <c r="BU590" s="17"/>
      <c r="BV590" s="17"/>
      <c r="BW590" s="17"/>
      <c r="BX590" s="17"/>
      <c r="BY590" s="17"/>
      <c r="BZ590" s="17"/>
      <c r="CA590" s="17"/>
      <c r="CB590" s="17"/>
      <c r="CC590" s="17"/>
      <c r="CD590" s="17"/>
      <c r="CE590" s="17"/>
      <c r="CF590" s="17"/>
      <c r="CG590" s="17"/>
      <c r="CH590" s="17"/>
    </row>
    <row r="591" spans="8:86" x14ac:dyDescent="0.15">
      <c r="H591" s="3">
        <f t="shared" si="263"/>
        <v>0.5790000000000004</v>
      </c>
      <c r="I591" s="3">
        <f t="shared" si="264"/>
        <v>360</v>
      </c>
      <c r="J591" s="14">
        <f t="shared" si="265"/>
        <v>500</v>
      </c>
      <c r="K591" s="3">
        <f t="shared" si="255"/>
        <v>0</v>
      </c>
      <c r="L591" s="3">
        <f t="shared" si="251"/>
        <v>500</v>
      </c>
      <c r="M591" s="15">
        <f t="shared" si="266"/>
        <v>7.0000000000000007E-2</v>
      </c>
      <c r="N591" s="3">
        <f t="shared" si="267"/>
        <v>57.959248883663207</v>
      </c>
      <c r="O591" s="3">
        <f t="shared" si="252"/>
        <v>57.959248883663207</v>
      </c>
      <c r="P591" s="3">
        <f t="shared" si="256"/>
        <v>62.321772993186251</v>
      </c>
      <c r="Q591" s="3">
        <f t="shared" si="257"/>
        <v>17.168707128392743</v>
      </c>
      <c r="R591" s="3">
        <f t="shared" si="258"/>
        <v>39.745240060789499</v>
      </c>
      <c r="S591" s="3">
        <f t="shared" si="253"/>
        <v>1</v>
      </c>
      <c r="T591" s="3">
        <f t="shared" si="259"/>
        <v>22576.532932396753</v>
      </c>
      <c r="U591" s="3">
        <f t="shared" si="260"/>
        <v>0.5</v>
      </c>
      <c r="V591" s="3">
        <f t="shared" si="261"/>
        <v>0</v>
      </c>
      <c r="W591" s="3">
        <f t="shared" si="262"/>
        <v>20865.329598118755</v>
      </c>
      <c r="X591" s="3">
        <f t="shared" si="254"/>
        <v>8584.3535641963717</v>
      </c>
      <c r="AI591" s="3"/>
      <c r="AJ591" s="3"/>
      <c r="AK591" s="15">
        <f t="shared" si="245"/>
        <v>2</v>
      </c>
      <c r="AL591" s="11">
        <f t="shared" si="249"/>
        <v>3492</v>
      </c>
      <c r="AM591" s="11" t="b">
        <f t="shared" si="244"/>
        <v>0</v>
      </c>
      <c r="AN591" s="11">
        <f t="shared" si="246"/>
        <v>36000</v>
      </c>
      <c r="AO591" s="11">
        <f t="shared" si="247"/>
        <v>0</v>
      </c>
      <c r="AP591" s="11">
        <f t="shared" si="248"/>
        <v>0.74884019663530998</v>
      </c>
      <c r="AQ591" s="11">
        <f t="shared" si="250"/>
        <v>0</v>
      </c>
      <c r="AT591" s="3"/>
      <c r="AU591" s="17"/>
      <c r="AV591" s="19"/>
      <c r="AW591" s="17"/>
      <c r="AX591" s="17">
        <f t="shared" si="243"/>
        <v>582</v>
      </c>
      <c r="AY591" s="17">
        <f t="shared" si="242"/>
        <v>58.2</v>
      </c>
      <c r="AZ591" s="17">
        <v>74.884019663530992</v>
      </c>
      <c r="BA591" s="17"/>
      <c r="BB591" s="17">
        <v>36</v>
      </c>
      <c r="BC591" s="17"/>
      <c r="BD591" s="17"/>
      <c r="BE591" s="17"/>
      <c r="BF591" s="17"/>
      <c r="BG591" s="17"/>
      <c r="BH591" s="17"/>
      <c r="BI591" s="17"/>
      <c r="BJ591" s="17"/>
      <c r="BK591" s="17"/>
      <c r="BL591" s="17"/>
      <c r="BM591" s="17"/>
      <c r="BN591" s="17"/>
      <c r="BO591" s="17"/>
      <c r="BP591" s="17"/>
      <c r="BQ591" s="17"/>
      <c r="BR591" s="17"/>
      <c r="BS591" s="17"/>
      <c r="BT591" s="17"/>
      <c r="BU591" s="17"/>
      <c r="BV591" s="17"/>
      <c r="BW591" s="17"/>
      <c r="BX591" s="17"/>
      <c r="BY591" s="17"/>
      <c r="BZ591" s="17"/>
      <c r="CA591" s="17"/>
      <c r="CB591" s="17"/>
      <c r="CC591" s="17"/>
      <c r="CD591" s="17"/>
      <c r="CE591" s="17"/>
      <c r="CF591" s="17"/>
      <c r="CG591" s="17"/>
      <c r="CH591" s="17"/>
    </row>
    <row r="592" spans="8:86" x14ac:dyDescent="0.15">
      <c r="H592" s="3">
        <f t="shared" si="263"/>
        <v>0.5800000000000004</v>
      </c>
      <c r="I592" s="3">
        <f t="shared" si="264"/>
        <v>360</v>
      </c>
      <c r="J592" s="14">
        <f t="shared" si="265"/>
        <v>500</v>
      </c>
      <c r="K592" s="3">
        <f t="shared" si="255"/>
        <v>0</v>
      </c>
      <c r="L592" s="3">
        <f t="shared" si="251"/>
        <v>500</v>
      </c>
      <c r="M592" s="15">
        <f t="shared" si="266"/>
        <v>7.0000000000000007E-2</v>
      </c>
      <c r="N592" s="3">
        <f t="shared" si="267"/>
        <v>57.896536292184322</v>
      </c>
      <c r="O592" s="3">
        <f t="shared" si="252"/>
        <v>57.896536292184322</v>
      </c>
      <c r="P592" s="3">
        <f t="shared" si="256"/>
        <v>62.254340099122935</v>
      </c>
      <c r="Q592" s="3">
        <f t="shared" si="257"/>
        <v>17.123554062527951</v>
      </c>
      <c r="R592" s="3">
        <f t="shared" si="258"/>
        <v>39.688947080825443</v>
      </c>
      <c r="S592" s="3">
        <f t="shared" si="253"/>
        <v>1</v>
      </c>
      <c r="T592" s="3">
        <f t="shared" si="259"/>
        <v>22565.393018297491</v>
      </c>
      <c r="U592" s="3">
        <f t="shared" si="260"/>
        <v>0.5</v>
      </c>
      <c r="V592" s="3">
        <f t="shared" si="261"/>
        <v>0</v>
      </c>
      <c r="W592" s="3">
        <f t="shared" si="262"/>
        <v>20842.753065186356</v>
      </c>
      <c r="X592" s="3">
        <f t="shared" si="254"/>
        <v>8561.777031263975</v>
      </c>
      <c r="AI592" s="3"/>
      <c r="AJ592" s="3"/>
      <c r="AK592" s="15">
        <f t="shared" si="245"/>
        <v>2</v>
      </c>
      <c r="AL592" s="11">
        <f t="shared" si="249"/>
        <v>3498</v>
      </c>
      <c r="AM592" s="11" t="b">
        <f t="shared" si="244"/>
        <v>0</v>
      </c>
      <c r="AN592" s="11">
        <f t="shared" si="246"/>
        <v>36000</v>
      </c>
      <c r="AO592" s="11">
        <f t="shared" si="247"/>
        <v>0</v>
      </c>
      <c r="AP592" s="11">
        <f t="shared" si="248"/>
        <v>0.7499425114501248</v>
      </c>
      <c r="AQ592" s="11">
        <f t="shared" si="250"/>
        <v>0</v>
      </c>
      <c r="AT592" s="3"/>
      <c r="AU592" s="17"/>
      <c r="AV592" s="19"/>
      <c r="AW592" s="17"/>
      <c r="AX592" s="17">
        <f t="shared" si="243"/>
        <v>583</v>
      </c>
      <c r="AY592" s="17">
        <f t="shared" si="242"/>
        <v>58.3</v>
      </c>
      <c r="AZ592" s="17">
        <v>74.994251145012484</v>
      </c>
      <c r="BA592" s="17"/>
      <c r="BB592" s="17">
        <v>36</v>
      </c>
      <c r="BC592" s="17"/>
      <c r="BD592" s="17"/>
      <c r="BE592" s="17"/>
      <c r="BF592" s="17"/>
      <c r="BG592" s="17"/>
      <c r="BH592" s="17"/>
      <c r="BI592" s="17"/>
      <c r="BJ592" s="17"/>
      <c r="BK592" s="17"/>
      <c r="BL592" s="17"/>
      <c r="BM592" s="17"/>
      <c r="BN592" s="17"/>
      <c r="BO592" s="17"/>
      <c r="BP592" s="17"/>
      <c r="BQ592" s="17"/>
      <c r="BR592" s="17"/>
      <c r="BS592" s="17"/>
      <c r="BT592" s="17"/>
      <c r="BU592" s="17"/>
      <c r="BV592" s="17"/>
      <c r="BW592" s="17"/>
      <c r="BX592" s="17"/>
      <c r="BY592" s="17"/>
      <c r="BZ592" s="17"/>
      <c r="CA592" s="17"/>
      <c r="CB592" s="17"/>
      <c r="CC592" s="17"/>
      <c r="CD592" s="17"/>
      <c r="CE592" s="17"/>
      <c r="CF592" s="17"/>
      <c r="CG592" s="17"/>
      <c r="CH592" s="17"/>
    </row>
    <row r="593" spans="8:86" x14ac:dyDescent="0.15">
      <c r="H593" s="3">
        <f t="shared" si="263"/>
        <v>0.58100000000000041</v>
      </c>
      <c r="I593" s="3">
        <f t="shared" si="264"/>
        <v>360</v>
      </c>
      <c r="J593" s="14">
        <f t="shared" si="265"/>
        <v>500</v>
      </c>
      <c r="K593" s="3">
        <f t="shared" si="255"/>
        <v>0</v>
      </c>
      <c r="L593" s="3">
        <f t="shared" si="251"/>
        <v>500</v>
      </c>
      <c r="M593" s="15">
        <f t="shared" si="266"/>
        <v>7.0000000000000007E-2</v>
      </c>
      <c r="N593" s="3">
        <f t="shared" si="267"/>
        <v>57.833854644911277</v>
      </c>
      <c r="O593" s="3">
        <f t="shared" si="252"/>
        <v>57.833854644911277</v>
      </c>
      <c r="P593" s="3">
        <f t="shared" si="256"/>
        <v>62.186940478399229</v>
      </c>
      <c r="Q593" s="3">
        <f t="shared" si="257"/>
        <v>17.078423276491353</v>
      </c>
      <c r="R593" s="3">
        <f t="shared" si="258"/>
        <v>39.632681877445293</v>
      </c>
      <c r="S593" s="3">
        <f t="shared" si="253"/>
        <v>1</v>
      </c>
      <c r="T593" s="3">
        <f t="shared" si="259"/>
        <v>22554.258600953937</v>
      </c>
      <c r="U593" s="3">
        <f t="shared" si="260"/>
        <v>0.5</v>
      </c>
      <c r="V593" s="3">
        <f t="shared" si="261"/>
        <v>0</v>
      </c>
      <c r="W593" s="3">
        <f t="shared" si="262"/>
        <v>20820.18767216806</v>
      </c>
      <c r="X593" s="3">
        <f t="shared" si="254"/>
        <v>8539.211638245677</v>
      </c>
      <c r="AI593" s="3"/>
      <c r="AJ593" s="3"/>
      <c r="AK593" s="15">
        <f t="shared" si="245"/>
        <v>2</v>
      </c>
      <c r="AL593" s="11">
        <f t="shared" si="249"/>
        <v>3504</v>
      </c>
      <c r="AM593" s="11" t="b">
        <f t="shared" si="244"/>
        <v>0</v>
      </c>
      <c r="AN593" s="11">
        <f t="shared" si="246"/>
        <v>36000</v>
      </c>
      <c r="AO593" s="11">
        <f t="shared" si="247"/>
        <v>0</v>
      </c>
      <c r="AP593" s="11">
        <f t="shared" si="248"/>
        <v>0.75104482626493962</v>
      </c>
      <c r="AQ593" s="11">
        <f t="shared" si="250"/>
        <v>0</v>
      </c>
      <c r="AT593" s="3"/>
      <c r="AU593" s="17"/>
      <c r="AV593" s="19"/>
      <c r="AW593" s="17"/>
      <c r="AX593" s="17">
        <f t="shared" si="243"/>
        <v>584</v>
      </c>
      <c r="AY593" s="17">
        <f t="shared" si="242"/>
        <v>58.4</v>
      </c>
      <c r="AZ593" s="17">
        <v>75.104482626493962</v>
      </c>
      <c r="BA593" s="17"/>
      <c r="BB593" s="17">
        <v>36</v>
      </c>
      <c r="BC593" s="17"/>
      <c r="BD593" s="17"/>
      <c r="BE593" s="17"/>
      <c r="BF593" s="17"/>
      <c r="BG593" s="17"/>
      <c r="BH593" s="17"/>
      <c r="BI593" s="17"/>
      <c r="BJ593" s="17"/>
      <c r="BK593" s="17"/>
      <c r="BL593" s="17"/>
      <c r="BM593" s="17"/>
      <c r="BN593" s="17"/>
      <c r="BO593" s="17"/>
      <c r="BP593" s="17"/>
      <c r="BQ593" s="17"/>
      <c r="BR593" s="17"/>
      <c r="BS593" s="17"/>
      <c r="BT593" s="17"/>
      <c r="BU593" s="17"/>
      <c r="BV593" s="17"/>
      <c r="BW593" s="17"/>
      <c r="BX593" s="17"/>
      <c r="BY593" s="17"/>
      <c r="BZ593" s="17"/>
      <c r="CA593" s="17"/>
      <c r="CB593" s="17"/>
      <c r="CC593" s="17"/>
      <c r="CD593" s="17"/>
      <c r="CE593" s="17"/>
      <c r="CF593" s="17"/>
      <c r="CG593" s="17"/>
      <c r="CH593" s="17"/>
    </row>
    <row r="594" spans="8:86" x14ac:dyDescent="0.15">
      <c r="H594" s="3">
        <f t="shared" si="263"/>
        <v>0.58200000000000041</v>
      </c>
      <c r="I594" s="3">
        <f t="shared" si="264"/>
        <v>360</v>
      </c>
      <c r="J594" s="14">
        <f t="shared" si="265"/>
        <v>500</v>
      </c>
      <c r="K594" s="3">
        <f t="shared" si="255"/>
        <v>0</v>
      </c>
      <c r="L594" s="3">
        <f t="shared" si="251"/>
        <v>500</v>
      </c>
      <c r="M594" s="15">
        <f t="shared" si="266"/>
        <v>7.0000000000000007E-2</v>
      </c>
      <c r="N594" s="3">
        <f t="shared" si="267"/>
        <v>57.771203926575296</v>
      </c>
      <c r="O594" s="3">
        <f t="shared" si="252"/>
        <v>57.771203926575296</v>
      </c>
      <c r="P594" s="3">
        <f t="shared" si="256"/>
        <v>62.1195741145971</v>
      </c>
      <c r="Q594" s="3">
        <f t="shared" si="257"/>
        <v>17.033314759289446</v>
      </c>
      <c r="R594" s="3">
        <f t="shared" si="258"/>
        <v>39.576444436943277</v>
      </c>
      <c r="S594" s="3">
        <f t="shared" si="253"/>
        <v>1</v>
      </c>
      <c r="T594" s="3">
        <f t="shared" si="259"/>
        <v>22543.129677653826</v>
      </c>
      <c r="U594" s="3">
        <f t="shared" si="260"/>
        <v>0.5</v>
      </c>
      <c r="V594" s="3">
        <f t="shared" si="261"/>
        <v>0</v>
      </c>
      <c r="W594" s="3">
        <f t="shared" si="262"/>
        <v>20797.633413567106</v>
      </c>
      <c r="X594" s="3">
        <f t="shared" si="254"/>
        <v>8516.6573796447228</v>
      </c>
      <c r="AI594" s="3"/>
      <c r="AJ594" s="3"/>
      <c r="AK594" s="15">
        <f t="shared" si="245"/>
        <v>2</v>
      </c>
      <c r="AL594" s="11">
        <f t="shared" si="249"/>
        <v>3510</v>
      </c>
      <c r="AM594" s="11" t="b">
        <f t="shared" si="244"/>
        <v>0</v>
      </c>
      <c r="AN594" s="11">
        <f t="shared" si="246"/>
        <v>36000</v>
      </c>
      <c r="AO594" s="11">
        <f t="shared" si="247"/>
        <v>0</v>
      </c>
      <c r="AP594" s="11">
        <f t="shared" si="248"/>
        <v>0.75214714107975444</v>
      </c>
      <c r="AQ594" s="11">
        <f t="shared" si="250"/>
        <v>0</v>
      </c>
      <c r="AT594" s="3"/>
      <c r="AU594" s="17"/>
      <c r="AV594" s="19"/>
      <c r="AW594" s="17"/>
      <c r="AX594" s="17">
        <f t="shared" si="243"/>
        <v>585</v>
      </c>
      <c r="AY594" s="17">
        <f t="shared" si="242"/>
        <v>58.5</v>
      </c>
      <c r="AZ594" s="17">
        <v>75.214714107975439</v>
      </c>
      <c r="BA594" s="17"/>
      <c r="BB594" s="17">
        <v>36</v>
      </c>
      <c r="BC594" s="17"/>
      <c r="BD594" s="17"/>
      <c r="BE594" s="17"/>
      <c r="BF594" s="17"/>
      <c r="BG594" s="17"/>
      <c r="BH594" s="17"/>
      <c r="BI594" s="17"/>
      <c r="BJ594" s="17"/>
      <c r="BK594" s="17"/>
      <c r="BL594" s="17"/>
      <c r="BM594" s="17"/>
      <c r="BN594" s="17"/>
      <c r="BO594" s="17"/>
      <c r="BP594" s="17"/>
      <c r="BQ594" s="17"/>
      <c r="BR594" s="17"/>
      <c r="BS594" s="17"/>
      <c r="BT594" s="17"/>
      <c r="BU594" s="17"/>
      <c r="BV594" s="17"/>
      <c r="BW594" s="17"/>
      <c r="BX594" s="17"/>
      <c r="BY594" s="17"/>
      <c r="BZ594" s="17"/>
      <c r="CA594" s="17"/>
      <c r="CB594" s="17"/>
      <c r="CC594" s="17"/>
      <c r="CD594" s="17"/>
      <c r="CE594" s="17"/>
      <c r="CF594" s="17"/>
      <c r="CG594" s="17"/>
      <c r="CH594" s="17"/>
    </row>
    <row r="595" spans="8:86" x14ac:dyDescent="0.15">
      <c r="H595" s="3">
        <f t="shared" si="263"/>
        <v>0.58300000000000041</v>
      </c>
      <c r="I595" s="3">
        <f t="shared" si="264"/>
        <v>360</v>
      </c>
      <c r="J595" s="14">
        <f t="shared" si="265"/>
        <v>500</v>
      </c>
      <c r="K595" s="3">
        <f t="shared" si="255"/>
        <v>0</v>
      </c>
      <c r="L595" s="3">
        <f t="shared" si="251"/>
        <v>500</v>
      </c>
      <c r="M595" s="15">
        <f t="shared" si="266"/>
        <v>7.0000000000000007E-2</v>
      </c>
      <c r="N595" s="3">
        <f t="shared" si="267"/>
        <v>57.708584121915138</v>
      </c>
      <c r="O595" s="3">
        <f t="shared" si="252"/>
        <v>57.708584121915138</v>
      </c>
      <c r="P595" s="3">
        <f t="shared" si="256"/>
        <v>62.052240991306604</v>
      </c>
      <c r="Q595" s="3">
        <f t="shared" si="257"/>
        <v>16.988228499934138</v>
      </c>
      <c r="R595" s="3">
        <f t="shared" si="258"/>
        <v>39.520234745620371</v>
      </c>
      <c r="S595" s="3">
        <f t="shared" si="253"/>
        <v>1</v>
      </c>
      <c r="T595" s="3">
        <f t="shared" si="259"/>
        <v>22532.006245686232</v>
      </c>
      <c r="U595" s="3">
        <f t="shared" si="260"/>
        <v>0.5</v>
      </c>
      <c r="V595" s="3">
        <f t="shared" si="261"/>
        <v>0</v>
      </c>
      <c r="W595" s="3">
        <f t="shared" si="262"/>
        <v>20775.090283889451</v>
      </c>
      <c r="X595" s="3">
        <f t="shared" si="254"/>
        <v>8494.1142499670696</v>
      </c>
      <c r="AI595" s="3"/>
      <c r="AJ595" s="3"/>
      <c r="AK595" s="15">
        <f t="shared" si="245"/>
        <v>2</v>
      </c>
      <c r="AL595" s="11">
        <f t="shared" si="249"/>
        <v>3516</v>
      </c>
      <c r="AM595" s="11" t="b">
        <f t="shared" si="244"/>
        <v>0</v>
      </c>
      <c r="AN595" s="11">
        <f t="shared" si="246"/>
        <v>36000</v>
      </c>
      <c r="AO595" s="11">
        <f t="shared" si="247"/>
        <v>0</v>
      </c>
      <c r="AP595" s="11">
        <f t="shared" si="248"/>
        <v>0.75324945589456926</v>
      </c>
      <c r="AQ595" s="11">
        <f t="shared" si="250"/>
        <v>0</v>
      </c>
      <c r="AT595" s="3"/>
      <c r="AU595" s="17"/>
      <c r="AV595" s="19"/>
      <c r="AW595" s="17"/>
      <c r="AX595" s="17">
        <f t="shared" si="243"/>
        <v>586</v>
      </c>
      <c r="AY595" s="17">
        <f t="shared" si="242"/>
        <v>58.6</v>
      </c>
      <c r="AZ595" s="17">
        <v>75.324945589456931</v>
      </c>
      <c r="BA595" s="17"/>
      <c r="BB595" s="17">
        <v>36</v>
      </c>
      <c r="BC595" s="17"/>
      <c r="BD595" s="17"/>
      <c r="BE595" s="17"/>
      <c r="BF595" s="17"/>
      <c r="BG595" s="17"/>
      <c r="BH595" s="17"/>
      <c r="BI595" s="17"/>
      <c r="BJ595" s="17"/>
      <c r="BK595" s="17"/>
      <c r="BL595" s="17"/>
      <c r="BM595" s="17"/>
      <c r="BN595" s="17"/>
      <c r="BO595" s="17"/>
      <c r="BP595" s="17"/>
      <c r="BQ595" s="17"/>
      <c r="BR595" s="17"/>
      <c r="BS595" s="17"/>
      <c r="BT595" s="17"/>
      <c r="BU595" s="17"/>
      <c r="BV595" s="17"/>
      <c r="BW595" s="17"/>
      <c r="BX595" s="17"/>
      <c r="BY595" s="17"/>
      <c r="BZ595" s="17"/>
      <c r="CA595" s="17"/>
      <c r="CB595" s="17"/>
      <c r="CC595" s="17"/>
      <c r="CD595" s="17"/>
      <c r="CE595" s="17"/>
      <c r="CF595" s="17"/>
      <c r="CG595" s="17"/>
      <c r="CH595" s="17"/>
    </row>
    <row r="596" spans="8:86" x14ac:dyDescent="0.15">
      <c r="H596" s="3">
        <f t="shared" si="263"/>
        <v>0.58400000000000041</v>
      </c>
      <c r="I596" s="3">
        <f t="shared" si="264"/>
        <v>360</v>
      </c>
      <c r="J596" s="14">
        <f t="shared" si="265"/>
        <v>500</v>
      </c>
      <c r="K596" s="3">
        <f t="shared" si="255"/>
        <v>0</v>
      </c>
      <c r="L596" s="3">
        <f t="shared" si="251"/>
        <v>500</v>
      </c>
      <c r="M596" s="15">
        <f t="shared" si="266"/>
        <v>7.0000000000000007E-2</v>
      </c>
      <c r="N596" s="3">
        <f t="shared" si="267"/>
        <v>57.645995215677125</v>
      </c>
      <c r="O596" s="3">
        <f t="shared" si="252"/>
        <v>57.645995215677125</v>
      </c>
      <c r="P596" s="3">
        <f t="shared" si="256"/>
        <v>61.984941092125943</v>
      </c>
      <c r="Q596" s="3">
        <f t="shared" si="257"/>
        <v>16.943164487442765</v>
      </c>
      <c r="R596" s="3">
        <f t="shared" si="258"/>
        <v>39.464052789784354</v>
      </c>
      <c r="S596" s="3">
        <f t="shared" si="253"/>
        <v>1</v>
      </c>
      <c r="T596" s="3">
        <f t="shared" si="259"/>
        <v>22520.888302341591</v>
      </c>
      <c r="U596" s="3">
        <f t="shared" si="260"/>
        <v>0.5</v>
      </c>
      <c r="V596" s="3">
        <f t="shared" si="261"/>
        <v>0</v>
      </c>
      <c r="W596" s="3">
        <f t="shared" si="262"/>
        <v>20752.558277643766</v>
      </c>
      <c r="X596" s="3">
        <f t="shared" si="254"/>
        <v>8471.5822437213828</v>
      </c>
      <c r="AI596" s="3"/>
      <c r="AJ596" s="3"/>
      <c r="AK596" s="15">
        <f t="shared" si="245"/>
        <v>2</v>
      </c>
      <c r="AL596" s="11">
        <f t="shared" si="249"/>
        <v>3522</v>
      </c>
      <c r="AM596" s="11" t="b">
        <f t="shared" si="244"/>
        <v>0</v>
      </c>
      <c r="AN596" s="11">
        <f t="shared" si="246"/>
        <v>36000</v>
      </c>
      <c r="AO596" s="11">
        <f t="shared" si="247"/>
        <v>0</v>
      </c>
      <c r="AP596" s="11">
        <f t="shared" si="248"/>
        <v>0.7543517707093842</v>
      </c>
      <c r="AQ596" s="11">
        <f t="shared" si="250"/>
        <v>0</v>
      </c>
      <c r="AT596" s="3"/>
      <c r="AU596" s="17"/>
      <c r="AV596" s="19"/>
      <c r="AW596" s="17"/>
      <c r="AX596" s="17">
        <f t="shared" si="243"/>
        <v>587</v>
      </c>
      <c r="AY596" s="17">
        <f t="shared" ref="AY596:AY659" si="268">IF(ISNUMBER(AX596),IF(ROUND((AX596)*$AG$15*$AB$15,0) &lt;= 10080, ROUND((AX596)*$AG$15,0)*$AB$15/60, 168),168)</f>
        <v>58.7</v>
      </c>
      <c r="AZ596" s="17">
        <v>75.435177070938423</v>
      </c>
      <c r="BA596" s="17"/>
      <c r="BB596" s="17">
        <v>36</v>
      </c>
      <c r="BC596" s="17"/>
      <c r="BD596" s="17"/>
      <c r="BE596" s="17"/>
      <c r="BF596" s="17"/>
      <c r="BG596" s="17"/>
      <c r="BH596" s="17"/>
      <c r="BI596" s="17"/>
      <c r="BJ596" s="17"/>
      <c r="BK596" s="17"/>
      <c r="BL596" s="17"/>
      <c r="BM596" s="17"/>
      <c r="BN596" s="17"/>
      <c r="BO596" s="17"/>
      <c r="BP596" s="17"/>
      <c r="BQ596" s="17"/>
      <c r="BR596" s="17"/>
      <c r="BS596" s="17"/>
      <c r="BT596" s="17"/>
      <c r="BU596" s="17"/>
      <c r="BV596" s="17"/>
      <c r="BW596" s="17"/>
      <c r="BX596" s="17"/>
      <c r="BY596" s="17"/>
      <c r="BZ596" s="17"/>
      <c r="CA596" s="17"/>
      <c r="CB596" s="17"/>
      <c r="CC596" s="17"/>
      <c r="CD596" s="17"/>
      <c r="CE596" s="17"/>
      <c r="CF596" s="17"/>
      <c r="CG596" s="17"/>
      <c r="CH596" s="17"/>
    </row>
    <row r="597" spans="8:86" x14ac:dyDescent="0.15">
      <c r="H597" s="3">
        <f t="shared" si="263"/>
        <v>0.58500000000000041</v>
      </c>
      <c r="I597" s="3">
        <f t="shared" si="264"/>
        <v>360</v>
      </c>
      <c r="J597" s="14">
        <f t="shared" si="265"/>
        <v>500</v>
      </c>
      <c r="K597" s="3">
        <f t="shared" si="255"/>
        <v>0</v>
      </c>
      <c r="L597" s="3">
        <f t="shared" si="251"/>
        <v>500</v>
      </c>
      <c r="M597" s="15">
        <f t="shared" si="266"/>
        <v>7.0000000000000007E-2</v>
      </c>
      <c r="N597" s="3">
        <f t="shared" si="267"/>
        <v>57.583437192615072</v>
      </c>
      <c r="O597" s="3">
        <f t="shared" si="252"/>
        <v>57.583437192615072</v>
      </c>
      <c r="P597" s="3">
        <f t="shared" si="256"/>
        <v>61.917674400661369</v>
      </c>
      <c r="Q597" s="3">
        <f t="shared" si="257"/>
        <v>16.898122710838081</v>
      </c>
      <c r="R597" s="3">
        <f t="shared" si="258"/>
        <v>39.407898555749725</v>
      </c>
      <c r="S597" s="3">
        <f t="shared" si="253"/>
        <v>1</v>
      </c>
      <c r="T597" s="3">
        <f t="shared" si="259"/>
        <v>22509.775844911645</v>
      </c>
      <c r="U597" s="3">
        <f t="shared" si="260"/>
        <v>0.5</v>
      </c>
      <c r="V597" s="3">
        <f t="shared" si="261"/>
        <v>0</v>
      </c>
      <c r="W597" s="3">
        <f t="shared" si="262"/>
        <v>20730.037389341425</v>
      </c>
      <c r="X597" s="3">
        <f t="shared" si="254"/>
        <v>8449.0613554190404</v>
      </c>
      <c r="AI597" s="3"/>
      <c r="AJ597" s="3"/>
      <c r="AK597" s="15">
        <f t="shared" si="245"/>
        <v>2</v>
      </c>
      <c r="AL597" s="11">
        <f t="shared" si="249"/>
        <v>3528</v>
      </c>
      <c r="AM597" s="11" t="b">
        <f t="shared" si="244"/>
        <v>0</v>
      </c>
      <c r="AN597" s="11">
        <f t="shared" si="246"/>
        <v>36000</v>
      </c>
      <c r="AO597" s="11">
        <f t="shared" si="247"/>
        <v>0</v>
      </c>
      <c r="AP597" s="11">
        <f t="shared" si="248"/>
        <v>0.75545408552419901</v>
      </c>
      <c r="AQ597" s="11">
        <f t="shared" si="250"/>
        <v>0</v>
      </c>
      <c r="AT597" s="3"/>
      <c r="AU597" s="17"/>
      <c r="AV597" s="19"/>
      <c r="AW597" s="17"/>
      <c r="AX597" s="17">
        <f t="shared" si="243"/>
        <v>588</v>
      </c>
      <c r="AY597" s="17">
        <f t="shared" si="268"/>
        <v>58.8</v>
      </c>
      <c r="AZ597" s="17">
        <v>75.5454085524199</v>
      </c>
      <c r="BA597" s="17"/>
      <c r="BB597" s="17">
        <v>36</v>
      </c>
      <c r="BC597" s="17"/>
      <c r="BD597" s="17"/>
      <c r="BE597" s="17"/>
      <c r="BF597" s="17"/>
      <c r="BG597" s="17"/>
      <c r="BH597" s="17"/>
      <c r="BI597" s="17"/>
      <c r="BJ597" s="17"/>
      <c r="BK597" s="17"/>
      <c r="BL597" s="17"/>
      <c r="BM597" s="17"/>
      <c r="BN597" s="17"/>
      <c r="BO597" s="17"/>
      <c r="BP597" s="17"/>
      <c r="BQ597" s="17"/>
      <c r="BR597" s="17"/>
      <c r="BS597" s="17"/>
      <c r="BT597" s="17"/>
      <c r="BU597" s="17"/>
      <c r="BV597" s="17"/>
      <c r="BW597" s="17"/>
      <c r="BX597" s="17"/>
      <c r="BY597" s="17"/>
      <c r="BZ597" s="17"/>
      <c r="CA597" s="17"/>
      <c r="CB597" s="17"/>
      <c r="CC597" s="17"/>
      <c r="CD597" s="17"/>
      <c r="CE597" s="17"/>
      <c r="CF597" s="17"/>
      <c r="CG597" s="17"/>
      <c r="CH597" s="17"/>
    </row>
    <row r="598" spans="8:86" x14ac:dyDescent="0.15">
      <c r="H598" s="3">
        <f t="shared" si="263"/>
        <v>0.58600000000000041</v>
      </c>
      <c r="I598" s="3">
        <f t="shared" si="264"/>
        <v>360</v>
      </c>
      <c r="J598" s="14">
        <f t="shared" si="265"/>
        <v>500</v>
      </c>
      <c r="K598" s="3">
        <f t="shared" si="255"/>
        <v>0</v>
      </c>
      <c r="L598" s="3">
        <f t="shared" si="251"/>
        <v>500</v>
      </c>
      <c r="M598" s="15">
        <f t="shared" si="266"/>
        <v>7.0000000000000007E-2</v>
      </c>
      <c r="N598" s="3">
        <f t="shared" si="267"/>
        <v>57.520910037490317</v>
      </c>
      <c r="O598" s="3">
        <f t="shared" si="252"/>
        <v>57.520910037490317</v>
      </c>
      <c r="P598" s="3">
        <f t="shared" si="256"/>
        <v>61.850440900527225</v>
      </c>
      <c r="Q598" s="3">
        <f t="shared" si="257"/>
        <v>16.853103159148258</v>
      </c>
      <c r="R598" s="3">
        <f t="shared" si="258"/>
        <v>39.35177202983774</v>
      </c>
      <c r="S598" s="3">
        <f t="shared" si="253"/>
        <v>1</v>
      </c>
      <c r="T598" s="3">
        <f t="shared" si="259"/>
        <v>22498.668870689486</v>
      </c>
      <c r="U598" s="3">
        <f t="shared" si="260"/>
        <v>0.5</v>
      </c>
      <c r="V598" s="3">
        <f t="shared" si="261"/>
        <v>0</v>
      </c>
      <c r="W598" s="3">
        <f t="shared" si="262"/>
        <v>20707.527613496513</v>
      </c>
      <c r="X598" s="3">
        <f t="shared" si="254"/>
        <v>8426.5515795741285</v>
      </c>
      <c r="AI598" s="3"/>
      <c r="AJ598" s="3"/>
      <c r="AK598" s="15">
        <f t="shared" si="245"/>
        <v>2</v>
      </c>
      <c r="AL598" s="11">
        <f t="shared" si="249"/>
        <v>3534</v>
      </c>
      <c r="AM598" s="11" t="b">
        <f t="shared" si="244"/>
        <v>0</v>
      </c>
      <c r="AN598" s="11">
        <f t="shared" si="246"/>
        <v>36000</v>
      </c>
      <c r="AO598" s="11">
        <f t="shared" si="247"/>
        <v>0</v>
      </c>
      <c r="AP598" s="11">
        <f t="shared" si="248"/>
        <v>0.75655640033901383</v>
      </c>
      <c r="AQ598" s="11">
        <f t="shared" si="250"/>
        <v>0</v>
      </c>
      <c r="AT598" s="3"/>
      <c r="AU598" s="17"/>
      <c r="AV598" s="19"/>
      <c r="AW598" s="17"/>
      <c r="AX598" s="17">
        <f t="shared" si="243"/>
        <v>589</v>
      </c>
      <c r="AY598" s="17">
        <f t="shared" si="268"/>
        <v>58.9</v>
      </c>
      <c r="AZ598" s="17">
        <v>75.655640033901378</v>
      </c>
      <c r="BA598" s="17"/>
      <c r="BB598" s="17">
        <v>36</v>
      </c>
      <c r="BC598" s="17"/>
      <c r="BD598" s="17"/>
      <c r="BE598" s="17"/>
      <c r="BF598" s="17"/>
      <c r="BG598" s="17"/>
      <c r="BH598" s="17"/>
      <c r="BI598" s="17"/>
      <c r="BJ598" s="17"/>
      <c r="BK598" s="17"/>
      <c r="BL598" s="17"/>
      <c r="BM598" s="17"/>
      <c r="BN598" s="17"/>
      <c r="BO598" s="17"/>
      <c r="BP598" s="17"/>
      <c r="BQ598" s="17"/>
      <c r="BR598" s="17"/>
      <c r="BS598" s="17"/>
      <c r="BT598" s="17"/>
      <c r="BU598" s="17"/>
      <c r="BV598" s="17"/>
      <c r="BW598" s="17"/>
      <c r="BX598" s="17"/>
      <c r="BY598" s="17"/>
      <c r="BZ598" s="17"/>
      <c r="CA598" s="17"/>
      <c r="CB598" s="17"/>
      <c r="CC598" s="17"/>
      <c r="CD598" s="17"/>
      <c r="CE598" s="17"/>
      <c r="CF598" s="17"/>
      <c r="CG598" s="17"/>
      <c r="CH598" s="17"/>
    </row>
    <row r="599" spans="8:86" x14ac:dyDescent="0.15">
      <c r="H599" s="3">
        <f t="shared" si="263"/>
        <v>0.58700000000000041</v>
      </c>
      <c r="I599" s="3">
        <f t="shared" si="264"/>
        <v>360</v>
      </c>
      <c r="J599" s="14">
        <f t="shared" si="265"/>
        <v>500</v>
      </c>
      <c r="K599" s="3">
        <f t="shared" si="255"/>
        <v>0</v>
      </c>
      <c r="L599" s="3">
        <f t="shared" si="251"/>
        <v>500</v>
      </c>
      <c r="M599" s="15">
        <f t="shared" si="266"/>
        <v>7.0000000000000007E-2</v>
      </c>
      <c r="N599" s="3">
        <f t="shared" si="267"/>
        <v>57.458413735071737</v>
      </c>
      <c r="O599" s="3">
        <f t="shared" si="252"/>
        <v>57.458413735071737</v>
      </c>
      <c r="P599" s="3">
        <f t="shared" si="256"/>
        <v>61.783240575345957</v>
      </c>
      <c r="Q599" s="3">
        <f t="shared" si="257"/>
        <v>16.808105821406876</v>
      </c>
      <c r="R599" s="3">
        <f t="shared" si="258"/>
        <v>39.29567319837642</v>
      </c>
      <c r="S599" s="3">
        <f t="shared" si="253"/>
        <v>1</v>
      </c>
      <c r="T599" s="3">
        <f t="shared" si="259"/>
        <v>22487.567376969539</v>
      </c>
      <c r="U599" s="3">
        <f t="shared" si="260"/>
        <v>0.5</v>
      </c>
      <c r="V599" s="3">
        <f t="shared" si="261"/>
        <v>0</v>
      </c>
      <c r="W599" s="3">
        <f t="shared" si="262"/>
        <v>20685.028944625825</v>
      </c>
      <c r="X599" s="3">
        <f t="shared" si="254"/>
        <v>8404.0529107034381</v>
      </c>
      <c r="AI599" s="3"/>
      <c r="AJ599" s="3"/>
      <c r="AK599" s="15">
        <f t="shared" si="245"/>
        <v>2</v>
      </c>
      <c r="AL599" s="11">
        <f t="shared" si="249"/>
        <v>3540</v>
      </c>
      <c r="AM599" s="11" t="b">
        <f t="shared" si="244"/>
        <v>0</v>
      </c>
      <c r="AN599" s="11">
        <f t="shared" si="246"/>
        <v>36000</v>
      </c>
      <c r="AO599" s="11">
        <f t="shared" si="247"/>
        <v>0</v>
      </c>
      <c r="AP599" s="11">
        <f t="shared" si="248"/>
        <v>0.75765871515382865</v>
      </c>
      <c r="AQ599" s="11">
        <f t="shared" si="250"/>
        <v>0</v>
      </c>
      <c r="AT599" s="3"/>
      <c r="AU599" s="17"/>
      <c r="AV599" s="19"/>
      <c r="AW599" s="17"/>
      <c r="AX599" s="17">
        <f t="shared" si="243"/>
        <v>590</v>
      </c>
      <c r="AY599" s="17">
        <f t="shared" si="268"/>
        <v>59</v>
      </c>
      <c r="AZ599" s="17">
        <v>75.765871515382869</v>
      </c>
      <c r="BA599" s="17"/>
      <c r="BB599" s="17">
        <v>36</v>
      </c>
      <c r="BC599" s="17"/>
      <c r="BD599" s="17"/>
      <c r="BE599" s="17"/>
      <c r="BF599" s="17"/>
      <c r="BG599" s="17"/>
      <c r="BH599" s="17"/>
      <c r="BI599" s="17"/>
      <c r="BJ599" s="17"/>
      <c r="BK599" s="17"/>
      <c r="BL599" s="17"/>
      <c r="BM599" s="17"/>
      <c r="BN599" s="17"/>
      <c r="BO599" s="17"/>
      <c r="BP599" s="17"/>
      <c r="BQ599" s="17"/>
      <c r="BR599" s="17"/>
      <c r="BS599" s="17"/>
      <c r="BT599" s="17"/>
      <c r="BU599" s="17"/>
      <c r="BV599" s="17"/>
      <c r="BW599" s="17"/>
      <c r="BX599" s="17"/>
      <c r="BY599" s="17"/>
      <c r="BZ599" s="17"/>
      <c r="CA599" s="17"/>
      <c r="CB599" s="17"/>
      <c r="CC599" s="17"/>
      <c r="CD599" s="17"/>
      <c r="CE599" s="17"/>
      <c r="CF599" s="17"/>
      <c r="CG599" s="17"/>
      <c r="CH599" s="17"/>
    </row>
    <row r="600" spans="8:86" x14ac:dyDescent="0.15">
      <c r="H600" s="3">
        <f t="shared" si="263"/>
        <v>0.58800000000000041</v>
      </c>
      <c r="I600" s="3">
        <f t="shared" si="264"/>
        <v>360</v>
      </c>
      <c r="J600" s="14">
        <f t="shared" si="265"/>
        <v>500</v>
      </c>
      <c r="K600" s="3">
        <f t="shared" si="255"/>
        <v>0</v>
      </c>
      <c r="L600" s="3">
        <f t="shared" si="251"/>
        <v>500</v>
      </c>
      <c r="M600" s="15">
        <f t="shared" si="266"/>
        <v>7.0000000000000007E-2</v>
      </c>
      <c r="N600" s="3">
        <f t="shared" si="267"/>
        <v>57.395948270135705</v>
      </c>
      <c r="O600" s="3">
        <f t="shared" si="252"/>
        <v>57.395948270135705</v>
      </c>
      <c r="P600" s="3">
        <f t="shared" si="256"/>
        <v>61.716073408748073</v>
      </c>
      <c r="Q600" s="3">
        <f t="shared" si="257"/>
        <v>16.763130686652939</v>
      </c>
      <c r="R600" s="3">
        <f t="shared" si="258"/>
        <v>39.239602047700508</v>
      </c>
      <c r="S600" s="3">
        <f t="shared" si="253"/>
        <v>1</v>
      </c>
      <c r="T600" s="3">
        <f t="shared" si="259"/>
        <v>22476.471361047566</v>
      </c>
      <c r="U600" s="3">
        <f t="shared" si="260"/>
        <v>0.5</v>
      </c>
      <c r="V600" s="3">
        <f t="shared" si="261"/>
        <v>0</v>
      </c>
      <c r="W600" s="3">
        <f t="shared" si="262"/>
        <v>20662.541377248854</v>
      </c>
      <c r="X600" s="3">
        <f t="shared" si="254"/>
        <v>8381.5653433264688</v>
      </c>
      <c r="AI600" s="3"/>
      <c r="AJ600" s="3"/>
      <c r="AK600" s="15">
        <f t="shared" si="245"/>
        <v>2</v>
      </c>
      <c r="AL600" s="11">
        <f t="shared" si="249"/>
        <v>3546</v>
      </c>
      <c r="AM600" s="11" t="b">
        <f t="shared" si="244"/>
        <v>0</v>
      </c>
      <c r="AN600" s="11">
        <f t="shared" si="246"/>
        <v>36000</v>
      </c>
      <c r="AO600" s="11">
        <f t="shared" si="247"/>
        <v>0</v>
      </c>
      <c r="AP600" s="11">
        <f t="shared" si="248"/>
        <v>0.75876102996864347</v>
      </c>
      <c r="AQ600" s="11">
        <f t="shared" si="250"/>
        <v>0</v>
      </c>
      <c r="AT600" s="3"/>
      <c r="AU600" s="17"/>
      <c r="AV600" s="19"/>
      <c r="AW600" s="17"/>
      <c r="AX600" s="17">
        <f t="shared" si="243"/>
        <v>591</v>
      </c>
      <c r="AY600" s="17">
        <f t="shared" si="268"/>
        <v>59.1</v>
      </c>
      <c r="AZ600" s="17">
        <v>75.876102996864347</v>
      </c>
      <c r="BA600" s="17"/>
      <c r="BB600" s="17">
        <v>36</v>
      </c>
      <c r="BC600" s="17"/>
      <c r="BD600" s="17"/>
      <c r="BE600" s="17"/>
      <c r="BF600" s="17"/>
      <c r="BG600" s="17"/>
      <c r="BH600" s="17"/>
      <c r="BI600" s="17"/>
      <c r="BJ600" s="17"/>
      <c r="BK600" s="17"/>
      <c r="BL600" s="17"/>
      <c r="BM600" s="17"/>
      <c r="BN600" s="17"/>
      <c r="BO600" s="17"/>
      <c r="BP600" s="17"/>
      <c r="BQ600" s="17"/>
      <c r="BR600" s="17"/>
      <c r="BS600" s="17"/>
      <c r="BT600" s="17"/>
      <c r="BU600" s="17"/>
      <c r="BV600" s="17"/>
      <c r="BW600" s="17"/>
      <c r="BX600" s="17"/>
      <c r="BY600" s="17"/>
      <c r="BZ600" s="17"/>
      <c r="CA600" s="17"/>
      <c r="CB600" s="17"/>
      <c r="CC600" s="17"/>
      <c r="CD600" s="17"/>
      <c r="CE600" s="17"/>
      <c r="CF600" s="17"/>
      <c r="CG600" s="17"/>
      <c r="CH600" s="17"/>
    </row>
    <row r="601" spans="8:86" x14ac:dyDescent="0.15">
      <c r="H601" s="3">
        <f t="shared" si="263"/>
        <v>0.58900000000000041</v>
      </c>
      <c r="I601" s="3">
        <f t="shared" si="264"/>
        <v>360</v>
      </c>
      <c r="J601" s="14">
        <f t="shared" si="265"/>
        <v>500</v>
      </c>
      <c r="K601" s="3">
        <f t="shared" si="255"/>
        <v>0</v>
      </c>
      <c r="L601" s="3">
        <f t="shared" si="251"/>
        <v>500</v>
      </c>
      <c r="M601" s="15">
        <f t="shared" si="266"/>
        <v>7.0000000000000007E-2</v>
      </c>
      <c r="N601" s="3">
        <f t="shared" si="267"/>
        <v>57.333513627466125</v>
      </c>
      <c r="O601" s="3">
        <f t="shared" si="252"/>
        <v>57.333513627466125</v>
      </c>
      <c r="P601" s="3">
        <f t="shared" si="256"/>
        <v>61.648939384372184</v>
      </c>
      <c r="Q601" s="3">
        <f t="shared" si="257"/>
        <v>16.718177743930841</v>
      </c>
      <c r="R601" s="3">
        <f t="shared" si="258"/>
        <v>39.183558564151511</v>
      </c>
      <c r="S601" s="3">
        <f t="shared" si="253"/>
        <v>1</v>
      </c>
      <c r="T601" s="3">
        <f t="shared" si="259"/>
        <v>22465.380820220675</v>
      </c>
      <c r="U601" s="3">
        <f t="shared" si="260"/>
        <v>0.5</v>
      </c>
      <c r="V601" s="3">
        <f t="shared" si="261"/>
        <v>0</v>
      </c>
      <c r="W601" s="3">
        <f t="shared" si="262"/>
        <v>20640.064905887804</v>
      </c>
      <c r="X601" s="3">
        <f t="shared" si="254"/>
        <v>8359.0888719654213</v>
      </c>
      <c r="AI601" s="3"/>
      <c r="AJ601" s="3"/>
      <c r="AK601" s="15">
        <f t="shared" si="245"/>
        <v>2</v>
      </c>
      <c r="AL601" s="11">
        <f t="shared" si="249"/>
        <v>3552</v>
      </c>
      <c r="AM601" s="11" t="b">
        <f t="shared" si="244"/>
        <v>0</v>
      </c>
      <c r="AN601" s="11">
        <f t="shared" si="246"/>
        <v>36000</v>
      </c>
      <c r="AO601" s="11">
        <f t="shared" si="247"/>
        <v>0</v>
      </c>
      <c r="AP601" s="11">
        <f t="shared" si="248"/>
        <v>0.75986334478345841</v>
      </c>
      <c r="AQ601" s="11">
        <f t="shared" si="250"/>
        <v>0</v>
      </c>
      <c r="AT601" s="3"/>
      <c r="AU601" s="17"/>
      <c r="AV601" s="19"/>
      <c r="AW601" s="17"/>
      <c r="AX601" s="17">
        <f t="shared" si="243"/>
        <v>592</v>
      </c>
      <c r="AY601" s="17">
        <f t="shared" si="268"/>
        <v>59.2</v>
      </c>
      <c r="AZ601" s="17">
        <v>75.986334478345839</v>
      </c>
      <c r="BA601" s="17"/>
      <c r="BB601" s="17">
        <v>36</v>
      </c>
      <c r="BC601" s="17"/>
      <c r="BD601" s="17"/>
      <c r="BE601" s="17"/>
      <c r="BF601" s="17"/>
      <c r="BG601" s="17"/>
      <c r="BH601" s="17"/>
      <c r="BI601" s="17"/>
      <c r="BJ601" s="17"/>
      <c r="BK601" s="17"/>
      <c r="BL601" s="17"/>
      <c r="BM601" s="17"/>
      <c r="BN601" s="17"/>
      <c r="BO601" s="17"/>
      <c r="BP601" s="17"/>
      <c r="BQ601" s="17"/>
      <c r="BR601" s="17"/>
      <c r="BS601" s="17"/>
      <c r="BT601" s="17"/>
      <c r="BU601" s="17"/>
      <c r="BV601" s="17"/>
      <c r="BW601" s="17"/>
      <c r="BX601" s="17"/>
      <c r="BY601" s="17"/>
      <c r="BZ601" s="17"/>
      <c r="CA601" s="17"/>
      <c r="CB601" s="17"/>
      <c r="CC601" s="17"/>
      <c r="CD601" s="17"/>
      <c r="CE601" s="17"/>
      <c r="CF601" s="17"/>
      <c r="CG601" s="17"/>
      <c r="CH601" s="17"/>
    </row>
    <row r="602" spans="8:86" x14ac:dyDescent="0.15">
      <c r="H602" s="3">
        <f t="shared" si="263"/>
        <v>0.59000000000000041</v>
      </c>
      <c r="I602" s="3">
        <f t="shared" si="264"/>
        <v>360</v>
      </c>
      <c r="J602" s="14">
        <f t="shared" si="265"/>
        <v>500</v>
      </c>
      <c r="K602" s="3">
        <f t="shared" si="255"/>
        <v>0</v>
      </c>
      <c r="L602" s="3">
        <f t="shared" si="251"/>
        <v>500</v>
      </c>
      <c r="M602" s="15">
        <f t="shared" si="266"/>
        <v>7.0000000000000007E-2</v>
      </c>
      <c r="N602" s="3">
        <f t="shared" si="267"/>
        <v>57.2711097918544</v>
      </c>
      <c r="O602" s="3">
        <f t="shared" si="252"/>
        <v>57.2711097918544</v>
      </c>
      <c r="P602" s="3">
        <f t="shared" si="256"/>
        <v>61.581838485864949</v>
      </c>
      <c r="Q602" s="3">
        <f t="shared" si="257"/>
        <v>16.673246982290401</v>
      </c>
      <c r="R602" s="3">
        <f t="shared" si="258"/>
        <v>39.127542734077679</v>
      </c>
      <c r="S602" s="3">
        <f t="shared" si="253"/>
        <v>1</v>
      </c>
      <c r="T602" s="3">
        <f t="shared" si="259"/>
        <v>22454.295751787275</v>
      </c>
      <c r="U602" s="3">
        <f t="shared" si="260"/>
        <v>0.5</v>
      </c>
      <c r="V602" s="3">
        <f t="shared" si="261"/>
        <v>0</v>
      </c>
      <c r="W602" s="3">
        <f t="shared" si="262"/>
        <v>20617.599525067584</v>
      </c>
      <c r="X602" s="3">
        <f t="shared" si="254"/>
        <v>8336.6234911452011</v>
      </c>
      <c r="AI602" s="3"/>
      <c r="AJ602" s="3"/>
      <c r="AK602" s="15">
        <f t="shared" si="245"/>
        <v>2</v>
      </c>
      <c r="AL602" s="11">
        <f t="shared" si="249"/>
        <v>3558</v>
      </c>
      <c r="AM602" s="11" t="b">
        <f t="shared" si="244"/>
        <v>0</v>
      </c>
      <c r="AN602" s="11">
        <f t="shared" si="246"/>
        <v>36000</v>
      </c>
      <c r="AO602" s="11">
        <f t="shared" si="247"/>
        <v>0</v>
      </c>
      <c r="AP602" s="11">
        <f t="shared" si="248"/>
        <v>0.76096565959827323</v>
      </c>
      <c r="AQ602" s="11">
        <f t="shared" si="250"/>
        <v>0</v>
      </c>
      <c r="AT602" s="3"/>
      <c r="AU602" s="17"/>
      <c r="AV602" s="19"/>
      <c r="AW602" s="17"/>
      <c r="AX602" s="17">
        <f t="shared" si="243"/>
        <v>593</v>
      </c>
      <c r="AY602" s="17">
        <f t="shared" si="268"/>
        <v>59.3</v>
      </c>
      <c r="AZ602" s="17">
        <v>76.096565959827316</v>
      </c>
      <c r="BA602" s="17"/>
      <c r="BB602" s="17">
        <v>36</v>
      </c>
      <c r="BC602" s="17"/>
      <c r="BD602" s="17"/>
      <c r="BE602" s="17"/>
      <c r="BF602" s="17"/>
      <c r="BG602" s="17"/>
      <c r="BH602" s="17"/>
      <c r="BI602" s="17"/>
      <c r="BJ602" s="17"/>
      <c r="BK602" s="17"/>
      <c r="BL602" s="17"/>
      <c r="BM602" s="17"/>
      <c r="BN602" s="17"/>
      <c r="BO602" s="17"/>
      <c r="BP602" s="17"/>
      <c r="BQ602" s="17"/>
      <c r="BR602" s="17"/>
      <c r="BS602" s="17"/>
      <c r="BT602" s="17"/>
      <c r="BU602" s="17"/>
      <c r="BV602" s="17"/>
      <c r="BW602" s="17"/>
      <c r="BX602" s="17"/>
      <c r="BY602" s="17"/>
      <c r="BZ602" s="17"/>
      <c r="CA602" s="17"/>
      <c r="CB602" s="17"/>
      <c r="CC602" s="17"/>
      <c r="CD602" s="17"/>
      <c r="CE602" s="17"/>
      <c r="CF602" s="17"/>
      <c r="CG602" s="17"/>
      <c r="CH602" s="17"/>
    </row>
    <row r="603" spans="8:86" x14ac:dyDescent="0.15">
      <c r="H603" s="3">
        <f t="shared" si="263"/>
        <v>0.59100000000000041</v>
      </c>
      <c r="I603" s="3">
        <f t="shared" si="264"/>
        <v>360</v>
      </c>
      <c r="J603" s="14">
        <f t="shared" si="265"/>
        <v>500</v>
      </c>
      <c r="K603" s="3">
        <f t="shared" si="255"/>
        <v>0</v>
      </c>
      <c r="L603" s="3">
        <f t="shared" si="251"/>
        <v>500</v>
      </c>
      <c r="M603" s="15">
        <f t="shared" si="266"/>
        <v>7.0000000000000007E-2</v>
      </c>
      <c r="N603" s="3">
        <f t="shared" si="267"/>
        <v>57.208736748099433</v>
      </c>
      <c r="O603" s="3">
        <f t="shared" si="252"/>
        <v>57.208736748099433</v>
      </c>
      <c r="P603" s="3">
        <f t="shared" si="256"/>
        <v>61.514770696881115</v>
      </c>
      <c r="Q603" s="3">
        <f t="shared" si="257"/>
        <v>16.628338390786826</v>
      </c>
      <c r="R603" s="3">
        <f t="shared" si="258"/>
        <v>39.071554543833969</v>
      </c>
      <c r="S603" s="3">
        <f t="shared" si="253"/>
        <v>1</v>
      </c>
      <c r="T603" s="3">
        <f t="shared" si="259"/>
        <v>22443.216153047146</v>
      </c>
      <c r="U603" s="3">
        <f t="shared" si="260"/>
        <v>0.5</v>
      </c>
      <c r="V603" s="3">
        <f t="shared" si="261"/>
        <v>0</v>
      </c>
      <c r="W603" s="3">
        <f t="shared" si="262"/>
        <v>20595.145229315796</v>
      </c>
      <c r="X603" s="3">
        <f t="shared" si="254"/>
        <v>8314.1691953934132</v>
      </c>
      <c r="AI603" s="3"/>
      <c r="AJ603" s="3"/>
      <c r="AK603" s="15">
        <f t="shared" si="245"/>
        <v>2</v>
      </c>
      <c r="AL603" s="11">
        <f t="shared" si="249"/>
        <v>3564</v>
      </c>
      <c r="AM603" s="11" t="b">
        <f t="shared" si="244"/>
        <v>0</v>
      </c>
      <c r="AN603" s="11">
        <f t="shared" si="246"/>
        <v>36000</v>
      </c>
      <c r="AO603" s="11">
        <f t="shared" si="247"/>
        <v>0</v>
      </c>
      <c r="AP603" s="11">
        <f t="shared" si="248"/>
        <v>0.76206797441308805</v>
      </c>
      <c r="AQ603" s="11">
        <f t="shared" si="250"/>
        <v>0</v>
      </c>
      <c r="AT603" s="3"/>
      <c r="AU603" s="17"/>
      <c r="AV603" s="19"/>
      <c r="AW603" s="17"/>
      <c r="AX603" s="17">
        <f t="shared" si="243"/>
        <v>594</v>
      </c>
      <c r="AY603" s="17">
        <f t="shared" si="268"/>
        <v>59.4</v>
      </c>
      <c r="AZ603" s="17">
        <v>76.206797441308808</v>
      </c>
      <c r="BA603" s="17"/>
      <c r="BB603" s="17">
        <v>36</v>
      </c>
      <c r="BC603" s="17"/>
      <c r="BD603" s="17"/>
      <c r="BE603" s="17"/>
      <c r="BF603" s="17"/>
      <c r="BG603" s="17"/>
      <c r="BH603" s="17"/>
      <c r="BI603" s="17"/>
      <c r="BJ603" s="17"/>
      <c r="BK603" s="17"/>
      <c r="BL603" s="17"/>
      <c r="BM603" s="17"/>
      <c r="BN603" s="17"/>
      <c r="BO603" s="17"/>
      <c r="BP603" s="17"/>
      <c r="BQ603" s="17"/>
      <c r="BR603" s="17"/>
      <c r="BS603" s="17"/>
      <c r="BT603" s="17"/>
      <c r="BU603" s="17"/>
      <c r="BV603" s="17"/>
      <c r="BW603" s="17"/>
      <c r="BX603" s="17"/>
      <c r="BY603" s="17"/>
      <c r="BZ603" s="17"/>
      <c r="CA603" s="17"/>
      <c r="CB603" s="17"/>
      <c r="CC603" s="17"/>
      <c r="CD603" s="17"/>
      <c r="CE603" s="17"/>
      <c r="CF603" s="17"/>
      <c r="CG603" s="17"/>
      <c r="CH603" s="17"/>
    </row>
    <row r="604" spans="8:86" x14ac:dyDescent="0.15">
      <c r="H604" s="3">
        <f t="shared" si="263"/>
        <v>0.59200000000000041</v>
      </c>
      <c r="I604" s="3">
        <f t="shared" si="264"/>
        <v>360</v>
      </c>
      <c r="J604" s="14">
        <f t="shared" si="265"/>
        <v>500</v>
      </c>
      <c r="K604" s="3">
        <f t="shared" si="255"/>
        <v>0</v>
      </c>
      <c r="L604" s="3">
        <f t="shared" si="251"/>
        <v>500</v>
      </c>
      <c r="M604" s="15">
        <f t="shared" si="266"/>
        <v>7.0000000000000007E-2</v>
      </c>
      <c r="N604" s="3">
        <f t="shared" si="267"/>
        <v>57.14639448100764</v>
      </c>
      <c r="O604" s="3">
        <f t="shared" si="252"/>
        <v>57.14639448100764</v>
      </c>
      <c r="P604" s="3">
        <f t="shared" si="256"/>
        <v>61.447736001083484</v>
      </c>
      <c r="Q604" s="3">
        <f t="shared" si="257"/>
        <v>16.58345195848073</v>
      </c>
      <c r="R604" s="3">
        <f t="shared" si="258"/>
        <v>39.015593979782111</v>
      </c>
      <c r="S604" s="3">
        <f t="shared" si="253"/>
        <v>1</v>
      </c>
      <c r="T604" s="3">
        <f t="shared" si="259"/>
        <v>22432.142021301377</v>
      </c>
      <c r="U604" s="3">
        <f t="shared" si="260"/>
        <v>0.5</v>
      </c>
      <c r="V604" s="3">
        <f t="shared" si="261"/>
        <v>0</v>
      </c>
      <c r="W604" s="3">
        <f t="shared" si="262"/>
        <v>20572.702013162751</v>
      </c>
      <c r="X604" s="3">
        <f t="shared" si="254"/>
        <v>8291.7259792403656</v>
      </c>
      <c r="AI604" s="3"/>
      <c r="AJ604" s="3"/>
      <c r="AK604" s="15">
        <f t="shared" si="245"/>
        <v>2</v>
      </c>
      <c r="AL604" s="11">
        <f t="shared" si="249"/>
        <v>3570</v>
      </c>
      <c r="AM604" s="11" t="b">
        <f t="shared" si="244"/>
        <v>0</v>
      </c>
      <c r="AN604" s="11">
        <f t="shared" si="246"/>
        <v>36000</v>
      </c>
      <c r="AO604" s="11">
        <f t="shared" si="247"/>
        <v>0</v>
      </c>
      <c r="AP604" s="11">
        <f t="shared" si="248"/>
        <v>0.76317028922790286</v>
      </c>
      <c r="AQ604" s="11">
        <f t="shared" si="250"/>
        <v>0</v>
      </c>
      <c r="AT604" s="3"/>
      <c r="AU604" s="17"/>
      <c r="AV604" s="19"/>
      <c r="AW604" s="17"/>
      <c r="AX604" s="17">
        <f t="shared" si="243"/>
        <v>595</v>
      </c>
      <c r="AY604" s="17">
        <f t="shared" si="268"/>
        <v>59.5</v>
      </c>
      <c r="AZ604" s="17">
        <v>76.317028922790286</v>
      </c>
      <c r="BA604" s="17"/>
      <c r="BB604" s="17">
        <v>36</v>
      </c>
      <c r="BC604" s="17"/>
      <c r="BD604" s="17"/>
      <c r="BE604" s="17"/>
      <c r="BF604" s="17"/>
      <c r="BG604" s="17"/>
      <c r="BH604" s="17"/>
      <c r="BI604" s="17"/>
      <c r="BJ604" s="17"/>
      <c r="BK604" s="17"/>
      <c r="BL604" s="17"/>
      <c r="BM604" s="17"/>
      <c r="BN604" s="17"/>
      <c r="BO604" s="17"/>
      <c r="BP604" s="17"/>
      <c r="BQ604" s="17"/>
      <c r="BR604" s="17"/>
      <c r="BS604" s="17"/>
      <c r="BT604" s="17"/>
      <c r="BU604" s="17"/>
      <c r="BV604" s="17"/>
      <c r="BW604" s="17"/>
      <c r="BX604" s="17"/>
      <c r="BY604" s="17"/>
      <c r="BZ604" s="17"/>
      <c r="CA604" s="17"/>
      <c r="CB604" s="17"/>
      <c r="CC604" s="17"/>
      <c r="CD604" s="17"/>
      <c r="CE604" s="17"/>
      <c r="CF604" s="17"/>
      <c r="CG604" s="17"/>
      <c r="CH604" s="17"/>
    </row>
    <row r="605" spans="8:86" x14ac:dyDescent="0.15">
      <c r="H605" s="3">
        <f t="shared" si="263"/>
        <v>0.59300000000000042</v>
      </c>
      <c r="I605" s="3">
        <f t="shared" si="264"/>
        <v>360</v>
      </c>
      <c r="J605" s="14">
        <f t="shared" si="265"/>
        <v>500</v>
      </c>
      <c r="K605" s="3">
        <f t="shared" si="255"/>
        <v>0</v>
      </c>
      <c r="L605" s="3">
        <f t="shared" si="251"/>
        <v>500</v>
      </c>
      <c r="M605" s="15">
        <f t="shared" si="266"/>
        <v>7.0000000000000007E-2</v>
      </c>
      <c r="N605" s="3">
        <f t="shared" si="267"/>
        <v>57.08408297539291</v>
      </c>
      <c r="O605" s="3">
        <f t="shared" si="252"/>
        <v>57.08408297539291</v>
      </c>
      <c r="P605" s="3">
        <f t="shared" si="256"/>
        <v>61.380734382142919</v>
      </c>
      <c r="Q605" s="3">
        <f t="shared" si="257"/>
        <v>16.538587674438126</v>
      </c>
      <c r="R605" s="3">
        <f t="shared" si="258"/>
        <v>38.959661028290526</v>
      </c>
      <c r="S605" s="3">
        <f t="shared" si="253"/>
        <v>1</v>
      </c>
      <c r="T605" s="3">
        <f t="shared" si="259"/>
        <v>22421.073353852396</v>
      </c>
      <c r="U605" s="3">
        <f t="shared" si="260"/>
        <v>0.5</v>
      </c>
      <c r="V605" s="3">
        <f t="shared" si="261"/>
        <v>0</v>
      </c>
      <c r="W605" s="3">
        <f t="shared" si="262"/>
        <v>20550.269871141449</v>
      </c>
      <c r="X605" s="3">
        <f t="shared" si="254"/>
        <v>8269.2938372190638</v>
      </c>
      <c r="AI605" s="3"/>
      <c r="AJ605" s="3"/>
      <c r="AK605" s="15">
        <f t="shared" si="245"/>
        <v>2</v>
      </c>
      <c r="AL605" s="11">
        <f t="shared" si="249"/>
        <v>3576</v>
      </c>
      <c r="AM605" s="11" t="b">
        <f t="shared" si="244"/>
        <v>0</v>
      </c>
      <c r="AN605" s="11">
        <f t="shared" si="246"/>
        <v>36000</v>
      </c>
      <c r="AO605" s="11">
        <f t="shared" si="247"/>
        <v>0</v>
      </c>
      <c r="AP605" s="11">
        <f t="shared" si="248"/>
        <v>0.76427260404271768</v>
      </c>
      <c r="AQ605" s="11">
        <f t="shared" si="250"/>
        <v>0</v>
      </c>
      <c r="AT605" s="3"/>
      <c r="AU605" s="17"/>
      <c r="AV605" s="19"/>
      <c r="AW605" s="17"/>
      <c r="AX605" s="17">
        <f t="shared" si="243"/>
        <v>596</v>
      </c>
      <c r="AY605" s="17">
        <f t="shared" si="268"/>
        <v>59.6</v>
      </c>
      <c r="AZ605" s="17">
        <v>76.427260404271763</v>
      </c>
      <c r="BA605" s="17"/>
      <c r="BB605" s="17">
        <v>36</v>
      </c>
      <c r="BC605" s="17"/>
      <c r="BD605" s="17"/>
      <c r="BE605" s="17"/>
      <c r="BF605" s="17"/>
      <c r="BG605" s="17"/>
      <c r="BH605" s="17"/>
      <c r="BI605" s="17"/>
      <c r="BJ605" s="17"/>
      <c r="BK605" s="17"/>
      <c r="BL605" s="17"/>
      <c r="BM605" s="17"/>
      <c r="BN605" s="17"/>
      <c r="BO605" s="17"/>
      <c r="BP605" s="17"/>
      <c r="BQ605" s="17"/>
      <c r="BR605" s="17"/>
      <c r="BS605" s="17"/>
      <c r="BT605" s="17"/>
      <c r="BU605" s="17"/>
      <c r="BV605" s="17"/>
      <c r="BW605" s="17"/>
      <c r="BX605" s="17"/>
      <c r="BY605" s="17"/>
      <c r="BZ605" s="17"/>
      <c r="CA605" s="17"/>
      <c r="CB605" s="17"/>
      <c r="CC605" s="17"/>
      <c r="CD605" s="17"/>
      <c r="CE605" s="17"/>
      <c r="CF605" s="17"/>
      <c r="CG605" s="17"/>
      <c r="CH605" s="17"/>
    </row>
    <row r="606" spans="8:86" x14ac:dyDescent="0.15">
      <c r="H606" s="3">
        <f t="shared" si="263"/>
        <v>0.59400000000000042</v>
      </c>
      <c r="I606" s="3">
        <f t="shared" si="264"/>
        <v>360</v>
      </c>
      <c r="J606" s="14">
        <f t="shared" si="265"/>
        <v>500</v>
      </c>
      <c r="K606" s="3">
        <f t="shared" si="255"/>
        <v>0</v>
      </c>
      <c r="L606" s="3">
        <f t="shared" si="251"/>
        <v>500</v>
      </c>
      <c r="M606" s="15">
        <f t="shared" si="266"/>
        <v>7.0000000000000007E-2</v>
      </c>
      <c r="N606" s="3">
        <f t="shared" si="267"/>
        <v>57.021802216076658</v>
      </c>
      <c r="O606" s="3">
        <f t="shared" si="252"/>
        <v>57.021802216076658</v>
      </c>
      <c r="P606" s="3">
        <f t="shared" si="256"/>
        <v>61.313765823738343</v>
      </c>
      <c r="Q606" s="3">
        <f t="shared" si="257"/>
        <v>16.493745527730422</v>
      </c>
      <c r="R606" s="3">
        <f t="shared" si="258"/>
        <v>38.903755675734381</v>
      </c>
      <c r="S606" s="3">
        <f t="shared" si="253"/>
        <v>1</v>
      </c>
      <c r="T606" s="3">
        <f t="shared" si="259"/>
        <v>22410.010148003963</v>
      </c>
      <c r="U606" s="3">
        <f t="shared" si="260"/>
        <v>0.5</v>
      </c>
      <c r="V606" s="3">
        <f t="shared" si="261"/>
        <v>0</v>
      </c>
      <c r="W606" s="3">
        <f t="shared" si="262"/>
        <v>20527.848797787596</v>
      </c>
      <c r="X606" s="3">
        <f t="shared" si="254"/>
        <v>8246.8727638652108</v>
      </c>
      <c r="AI606" s="3"/>
      <c r="AJ606" s="3"/>
      <c r="AK606" s="15">
        <f t="shared" si="245"/>
        <v>2</v>
      </c>
      <c r="AL606" s="11">
        <f t="shared" si="249"/>
        <v>3582</v>
      </c>
      <c r="AM606" s="11" t="b">
        <f t="shared" si="244"/>
        <v>0</v>
      </c>
      <c r="AN606" s="11">
        <f t="shared" si="246"/>
        <v>36000</v>
      </c>
      <c r="AO606" s="11">
        <f t="shared" si="247"/>
        <v>0</v>
      </c>
      <c r="AP606" s="11">
        <f t="shared" si="248"/>
        <v>0.76537491885753262</v>
      </c>
      <c r="AQ606" s="11">
        <f t="shared" si="250"/>
        <v>0</v>
      </c>
      <c r="AT606" s="3"/>
      <c r="AU606" s="17"/>
      <c r="AV606" s="19"/>
      <c r="AW606" s="17"/>
      <c r="AX606" s="17">
        <f t="shared" si="243"/>
        <v>597</v>
      </c>
      <c r="AY606" s="17">
        <f t="shared" si="268"/>
        <v>59.7</v>
      </c>
      <c r="AZ606" s="17">
        <v>76.537491885753255</v>
      </c>
      <c r="BA606" s="17"/>
      <c r="BB606" s="17">
        <v>36</v>
      </c>
      <c r="BC606" s="17"/>
      <c r="BD606" s="17"/>
      <c r="BE606" s="17"/>
      <c r="BF606" s="17"/>
      <c r="BG606" s="17"/>
      <c r="BH606" s="17"/>
      <c r="BI606" s="17"/>
      <c r="BJ606" s="17"/>
      <c r="BK606" s="17"/>
      <c r="BL606" s="17"/>
      <c r="BM606" s="17"/>
      <c r="BN606" s="17"/>
      <c r="BO606" s="17"/>
      <c r="BP606" s="17"/>
      <c r="BQ606" s="17"/>
      <c r="BR606" s="17"/>
      <c r="BS606" s="17"/>
      <c r="BT606" s="17"/>
      <c r="BU606" s="17"/>
      <c r="BV606" s="17"/>
      <c r="BW606" s="17"/>
      <c r="BX606" s="17"/>
      <c r="BY606" s="17"/>
      <c r="BZ606" s="17"/>
      <c r="CA606" s="17"/>
      <c r="CB606" s="17"/>
      <c r="CC606" s="17"/>
      <c r="CD606" s="17"/>
      <c r="CE606" s="17"/>
      <c r="CF606" s="17"/>
      <c r="CG606" s="17"/>
      <c r="CH606" s="17"/>
    </row>
    <row r="607" spans="8:86" x14ac:dyDescent="0.15">
      <c r="H607" s="3">
        <f t="shared" si="263"/>
        <v>0.59500000000000042</v>
      </c>
      <c r="I607" s="3">
        <f t="shared" si="264"/>
        <v>360</v>
      </c>
      <c r="J607" s="14">
        <f t="shared" si="265"/>
        <v>500</v>
      </c>
      <c r="K607" s="3">
        <f t="shared" si="255"/>
        <v>0</v>
      </c>
      <c r="L607" s="3">
        <f t="shared" si="251"/>
        <v>500</v>
      </c>
      <c r="M607" s="15">
        <f t="shared" si="266"/>
        <v>7.0000000000000007E-2</v>
      </c>
      <c r="N607" s="3">
        <f t="shared" si="267"/>
        <v>56.959552187887759</v>
      </c>
      <c r="O607" s="3">
        <f t="shared" si="252"/>
        <v>56.959552187887759</v>
      </c>
      <c r="P607" s="3">
        <f t="shared" si="256"/>
        <v>61.246830309556735</v>
      </c>
      <c r="Q607" s="3">
        <f t="shared" si="257"/>
        <v>16.448925507434414</v>
      </c>
      <c r="R607" s="3">
        <f t="shared" si="258"/>
        <v>38.847877908495576</v>
      </c>
      <c r="S607" s="3">
        <f t="shared" si="253"/>
        <v>1</v>
      </c>
      <c r="T607" s="3">
        <f t="shared" si="259"/>
        <v>22398.95240106116</v>
      </c>
      <c r="U607" s="3">
        <f t="shared" si="260"/>
        <v>0.5</v>
      </c>
      <c r="V607" s="3">
        <f t="shared" si="261"/>
        <v>0</v>
      </c>
      <c r="W607" s="3">
        <f t="shared" si="262"/>
        <v>20505.438787639592</v>
      </c>
      <c r="X607" s="3">
        <f t="shared" si="254"/>
        <v>8224.4627537172073</v>
      </c>
      <c r="AI607" s="3"/>
      <c r="AJ607" s="3"/>
      <c r="AK607" s="15">
        <f t="shared" si="245"/>
        <v>2</v>
      </c>
      <c r="AL607" s="11">
        <f t="shared" si="249"/>
        <v>3588</v>
      </c>
      <c r="AM607" s="11" t="b">
        <f t="shared" si="244"/>
        <v>0</v>
      </c>
      <c r="AN607" s="11">
        <f t="shared" si="246"/>
        <v>36000</v>
      </c>
      <c r="AO607" s="11">
        <f t="shared" si="247"/>
        <v>0</v>
      </c>
      <c r="AP607" s="11">
        <f t="shared" si="248"/>
        <v>0.76647723367234744</v>
      </c>
      <c r="AQ607" s="11">
        <f t="shared" si="250"/>
        <v>0</v>
      </c>
      <c r="AT607" s="3"/>
      <c r="AU607" s="17"/>
      <c r="AV607" s="19"/>
      <c r="AW607" s="17"/>
      <c r="AX607" s="17">
        <f t="shared" si="243"/>
        <v>598</v>
      </c>
      <c r="AY607" s="17">
        <f t="shared" si="268"/>
        <v>59.8</v>
      </c>
      <c r="AZ607" s="17">
        <v>76.647723367234747</v>
      </c>
      <c r="BA607" s="17"/>
      <c r="BB607" s="17">
        <v>36</v>
      </c>
      <c r="BC607" s="17"/>
      <c r="BD607" s="17"/>
      <c r="BE607" s="17"/>
      <c r="BF607" s="17"/>
      <c r="BG607" s="17"/>
      <c r="BH607" s="17"/>
      <c r="BI607" s="17"/>
      <c r="BJ607" s="17"/>
      <c r="BK607" s="17"/>
      <c r="BL607" s="17"/>
      <c r="BM607" s="17"/>
      <c r="BN607" s="17"/>
      <c r="BO607" s="17"/>
      <c r="BP607" s="17"/>
      <c r="BQ607" s="17"/>
      <c r="BR607" s="17"/>
      <c r="BS607" s="17"/>
      <c r="BT607" s="17"/>
      <c r="BU607" s="17"/>
      <c r="BV607" s="17"/>
      <c r="BW607" s="17"/>
      <c r="BX607" s="17"/>
      <c r="BY607" s="17"/>
      <c r="BZ607" s="17"/>
      <c r="CA607" s="17"/>
      <c r="CB607" s="17"/>
      <c r="CC607" s="17"/>
      <c r="CD607" s="17"/>
      <c r="CE607" s="17"/>
      <c r="CF607" s="17"/>
      <c r="CG607" s="17"/>
      <c r="CH607" s="17"/>
    </row>
    <row r="608" spans="8:86" x14ac:dyDescent="0.15">
      <c r="H608" s="3">
        <f t="shared" si="263"/>
        <v>0.59600000000000042</v>
      </c>
      <c r="I608" s="3">
        <f t="shared" si="264"/>
        <v>360</v>
      </c>
      <c r="J608" s="14">
        <f t="shared" si="265"/>
        <v>500</v>
      </c>
      <c r="K608" s="3">
        <f t="shared" si="255"/>
        <v>0</v>
      </c>
      <c r="L608" s="3">
        <f t="shared" si="251"/>
        <v>500</v>
      </c>
      <c r="M608" s="15">
        <f t="shared" si="266"/>
        <v>7.0000000000000007E-2</v>
      </c>
      <c r="N608" s="3">
        <f t="shared" si="267"/>
        <v>56.897332875662585</v>
      </c>
      <c r="O608" s="3">
        <f t="shared" si="252"/>
        <v>56.897332875662585</v>
      </c>
      <c r="P608" s="3">
        <f t="shared" si="256"/>
        <v>61.179927823293106</v>
      </c>
      <c r="Q608" s="3">
        <f t="shared" si="257"/>
        <v>16.404127602632293</v>
      </c>
      <c r="R608" s="3">
        <f t="shared" si="258"/>
        <v>38.7920277129627</v>
      </c>
      <c r="S608" s="3">
        <f t="shared" si="253"/>
        <v>1</v>
      </c>
      <c r="T608" s="3">
        <f t="shared" si="259"/>
        <v>22387.900110330407</v>
      </c>
      <c r="U608" s="3">
        <f t="shared" si="260"/>
        <v>0.5</v>
      </c>
      <c r="V608" s="3">
        <f t="shared" si="261"/>
        <v>0</v>
      </c>
      <c r="W608" s="3">
        <f t="shared" si="262"/>
        <v>20483.039835238531</v>
      </c>
      <c r="X608" s="3">
        <f t="shared" si="254"/>
        <v>8202.0638013161461</v>
      </c>
      <c r="AI608" s="3"/>
      <c r="AJ608" s="3"/>
      <c r="AK608" s="15">
        <f t="shared" si="245"/>
        <v>2</v>
      </c>
      <c r="AL608" s="11">
        <f t="shared" si="249"/>
        <v>3594</v>
      </c>
      <c r="AM608" s="11" t="b">
        <f t="shared" si="244"/>
        <v>0</v>
      </c>
      <c r="AN608" s="11">
        <f t="shared" si="246"/>
        <v>36000</v>
      </c>
      <c r="AO608" s="11">
        <f t="shared" si="247"/>
        <v>0</v>
      </c>
      <c r="AP608" s="11">
        <f t="shared" si="248"/>
        <v>0.76757954848716226</v>
      </c>
      <c r="AQ608" s="11">
        <f t="shared" si="250"/>
        <v>0</v>
      </c>
      <c r="AT608" s="3"/>
      <c r="AU608" s="17"/>
      <c r="AV608" s="19"/>
      <c r="AW608" s="17"/>
      <c r="AX608" s="17">
        <f t="shared" si="243"/>
        <v>599</v>
      </c>
      <c r="AY608" s="17">
        <f t="shared" si="268"/>
        <v>59.9</v>
      </c>
      <c r="AZ608" s="17">
        <v>76.757954848716224</v>
      </c>
      <c r="BA608" s="17"/>
      <c r="BB608" s="17">
        <v>36</v>
      </c>
      <c r="BC608" s="17"/>
      <c r="BD608" s="17"/>
      <c r="BE608" s="17"/>
      <c r="BF608" s="17"/>
      <c r="BG608" s="17"/>
      <c r="BH608" s="17"/>
      <c r="BI608" s="17"/>
      <c r="BJ608" s="17"/>
      <c r="BK608" s="17"/>
      <c r="BL608" s="17"/>
      <c r="BM608" s="17"/>
      <c r="BN608" s="17"/>
      <c r="BO608" s="17"/>
      <c r="BP608" s="17"/>
      <c r="BQ608" s="17"/>
      <c r="BR608" s="17"/>
      <c r="BS608" s="17"/>
      <c r="BT608" s="17"/>
      <c r="BU608" s="17"/>
      <c r="BV608" s="17"/>
      <c r="BW608" s="17"/>
      <c r="BX608" s="17"/>
      <c r="BY608" s="17"/>
      <c r="BZ608" s="17"/>
      <c r="CA608" s="17"/>
      <c r="CB608" s="17"/>
      <c r="CC608" s="17"/>
      <c r="CD608" s="17"/>
      <c r="CE608" s="17"/>
      <c r="CF608" s="17"/>
      <c r="CG608" s="17"/>
      <c r="CH608" s="17"/>
    </row>
    <row r="609" spans="8:86" x14ac:dyDescent="0.15">
      <c r="H609" s="3">
        <f t="shared" si="263"/>
        <v>0.59700000000000042</v>
      </c>
      <c r="I609" s="3">
        <f t="shared" si="264"/>
        <v>360</v>
      </c>
      <c r="J609" s="14">
        <f t="shared" si="265"/>
        <v>500</v>
      </c>
      <c r="K609" s="3">
        <f t="shared" si="255"/>
        <v>0</v>
      </c>
      <c r="L609" s="3">
        <f t="shared" si="251"/>
        <v>500</v>
      </c>
      <c r="M609" s="15">
        <f t="shared" si="266"/>
        <v>7.0000000000000007E-2</v>
      </c>
      <c r="N609" s="3">
        <f t="shared" si="267"/>
        <v>56.835144264245002</v>
      </c>
      <c r="O609" s="3">
        <f t="shared" si="252"/>
        <v>56.835144264245002</v>
      </c>
      <c r="P609" s="3">
        <f t="shared" si="256"/>
        <v>61.113058348650547</v>
      </c>
      <c r="Q609" s="3">
        <f t="shared" si="257"/>
        <v>16.359351802411631</v>
      </c>
      <c r="R609" s="3">
        <f t="shared" si="258"/>
        <v>38.736205075531089</v>
      </c>
      <c r="S609" s="3">
        <f t="shared" si="253"/>
        <v>1</v>
      </c>
      <c r="T609" s="3">
        <f t="shared" si="259"/>
        <v>22376.853273119457</v>
      </c>
      <c r="U609" s="3">
        <f t="shared" si="260"/>
        <v>0.5</v>
      </c>
      <c r="V609" s="3">
        <f t="shared" si="261"/>
        <v>0</v>
      </c>
      <c r="W609" s="3">
        <f t="shared" si="262"/>
        <v>20460.6519351282</v>
      </c>
      <c r="X609" s="3">
        <f t="shared" si="254"/>
        <v>8179.6759012058155</v>
      </c>
      <c r="AI609" s="3"/>
      <c r="AJ609" s="3"/>
      <c r="AK609" s="15">
        <f t="shared" si="245"/>
        <v>3</v>
      </c>
      <c r="AL609" s="11">
        <f t="shared" si="249"/>
        <v>3600</v>
      </c>
      <c r="AM609" s="11" t="b">
        <f t="shared" si="244"/>
        <v>1</v>
      </c>
      <c r="AN609" s="11">
        <f t="shared" si="246"/>
        <v>36000</v>
      </c>
      <c r="AO609" s="11">
        <f t="shared" si="247"/>
        <v>0</v>
      </c>
      <c r="AP609" s="11">
        <f t="shared" si="248"/>
        <v>0.76868186330197708</v>
      </c>
      <c r="AQ609" s="11">
        <f t="shared" si="250"/>
        <v>0</v>
      </c>
      <c r="AT609" s="3"/>
      <c r="AU609" s="17"/>
      <c r="AV609" s="19"/>
      <c r="AW609" s="17"/>
      <c r="AX609" s="17">
        <f t="shared" si="243"/>
        <v>600</v>
      </c>
      <c r="AY609" s="17">
        <f t="shared" si="268"/>
        <v>60</v>
      </c>
      <c r="AZ609" s="17">
        <v>76.868186330197702</v>
      </c>
      <c r="BA609" s="17"/>
      <c r="BB609" s="17">
        <v>36</v>
      </c>
      <c r="BC609" s="17"/>
      <c r="BD609" s="17"/>
      <c r="BE609" s="17"/>
      <c r="BF609" s="17"/>
      <c r="BG609" s="17"/>
      <c r="BH609" s="17"/>
      <c r="BI609" s="17"/>
      <c r="BJ609" s="17"/>
      <c r="BK609" s="17"/>
      <c r="BL609" s="17"/>
      <c r="BM609" s="17"/>
      <c r="BN609" s="17"/>
      <c r="BO609" s="17"/>
      <c r="BP609" s="17"/>
      <c r="BQ609" s="17"/>
      <c r="BR609" s="17"/>
      <c r="BS609" s="17"/>
      <c r="BT609" s="17"/>
      <c r="BU609" s="17"/>
      <c r="BV609" s="17"/>
      <c r="BW609" s="17"/>
      <c r="BX609" s="17"/>
      <c r="BY609" s="17"/>
      <c r="BZ609" s="17"/>
      <c r="CA609" s="17"/>
      <c r="CB609" s="17"/>
      <c r="CC609" s="17"/>
      <c r="CD609" s="17"/>
      <c r="CE609" s="17"/>
      <c r="CF609" s="17"/>
      <c r="CG609" s="17"/>
      <c r="CH609" s="17"/>
    </row>
    <row r="610" spans="8:86" x14ac:dyDescent="0.15">
      <c r="H610" s="3">
        <f t="shared" si="263"/>
        <v>0.59800000000000042</v>
      </c>
      <c r="I610" s="3">
        <f t="shared" si="264"/>
        <v>360</v>
      </c>
      <c r="J610" s="14">
        <f t="shared" si="265"/>
        <v>500</v>
      </c>
      <c r="K610" s="3">
        <f t="shared" si="255"/>
        <v>0</v>
      </c>
      <c r="L610" s="3">
        <f t="shared" si="251"/>
        <v>500</v>
      </c>
      <c r="M610" s="15">
        <f t="shared" si="266"/>
        <v>7.0000000000000007E-2</v>
      </c>
      <c r="N610" s="3">
        <f t="shared" si="267"/>
        <v>56.772986338486334</v>
      </c>
      <c r="O610" s="3">
        <f t="shared" si="252"/>
        <v>56.772986338486334</v>
      </c>
      <c r="P610" s="3">
        <f t="shared" si="256"/>
        <v>61.046221869340151</v>
      </c>
      <c r="Q610" s="3">
        <f t="shared" si="257"/>
        <v>16.314598095865392</v>
      </c>
      <c r="R610" s="3">
        <f t="shared" si="258"/>
        <v>38.680409982602768</v>
      </c>
      <c r="S610" s="3">
        <f t="shared" si="253"/>
        <v>1</v>
      </c>
      <c r="T610" s="3">
        <f t="shared" si="259"/>
        <v>22365.811886737378</v>
      </c>
      <c r="U610" s="3">
        <f t="shared" si="260"/>
        <v>0.5</v>
      </c>
      <c r="V610" s="3">
        <f t="shared" si="261"/>
        <v>0</v>
      </c>
      <c r="W610" s="3">
        <f t="shared" si="262"/>
        <v>20438.275081855081</v>
      </c>
      <c r="X610" s="3">
        <f t="shared" si="254"/>
        <v>8157.2990479326963</v>
      </c>
      <c r="AI610" s="3"/>
      <c r="AJ610" s="3"/>
      <c r="AK610" s="15">
        <f t="shared" si="245"/>
        <v>3</v>
      </c>
      <c r="AL610" s="11">
        <f t="shared" si="249"/>
        <v>3606</v>
      </c>
      <c r="AM610" s="11" t="b">
        <f t="shared" si="244"/>
        <v>1</v>
      </c>
      <c r="AN610" s="11">
        <f t="shared" si="246"/>
        <v>36000</v>
      </c>
      <c r="AO610" s="11">
        <f t="shared" si="247"/>
        <v>0</v>
      </c>
      <c r="AP610" s="11">
        <f t="shared" si="248"/>
        <v>0.73939687222020756</v>
      </c>
      <c r="AQ610" s="11">
        <f t="shared" si="250"/>
        <v>0</v>
      </c>
      <c r="AT610" s="3"/>
      <c r="AU610" s="17"/>
      <c r="AV610" s="19"/>
      <c r="AW610" s="17"/>
      <c r="AX610" s="17">
        <f t="shared" si="243"/>
        <v>601</v>
      </c>
      <c r="AY610" s="17">
        <f t="shared" si="268"/>
        <v>60.1</v>
      </c>
      <c r="AZ610" s="17">
        <v>73.939687222020751</v>
      </c>
      <c r="BA610" s="17"/>
      <c r="BB610" s="17">
        <v>36</v>
      </c>
      <c r="BC610" s="17"/>
      <c r="BD610" s="17"/>
      <c r="BE610" s="17"/>
      <c r="BF610" s="17"/>
      <c r="BG610" s="17"/>
      <c r="BH610" s="17"/>
      <c r="BI610" s="17"/>
      <c r="BJ610" s="17"/>
      <c r="BK610" s="17"/>
      <c r="BL610" s="17"/>
      <c r="BM610" s="17"/>
      <c r="BN610" s="17"/>
      <c r="BO610" s="17"/>
      <c r="BP610" s="17"/>
      <c r="BQ610" s="17"/>
      <c r="BR610" s="17"/>
      <c r="BS610" s="17"/>
      <c r="BT610" s="17"/>
      <c r="BU610" s="17"/>
      <c r="BV610" s="17"/>
      <c r="BW610" s="17"/>
      <c r="BX610" s="17"/>
      <c r="BY610" s="17"/>
      <c r="BZ610" s="17"/>
      <c r="CA610" s="17"/>
      <c r="CB610" s="17"/>
      <c r="CC610" s="17"/>
      <c r="CD610" s="17"/>
      <c r="CE610" s="17"/>
      <c r="CF610" s="17"/>
      <c r="CG610" s="17"/>
      <c r="CH610" s="17"/>
    </row>
    <row r="611" spans="8:86" x14ac:dyDescent="0.15">
      <c r="H611" s="3">
        <f t="shared" si="263"/>
        <v>0.59900000000000042</v>
      </c>
      <c r="I611" s="3">
        <f t="shared" si="264"/>
        <v>360</v>
      </c>
      <c r="J611" s="14">
        <f t="shared" si="265"/>
        <v>500</v>
      </c>
      <c r="K611" s="3">
        <f t="shared" si="255"/>
        <v>0</v>
      </c>
      <c r="L611" s="3">
        <f t="shared" si="251"/>
        <v>500</v>
      </c>
      <c r="M611" s="15">
        <f t="shared" si="266"/>
        <v>7.0000000000000007E-2</v>
      </c>
      <c r="N611" s="3">
        <f t="shared" si="267"/>
        <v>56.710859083245396</v>
      </c>
      <c r="O611" s="3">
        <f t="shared" si="252"/>
        <v>56.710859083245396</v>
      </c>
      <c r="P611" s="3">
        <f t="shared" si="256"/>
        <v>60.979418369081074</v>
      </c>
      <c r="Q611" s="3">
        <f t="shared" si="257"/>
        <v>16.26986647209192</v>
      </c>
      <c r="R611" s="3">
        <f t="shared" si="258"/>
        <v>38.624642420586497</v>
      </c>
      <c r="S611" s="3">
        <f t="shared" si="253"/>
        <v>1</v>
      </c>
      <c r="T611" s="3">
        <f t="shared" si="259"/>
        <v>22354.775948494578</v>
      </c>
      <c r="U611" s="3">
        <f t="shared" si="260"/>
        <v>0.5</v>
      </c>
      <c r="V611" s="3">
        <f t="shared" si="261"/>
        <v>0</v>
      </c>
      <c r="W611" s="3">
        <f t="shared" si="262"/>
        <v>20415.909269968342</v>
      </c>
      <c r="X611" s="3">
        <f t="shared" si="254"/>
        <v>8134.9332360459603</v>
      </c>
      <c r="AI611" s="3"/>
      <c r="AJ611" s="3"/>
      <c r="AK611" s="15">
        <f t="shared" si="245"/>
        <v>3</v>
      </c>
      <c r="AL611" s="11">
        <f t="shared" si="249"/>
        <v>3612</v>
      </c>
      <c r="AM611" s="11" t="b">
        <f t="shared" si="244"/>
        <v>1</v>
      </c>
      <c r="AN611" s="11">
        <f t="shared" si="246"/>
        <v>36000</v>
      </c>
      <c r="AO611" s="11">
        <f t="shared" si="247"/>
        <v>0</v>
      </c>
      <c r="AP611" s="11">
        <f t="shared" si="248"/>
        <v>0.71126956681396281</v>
      </c>
      <c r="AQ611" s="11">
        <f t="shared" si="250"/>
        <v>0</v>
      </c>
      <c r="AT611" s="3"/>
      <c r="AU611" s="17"/>
      <c r="AV611" s="19"/>
      <c r="AW611" s="17"/>
      <c r="AX611" s="17">
        <f t="shared" si="243"/>
        <v>602</v>
      </c>
      <c r="AY611" s="17">
        <f t="shared" si="268"/>
        <v>60.2</v>
      </c>
      <c r="AZ611" s="17">
        <v>71.12695668139628</v>
      </c>
      <c r="BA611" s="17"/>
      <c r="BB611" s="17">
        <v>36</v>
      </c>
      <c r="BC611" s="17"/>
      <c r="BD611" s="17"/>
      <c r="BE611" s="17"/>
      <c r="BF611" s="17"/>
      <c r="BG611" s="17"/>
      <c r="BH611" s="17"/>
      <c r="BI611" s="17"/>
      <c r="BJ611" s="17"/>
      <c r="BK611" s="17"/>
      <c r="BL611" s="17"/>
      <c r="BM611" s="17"/>
      <c r="BN611" s="17"/>
      <c r="BO611" s="17"/>
      <c r="BP611" s="17"/>
      <c r="BQ611" s="17"/>
      <c r="BR611" s="17"/>
      <c r="BS611" s="17"/>
      <c r="BT611" s="17"/>
      <c r="BU611" s="17"/>
      <c r="BV611" s="17"/>
      <c r="BW611" s="17"/>
      <c r="BX611" s="17"/>
      <c r="BY611" s="17"/>
      <c r="BZ611" s="17"/>
      <c r="CA611" s="17"/>
      <c r="CB611" s="17"/>
      <c r="CC611" s="17"/>
      <c r="CD611" s="17"/>
      <c r="CE611" s="17"/>
      <c r="CF611" s="17"/>
      <c r="CG611" s="17"/>
      <c r="CH611" s="17"/>
    </row>
    <row r="612" spans="8:86" x14ac:dyDescent="0.15">
      <c r="H612" s="3">
        <f t="shared" si="263"/>
        <v>0.60000000000000042</v>
      </c>
      <c r="I612" s="3">
        <f t="shared" si="264"/>
        <v>360</v>
      </c>
      <c r="J612" s="14">
        <f t="shared" si="265"/>
        <v>500</v>
      </c>
      <c r="K612" s="3">
        <f t="shared" si="255"/>
        <v>0</v>
      </c>
      <c r="L612" s="3">
        <f t="shared" si="251"/>
        <v>500</v>
      </c>
      <c r="M612" s="15">
        <f t="shared" si="266"/>
        <v>7.0000000000000007E-2</v>
      </c>
      <c r="N612" s="3">
        <f t="shared" si="267"/>
        <v>56.648762483388467</v>
      </c>
      <c r="O612" s="3">
        <f t="shared" si="252"/>
        <v>56.648762483388467</v>
      </c>
      <c r="P612" s="3">
        <f t="shared" si="256"/>
        <v>60.912647831600509</v>
      </c>
      <c r="Q612" s="3">
        <f t="shared" si="257"/>
        <v>16.22515692019493</v>
      </c>
      <c r="R612" s="3">
        <f t="shared" si="258"/>
        <v>38.568902375897721</v>
      </c>
      <c r="S612" s="3">
        <f t="shared" si="253"/>
        <v>1</v>
      </c>
      <c r="T612" s="3">
        <f t="shared" si="259"/>
        <v>22343.745455702789</v>
      </c>
      <c r="U612" s="3">
        <f t="shared" si="260"/>
        <v>0.5</v>
      </c>
      <c r="V612" s="3">
        <f t="shared" si="261"/>
        <v>0</v>
      </c>
      <c r="W612" s="3">
        <f t="shared" si="262"/>
        <v>20393.554494019849</v>
      </c>
      <c r="X612" s="3">
        <f t="shared" si="254"/>
        <v>8112.5784600974648</v>
      </c>
      <c r="AI612" s="3"/>
      <c r="AJ612" s="3"/>
      <c r="AK612" s="15">
        <f t="shared" si="245"/>
        <v>3</v>
      </c>
      <c r="AL612" s="11">
        <f t="shared" si="249"/>
        <v>3618</v>
      </c>
      <c r="AM612" s="11" t="b">
        <f t="shared" si="244"/>
        <v>1</v>
      </c>
      <c r="AN612" s="11">
        <f t="shared" si="246"/>
        <v>36000</v>
      </c>
      <c r="AO612" s="11">
        <f t="shared" si="247"/>
        <v>0</v>
      </c>
      <c r="AP612" s="11">
        <f t="shared" si="248"/>
        <v>0.68425418179277153</v>
      </c>
      <c r="AQ612" s="11">
        <f t="shared" si="250"/>
        <v>0</v>
      </c>
      <c r="AT612" s="3"/>
      <c r="AU612" s="17"/>
      <c r="AV612" s="19"/>
      <c r="AW612" s="17"/>
      <c r="AX612" s="17">
        <f t="shared" si="243"/>
        <v>603</v>
      </c>
      <c r="AY612" s="17">
        <f t="shared" si="268"/>
        <v>60.3</v>
      </c>
      <c r="AZ612" s="17">
        <v>68.425418179277159</v>
      </c>
      <c r="BA612" s="17"/>
      <c r="BB612" s="17">
        <v>36</v>
      </c>
      <c r="BC612" s="17"/>
      <c r="BD612" s="17"/>
      <c r="BE612" s="17"/>
      <c r="BF612" s="17"/>
      <c r="BG612" s="17"/>
      <c r="BH612" s="17"/>
      <c r="BI612" s="17"/>
      <c r="BJ612" s="17"/>
      <c r="BK612" s="17"/>
      <c r="BL612" s="17"/>
      <c r="BM612" s="17"/>
      <c r="BN612" s="17"/>
      <c r="BO612" s="17"/>
      <c r="BP612" s="17"/>
      <c r="BQ612" s="17"/>
      <c r="BR612" s="17"/>
      <c r="BS612" s="17"/>
      <c r="BT612" s="17"/>
      <c r="BU612" s="17"/>
      <c r="BV612" s="17"/>
      <c r="BW612" s="17"/>
      <c r="BX612" s="17"/>
      <c r="BY612" s="17"/>
      <c r="BZ612" s="17"/>
      <c r="CA612" s="17"/>
      <c r="CB612" s="17"/>
      <c r="CC612" s="17"/>
      <c r="CD612" s="17"/>
      <c r="CE612" s="17"/>
      <c r="CF612" s="17"/>
      <c r="CG612" s="17"/>
      <c r="CH612" s="17"/>
    </row>
    <row r="613" spans="8:86" x14ac:dyDescent="0.15">
      <c r="H613" s="3">
        <f t="shared" si="263"/>
        <v>0.60100000000000042</v>
      </c>
      <c r="I613" s="3">
        <f t="shared" si="264"/>
        <v>360</v>
      </c>
      <c r="J613" s="14">
        <f t="shared" si="265"/>
        <v>500</v>
      </c>
      <c r="K613" s="3">
        <f t="shared" si="255"/>
        <v>0</v>
      </c>
      <c r="L613" s="3">
        <f t="shared" si="251"/>
        <v>500</v>
      </c>
      <c r="M613" s="15">
        <f t="shared" si="266"/>
        <v>7.0000000000000007E-2</v>
      </c>
      <c r="N613" s="3">
        <f t="shared" si="267"/>
        <v>56.586696523789293</v>
      </c>
      <c r="O613" s="3">
        <f t="shared" si="252"/>
        <v>56.586696523789293</v>
      </c>
      <c r="P613" s="3">
        <f t="shared" si="256"/>
        <v>60.84591024063365</v>
      </c>
      <c r="Q613" s="3">
        <f t="shared" si="257"/>
        <v>16.180469429283526</v>
      </c>
      <c r="R613" s="3">
        <f t="shared" si="258"/>
        <v>38.513189834958588</v>
      </c>
      <c r="S613" s="3">
        <f t="shared" si="253"/>
        <v>1</v>
      </c>
      <c r="T613" s="3">
        <f t="shared" si="259"/>
        <v>22332.720405675063</v>
      </c>
      <c r="U613" s="3">
        <f t="shared" si="260"/>
        <v>0.5</v>
      </c>
      <c r="V613" s="3">
        <f t="shared" si="261"/>
        <v>0</v>
      </c>
      <c r="W613" s="3">
        <f t="shared" si="262"/>
        <v>20371.210748564146</v>
      </c>
      <c r="X613" s="3">
        <f t="shared" si="254"/>
        <v>8090.2347146417633</v>
      </c>
      <c r="AI613" s="3"/>
      <c r="AJ613" s="3"/>
      <c r="AK613" s="15">
        <f t="shared" si="245"/>
        <v>3</v>
      </c>
      <c r="AL613" s="11">
        <f t="shared" si="249"/>
        <v>3624</v>
      </c>
      <c r="AM613" s="11" t="b">
        <f t="shared" si="244"/>
        <v>1</v>
      </c>
      <c r="AN613" s="11">
        <f t="shared" si="246"/>
        <v>36000</v>
      </c>
      <c r="AO613" s="11">
        <f t="shared" si="247"/>
        <v>0</v>
      </c>
      <c r="AP613" s="11">
        <f t="shared" si="248"/>
        <v>0.65830676104619767</v>
      </c>
      <c r="AQ613" s="11">
        <f t="shared" si="250"/>
        <v>0</v>
      </c>
      <c r="AT613" s="3"/>
      <c r="AU613" s="17"/>
      <c r="AV613" s="19"/>
      <c r="AW613" s="17"/>
      <c r="AX613" s="17">
        <f t="shared" si="243"/>
        <v>604</v>
      </c>
      <c r="AY613" s="17">
        <f t="shared" si="268"/>
        <v>60.4</v>
      </c>
      <c r="AZ613" s="17">
        <v>65.830676104619769</v>
      </c>
      <c r="BA613" s="17"/>
      <c r="BB613" s="17">
        <v>36</v>
      </c>
      <c r="BC613" s="17"/>
      <c r="BD613" s="17"/>
      <c r="BE613" s="17"/>
      <c r="BF613" s="17"/>
      <c r="BG613" s="17"/>
      <c r="BH613" s="17"/>
      <c r="BI613" s="17"/>
      <c r="BJ613" s="17"/>
      <c r="BK613" s="17"/>
      <c r="BL613" s="17"/>
      <c r="BM613" s="17"/>
      <c r="BN613" s="17"/>
      <c r="BO613" s="17"/>
      <c r="BP613" s="17"/>
      <c r="BQ613" s="17"/>
      <c r="BR613" s="17"/>
      <c r="BS613" s="17"/>
      <c r="BT613" s="17"/>
      <c r="BU613" s="17"/>
      <c r="BV613" s="17"/>
      <c r="BW613" s="17"/>
      <c r="BX613" s="17"/>
      <c r="BY613" s="17"/>
      <c r="BZ613" s="17"/>
      <c r="CA613" s="17"/>
      <c r="CB613" s="17"/>
      <c r="CC613" s="17"/>
      <c r="CD613" s="17"/>
      <c r="CE613" s="17"/>
      <c r="CF613" s="17"/>
      <c r="CG613" s="17"/>
      <c r="CH613" s="17"/>
    </row>
    <row r="614" spans="8:86" x14ac:dyDescent="0.15">
      <c r="H614" s="3">
        <f t="shared" si="263"/>
        <v>0.60200000000000042</v>
      </c>
      <c r="I614" s="3">
        <f t="shared" si="264"/>
        <v>360</v>
      </c>
      <c r="J614" s="14">
        <f t="shared" si="265"/>
        <v>500</v>
      </c>
      <c r="K614" s="3">
        <f t="shared" si="255"/>
        <v>0</v>
      </c>
      <c r="L614" s="3">
        <f t="shared" si="251"/>
        <v>500</v>
      </c>
      <c r="M614" s="15">
        <f t="shared" si="266"/>
        <v>7.0000000000000007E-2</v>
      </c>
      <c r="N614" s="3">
        <f t="shared" si="267"/>
        <v>56.52466118932908</v>
      </c>
      <c r="O614" s="3">
        <f t="shared" si="252"/>
        <v>56.52466118932908</v>
      </c>
      <c r="P614" s="3">
        <f t="shared" si="256"/>
        <v>60.779205579923747</v>
      </c>
      <c r="Q614" s="3">
        <f t="shared" si="257"/>
        <v>16.135803988472176</v>
      </c>
      <c r="R614" s="3">
        <f t="shared" si="258"/>
        <v>38.457504784197965</v>
      </c>
      <c r="S614" s="3">
        <f t="shared" si="253"/>
        <v>1</v>
      </c>
      <c r="T614" s="3">
        <f t="shared" si="259"/>
        <v>22321.700795725785</v>
      </c>
      <c r="U614" s="3">
        <f t="shared" si="260"/>
        <v>0.5</v>
      </c>
      <c r="V614" s="3">
        <f t="shared" si="261"/>
        <v>0</v>
      </c>
      <c r="W614" s="3">
        <f t="shared" si="262"/>
        <v>20348.87802815847</v>
      </c>
      <c r="X614" s="3">
        <f t="shared" si="254"/>
        <v>8067.9019942360883</v>
      </c>
      <c r="AI614" s="3"/>
      <c r="AJ614" s="3"/>
      <c r="AK614" s="15">
        <f t="shared" si="245"/>
        <v>3</v>
      </c>
      <c r="AL614" s="11">
        <f t="shared" si="249"/>
        <v>3630</v>
      </c>
      <c r="AM614" s="11" t="b">
        <f t="shared" si="244"/>
        <v>1</v>
      </c>
      <c r="AN614" s="11">
        <f t="shared" si="246"/>
        <v>36000</v>
      </c>
      <c r="AO614" s="11">
        <f t="shared" si="247"/>
        <v>0</v>
      </c>
      <c r="AP614" s="11">
        <f t="shared" si="248"/>
        <v>0.63338508612386712</v>
      </c>
      <c r="AQ614" s="11">
        <f t="shared" si="250"/>
        <v>0</v>
      </c>
      <c r="AT614" s="3"/>
      <c r="AU614" s="17"/>
      <c r="AV614" s="19"/>
      <c r="AW614" s="17"/>
      <c r="AX614" s="17">
        <f t="shared" si="243"/>
        <v>605</v>
      </c>
      <c r="AY614" s="17">
        <f t="shared" si="268"/>
        <v>60.5</v>
      </c>
      <c r="AZ614" s="17">
        <v>63.338508612386711</v>
      </c>
      <c r="BA614" s="17"/>
      <c r="BB614" s="17">
        <v>36</v>
      </c>
      <c r="BC614" s="17"/>
      <c r="BD614" s="17"/>
      <c r="BE614" s="17"/>
      <c r="BF614" s="17"/>
      <c r="BG614" s="17"/>
      <c r="BH614" s="17"/>
      <c r="BI614" s="17"/>
      <c r="BJ614" s="17"/>
      <c r="BK614" s="17"/>
      <c r="BL614" s="17"/>
      <c r="BM614" s="17"/>
      <c r="BN614" s="17"/>
      <c r="BO614" s="17"/>
      <c r="BP614" s="17"/>
      <c r="BQ614" s="17"/>
      <c r="BR614" s="17"/>
      <c r="BS614" s="17"/>
      <c r="BT614" s="17"/>
      <c r="BU614" s="17"/>
      <c r="BV614" s="17"/>
      <c r="BW614" s="17"/>
      <c r="BX614" s="17"/>
      <c r="BY614" s="17"/>
      <c r="BZ614" s="17"/>
      <c r="CA614" s="17"/>
      <c r="CB614" s="17"/>
      <c r="CC614" s="17"/>
      <c r="CD614" s="17"/>
      <c r="CE614" s="17"/>
      <c r="CF614" s="17"/>
      <c r="CG614" s="17"/>
      <c r="CH614" s="17"/>
    </row>
    <row r="615" spans="8:86" x14ac:dyDescent="0.15">
      <c r="H615" s="3">
        <f t="shared" si="263"/>
        <v>0.60300000000000042</v>
      </c>
      <c r="I615" s="3">
        <f t="shared" si="264"/>
        <v>360</v>
      </c>
      <c r="J615" s="14">
        <f t="shared" si="265"/>
        <v>500</v>
      </c>
      <c r="K615" s="3">
        <f t="shared" si="255"/>
        <v>0</v>
      </c>
      <c r="L615" s="3">
        <f t="shared" si="251"/>
        <v>500</v>
      </c>
      <c r="M615" s="15">
        <f t="shared" si="266"/>
        <v>7.0000000000000007E-2</v>
      </c>
      <c r="N615" s="3">
        <f t="shared" si="267"/>
        <v>56.462656464896511</v>
      </c>
      <c r="O615" s="3">
        <f t="shared" si="252"/>
        <v>56.462656464896511</v>
      </c>
      <c r="P615" s="3">
        <f t="shared" si="256"/>
        <v>60.712533833222061</v>
      </c>
      <c r="Q615" s="3">
        <f t="shared" si="257"/>
        <v>16.091160586880726</v>
      </c>
      <c r="R615" s="3">
        <f t="shared" si="258"/>
        <v>38.401847210051393</v>
      </c>
      <c r="S615" s="3">
        <f t="shared" si="253"/>
        <v>1</v>
      </c>
      <c r="T615" s="3">
        <f t="shared" si="259"/>
        <v>22310.686623170666</v>
      </c>
      <c r="U615" s="3">
        <f t="shared" si="260"/>
        <v>0.5</v>
      </c>
      <c r="V615" s="3">
        <f t="shared" si="261"/>
        <v>0</v>
      </c>
      <c r="W615" s="3">
        <f t="shared" si="262"/>
        <v>20326.556327362745</v>
      </c>
      <c r="X615" s="3">
        <f t="shared" si="254"/>
        <v>8045.5802934403628</v>
      </c>
      <c r="AI615" s="3"/>
      <c r="AJ615" s="3"/>
      <c r="AK615" s="15">
        <f t="shared" si="245"/>
        <v>3</v>
      </c>
      <c r="AL615" s="11">
        <f t="shared" si="249"/>
        <v>3636</v>
      </c>
      <c r="AM615" s="11" t="b">
        <f t="shared" si="244"/>
        <v>1</v>
      </c>
      <c r="AN615" s="11">
        <f t="shared" si="246"/>
        <v>36000</v>
      </c>
      <c r="AO615" s="11">
        <f t="shared" si="247"/>
        <v>0</v>
      </c>
      <c r="AP615" s="11">
        <f t="shared" si="248"/>
        <v>0.60944860754279928</v>
      </c>
      <c r="AQ615" s="11">
        <f t="shared" si="250"/>
        <v>0</v>
      </c>
      <c r="AT615" s="3"/>
      <c r="AU615" s="17"/>
      <c r="AV615" s="19"/>
      <c r="AW615" s="17"/>
      <c r="AX615" s="17">
        <f t="shared" si="243"/>
        <v>606</v>
      </c>
      <c r="AY615" s="17">
        <f t="shared" si="268"/>
        <v>60.6</v>
      </c>
      <c r="AZ615" s="17">
        <v>60.944860754279929</v>
      </c>
      <c r="BA615" s="17"/>
      <c r="BB615" s="17">
        <v>36</v>
      </c>
      <c r="BC615" s="17"/>
      <c r="BD615" s="17"/>
      <c r="BE615" s="17"/>
      <c r="BF615" s="17"/>
      <c r="BG615" s="17"/>
      <c r="BH615" s="17"/>
      <c r="BI615" s="17"/>
      <c r="BJ615" s="17"/>
      <c r="BK615" s="17"/>
      <c r="BL615" s="17"/>
      <c r="BM615" s="17"/>
      <c r="BN615" s="17"/>
      <c r="BO615" s="17"/>
      <c r="BP615" s="17"/>
      <c r="BQ615" s="17"/>
      <c r="BR615" s="17"/>
      <c r="BS615" s="17"/>
      <c r="BT615" s="17"/>
      <c r="BU615" s="17"/>
      <c r="BV615" s="17"/>
      <c r="BW615" s="17"/>
      <c r="BX615" s="17"/>
      <c r="BY615" s="17"/>
      <c r="BZ615" s="17"/>
      <c r="CA615" s="17"/>
      <c r="CB615" s="17"/>
      <c r="CC615" s="17"/>
      <c r="CD615" s="17"/>
      <c r="CE615" s="17"/>
      <c r="CF615" s="17"/>
      <c r="CG615" s="17"/>
      <c r="CH615" s="17"/>
    </row>
    <row r="616" spans="8:86" x14ac:dyDescent="0.15">
      <c r="H616" s="3">
        <f t="shared" si="263"/>
        <v>0.60400000000000043</v>
      </c>
      <c r="I616" s="3">
        <f t="shared" si="264"/>
        <v>360</v>
      </c>
      <c r="J616" s="14">
        <f t="shared" si="265"/>
        <v>500</v>
      </c>
      <c r="K616" s="3">
        <f t="shared" si="255"/>
        <v>0</v>
      </c>
      <c r="L616" s="3">
        <f t="shared" si="251"/>
        <v>500</v>
      </c>
      <c r="M616" s="15">
        <f t="shared" si="266"/>
        <v>7.0000000000000007E-2</v>
      </c>
      <c r="N616" s="3">
        <f t="shared" si="267"/>
        <v>56.4006823353877</v>
      </c>
      <c r="O616" s="3">
        <f t="shared" si="252"/>
        <v>56.4006823353877</v>
      </c>
      <c r="P616" s="3">
        <f t="shared" si="256"/>
        <v>60.64589498428785</v>
      </c>
      <c r="Q616" s="3">
        <f t="shared" si="257"/>
        <v>16.046539213634382</v>
      </c>
      <c r="R616" s="3">
        <f t="shared" si="258"/>
        <v>38.34621709896112</v>
      </c>
      <c r="S616" s="3">
        <f t="shared" si="253"/>
        <v>1</v>
      </c>
      <c r="T616" s="3">
        <f t="shared" si="259"/>
        <v>22299.677885326735</v>
      </c>
      <c r="U616" s="3">
        <f t="shared" si="260"/>
        <v>0.5</v>
      </c>
      <c r="V616" s="3">
        <f t="shared" si="261"/>
        <v>0</v>
      </c>
      <c r="W616" s="3">
        <f t="shared" si="262"/>
        <v>20304.245640739573</v>
      </c>
      <c r="X616" s="3">
        <f t="shared" si="254"/>
        <v>8023.2696068171908</v>
      </c>
      <c r="AI616" s="3"/>
      <c r="AJ616" s="3"/>
      <c r="AK616" s="15">
        <f t="shared" si="245"/>
        <v>3</v>
      </c>
      <c r="AL616" s="11">
        <f t="shared" si="249"/>
        <v>3642</v>
      </c>
      <c r="AM616" s="11" t="b">
        <f t="shared" si="244"/>
        <v>1</v>
      </c>
      <c r="AN616" s="11">
        <f t="shared" si="246"/>
        <v>36000</v>
      </c>
      <c r="AO616" s="11">
        <f t="shared" si="247"/>
        <v>0</v>
      </c>
      <c r="AP616" s="11">
        <f t="shared" si="248"/>
        <v>0.58645837881027785</v>
      </c>
      <c r="AQ616" s="11">
        <f t="shared" si="250"/>
        <v>0</v>
      </c>
      <c r="AT616" s="3"/>
      <c r="AU616" s="17"/>
      <c r="AV616" s="19"/>
      <c r="AW616" s="17"/>
      <c r="AX616" s="17">
        <f t="shared" si="243"/>
        <v>607</v>
      </c>
      <c r="AY616" s="17">
        <f t="shared" si="268"/>
        <v>60.7</v>
      </c>
      <c r="AZ616" s="17">
        <v>58.645837881027788</v>
      </c>
      <c r="BA616" s="17"/>
      <c r="BB616" s="17">
        <v>36</v>
      </c>
      <c r="BC616" s="17"/>
      <c r="BD616" s="17"/>
      <c r="BE616" s="17"/>
      <c r="BF616" s="17"/>
      <c r="BG616" s="17"/>
      <c r="BH616" s="17"/>
      <c r="BI616" s="17"/>
      <c r="BJ616" s="17"/>
      <c r="BK616" s="17"/>
      <c r="BL616" s="17"/>
      <c r="BM616" s="17"/>
      <c r="BN616" s="17"/>
      <c r="BO616" s="17"/>
      <c r="BP616" s="17"/>
      <c r="BQ616" s="17"/>
      <c r="BR616" s="17"/>
      <c r="BS616" s="17"/>
      <c r="BT616" s="17"/>
      <c r="BU616" s="17"/>
      <c r="BV616" s="17"/>
      <c r="BW616" s="17"/>
      <c r="BX616" s="17"/>
      <c r="BY616" s="17"/>
      <c r="BZ616" s="17"/>
      <c r="CA616" s="17"/>
      <c r="CB616" s="17"/>
      <c r="CC616" s="17"/>
      <c r="CD616" s="17"/>
      <c r="CE616" s="17"/>
      <c r="CF616" s="17"/>
      <c r="CG616" s="17"/>
      <c r="CH616" s="17"/>
    </row>
    <row r="617" spans="8:86" x14ac:dyDescent="0.15">
      <c r="H617" s="3">
        <f t="shared" si="263"/>
        <v>0.60500000000000043</v>
      </c>
      <c r="I617" s="3">
        <f t="shared" si="264"/>
        <v>360</v>
      </c>
      <c r="J617" s="14">
        <f t="shared" si="265"/>
        <v>500</v>
      </c>
      <c r="K617" s="3">
        <f t="shared" si="255"/>
        <v>0</v>
      </c>
      <c r="L617" s="3">
        <f t="shared" si="251"/>
        <v>500</v>
      </c>
      <c r="M617" s="15">
        <f t="shared" si="266"/>
        <v>7.0000000000000007E-2</v>
      </c>
      <c r="N617" s="3">
        <f t="shared" si="267"/>
        <v>56.338738785706241</v>
      </c>
      <c r="O617" s="3">
        <f t="shared" si="252"/>
        <v>56.338738785706241</v>
      </c>
      <c r="P617" s="3">
        <f t="shared" si="256"/>
        <v>60.579289016888438</v>
      </c>
      <c r="Q617" s="3">
        <f t="shared" si="257"/>
        <v>16.001939857863729</v>
      </c>
      <c r="R617" s="3">
        <f t="shared" si="258"/>
        <v>38.290614437376085</v>
      </c>
      <c r="S617" s="3">
        <f t="shared" si="253"/>
        <v>1</v>
      </c>
      <c r="T617" s="3">
        <f t="shared" si="259"/>
        <v>22288.674579512353</v>
      </c>
      <c r="U617" s="3">
        <f t="shared" si="260"/>
        <v>0.5</v>
      </c>
      <c r="V617" s="3">
        <f t="shared" si="261"/>
        <v>0</v>
      </c>
      <c r="W617" s="3">
        <f t="shared" si="262"/>
        <v>20281.945962854246</v>
      </c>
      <c r="X617" s="3">
        <f t="shared" si="254"/>
        <v>8000.9699289318642</v>
      </c>
      <c r="AI617" s="3"/>
      <c r="AJ617" s="3"/>
      <c r="AK617" s="15">
        <f t="shared" si="245"/>
        <v>3</v>
      </c>
      <c r="AL617" s="11">
        <f t="shared" si="249"/>
        <v>3648</v>
      </c>
      <c r="AM617" s="11" t="b">
        <f t="shared" si="244"/>
        <v>1</v>
      </c>
      <c r="AN617" s="11">
        <f t="shared" si="246"/>
        <v>36000</v>
      </c>
      <c r="AO617" s="11">
        <f t="shared" si="247"/>
        <v>0</v>
      </c>
      <c r="AP617" s="11">
        <f t="shared" si="248"/>
        <v>0.5643769930549104</v>
      </c>
      <c r="AQ617" s="11">
        <f t="shared" si="250"/>
        <v>0</v>
      </c>
      <c r="AT617" s="3"/>
      <c r="AU617" s="17"/>
      <c r="AV617" s="19"/>
      <c r="AW617" s="17"/>
      <c r="AX617" s="17">
        <f t="shared" si="243"/>
        <v>608</v>
      </c>
      <c r="AY617" s="17">
        <f t="shared" si="268"/>
        <v>60.8</v>
      </c>
      <c r="AZ617" s="17">
        <v>56.437699305491037</v>
      </c>
      <c r="BA617" s="17"/>
      <c r="BB617" s="17">
        <v>36</v>
      </c>
      <c r="BC617" s="17"/>
      <c r="BD617" s="17"/>
      <c r="BE617" s="17"/>
      <c r="BF617" s="17"/>
      <c r="BG617" s="17"/>
      <c r="BH617" s="17"/>
      <c r="BI617" s="17"/>
      <c r="BJ617" s="17"/>
      <c r="BK617" s="17"/>
      <c r="BL617" s="17"/>
      <c r="BM617" s="17"/>
      <c r="BN617" s="17"/>
      <c r="BO617" s="17"/>
      <c r="BP617" s="17"/>
      <c r="BQ617" s="17"/>
      <c r="BR617" s="17"/>
      <c r="BS617" s="17"/>
      <c r="BT617" s="17"/>
      <c r="BU617" s="17"/>
      <c r="BV617" s="17"/>
      <c r="BW617" s="17"/>
      <c r="BX617" s="17"/>
      <c r="BY617" s="17"/>
      <c r="BZ617" s="17"/>
      <c r="CA617" s="17"/>
      <c r="CB617" s="17"/>
      <c r="CC617" s="17"/>
      <c r="CD617" s="17"/>
      <c r="CE617" s="17"/>
      <c r="CF617" s="17"/>
      <c r="CG617" s="17"/>
      <c r="CH617" s="17"/>
    </row>
    <row r="618" spans="8:86" x14ac:dyDescent="0.15">
      <c r="H618" s="3">
        <f t="shared" si="263"/>
        <v>0.60600000000000043</v>
      </c>
      <c r="I618" s="3">
        <f t="shared" si="264"/>
        <v>360</v>
      </c>
      <c r="J618" s="14">
        <f t="shared" si="265"/>
        <v>500</v>
      </c>
      <c r="K618" s="3">
        <f t="shared" si="255"/>
        <v>0</v>
      </c>
      <c r="L618" s="3">
        <f t="shared" si="251"/>
        <v>500</v>
      </c>
      <c r="M618" s="15">
        <f t="shared" si="266"/>
        <v>7.0000000000000007E-2</v>
      </c>
      <c r="N618" s="3">
        <f t="shared" si="267"/>
        <v>56.276825800763156</v>
      </c>
      <c r="O618" s="3">
        <f t="shared" si="252"/>
        <v>56.276825800763156</v>
      </c>
      <c r="P618" s="3">
        <f t="shared" si="256"/>
        <v>60.512715914799095</v>
      </c>
      <c r="Q618" s="3">
        <f t="shared" si="257"/>
        <v>15.957362508704703</v>
      </c>
      <c r="R618" s="3">
        <f t="shared" si="258"/>
        <v>38.235039211751896</v>
      </c>
      <c r="S618" s="3">
        <f t="shared" si="253"/>
        <v>1</v>
      </c>
      <c r="T618" s="3">
        <f t="shared" si="259"/>
        <v>22277.676703047196</v>
      </c>
      <c r="U618" s="3">
        <f t="shared" si="260"/>
        <v>0.5</v>
      </c>
      <c r="V618" s="3">
        <f t="shared" si="261"/>
        <v>0</v>
      </c>
      <c r="W618" s="3">
        <f t="shared" si="262"/>
        <v>20259.657288274735</v>
      </c>
      <c r="X618" s="3">
        <f t="shared" si="254"/>
        <v>7978.681254352352</v>
      </c>
      <c r="AI618" s="3"/>
      <c r="AJ618" s="3"/>
      <c r="AK618" s="15">
        <f t="shared" si="245"/>
        <v>3</v>
      </c>
      <c r="AL618" s="11">
        <f t="shared" si="249"/>
        <v>3654</v>
      </c>
      <c r="AM618" s="11" t="b">
        <f t="shared" si="244"/>
        <v>1</v>
      </c>
      <c r="AN618" s="11">
        <f t="shared" si="246"/>
        <v>36000</v>
      </c>
      <c r="AO618" s="11">
        <f t="shared" si="247"/>
        <v>0</v>
      </c>
      <c r="AP618" s="11">
        <f t="shared" si="248"/>
        <v>0.54316852216276923</v>
      </c>
      <c r="AQ618" s="11">
        <f t="shared" si="250"/>
        <v>0</v>
      </c>
      <c r="AT618" s="3"/>
      <c r="AU618" s="17"/>
      <c r="AV618" s="19"/>
      <c r="AW618" s="17"/>
      <c r="AX618" s="17">
        <f t="shared" si="243"/>
        <v>609</v>
      </c>
      <c r="AY618" s="17">
        <f t="shared" si="268"/>
        <v>60.9</v>
      </c>
      <c r="AZ618" s="17">
        <v>54.316852216276921</v>
      </c>
      <c r="BA618" s="17"/>
      <c r="BB618" s="17">
        <v>36</v>
      </c>
      <c r="BC618" s="17"/>
      <c r="BD618" s="17"/>
      <c r="BE618" s="17"/>
      <c r="BF618" s="17"/>
      <c r="BG618" s="17"/>
      <c r="BH618" s="17"/>
      <c r="BI618" s="17"/>
      <c r="BJ618" s="17"/>
      <c r="BK618" s="17"/>
      <c r="BL618" s="17"/>
      <c r="BM618" s="17"/>
      <c r="BN618" s="17"/>
      <c r="BO618" s="17"/>
      <c r="BP618" s="17"/>
      <c r="BQ618" s="17"/>
      <c r="BR618" s="17"/>
      <c r="BS618" s="17"/>
      <c r="BT618" s="17"/>
      <c r="BU618" s="17"/>
      <c r="BV618" s="17"/>
      <c r="BW618" s="17"/>
      <c r="BX618" s="17"/>
      <c r="BY618" s="17"/>
      <c r="BZ618" s="17"/>
      <c r="CA618" s="17"/>
      <c r="CB618" s="17"/>
      <c r="CC618" s="17"/>
      <c r="CD618" s="17"/>
      <c r="CE618" s="17"/>
      <c r="CF618" s="17"/>
      <c r="CG618" s="17"/>
      <c r="CH618" s="17"/>
    </row>
    <row r="619" spans="8:86" x14ac:dyDescent="0.15">
      <c r="H619" s="3">
        <f t="shared" si="263"/>
        <v>0.60700000000000043</v>
      </c>
      <c r="I619" s="3">
        <f t="shared" si="264"/>
        <v>360</v>
      </c>
      <c r="J619" s="14">
        <f t="shared" si="265"/>
        <v>500</v>
      </c>
      <c r="K619" s="3">
        <f t="shared" si="255"/>
        <v>0</v>
      </c>
      <c r="L619" s="3">
        <f t="shared" si="251"/>
        <v>500</v>
      </c>
      <c r="M619" s="15">
        <f t="shared" si="266"/>
        <v>7.0000000000000007E-2</v>
      </c>
      <c r="N619" s="3">
        <f t="shared" si="267"/>
        <v>56.214943365476906</v>
      </c>
      <c r="O619" s="3">
        <f t="shared" si="252"/>
        <v>56.214943365476906</v>
      </c>
      <c r="P619" s="3">
        <f t="shared" si="256"/>
        <v>60.446175661803132</v>
      </c>
      <c r="Q619" s="3">
        <f t="shared" si="257"/>
        <v>15.912807155298609</v>
      </c>
      <c r="R619" s="3">
        <f t="shared" si="258"/>
        <v>38.179491408550874</v>
      </c>
      <c r="S619" s="3">
        <f t="shared" si="253"/>
        <v>1</v>
      </c>
      <c r="T619" s="3">
        <f t="shared" si="259"/>
        <v>22266.684253252261</v>
      </c>
      <c r="U619" s="3">
        <f t="shared" si="260"/>
        <v>0.5</v>
      </c>
      <c r="V619" s="3">
        <f t="shared" si="261"/>
        <v>0</v>
      </c>
      <c r="W619" s="3">
        <f t="shared" si="262"/>
        <v>20237.379611571687</v>
      </c>
      <c r="X619" s="3">
        <f t="shared" si="254"/>
        <v>7956.4035776493047</v>
      </c>
      <c r="AI619" s="3"/>
      <c r="AJ619" s="3"/>
      <c r="AK619" s="15">
        <f t="shared" si="245"/>
        <v>3</v>
      </c>
      <c r="AL619" s="11">
        <f t="shared" si="249"/>
        <v>3660</v>
      </c>
      <c r="AM619" s="11" t="b">
        <f t="shared" si="244"/>
        <v>1</v>
      </c>
      <c r="AN619" s="11">
        <f t="shared" si="246"/>
        <v>36000</v>
      </c>
      <c r="AO619" s="11">
        <f t="shared" si="247"/>
        <v>0</v>
      </c>
      <c r="AP619" s="11">
        <f t="shared" si="248"/>
        <v>0.52279845831958582</v>
      </c>
      <c r="AQ619" s="11">
        <f t="shared" si="250"/>
        <v>0</v>
      </c>
      <c r="AT619" s="3"/>
      <c r="AU619" s="17"/>
      <c r="AV619" s="19"/>
      <c r="AW619" s="17"/>
      <c r="AX619" s="17">
        <f t="shared" si="243"/>
        <v>610</v>
      </c>
      <c r="AY619" s="17">
        <f t="shared" si="268"/>
        <v>61</v>
      </c>
      <c r="AZ619" s="17">
        <v>52.279845831958582</v>
      </c>
      <c r="BA619" s="17"/>
      <c r="BB619" s="17">
        <v>36</v>
      </c>
      <c r="BC619" s="17"/>
      <c r="BD619" s="17"/>
      <c r="BE619" s="17"/>
      <c r="BF619" s="17"/>
      <c r="BG619" s="17"/>
      <c r="BH619" s="17"/>
      <c r="BI619" s="17"/>
      <c r="BJ619" s="17"/>
      <c r="BK619" s="17"/>
      <c r="BL619" s="17"/>
      <c r="BM619" s="17"/>
      <c r="BN619" s="17"/>
      <c r="BO619" s="17"/>
      <c r="BP619" s="17"/>
      <c r="BQ619" s="17"/>
      <c r="BR619" s="17"/>
      <c r="BS619" s="17"/>
      <c r="BT619" s="17"/>
      <c r="BU619" s="17"/>
      <c r="BV619" s="17"/>
      <c r="BW619" s="17"/>
      <c r="BX619" s="17"/>
      <c r="BY619" s="17"/>
      <c r="BZ619" s="17"/>
      <c r="CA619" s="17"/>
      <c r="CB619" s="17"/>
      <c r="CC619" s="17"/>
      <c r="CD619" s="17"/>
      <c r="CE619" s="17"/>
      <c r="CF619" s="17"/>
      <c r="CG619" s="17"/>
      <c r="CH619" s="17"/>
    </row>
    <row r="620" spans="8:86" x14ac:dyDescent="0.15">
      <c r="H620" s="3">
        <f t="shared" si="263"/>
        <v>0.60800000000000043</v>
      </c>
      <c r="I620" s="3">
        <f t="shared" si="264"/>
        <v>360</v>
      </c>
      <c r="J620" s="14">
        <f t="shared" si="265"/>
        <v>500</v>
      </c>
      <c r="K620" s="3">
        <f t="shared" si="255"/>
        <v>0</v>
      </c>
      <c r="L620" s="3">
        <f t="shared" si="251"/>
        <v>500</v>
      </c>
      <c r="M620" s="15">
        <f t="shared" si="266"/>
        <v>7.0000000000000007E-2</v>
      </c>
      <c r="N620" s="3">
        <f t="shared" si="267"/>
        <v>56.153091464773425</v>
      </c>
      <c r="O620" s="3">
        <f t="shared" si="252"/>
        <v>56.153091464773425</v>
      </c>
      <c r="P620" s="3">
        <f t="shared" si="256"/>
        <v>60.37966824169186</v>
      </c>
      <c r="Q620" s="3">
        <f t="shared" si="257"/>
        <v>15.868273786792104</v>
      </c>
      <c r="R620" s="3">
        <f t="shared" si="258"/>
        <v>38.123971014241981</v>
      </c>
      <c r="S620" s="3">
        <f t="shared" si="253"/>
        <v>1</v>
      </c>
      <c r="T620" s="3">
        <f t="shared" si="259"/>
        <v>22255.69722744988</v>
      </c>
      <c r="U620" s="3">
        <f t="shared" si="260"/>
        <v>0.5</v>
      </c>
      <c r="V620" s="3">
        <f t="shared" si="261"/>
        <v>0</v>
      </c>
      <c r="W620" s="3">
        <f t="shared" si="262"/>
        <v>20215.112927318434</v>
      </c>
      <c r="X620" s="3">
        <f t="shared" si="254"/>
        <v>7934.1368933960521</v>
      </c>
      <c r="AI620" s="3"/>
      <c r="AJ620" s="3"/>
      <c r="AK620" s="15">
        <f t="shared" si="245"/>
        <v>3</v>
      </c>
      <c r="AL620" s="11">
        <f t="shared" si="249"/>
        <v>3666</v>
      </c>
      <c r="AM620" s="11" t="b">
        <f t="shared" si="244"/>
        <v>1</v>
      </c>
      <c r="AN620" s="11">
        <f t="shared" si="246"/>
        <v>36000</v>
      </c>
      <c r="AO620" s="11">
        <f t="shared" si="247"/>
        <v>0</v>
      </c>
      <c r="AP620" s="11">
        <f t="shared" si="248"/>
        <v>0.50323365786388075</v>
      </c>
      <c r="AQ620" s="11">
        <f t="shared" si="250"/>
        <v>0</v>
      </c>
      <c r="AT620" s="3"/>
      <c r="AU620" s="17"/>
      <c r="AV620" s="19"/>
      <c r="AW620" s="17"/>
      <c r="AX620" s="17">
        <f t="shared" si="243"/>
        <v>611</v>
      </c>
      <c r="AY620" s="17">
        <f t="shared" si="268"/>
        <v>61.1</v>
      </c>
      <c r="AZ620" s="17">
        <v>50.323365786388074</v>
      </c>
      <c r="BA620" s="17"/>
      <c r="BB620" s="17">
        <v>36</v>
      </c>
      <c r="BC620" s="17"/>
      <c r="BD620" s="17"/>
      <c r="BE620" s="17"/>
      <c r="BF620" s="17"/>
      <c r="BG620" s="17"/>
      <c r="BH620" s="17"/>
      <c r="BI620" s="17"/>
      <c r="BJ620" s="17"/>
      <c r="BK620" s="17"/>
      <c r="BL620" s="17"/>
      <c r="BM620" s="17"/>
      <c r="BN620" s="17"/>
      <c r="BO620" s="17"/>
      <c r="BP620" s="17"/>
      <c r="BQ620" s="17"/>
      <c r="BR620" s="17"/>
      <c r="BS620" s="17"/>
      <c r="BT620" s="17"/>
      <c r="BU620" s="17"/>
      <c r="BV620" s="17"/>
      <c r="BW620" s="17"/>
      <c r="BX620" s="17"/>
      <c r="BY620" s="17"/>
      <c r="BZ620" s="17"/>
      <c r="CA620" s="17"/>
      <c r="CB620" s="17"/>
      <c r="CC620" s="17"/>
      <c r="CD620" s="17"/>
      <c r="CE620" s="17"/>
      <c r="CF620" s="17"/>
      <c r="CG620" s="17"/>
      <c r="CH620" s="17"/>
    </row>
    <row r="621" spans="8:86" x14ac:dyDescent="0.15">
      <c r="H621" s="3">
        <f t="shared" si="263"/>
        <v>0.60900000000000043</v>
      </c>
      <c r="I621" s="3">
        <f t="shared" si="264"/>
        <v>360</v>
      </c>
      <c r="J621" s="14">
        <f t="shared" si="265"/>
        <v>500</v>
      </c>
      <c r="K621" s="3">
        <f t="shared" si="255"/>
        <v>0</v>
      </c>
      <c r="L621" s="3">
        <f t="shared" si="251"/>
        <v>500</v>
      </c>
      <c r="M621" s="15">
        <f t="shared" si="266"/>
        <v>7.0000000000000007E-2</v>
      </c>
      <c r="N621" s="3">
        <f t="shared" si="267"/>
        <v>56.091270083586068</v>
      </c>
      <c r="O621" s="3">
        <f t="shared" si="252"/>
        <v>56.091270083586068</v>
      </c>
      <c r="P621" s="3">
        <f t="shared" si="256"/>
        <v>60.313193638264593</v>
      </c>
      <c r="Q621" s="3">
        <f t="shared" si="257"/>
        <v>15.823762392337205</v>
      </c>
      <c r="R621" s="3">
        <f t="shared" si="258"/>
        <v>38.068478015300897</v>
      </c>
      <c r="S621" s="3">
        <f t="shared" si="253"/>
        <v>1</v>
      </c>
      <c r="T621" s="3">
        <f t="shared" si="259"/>
        <v>22244.715622963697</v>
      </c>
      <c r="U621" s="3">
        <f t="shared" si="260"/>
        <v>0.5</v>
      </c>
      <c r="V621" s="3">
        <f t="shared" si="261"/>
        <v>0</v>
      </c>
      <c r="W621" s="3">
        <f t="shared" si="262"/>
        <v>20192.857230090984</v>
      </c>
      <c r="X621" s="3">
        <f t="shared" si="254"/>
        <v>7911.8811961686024</v>
      </c>
      <c r="AI621" s="3"/>
      <c r="AJ621" s="3"/>
      <c r="AK621" s="15">
        <f t="shared" si="245"/>
        <v>3</v>
      </c>
      <c r="AL621" s="11">
        <f t="shared" si="249"/>
        <v>3672</v>
      </c>
      <c r="AM621" s="11" t="b">
        <f t="shared" si="244"/>
        <v>1</v>
      </c>
      <c r="AN621" s="11">
        <f t="shared" si="246"/>
        <v>36000</v>
      </c>
      <c r="AO621" s="11">
        <f t="shared" si="247"/>
        <v>0</v>
      </c>
      <c r="AP621" s="11">
        <f t="shared" si="248"/>
        <v>0.48444228735967648</v>
      </c>
      <c r="AQ621" s="11">
        <f t="shared" si="250"/>
        <v>0</v>
      </c>
      <c r="AT621" s="3"/>
      <c r="AU621" s="17"/>
      <c r="AV621" s="19"/>
      <c r="AW621" s="17"/>
      <c r="AX621" s="17">
        <f t="shared" si="243"/>
        <v>612</v>
      </c>
      <c r="AY621" s="17">
        <f t="shared" si="268"/>
        <v>61.2</v>
      </c>
      <c r="AZ621" s="17">
        <v>48.444228735967648</v>
      </c>
      <c r="BA621" s="17"/>
      <c r="BB621" s="17">
        <v>36</v>
      </c>
      <c r="BC621" s="17"/>
      <c r="BD621" s="17"/>
      <c r="BE621" s="17"/>
      <c r="BF621" s="17"/>
      <c r="BG621" s="17"/>
      <c r="BH621" s="17"/>
      <c r="BI621" s="17"/>
      <c r="BJ621" s="17"/>
      <c r="BK621" s="17"/>
      <c r="BL621" s="17"/>
      <c r="BM621" s="17"/>
      <c r="BN621" s="17"/>
      <c r="BO621" s="17"/>
      <c r="BP621" s="17"/>
      <c r="BQ621" s="17"/>
      <c r="BR621" s="17"/>
      <c r="BS621" s="17"/>
      <c r="BT621" s="17"/>
      <c r="BU621" s="17"/>
      <c r="BV621" s="17"/>
      <c r="BW621" s="17"/>
      <c r="BX621" s="17"/>
      <c r="BY621" s="17"/>
      <c r="BZ621" s="17"/>
      <c r="CA621" s="17"/>
      <c r="CB621" s="17"/>
      <c r="CC621" s="17"/>
      <c r="CD621" s="17"/>
      <c r="CE621" s="17"/>
      <c r="CF621" s="17"/>
      <c r="CG621" s="17"/>
      <c r="CH621" s="17"/>
    </row>
    <row r="622" spans="8:86" x14ac:dyDescent="0.15">
      <c r="H622" s="3">
        <f t="shared" si="263"/>
        <v>0.61000000000000043</v>
      </c>
      <c r="I622" s="3">
        <f t="shared" si="264"/>
        <v>360</v>
      </c>
      <c r="J622" s="14">
        <f t="shared" si="265"/>
        <v>500</v>
      </c>
      <c r="K622" s="3">
        <f t="shared" si="255"/>
        <v>0</v>
      </c>
      <c r="L622" s="3">
        <f t="shared" si="251"/>
        <v>500</v>
      </c>
      <c r="M622" s="15">
        <f t="shared" si="266"/>
        <v>7.0000000000000007E-2</v>
      </c>
      <c r="N622" s="3">
        <f t="shared" si="267"/>
        <v>56.029479206855612</v>
      </c>
      <c r="O622" s="3">
        <f t="shared" si="252"/>
        <v>56.029479206855612</v>
      </c>
      <c r="P622" s="3">
        <f t="shared" si="256"/>
        <v>60.246751835328617</v>
      </c>
      <c r="Q622" s="3">
        <f t="shared" si="257"/>
        <v>15.779272961091278</v>
      </c>
      <c r="R622" s="3">
        <f t="shared" si="258"/>
        <v>38.013012398209945</v>
      </c>
      <c r="S622" s="3">
        <f t="shared" si="253"/>
        <v>1</v>
      </c>
      <c r="T622" s="3">
        <f t="shared" si="259"/>
        <v>22233.739437118667</v>
      </c>
      <c r="U622" s="3">
        <f t="shared" si="260"/>
        <v>0.5</v>
      </c>
      <c r="V622" s="3">
        <f t="shared" si="261"/>
        <v>0</v>
      </c>
      <c r="W622" s="3">
        <f t="shared" si="262"/>
        <v>20170.612514468019</v>
      </c>
      <c r="X622" s="3">
        <f t="shared" si="254"/>
        <v>7889.6364805456387</v>
      </c>
      <c r="AI622" s="3"/>
      <c r="AJ622" s="3"/>
      <c r="AK622" s="15">
        <f t="shared" si="245"/>
        <v>3</v>
      </c>
      <c r="AL622" s="11">
        <f t="shared" si="249"/>
        <v>3678</v>
      </c>
      <c r="AM622" s="11" t="b">
        <f t="shared" si="244"/>
        <v>1</v>
      </c>
      <c r="AN622" s="11">
        <f t="shared" si="246"/>
        <v>36000</v>
      </c>
      <c r="AO622" s="11">
        <f t="shared" si="247"/>
        <v>0</v>
      </c>
      <c r="AP622" s="11">
        <f t="shared" si="248"/>
        <v>0.46639377180104669</v>
      </c>
      <c r="AQ622" s="11">
        <f t="shared" si="250"/>
        <v>0</v>
      </c>
      <c r="AT622" s="3"/>
      <c r="AU622" s="17"/>
      <c r="AV622" s="19"/>
      <c r="AW622" s="17"/>
      <c r="AX622" s="17">
        <f t="shared" ref="AX622:AX685" si="269">IF(AX621&gt;=$AG$14,$AG$14,AX621+1)</f>
        <v>613</v>
      </c>
      <c r="AY622" s="17">
        <f t="shared" si="268"/>
        <v>61.3</v>
      </c>
      <c r="AZ622" s="17">
        <v>46.639377180104667</v>
      </c>
      <c r="BA622" s="17"/>
      <c r="BB622" s="17">
        <v>36</v>
      </c>
      <c r="BC622" s="17"/>
      <c r="BD622" s="17"/>
      <c r="BE622" s="17"/>
      <c r="BF622" s="17"/>
      <c r="BG622" s="17"/>
      <c r="BH622" s="17"/>
      <c r="BI622" s="17"/>
      <c r="BJ622" s="17"/>
      <c r="BK622" s="17"/>
      <c r="BL622" s="17"/>
      <c r="BM622" s="17"/>
      <c r="BN622" s="17"/>
      <c r="BO622" s="17"/>
      <c r="BP622" s="17"/>
      <c r="BQ622" s="17"/>
      <c r="BR622" s="17"/>
      <c r="BS622" s="17"/>
      <c r="BT622" s="17"/>
      <c r="BU622" s="17"/>
      <c r="BV622" s="17"/>
      <c r="BW622" s="17"/>
      <c r="BX622" s="17"/>
      <c r="BY622" s="17"/>
      <c r="BZ622" s="17"/>
      <c r="CA622" s="17"/>
      <c r="CB622" s="17"/>
      <c r="CC622" s="17"/>
      <c r="CD622" s="17"/>
      <c r="CE622" s="17"/>
      <c r="CF622" s="17"/>
      <c r="CG622" s="17"/>
      <c r="CH622" s="17"/>
    </row>
    <row r="623" spans="8:86" x14ac:dyDescent="0.15">
      <c r="H623" s="3">
        <f t="shared" si="263"/>
        <v>0.61100000000000043</v>
      </c>
      <c r="I623" s="3">
        <f t="shared" si="264"/>
        <v>360</v>
      </c>
      <c r="J623" s="14">
        <f t="shared" si="265"/>
        <v>500</v>
      </c>
      <c r="K623" s="3">
        <f t="shared" si="255"/>
        <v>0</v>
      </c>
      <c r="L623" s="3">
        <f t="shared" si="251"/>
        <v>500</v>
      </c>
      <c r="M623" s="15">
        <f t="shared" si="266"/>
        <v>7.0000000000000007E-2</v>
      </c>
      <c r="N623" s="3">
        <f t="shared" si="267"/>
        <v>55.967718819530283</v>
      </c>
      <c r="O623" s="3">
        <f t="shared" si="252"/>
        <v>55.967718819530283</v>
      </c>
      <c r="P623" s="3">
        <f t="shared" si="256"/>
        <v>60.18034281669923</v>
      </c>
      <c r="Q623" s="3">
        <f t="shared" si="257"/>
        <v>15.734805482217039</v>
      </c>
      <c r="R623" s="3">
        <f t="shared" si="258"/>
        <v>37.957574149458132</v>
      </c>
      <c r="S623" s="3">
        <f t="shared" si="253"/>
        <v>1</v>
      </c>
      <c r="T623" s="3">
        <f t="shared" si="259"/>
        <v>22222.768667241096</v>
      </c>
      <c r="U623" s="3">
        <f t="shared" si="260"/>
        <v>0.5</v>
      </c>
      <c r="V623" s="3">
        <f t="shared" si="261"/>
        <v>0</v>
      </c>
      <c r="W623" s="3">
        <f t="shared" si="262"/>
        <v>20148.378775030902</v>
      </c>
      <c r="X623" s="3">
        <f t="shared" si="254"/>
        <v>7867.4027411085199</v>
      </c>
      <c r="AI623" s="3"/>
      <c r="AJ623" s="3"/>
      <c r="AK623" s="15">
        <f t="shared" si="245"/>
        <v>3</v>
      </c>
      <c r="AL623" s="11">
        <f t="shared" si="249"/>
        <v>3684</v>
      </c>
      <c r="AM623" s="11" t="b">
        <f t="shared" si="244"/>
        <v>1</v>
      </c>
      <c r="AN623" s="11">
        <f t="shared" si="246"/>
        <v>36000</v>
      </c>
      <c r="AO623" s="11">
        <f t="shared" si="247"/>
        <v>0</v>
      </c>
      <c r="AP623" s="11">
        <f t="shared" si="248"/>
        <v>0.44905874486422903</v>
      </c>
      <c r="AQ623" s="11">
        <f t="shared" si="250"/>
        <v>0</v>
      </c>
      <c r="AT623" s="3"/>
      <c r="AU623" s="17"/>
      <c r="AV623" s="19"/>
      <c r="AW623" s="17"/>
      <c r="AX623" s="17">
        <f t="shared" si="269"/>
        <v>614</v>
      </c>
      <c r="AY623" s="17">
        <f t="shared" si="268"/>
        <v>61.4</v>
      </c>
      <c r="AZ623" s="17">
        <v>44.905874486422903</v>
      </c>
      <c r="BA623" s="17"/>
      <c r="BB623" s="17">
        <v>36</v>
      </c>
      <c r="BC623" s="17"/>
      <c r="BD623" s="17"/>
      <c r="BE623" s="17"/>
      <c r="BF623" s="17"/>
      <c r="BG623" s="17"/>
      <c r="BH623" s="17"/>
      <c r="BI623" s="17"/>
      <c r="BJ623" s="17"/>
      <c r="BK623" s="17"/>
      <c r="BL623" s="17"/>
      <c r="BM623" s="17"/>
      <c r="BN623" s="17"/>
      <c r="BO623" s="17"/>
      <c r="BP623" s="17"/>
      <c r="BQ623" s="17"/>
      <c r="BR623" s="17"/>
      <c r="BS623" s="17"/>
      <c r="BT623" s="17"/>
      <c r="BU623" s="17"/>
      <c r="BV623" s="17"/>
      <c r="BW623" s="17"/>
      <c r="BX623" s="17"/>
      <c r="BY623" s="17"/>
      <c r="BZ623" s="17"/>
      <c r="CA623" s="17"/>
      <c r="CB623" s="17"/>
      <c r="CC623" s="17"/>
      <c r="CD623" s="17"/>
      <c r="CE623" s="17"/>
      <c r="CF623" s="17"/>
      <c r="CG623" s="17"/>
      <c r="CH623" s="17"/>
    </row>
    <row r="624" spans="8:86" x14ac:dyDescent="0.15">
      <c r="H624" s="3">
        <f t="shared" si="263"/>
        <v>0.61200000000000043</v>
      </c>
      <c r="I624" s="3">
        <f t="shared" si="264"/>
        <v>360</v>
      </c>
      <c r="J624" s="14">
        <f t="shared" si="265"/>
        <v>500</v>
      </c>
      <c r="K624" s="3">
        <f t="shared" si="255"/>
        <v>0</v>
      </c>
      <c r="L624" s="3">
        <f t="shared" si="251"/>
        <v>500</v>
      </c>
      <c r="M624" s="15">
        <f t="shared" si="266"/>
        <v>7.0000000000000007E-2</v>
      </c>
      <c r="N624" s="3">
        <f t="shared" si="267"/>
        <v>55.905988906565725</v>
      </c>
      <c r="O624" s="3">
        <f t="shared" si="252"/>
        <v>55.905988906565725</v>
      </c>
      <c r="P624" s="3">
        <f t="shared" si="256"/>
        <v>60.113966566199707</v>
      </c>
      <c r="Q624" s="3">
        <f t="shared" si="257"/>
        <v>15.690359944882557</v>
      </c>
      <c r="R624" s="3">
        <f t="shared" si="258"/>
        <v>37.902163255541133</v>
      </c>
      <c r="S624" s="3">
        <f t="shared" si="253"/>
        <v>1</v>
      </c>
      <c r="T624" s="3">
        <f t="shared" si="259"/>
        <v>22211.803310658575</v>
      </c>
      <c r="U624" s="3">
        <f t="shared" si="260"/>
        <v>0.5</v>
      </c>
      <c r="V624" s="3">
        <f t="shared" si="261"/>
        <v>0</v>
      </c>
      <c r="W624" s="3">
        <f t="shared" si="262"/>
        <v>20126.156006363661</v>
      </c>
      <c r="X624" s="3">
        <f t="shared" si="254"/>
        <v>7845.1799724412786</v>
      </c>
      <c r="AI624" s="3"/>
      <c r="AJ624" s="3"/>
      <c r="AK624" s="15">
        <f t="shared" si="245"/>
        <v>3</v>
      </c>
      <c r="AL624" s="11">
        <f t="shared" si="249"/>
        <v>3690</v>
      </c>
      <c r="AM624" s="11" t="b">
        <f t="shared" si="244"/>
        <v>1</v>
      </c>
      <c r="AN624" s="11">
        <f t="shared" si="246"/>
        <v>36000</v>
      </c>
      <c r="AO624" s="11">
        <f t="shared" si="247"/>
        <v>0</v>
      </c>
      <c r="AP624" s="11">
        <f t="shared" si="248"/>
        <v>0.43240900112635638</v>
      </c>
      <c r="AQ624" s="11">
        <f t="shared" si="250"/>
        <v>0</v>
      </c>
      <c r="AT624" s="3"/>
      <c r="AU624" s="17"/>
      <c r="AV624" s="19"/>
      <c r="AW624" s="17"/>
      <c r="AX624" s="17">
        <f t="shared" si="269"/>
        <v>615</v>
      </c>
      <c r="AY624" s="17">
        <f t="shared" si="268"/>
        <v>61.5</v>
      </c>
      <c r="AZ624" s="17">
        <v>43.240900112635636</v>
      </c>
      <c r="BA624" s="17"/>
      <c r="BB624" s="17">
        <v>36</v>
      </c>
      <c r="BC624" s="17"/>
      <c r="BD624" s="17"/>
      <c r="BE624" s="17"/>
      <c r="BF624" s="17"/>
      <c r="BG624" s="17"/>
      <c r="BH624" s="17"/>
      <c r="BI624" s="17"/>
      <c r="BJ624" s="17"/>
      <c r="BK624" s="17"/>
      <c r="BL624" s="17"/>
      <c r="BM624" s="17"/>
      <c r="BN624" s="17"/>
      <c r="BO624" s="17"/>
      <c r="BP624" s="17"/>
      <c r="BQ624" s="17"/>
      <c r="BR624" s="17"/>
      <c r="BS624" s="17"/>
      <c r="BT624" s="17"/>
      <c r="BU624" s="17"/>
      <c r="BV624" s="17"/>
      <c r="BW624" s="17"/>
      <c r="BX624" s="17"/>
      <c r="BY624" s="17"/>
      <c r="BZ624" s="17"/>
      <c r="CA624" s="17"/>
      <c r="CB624" s="17"/>
      <c r="CC624" s="17"/>
      <c r="CD624" s="17"/>
      <c r="CE624" s="17"/>
      <c r="CF624" s="17"/>
      <c r="CG624" s="17"/>
      <c r="CH624" s="17"/>
    </row>
    <row r="625" spans="8:86" x14ac:dyDescent="0.15">
      <c r="H625" s="3">
        <f t="shared" si="263"/>
        <v>0.61300000000000043</v>
      </c>
      <c r="I625" s="3">
        <f t="shared" si="264"/>
        <v>360</v>
      </c>
      <c r="J625" s="14">
        <f t="shared" si="265"/>
        <v>500</v>
      </c>
      <c r="K625" s="3">
        <f t="shared" si="255"/>
        <v>0</v>
      </c>
      <c r="L625" s="3">
        <f t="shared" si="251"/>
        <v>500</v>
      </c>
      <c r="M625" s="15">
        <f t="shared" si="266"/>
        <v>7.0000000000000007E-2</v>
      </c>
      <c r="N625" s="3">
        <f t="shared" si="267"/>
        <v>55.844289452925004</v>
      </c>
      <c r="O625" s="3">
        <f t="shared" si="252"/>
        <v>55.844289452925004</v>
      </c>
      <c r="P625" s="3">
        <f t="shared" si="256"/>
        <v>60.047623067661299</v>
      </c>
      <c r="Q625" s="3">
        <f t="shared" si="257"/>
        <v>15.645936338261238</v>
      </c>
      <c r="R625" s="3">
        <f t="shared" si="258"/>
        <v>37.846779702961271</v>
      </c>
      <c r="S625" s="3">
        <f t="shared" si="253"/>
        <v>1</v>
      </c>
      <c r="T625" s="3">
        <f t="shared" si="259"/>
        <v>22200.843364700031</v>
      </c>
      <c r="U625" s="3">
        <f t="shared" si="260"/>
        <v>0.5</v>
      </c>
      <c r="V625" s="3">
        <f t="shared" si="261"/>
        <v>0</v>
      </c>
      <c r="W625" s="3">
        <f t="shared" si="262"/>
        <v>20103.944203053001</v>
      </c>
      <c r="X625" s="3">
        <f t="shared" si="254"/>
        <v>7822.9681691306196</v>
      </c>
      <c r="AI625" s="3"/>
      <c r="AJ625" s="3"/>
      <c r="AK625" s="15">
        <f t="shared" si="245"/>
        <v>3</v>
      </c>
      <c r="AL625" s="11">
        <f t="shared" si="249"/>
        <v>3696</v>
      </c>
      <c r="AM625" s="11" t="b">
        <f t="shared" si="244"/>
        <v>1</v>
      </c>
      <c r="AN625" s="11">
        <f t="shared" si="246"/>
        <v>36000</v>
      </c>
      <c r="AO625" s="11">
        <f t="shared" si="247"/>
        <v>0</v>
      </c>
      <c r="AP625" s="11">
        <f t="shared" si="248"/>
        <v>0.41641745017306325</v>
      </c>
      <c r="AQ625" s="11">
        <f t="shared" si="250"/>
        <v>0</v>
      </c>
      <c r="AT625" s="3"/>
      <c r="AU625" s="17"/>
      <c r="AV625" s="19"/>
      <c r="AW625" s="17"/>
      <c r="AX625" s="17">
        <f t="shared" si="269"/>
        <v>616</v>
      </c>
      <c r="AY625" s="17">
        <f t="shared" si="268"/>
        <v>61.6</v>
      </c>
      <c r="AZ625" s="17">
        <v>41.641745017306327</v>
      </c>
      <c r="BA625" s="17"/>
      <c r="BB625" s="17">
        <v>36</v>
      </c>
      <c r="BC625" s="17"/>
      <c r="BD625" s="17"/>
      <c r="BE625" s="17"/>
      <c r="BF625" s="17"/>
      <c r="BG625" s="17"/>
      <c r="BH625" s="17"/>
      <c r="BI625" s="17"/>
      <c r="BJ625" s="17"/>
      <c r="BK625" s="17"/>
      <c r="BL625" s="17"/>
      <c r="BM625" s="17"/>
      <c r="BN625" s="17"/>
      <c r="BO625" s="17"/>
      <c r="BP625" s="17"/>
      <c r="BQ625" s="17"/>
      <c r="BR625" s="17"/>
      <c r="BS625" s="17"/>
      <c r="BT625" s="17"/>
      <c r="BU625" s="17"/>
      <c r="BV625" s="17"/>
      <c r="BW625" s="17"/>
      <c r="BX625" s="17"/>
      <c r="BY625" s="17"/>
      <c r="BZ625" s="17"/>
      <c r="CA625" s="17"/>
      <c r="CB625" s="17"/>
      <c r="CC625" s="17"/>
      <c r="CD625" s="17"/>
      <c r="CE625" s="17"/>
      <c r="CF625" s="17"/>
      <c r="CG625" s="17"/>
      <c r="CH625" s="17"/>
    </row>
    <row r="626" spans="8:86" x14ac:dyDescent="0.15">
      <c r="H626" s="3">
        <f t="shared" si="263"/>
        <v>0.61400000000000043</v>
      </c>
      <c r="I626" s="3">
        <f t="shared" si="264"/>
        <v>360</v>
      </c>
      <c r="J626" s="14">
        <f t="shared" si="265"/>
        <v>500</v>
      </c>
      <c r="K626" s="3">
        <f t="shared" si="255"/>
        <v>0</v>
      </c>
      <c r="L626" s="3">
        <f t="shared" si="251"/>
        <v>500</v>
      </c>
      <c r="M626" s="15">
        <f t="shared" si="266"/>
        <v>7.0000000000000007E-2</v>
      </c>
      <c r="N626" s="3">
        <f t="shared" si="267"/>
        <v>55.782620443578615</v>
      </c>
      <c r="O626" s="3">
        <f t="shared" si="252"/>
        <v>55.782620443578615</v>
      </c>
      <c r="P626" s="3">
        <f t="shared" si="256"/>
        <v>59.981312304923243</v>
      </c>
      <c r="Q626" s="3">
        <f t="shared" si="257"/>
        <v>15.601534651531839</v>
      </c>
      <c r="R626" s="3">
        <f t="shared" si="258"/>
        <v>37.791423478227543</v>
      </c>
      <c r="S626" s="3">
        <f t="shared" si="253"/>
        <v>1</v>
      </c>
      <c r="T626" s="3">
        <f t="shared" si="259"/>
        <v>22189.8888266957</v>
      </c>
      <c r="U626" s="3">
        <f t="shared" si="260"/>
        <v>0.5</v>
      </c>
      <c r="V626" s="3">
        <f t="shared" si="261"/>
        <v>0</v>
      </c>
      <c r="W626" s="3">
        <f t="shared" si="262"/>
        <v>20081.743359688302</v>
      </c>
      <c r="X626" s="3">
        <f t="shared" si="254"/>
        <v>7800.7673257659198</v>
      </c>
      <c r="AI626" s="3"/>
      <c r="AJ626" s="3"/>
      <c r="AK626" s="15">
        <f t="shared" si="245"/>
        <v>3</v>
      </c>
      <c r="AL626" s="11">
        <f t="shared" si="249"/>
        <v>3702</v>
      </c>
      <c r="AM626" s="11" t="b">
        <f t="shared" si="244"/>
        <v>1</v>
      </c>
      <c r="AN626" s="11">
        <f t="shared" si="246"/>
        <v>36000</v>
      </c>
      <c r="AO626" s="11">
        <f t="shared" si="247"/>
        <v>0</v>
      </c>
      <c r="AP626" s="11">
        <f t="shared" si="248"/>
        <v>0.40105807252029674</v>
      </c>
      <c r="AQ626" s="11">
        <f t="shared" si="250"/>
        <v>0</v>
      </c>
      <c r="AT626" s="3"/>
      <c r="AU626" s="17"/>
      <c r="AV626" s="19"/>
      <c r="AW626" s="17"/>
      <c r="AX626" s="17">
        <f t="shared" si="269"/>
        <v>617</v>
      </c>
      <c r="AY626" s="17">
        <f t="shared" si="268"/>
        <v>61.7</v>
      </c>
      <c r="AZ626" s="17">
        <v>40.10580725202967</v>
      </c>
      <c r="BA626" s="17"/>
      <c r="BB626" s="17">
        <v>36</v>
      </c>
      <c r="BC626" s="17"/>
      <c r="BD626" s="17"/>
      <c r="BE626" s="17"/>
      <c r="BF626" s="17"/>
      <c r="BG626" s="17"/>
      <c r="BH626" s="17"/>
      <c r="BI626" s="17"/>
      <c r="BJ626" s="17"/>
      <c r="BK626" s="17"/>
      <c r="BL626" s="17"/>
      <c r="BM626" s="17"/>
      <c r="BN626" s="17"/>
      <c r="BO626" s="17"/>
      <c r="BP626" s="17"/>
      <c r="BQ626" s="17"/>
      <c r="BR626" s="17"/>
      <c r="BS626" s="17"/>
      <c r="BT626" s="17"/>
      <c r="BU626" s="17"/>
      <c r="BV626" s="17"/>
      <c r="BW626" s="17"/>
      <c r="BX626" s="17"/>
      <c r="BY626" s="17"/>
      <c r="BZ626" s="17"/>
      <c r="CA626" s="17"/>
      <c r="CB626" s="17"/>
      <c r="CC626" s="17"/>
      <c r="CD626" s="17"/>
      <c r="CE626" s="17"/>
      <c r="CF626" s="17"/>
      <c r="CG626" s="17"/>
      <c r="CH626" s="17"/>
    </row>
    <row r="627" spans="8:86" x14ac:dyDescent="0.15">
      <c r="H627" s="3">
        <f t="shared" si="263"/>
        <v>0.61500000000000044</v>
      </c>
      <c r="I627" s="3">
        <f t="shared" si="264"/>
        <v>360</v>
      </c>
      <c r="J627" s="14">
        <f t="shared" si="265"/>
        <v>500</v>
      </c>
      <c r="K627" s="3">
        <f t="shared" si="255"/>
        <v>0</v>
      </c>
      <c r="L627" s="3">
        <f t="shared" si="251"/>
        <v>500</v>
      </c>
      <c r="M627" s="15">
        <f t="shared" si="266"/>
        <v>7.0000000000000007E-2</v>
      </c>
      <c r="N627" s="3">
        <f t="shared" si="267"/>
        <v>55.720981863504463</v>
      </c>
      <c r="O627" s="3">
        <f t="shared" si="252"/>
        <v>55.720981863504463</v>
      </c>
      <c r="P627" s="3">
        <f t="shared" si="256"/>
        <v>59.915034261832758</v>
      </c>
      <c r="Q627" s="3">
        <f t="shared" si="257"/>
        <v>15.557154873878448</v>
      </c>
      <c r="R627" s="3">
        <f t="shared" si="258"/>
        <v>37.736094567855602</v>
      </c>
      <c r="S627" s="3">
        <f t="shared" si="253"/>
        <v>1</v>
      </c>
      <c r="T627" s="3">
        <f t="shared" si="259"/>
        <v>22178.939693977158</v>
      </c>
      <c r="U627" s="3">
        <f t="shared" si="260"/>
        <v>0.5</v>
      </c>
      <c r="V627" s="3">
        <f t="shared" si="261"/>
        <v>0</v>
      </c>
      <c r="W627" s="3">
        <f t="shared" si="262"/>
        <v>20059.553470861607</v>
      </c>
      <c r="X627" s="3">
        <f t="shared" si="254"/>
        <v>7778.5774369392238</v>
      </c>
      <c r="AI627" s="3"/>
      <c r="AJ627" s="3"/>
      <c r="AK627" s="15">
        <f t="shared" si="245"/>
        <v>3</v>
      </c>
      <c r="AL627" s="11">
        <f t="shared" si="249"/>
        <v>3708</v>
      </c>
      <c r="AM627" s="11" t="b">
        <f t="shared" si="244"/>
        <v>1</v>
      </c>
      <c r="AN627" s="11">
        <f t="shared" si="246"/>
        <v>36000</v>
      </c>
      <c r="AO627" s="11">
        <f t="shared" si="247"/>
        <v>0</v>
      </c>
      <c r="AP627" s="11">
        <f t="shared" si="248"/>
        <v>0.3863058772786136</v>
      </c>
      <c r="AQ627" s="11">
        <f t="shared" si="250"/>
        <v>0</v>
      </c>
      <c r="AT627" s="3"/>
      <c r="AU627" s="17"/>
      <c r="AV627" s="19"/>
      <c r="AW627" s="17"/>
      <c r="AX627" s="17">
        <f t="shared" si="269"/>
        <v>618</v>
      </c>
      <c r="AY627" s="17">
        <f t="shared" si="268"/>
        <v>61.8</v>
      </c>
      <c r="AZ627" s="17">
        <v>38.630587727861361</v>
      </c>
      <c r="BA627" s="17"/>
      <c r="BB627" s="17">
        <v>36</v>
      </c>
      <c r="BC627" s="17"/>
      <c r="BD627" s="17"/>
      <c r="BE627" s="17"/>
      <c r="BF627" s="17"/>
      <c r="BG627" s="17"/>
      <c r="BH627" s="17"/>
      <c r="BI627" s="17"/>
      <c r="BJ627" s="17"/>
      <c r="BK627" s="17"/>
      <c r="BL627" s="17"/>
      <c r="BM627" s="17"/>
      <c r="BN627" s="17"/>
      <c r="BO627" s="17"/>
      <c r="BP627" s="17"/>
      <c r="BQ627" s="17"/>
      <c r="BR627" s="17"/>
      <c r="BS627" s="17"/>
      <c r="BT627" s="17"/>
      <c r="BU627" s="17"/>
      <c r="BV627" s="17"/>
      <c r="BW627" s="17"/>
      <c r="BX627" s="17"/>
      <c r="BY627" s="17"/>
      <c r="BZ627" s="17"/>
      <c r="CA627" s="17"/>
      <c r="CB627" s="17"/>
      <c r="CC627" s="17"/>
      <c r="CD627" s="17"/>
      <c r="CE627" s="17"/>
      <c r="CF627" s="17"/>
      <c r="CG627" s="17"/>
      <c r="CH627" s="17"/>
    </row>
    <row r="628" spans="8:86" x14ac:dyDescent="0.15">
      <c r="H628" s="3">
        <f t="shared" si="263"/>
        <v>0.61600000000000044</v>
      </c>
      <c r="I628" s="3">
        <f t="shared" si="264"/>
        <v>360</v>
      </c>
      <c r="J628" s="14">
        <f t="shared" si="265"/>
        <v>500</v>
      </c>
      <c r="K628" s="3">
        <f t="shared" si="255"/>
        <v>0</v>
      </c>
      <c r="L628" s="3">
        <f t="shared" si="251"/>
        <v>500</v>
      </c>
      <c r="M628" s="15">
        <f t="shared" si="266"/>
        <v>7.0000000000000007E-2</v>
      </c>
      <c r="N628" s="3">
        <f t="shared" si="267"/>
        <v>55.659373697687855</v>
      </c>
      <c r="O628" s="3">
        <f t="shared" si="252"/>
        <v>55.659373697687855</v>
      </c>
      <c r="P628" s="3">
        <f t="shared" si="256"/>
        <v>59.848788922245006</v>
      </c>
      <c r="Q628" s="3">
        <f t="shared" si="257"/>
        <v>15.512796994490493</v>
      </c>
      <c r="R628" s="3">
        <f t="shared" si="258"/>
        <v>37.680792958367746</v>
      </c>
      <c r="S628" s="3">
        <f t="shared" si="253"/>
        <v>1</v>
      </c>
      <c r="T628" s="3">
        <f t="shared" si="259"/>
        <v>22167.995963877256</v>
      </c>
      <c r="U628" s="3">
        <f t="shared" si="260"/>
        <v>0.5</v>
      </c>
      <c r="V628" s="3">
        <f t="shared" si="261"/>
        <v>0</v>
      </c>
      <c r="W628" s="3">
        <f t="shared" si="262"/>
        <v>20037.374531167628</v>
      </c>
      <c r="X628" s="3">
        <f t="shared" si="254"/>
        <v>7756.3984972452463</v>
      </c>
      <c r="AI628" s="3"/>
      <c r="AJ628" s="3"/>
      <c r="AK628" s="15">
        <f t="shared" si="245"/>
        <v>3</v>
      </c>
      <c r="AL628" s="11">
        <f t="shared" si="249"/>
        <v>3714</v>
      </c>
      <c r="AM628" s="11" t="b">
        <f t="shared" si="244"/>
        <v>1</v>
      </c>
      <c r="AN628" s="11">
        <f t="shared" si="246"/>
        <v>36000</v>
      </c>
      <c r="AO628" s="11">
        <f t="shared" si="247"/>
        <v>0</v>
      </c>
      <c r="AP628" s="11">
        <f t="shared" si="248"/>
        <v>0.37213686149108005</v>
      </c>
      <c r="AQ628" s="11">
        <f t="shared" si="250"/>
        <v>0</v>
      </c>
      <c r="AT628" s="3"/>
      <c r="AU628" s="17"/>
      <c r="AV628" s="19"/>
      <c r="AW628" s="17"/>
      <c r="AX628" s="17">
        <f t="shared" si="269"/>
        <v>619</v>
      </c>
      <c r="AY628" s="17">
        <f t="shared" si="268"/>
        <v>61.9</v>
      </c>
      <c r="AZ628" s="17">
        <v>37.213686149108007</v>
      </c>
      <c r="BA628" s="17"/>
      <c r="BB628" s="17">
        <v>36</v>
      </c>
      <c r="BC628" s="17"/>
      <c r="BD628" s="17"/>
      <c r="BE628" s="17"/>
      <c r="BF628" s="17"/>
      <c r="BG628" s="17"/>
      <c r="BH628" s="17"/>
      <c r="BI628" s="17"/>
      <c r="BJ628" s="17"/>
      <c r="BK628" s="17"/>
      <c r="BL628" s="17"/>
      <c r="BM628" s="17"/>
      <c r="BN628" s="17"/>
      <c r="BO628" s="17"/>
      <c r="BP628" s="17"/>
      <c r="BQ628" s="17"/>
      <c r="BR628" s="17"/>
      <c r="BS628" s="17"/>
      <c r="BT628" s="17"/>
      <c r="BU628" s="17"/>
      <c r="BV628" s="17"/>
      <c r="BW628" s="17"/>
      <c r="BX628" s="17"/>
      <c r="BY628" s="17"/>
      <c r="BZ628" s="17"/>
      <c r="CA628" s="17"/>
      <c r="CB628" s="17"/>
      <c r="CC628" s="17"/>
      <c r="CD628" s="17"/>
      <c r="CE628" s="17"/>
      <c r="CF628" s="17"/>
      <c r="CG628" s="17"/>
      <c r="CH628" s="17"/>
    </row>
    <row r="629" spans="8:86" x14ac:dyDescent="0.15">
      <c r="H629" s="3">
        <f t="shared" si="263"/>
        <v>0.61700000000000044</v>
      </c>
      <c r="I629" s="3">
        <f t="shared" si="264"/>
        <v>360</v>
      </c>
      <c r="J629" s="14">
        <f t="shared" si="265"/>
        <v>500</v>
      </c>
      <c r="K629" s="3">
        <f t="shared" si="255"/>
        <v>0</v>
      </c>
      <c r="L629" s="3">
        <f t="shared" si="251"/>
        <v>500</v>
      </c>
      <c r="M629" s="15">
        <f t="shared" si="266"/>
        <v>7.0000000000000007E-2</v>
      </c>
      <c r="N629" s="3">
        <f t="shared" si="267"/>
        <v>55.597795931121524</v>
      </c>
      <c r="O629" s="3">
        <f t="shared" si="252"/>
        <v>55.597795931121524</v>
      </c>
      <c r="P629" s="3">
        <f t="shared" si="256"/>
        <v>59.782576270023149</v>
      </c>
      <c r="Q629" s="3">
        <f t="shared" si="257"/>
        <v>15.468461002562739</v>
      </c>
      <c r="R629" s="3">
        <f t="shared" si="258"/>
        <v>37.625518636292945</v>
      </c>
      <c r="S629" s="3">
        <f t="shared" si="253"/>
        <v>1</v>
      </c>
      <c r="T629" s="3">
        <f t="shared" si="259"/>
        <v>22157.057633730205</v>
      </c>
      <c r="U629" s="3">
        <f t="shared" si="260"/>
        <v>0.5</v>
      </c>
      <c r="V629" s="3">
        <f t="shared" si="261"/>
        <v>0</v>
      </c>
      <c r="W629" s="3">
        <f t="shared" si="262"/>
        <v>20015.20653520375</v>
      </c>
      <c r="X629" s="3">
        <f t="shared" si="254"/>
        <v>7734.2305012813695</v>
      </c>
      <c r="AI629" s="3"/>
      <c r="AJ629" s="3"/>
      <c r="AK629" s="15">
        <f t="shared" si="245"/>
        <v>3</v>
      </c>
      <c r="AL629" s="11">
        <f t="shared" si="249"/>
        <v>3720</v>
      </c>
      <c r="AM629" s="11" t="b">
        <f t="shared" si="244"/>
        <v>1</v>
      </c>
      <c r="AN629" s="11">
        <f t="shared" si="246"/>
        <v>36000</v>
      </c>
      <c r="AO629" s="11">
        <f t="shared" si="247"/>
        <v>0</v>
      </c>
      <c r="AP629" s="11">
        <f t="shared" si="248"/>
        <v>0.35852797107861362</v>
      </c>
      <c r="AQ629" s="11">
        <f t="shared" si="250"/>
        <v>0</v>
      </c>
      <c r="AT629" s="3"/>
      <c r="AU629" s="17"/>
      <c r="AV629" s="19"/>
      <c r="AW629" s="17"/>
      <c r="AX629" s="17">
        <f t="shared" si="269"/>
        <v>620</v>
      </c>
      <c r="AY629" s="17">
        <f t="shared" si="268"/>
        <v>62</v>
      </c>
      <c r="AZ629" s="17">
        <v>35.852797107861363</v>
      </c>
      <c r="BA629" s="17"/>
      <c r="BB629" s="17">
        <v>36</v>
      </c>
      <c r="BC629" s="17"/>
      <c r="BD629" s="17"/>
      <c r="BE629" s="17"/>
      <c r="BF629" s="17"/>
      <c r="BG629" s="17"/>
      <c r="BH629" s="17"/>
      <c r="BI629" s="17"/>
      <c r="BJ629" s="17"/>
      <c r="BK629" s="17"/>
      <c r="BL629" s="17"/>
      <c r="BM629" s="17"/>
      <c r="BN629" s="17"/>
      <c r="BO629" s="17"/>
      <c r="BP629" s="17"/>
      <c r="BQ629" s="17"/>
      <c r="BR629" s="17"/>
      <c r="BS629" s="17"/>
      <c r="BT629" s="17"/>
      <c r="BU629" s="17"/>
      <c r="BV629" s="17"/>
      <c r="BW629" s="17"/>
      <c r="BX629" s="17"/>
      <c r="BY629" s="17"/>
      <c r="BZ629" s="17"/>
      <c r="CA629" s="17"/>
      <c r="CB629" s="17"/>
      <c r="CC629" s="17"/>
      <c r="CD629" s="17"/>
      <c r="CE629" s="17"/>
      <c r="CF629" s="17"/>
      <c r="CG629" s="17"/>
      <c r="CH629" s="17"/>
    </row>
    <row r="630" spans="8:86" x14ac:dyDescent="0.15">
      <c r="H630" s="3">
        <f t="shared" si="263"/>
        <v>0.61800000000000044</v>
      </c>
      <c r="I630" s="3">
        <f t="shared" si="264"/>
        <v>360</v>
      </c>
      <c r="J630" s="14">
        <f t="shared" si="265"/>
        <v>500</v>
      </c>
      <c r="K630" s="3">
        <f t="shared" si="255"/>
        <v>0</v>
      </c>
      <c r="L630" s="3">
        <f t="shared" si="251"/>
        <v>500</v>
      </c>
      <c r="M630" s="15">
        <f t="shared" si="266"/>
        <v>7.0000000000000007E-2</v>
      </c>
      <c r="N630" s="3">
        <f t="shared" si="267"/>
        <v>55.536248548805617</v>
      </c>
      <c r="O630" s="3">
        <f t="shared" si="252"/>
        <v>55.536248548805617</v>
      </c>
      <c r="P630" s="3">
        <f t="shared" si="256"/>
        <v>59.7163962890383</v>
      </c>
      <c r="Q630" s="3">
        <f t="shared" si="257"/>
        <v>15.424146887295279</v>
      </c>
      <c r="R630" s="3">
        <f t="shared" si="258"/>
        <v>37.57027158816679</v>
      </c>
      <c r="S630" s="3">
        <f t="shared" si="253"/>
        <v>1</v>
      </c>
      <c r="T630" s="3">
        <f t="shared" si="259"/>
        <v>22146.124700871511</v>
      </c>
      <c r="U630" s="3">
        <f t="shared" si="260"/>
        <v>0.5</v>
      </c>
      <c r="V630" s="3">
        <f t="shared" si="261"/>
        <v>0</v>
      </c>
      <c r="W630" s="3">
        <f t="shared" si="262"/>
        <v>19993.049477570021</v>
      </c>
      <c r="X630" s="3">
        <f t="shared" si="254"/>
        <v>7712.0734436476396</v>
      </c>
      <c r="AI630" s="3"/>
      <c r="AJ630" s="3"/>
      <c r="AK630" s="15">
        <f t="shared" si="245"/>
        <v>3</v>
      </c>
      <c r="AL630" s="11">
        <f t="shared" si="249"/>
        <v>3726</v>
      </c>
      <c r="AM630" s="11" t="b">
        <f t="shared" si="244"/>
        <v>1</v>
      </c>
      <c r="AN630" s="11">
        <f t="shared" si="246"/>
        <v>36000</v>
      </c>
      <c r="AO630" s="11">
        <f t="shared" si="247"/>
        <v>0</v>
      </c>
      <c r="AP630" s="11">
        <f t="shared" si="248"/>
        <v>0.34545706332922232</v>
      </c>
      <c r="AQ630" s="11">
        <f t="shared" si="250"/>
        <v>0</v>
      </c>
      <c r="AT630" s="3"/>
      <c r="AU630" s="17"/>
      <c r="AV630" s="19"/>
      <c r="AW630" s="17"/>
      <c r="AX630" s="17">
        <f t="shared" si="269"/>
        <v>621</v>
      </c>
      <c r="AY630" s="17">
        <f t="shared" si="268"/>
        <v>62.1</v>
      </c>
      <c r="AZ630" s="17">
        <v>34.545706332922229</v>
      </c>
      <c r="BA630" s="17"/>
      <c r="BB630" s="17">
        <v>36</v>
      </c>
      <c r="BC630" s="17"/>
      <c r="BD630" s="17"/>
      <c r="BE630" s="17"/>
      <c r="BF630" s="17"/>
      <c r="BG630" s="17"/>
      <c r="BH630" s="17"/>
      <c r="BI630" s="17"/>
      <c r="BJ630" s="17"/>
      <c r="BK630" s="17"/>
      <c r="BL630" s="17"/>
      <c r="BM630" s="17"/>
      <c r="BN630" s="17"/>
      <c r="BO630" s="17"/>
      <c r="BP630" s="17"/>
      <c r="BQ630" s="17"/>
      <c r="BR630" s="17"/>
      <c r="BS630" s="17"/>
      <c r="BT630" s="17"/>
      <c r="BU630" s="17"/>
      <c r="BV630" s="17"/>
      <c r="BW630" s="17"/>
      <c r="BX630" s="17"/>
      <c r="BY630" s="17"/>
      <c r="BZ630" s="17"/>
      <c r="CA630" s="17"/>
      <c r="CB630" s="17"/>
      <c r="CC630" s="17"/>
      <c r="CD630" s="17"/>
      <c r="CE630" s="17"/>
      <c r="CF630" s="17"/>
      <c r="CG630" s="17"/>
      <c r="CH630" s="17"/>
    </row>
    <row r="631" spans="8:86" x14ac:dyDescent="0.15">
      <c r="H631" s="3">
        <f t="shared" si="263"/>
        <v>0.61900000000000044</v>
      </c>
      <c r="I631" s="3">
        <f t="shared" si="264"/>
        <v>360</v>
      </c>
      <c r="J631" s="14">
        <f t="shared" si="265"/>
        <v>500</v>
      </c>
      <c r="K631" s="3">
        <f t="shared" si="255"/>
        <v>0</v>
      </c>
      <c r="L631" s="3">
        <f t="shared" si="251"/>
        <v>500</v>
      </c>
      <c r="M631" s="15">
        <f t="shared" si="266"/>
        <v>7.0000000000000007E-2</v>
      </c>
      <c r="N631" s="3">
        <f t="shared" si="267"/>
        <v>55.474731535747644</v>
      </c>
      <c r="O631" s="3">
        <f t="shared" si="252"/>
        <v>55.474731535747644</v>
      </c>
      <c r="P631" s="3">
        <f t="shared" si="256"/>
        <v>59.650248963169517</v>
      </c>
      <c r="Q631" s="3">
        <f t="shared" si="257"/>
        <v>15.379854637893535</v>
      </c>
      <c r="R631" s="3">
        <f t="shared" si="258"/>
        <v>37.515051800531523</v>
      </c>
      <c r="S631" s="3">
        <f t="shared" si="253"/>
        <v>1</v>
      </c>
      <c r="T631" s="3">
        <f t="shared" si="259"/>
        <v>22135.197162637989</v>
      </c>
      <c r="U631" s="3">
        <f t="shared" si="260"/>
        <v>0.5</v>
      </c>
      <c r="V631" s="3">
        <f t="shared" si="261"/>
        <v>0</v>
      </c>
      <c r="W631" s="3">
        <f t="shared" si="262"/>
        <v>19970.903352869151</v>
      </c>
      <c r="X631" s="3">
        <f t="shared" si="254"/>
        <v>7689.9273189467676</v>
      </c>
      <c r="AI631" s="3"/>
      <c r="AJ631" s="3"/>
      <c r="AK631" s="15">
        <f t="shared" si="245"/>
        <v>3</v>
      </c>
      <c r="AL631" s="11">
        <f t="shared" si="249"/>
        <v>3732</v>
      </c>
      <c r="AM631" s="11" t="b">
        <f t="shared" si="244"/>
        <v>1</v>
      </c>
      <c r="AN631" s="11">
        <f t="shared" si="246"/>
        <v>36000</v>
      </c>
      <c r="AO631" s="11">
        <f t="shared" si="247"/>
        <v>0</v>
      </c>
      <c r="AP631" s="11">
        <f t="shared" si="248"/>
        <v>0.332902870870108</v>
      </c>
      <c r="AQ631" s="11">
        <f t="shared" si="250"/>
        <v>0</v>
      </c>
      <c r="AT631" s="3"/>
      <c r="AU631" s="17"/>
      <c r="AV631" s="19"/>
      <c r="AW631" s="17"/>
      <c r="AX631" s="17">
        <f t="shared" si="269"/>
        <v>622</v>
      </c>
      <c r="AY631" s="17">
        <f t="shared" si="268"/>
        <v>62.2</v>
      </c>
      <c r="AZ631" s="17">
        <v>33.290287087010803</v>
      </c>
      <c r="BA631" s="17"/>
      <c r="BB631" s="17">
        <v>36</v>
      </c>
      <c r="BC631" s="17"/>
      <c r="BD631" s="17"/>
      <c r="BE631" s="17"/>
      <c r="BF631" s="17"/>
      <c r="BG631" s="17"/>
      <c r="BH631" s="17"/>
      <c r="BI631" s="17"/>
      <c r="BJ631" s="17"/>
      <c r="BK631" s="17"/>
      <c r="BL631" s="17"/>
      <c r="BM631" s="17"/>
      <c r="BN631" s="17"/>
      <c r="BO631" s="17"/>
      <c r="BP631" s="17"/>
      <c r="BQ631" s="17"/>
      <c r="BR631" s="17"/>
      <c r="BS631" s="17"/>
      <c r="BT631" s="17"/>
      <c r="BU631" s="17"/>
      <c r="BV631" s="17"/>
      <c r="BW631" s="17"/>
      <c r="BX631" s="17"/>
      <c r="BY631" s="17"/>
      <c r="BZ631" s="17"/>
      <c r="CA631" s="17"/>
      <c r="CB631" s="17"/>
      <c r="CC631" s="17"/>
      <c r="CD631" s="17"/>
      <c r="CE631" s="17"/>
      <c r="CF631" s="17"/>
      <c r="CG631" s="17"/>
      <c r="CH631" s="17"/>
    </row>
    <row r="632" spans="8:86" x14ac:dyDescent="0.15">
      <c r="H632" s="3">
        <f t="shared" si="263"/>
        <v>0.62000000000000044</v>
      </c>
      <c r="I632" s="3">
        <f t="shared" si="264"/>
        <v>360</v>
      </c>
      <c r="J632" s="14">
        <f t="shared" si="265"/>
        <v>500</v>
      </c>
      <c r="K632" s="3">
        <f t="shared" si="255"/>
        <v>0</v>
      </c>
      <c r="L632" s="3">
        <f t="shared" si="251"/>
        <v>500</v>
      </c>
      <c r="M632" s="15">
        <f t="shared" si="266"/>
        <v>7.0000000000000007E-2</v>
      </c>
      <c r="N632" s="3">
        <f t="shared" si="267"/>
        <v>55.41324487696253</v>
      </c>
      <c r="O632" s="3">
        <f t="shared" si="252"/>
        <v>55.41324487696253</v>
      </c>
      <c r="P632" s="3">
        <f t="shared" si="256"/>
        <v>59.5841342763038</v>
      </c>
      <c r="Q632" s="3">
        <f t="shared" si="257"/>
        <v>15.33558424356826</v>
      </c>
      <c r="R632" s="3">
        <f t="shared" si="258"/>
        <v>37.459859259936032</v>
      </c>
      <c r="S632" s="3">
        <f t="shared" si="253"/>
        <v>1</v>
      </c>
      <c r="T632" s="3">
        <f t="shared" si="259"/>
        <v>22124.27501636777</v>
      </c>
      <c r="U632" s="3">
        <f t="shared" si="260"/>
        <v>0.5</v>
      </c>
      <c r="V632" s="3">
        <f t="shared" si="261"/>
        <v>0</v>
      </c>
      <c r="W632" s="3">
        <f t="shared" si="262"/>
        <v>19948.768155706512</v>
      </c>
      <c r="X632" s="3">
        <f t="shared" si="254"/>
        <v>7667.7921217841294</v>
      </c>
      <c r="AI632" s="3"/>
      <c r="AJ632" s="3"/>
      <c r="AK632" s="15">
        <f t="shared" si="245"/>
        <v>3</v>
      </c>
      <c r="AL632" s="11">
        <f t="shared" si="249"/>
        <v>3738</v>
      </c>
      <c r="AM632" s="11" t="b">
        <f t="shared" si="244"/>
        <v>1</v>
      </c>
      <c r="AN632" s="11">
        <f t="shared" si="246"/>
        <v>36000</v>
      </c>
      <c r="AO632" s="11">
        <f t="shared" si="247"/>
        <v>0</v>
      </c>
      <c r="AP632" s="11">
        <f t="shared" si="248"/>
        <v>0.32084496706401455</v>
      </c>
      <c r="AQ632" s="11">
        <f t="shared" si="250"/>
        <v>0</v>
      </c>
      <c r="AT632" s="3"/>
      <c r="AU632" s="17"/>
      <c r="AV632" s="19"/>
      <c r="AW632" s="17"/>
      <c r="AX632" s="17">
        <f t="shared" si="269"/>
        <v>623</v>
      </c>
      <c r="AY632" s="17">
        <f t="shared" si="268"/>
        <v>62.3</v>
      </c>
      <c r="AZ632" s="17">
        <v>32.084496706401453</v>
      </c>
      <c r="BA632" s="17"/>
      <c r="BB632" s="17">
        <v>36</v>
      </c>
      <c r="BC632" s="17"/>
      <c r="BD632" s="17"/>
      <c r="BE632" s="17"/>
      <c r="BF632" s="17"/>
      <c r="BG632" s="17"/>
      <c r="BH632" s="17"/>
      <c r="BI632" s="17"/>
      <c r="BJ632" s="17"/>
      <c r="BK632" s="17"/>
      <c r="BL632" s="17"/>
      <c r="BM632" s="17"/>
      <c r="BN632" s="17"/>
      <c r="BO632" s="17"/>
      <c r="BP632" s="17"/>
      <c r="BQ632" s="17"/>
      <c r="BR632" s="17"/>
      <c r="BS632" s="17"/>
      <c r="BT632" s="17"/>
      <c r="BU632" s="17"/>
      <c r="BV632" s="17"/>
      <c r="BW632" s="17"/>
      <c r="BX632" s="17"/>
      <c r="BY632" s="17"/>
      <c r="BZ632" s="17"/>
      <c r="CA632" s="17"/>
      <c r="CB632" s="17"/>
      <c r="CC632" s="17"/>
      <c r="CD632" s="17"/>
      <c r="CE632" s="17"/>
      <c r="CF632" s="17"/>
      <c r="CG632" s="17"/>
      <c r="CH632" s="17"/>
    </row>
    <row r="633" spans="8:86" x14ac:dyDescent="0.15">
      <c r="H633" s="3">
        <f t="shared" si="263"/>
        <v>0.62100000000000044</v>
      </c>
      <c r="I633" s="3">
        <f t="shared" si="264"/>
        <v>360</v>
      </c>
      <c r="J633" s="14">
        <f t="shared" si="265"/>
        <v>500</v>
      </c>
      <c r="K633" s="3">
        <f t="shared" si="255"/>
        <v>0</v>
      </c>
      <c r="L633" s="3">
        <f t="shared" si="251"/>
        <v>500</v>
      </c>
      <c r="M633" s="15">
        <f t="shared" si="266"/>
        <v>7.0000000000000007E-2</v>
      </c>
      <c r="N633" s="3">
        <f t="shared" si="267"/>
        <v>55.351788557472617</v>
      </c>
      <c r="O633" s="3">
        <f t="shared" si="252"/>
        <v>55.351788557472617</v>
      </c>
      <c r="P633" s="3">
        <f t="shared" si="256"/>
        <v>59.518052212336151</v>
      </c>
      <c r="Q633" s="3">
        <f t="shared" si="257"/>
        <v>15.291335693535524</v>
      </c>
      <c r="R633" s="3">
        <f t="shared" si="258"/>
        <v>37.404693952935837</v>
      </c>
      <c r="S633" s="3">
        <f t="shared" si="253"/>
        <v>1</v>
      </c>
      <c r="T633" s="3">
        <f t="shared" si="259"/>
        <v>22113.358259400313</v>
      </c>
      <c r="U633" s="3">
        <f t="shared" si="260"/>
        <v>0.5</v>
      </c>
      <c r="V633" s="3">
        <f t="shared" si="261"/>
        <v>0</v>
      </c>
      <c r="W633" s="3">
        <f t="shared" si="262"/>
        <v>19926.643880690142</v>
      </c>
      <c r="X633" s="3">
        <f t="shared" si="254"/>
        <v>7645.6678467677621</v>
      </c>
      <c r="AI633" s="3"/>
      <c r="AJ633" s="3"/>
      <c r="AK633" s="15">
        <f t="shared" si="245"/>
        <v>3</v>
      </c>
      <c r="AL633" s="11">
        <f t="shared" si="249"/>
        <v>3744</v>
      </c>
      <c r="AM633" s="11" t="b">
        <f t="shared" si="244"/>
        <v>1</v>
      </c>
      <c r="AN633" s="11">
        <f t="shared" si="246"/>
        <v>36000</v>
      </c>
      <c r="AO633" s="11">
        <f t="shared" si="247"/>
        <v>0</v>
      </c>
      <c r="AP633" s="11">
        <f t="shared" si="248"/>
        <v>0.30926373277351682</v>
      </c>
      <c r="AQ633" s="11">
        <f t="shared" si="250"/>
        <v>0</v>
      </c>
      <c r="AT633" s="3"/>
      <c r="AU633" s="17"/>
      <c r="AV633" s="19"/>
      <c r="AW633" s="17"/>
      <c r="AX633" s="17">
        <f t="shared" si="269"/>
        <v>624</v>
      </c>
      <c r="AY633" s="17">
        <f t="shared" si="268"/>
        <v>62.4</v>
      </c>
      <c r="AZ633" s="17">
        <v>30.926373277351683</v>
      </c>
      <c r="BA633" s="17"/>
      <c r="BB633" s="17">
        <v>36</v>
      </c>
      <c r="BC633" s="17"/>
      <c r="BD633" s="17"/>
      <c r="BE633" s="17"/>
      <c r="BF633" s="17"/>
      <c r="BG633" s="17"/>
      <c r="BH633" s="17"/>
      <c r="BI633" s="17"/>
      <c r="BJ633" s="17"/>
      <c r="BK633" s="17"/>
      <c r="BL633" s="17"/>
      <c r="BM633" s="17"/>
      <c r="BN633" s="17"/>
      <c r="BO633" s="17"/>
      <c r="BP633" s="17"/>
      <c r="BQ633" s="17"/>
      <c r="BR633" s="17"/>
      <c r="BS633" s="17"/>
      <c r="BT633" s="17"/>
      <c r="BU633" s="17"/>
      <c r="BV633" s="17"/>
      <c r="BW633" s="17"/>
      <c r="BX633" s="17"/>
      <c r="BY633" s="17"/>
      <c r="BZ633" s="17"/>
      <c r="CA633" s="17"/>
      <c r="CB633" s="17"/>
      <c r="CC633" s="17"/>
      <c r="CD633" s="17"/>
      <c r="CE633" s="17"/>
      <c r="CF633" s="17"/>
      <c r="CG633" s="17"/>
      <c r="CH633" s="17"/>
    </row>
    <row r="634" spans="8:86" x14ac:dyDescent="0.15">
      <c r="H634" s="3">
        <f t="shared" si="263"/>
        <v>0.62200000000000044</v>
      </c>
      <c r="I634" s="3">
        <f t="shared" si="264"/>
        <v>360</v>
      </c>
      <c r="J634" s="14">
        <f t="shared" si="265"/>
        <v>500</v>
      </c>
      <c r="K634" s="3">
        <f t="shared" si="255"/>
        <v>0</v>
      </c>
      <c r="L634" s="3">
        <f t="shared" si="251"/>
        <v>500</v>
      </c>
      <c r="M634" s="15">
        <f t="shared" si="266"/>
        <v>7.0000000000000007E-2</v>
      </c>
      <c r="N634" s="3">
        <f t="shared" si="267"/>
        <v>55.290362562307614</v>
      </c>
      <c r="O634" s="3">
        <f t="shared" si="252"/>
        <v>55.290362562307614</v>
      </c>
      <c r="P634" s="3">
        <f t="shared" si="256"/>
        <v>59.452002755169481</v>
      </c>
      <c r="Q634" s="3">
        <f t="shared" si="257"/>
        <v>15.247108977016724</v>
      </c>
      <c r="R634" s="3">
        <f t="shared" si="258"/>
        <v>37.349555866093105</v>
      </c>
      <c r="S634" s="3">
        <f t="shared" si="253"/>
        <v>1</v>
      </c>
      <c r="T634" s="3">
        <f t="shared" si="259"/>
        <v>22102.446889076378</v>
      </c>
      <c r="U634" s="3">
        <f t="shared" si="260"/>
        <v>0.5</v>
      </c>
      <c r="V634" s="3">
        <f t="shared" si="261"/>
        <v>0</v>
      </c>
      <c r="W634" s="3">
        <f t="shared" si="262"/>
        <v>19904.530522430741</v>
      </c>
      <c r="X634" s="3">
        <f t="shared" si="254"/>
        <v>7623.5544885083618</v>
      </c>
      <c r="AI634" s="3"/>
      <c r="AJ634" s="3"/>
      <c r="AK634" s="15">
        <f t="shared" si="245"/>
        <v>3</v>
      </c>
      <c r="AL634" s="11">
        <f t="shared" si="249"/>
        <v>3750</v>
      </c>
      <c r="AM634" s="11" t="b">
        <f t="shared" si="244"/>
        <v>1</v>
      </c>
      <c r="AN634" s="11">
        <f t="shared" si="246"/>
        <v>36000</v>
      </c>
      <c r="AO634" s="11">
        <f t="shared" si="247"/>
        <v>0</v>
      </c>
      <c r="AP634" s="11">
        <f t="shared" si="248"/>
        <v>0.29814032443917426</v>
      </c>
      <c r="AQ634" s="11">
        <f t="shared" si="250"/>
        <v>0</v>
      </c>
      <c r="AT634" s="3"/>
      <c r="AU634" s="17"/>
      <c r="AV634" s="19"/>
      <c r="AW634" s="17"/>
      <c r="AX634" s="17">
        <f t="shared" si="269"/>
        <v>625</v>
      </c>
      <c r="AY634" s="17">
        <f t="shared" si="268"/>
        <v>62.5</v>
      </c>
      <c r="AZ634" s="17">
        <v>29.814032443917426</v>
      </c>
      <c r="BA634" s="17"/>
      <c r="BB634" s="17">
        <v>36</v>
      </c>
      <c r="BC634" s="17"/>
      <c r="BD634" s="17"/>
      <c r="BE634" s="17"/>
      <c r="BF634" s="17"/>
      <c r="BG634" s="17"/>
      <c r="BH634" s="17"/>
      <c r="BI634" s="17"/>
      <c r="BJ634" s="17"/>
      <c r="BK634" s="17"/>
      <c r="BL634" s="17"/>
      <c r="BM634" s="17"/>
      <c r="BN634" s="17"/>
      <c r="BO634" s="17"/>
      <c r="BP634" s="17"/>
      <c r="BQ634" s="17"/>
      <c r="BR634" s="17"/>
      <c r="BS634" s="17"/>
      <c r="BT634" s="17"/>
      <c r="BU634" s="17"/>
      <c r="BV634" s="17"/>
      <c r="BW634" s="17"/>
      <c r="BX634" s="17"/>
      <c r="BY634" s="17"/>
      <c r="BZ634" s="17"/>
      <c r="CA634" s="17"/>
      <c r="CB634" s="17"/>
      <c r="CC634" s="17"/>
      <c r="CD634" s="17"/>
      <c r="CE634" s="17"/>
      <c r="CF634" s="17"/>
      <c r="CG634" s="17"/>
      <c r="CH634" s="17"/>
    </row>
    <row r="635" spans="8:86" x14ac:dyDescent="0.15">
      <c r="H635" s="3">
        <f t="shared" si="263"/>
        <v>0.62300000000000044</v>
      </c>
      <c r="I635" s="3">
        <f t="shared" si="264"/>
        <v>360</v>
      </c>
      <c r="J635" s="14">
        <f t="shared" si="265"/>
        <v>500</v>
      </c>
      <c r="K635" s="3">
        <f t="shared" si="255"/>
        <v>0</v>
      </c>
      <c r="L635" s="3">
        <f t="shared" si="251"/>
        <v>500</v>
      </c>
      <c r="M635" s="15">
        <f t="shared" si="266"/>
        <v>7.0000000000000007E-2</v>
      </c>
      <c r="N635" s="3">
        <f t="shared" si="267"/>
        <v>55.228966876504629</v>
      </c>
      <c r="O635" s="3">
        <f t="shared" si="252"/>
        <v>55.228966876504629</v>
      </c>
      <c r="P635" s="3">
        <f t="shared" si="256"/>
        <v>59.385985888714657</v>
      </c>
      <c r="Q635" s="3">
        <f t="shared" si="257"/>
        <v>15.20290408323857</v>
      </c>
      <c r="R635" s="3">
        <f t="shared" si="258"/>
        <v>37.294444985976611</v>
      </c>
      <c r="S635" s="3">
        <f t="shared" si="253"/>
        <v>1</v>
      </c>
      <c r="T635" s="3">
        <f t="shared" si="259"/>
        <v>22091.540902738041</v>
      </c>
      <c r="U635" s="3">
        <f t="shared" si="260"/>
        <v>0.5</v>
      </c>
      <c r="V635" s="3">
        <f t="shared" si="261"/>
        <v>0</v>
      </c>
      <c r="W635" s="3">
        <f t="shared" si="262"/>
        <v>19882.428075541666</v>
      </c>
      <c r="X635" s="3">
        <f t="shared" si="254"/>
        <v>7601.4520416192854</v>
      </c>
      <c r="AI635" s="3"/>
      <c r="AJ635" s="3"/>
      <c r="AK635" s="15">
        <f t="shared" si="245"/>
        <v>3</v>
      </c>
      <c r="AL635" s="11">
        <f t="shared" si="249"/>
        <v>3756</v>
      </c>
      <c r="AM635" s="11" t="b">
        <f t="shared" si="244"/>
        <v>1</v>
      </c>
      <c r="AN635" s="11">
        <f t="shared" si="246"/>
        <v>36000</v>
      </c>
      <c r="AO635" s="11">
        <f t="shared" si="247"/>
        <v>0</v>
      </c>
      <c r="AP635" s="11">
        <f t="shared" si="248"/>
        <v>0.28745664341960964</v>
      </c>
      <c r="AQ635" s="11">
        <f t="shared" si="250"/>
        <v>0</v>
      </c>
      <c r="AT635" s="3"/>
      <c r="AU635" s="17"/>
      <c r="AV635" s="19"/>
      <c r="AW635" s="17"/>
      <c r="AX635" s="17">
        <f t="shared" si="269"/>
        <v>626</v>
      </c>
      <c r="AY635" s="17">
        <f t="shared" si="268"/>
        <v>62.6</v>
      </c>
      <c r="AZ635" s="17">
        <v>28.745664341960964</v>
      </c>
      <c r="BA635" s="17"/>
      <c r="BB635" s="17">
        <v>36</v>
      </c>
      <c r="BC635" s="17"/>
      <c r="BD635" s="17"/>
      <c r="BE635" s="17"/>
      <c r="BF635" s="17"/>
      <c r="BG635" s="17"/>
      <c r="BH635" s="17"/>
      <c r="BI635" s="17"/>
      <c r="BJ635" s="17"/>
      <c r="BK635" s="17"/>
      <c r="BL635" s="17"/>
      <c r="BM635" s="17"/>
      <c r="BN635" s="17"/>
      <c r="BO635" s="17"/>
      <c r="BP635" s="17"/>
      <c r="BQ635" s="17"/>
      <c r="BR635" s="17"/>
      <c r="BS635" s="17"/>
      <c r="BT635" s="17"/>
      <c r="BU635" s="17"/>
      <c r="BV635" s="17"/>
      <c r="BW635" s="17"/>
      <c r="BX635" s="17"/>
      <c r="BY635" s="17"/>
      <c r="BZ635" s="17"/>
      <c r="CA635" s="17"/>
      <c r="CB635" s="17"/>
      <c r="CC635" s="17"/>
      <c r="CD635" s="17"/>
      <c r="CE635" s="17"/>
      <c r="CF635" s="17"/>
      <c r="CG635" s="17"/>
      <c r="CH635" s="17"/>
    </row>
    <row r="636" spans="8:86" x14ac:dyDescent="0.15">
      <c r="H636" s="3">
        <f t="shared" si="263"/>
        <v>0.62400000000000044</v>
      </c>
      <c r="I636" s="3">
        <f t="shared" si="264"/>
        <v>360</v>
      </c>
      <c r="J636" s="14">
        <f t="shared" si="265"/>
        <v>500</v>
      </c>
      <c r="K636" s="3">
        <f t="shared" si="255"/>
        <v>0</v>
      </c>
      <c r="L636" s="3">
        <f t="shared" si="251"/>
        <v>500</v>
      </c>
      <c r="M636" s="15">
        <f t="shared" si="266"/>
        <v>7.0000000000000007E-2</v>
      </c>
      <c r="N636" s="3">
        <f t="shared" si="267"/>
        <v>55.167601485108136</v>
      </c>
      <c r="O636" s="3">
        <f t="shared" si="252"/>
        <v>55.167601485108136</v>
      </c>
      <c r="P636" s="3">
        <f t="shared" si="256"/>
        <v>59.320001596890471</v>
      </c>
      <c r="Q636" s="3">
        <f t="shared" si="257"/>
        <v>15.158721001433094</v>
      </c>
      <c r="R636" s="3">
        <f t="shared" si="258"/>
        <v>37.239361299161786</v>
      </c>
      <c r="S636" s="3">
        <f t="shared" si="253"/>
        <v>1</v>
      </c>
      <c r="T636" s="3">
        <f t="shared" si="259"/>
        <v>22080.640297728689</v>
      </c>
      <c r="U636" s="3">
        <f t="shared" si="260"/>
        <v>0.5</v>
      </c>
      <c r="V636" s="3">
        <f t="shared" si="261"/>
        <v>0</v>
      </c>
      <c r="W636" s="3">
        <f t="shared" si="262"/>
        <v>19860.336534638929</v>
      </c>
      <c r="X636" s="3">
        <f t="shared" si="254"/>
        <v>7579.360500716547</v>
      </c>
      <c r="AI636" s="3"/>
      <c r="AJ636" s="3"/>
      <c r="AK636" s="15">
        <f t="shared" si="245"/>
        <v>3</v>
      </c>
      <c r="AL636" s="11">
        <f t="shared" si="249"/>
        <v>3762</v>
      </c>
      <c r="AM636" s="11" t="b">
        <f t="shared" si="244"/>
        <v>1</v>
      </c>
      <c r="AN636" s="11">
        <f t="shared" si="246"/>
        <v>36000</v>
      </c>
      <c r="AO636" s="11">
        <f t="shared" si="247"/>
        <v>0</v>
      </c>
      <c r="AP636" s="11">
        <f t="shared" si="248"/>
        <v>0.27719530654362667</v>
      </c>
      <c r="AQ636" s="11">
        <f t="shared" si="250"/>
        <v>0</v>
      </c>
      <c r="AT636" s="3"/>
      <c r="AU636" s="17"/>
      <c r="AV636" s="19"/>
      <c r="AW636" s="17"/>
      <c r="AX636" s="17">
        <f t="shared" si="269"/>
        <v>627</v>
      </c>
      <c r="AY636" s="17">
        <f t="shared" si="268"/>
        <v>62.7</v>
      </c>
      <c r="AZ636" s="17">
        <v>27.719530654362668</v>
      </c>
      <c r="BA636" s="17"/>
      <c r="BB636" s="17">
        <v>36</v>
      </c>
      <c r="BC636" s="17"/>
      <c r="BD636" s="17"/>
      <c r="BE636" s="17"/>
      <c r="BF636" s="17"/>
      <c r="BG636" s="17"/>
      <c r="BH636" s="17"/>
      <c r="BI636" s="17"/>
      <c r="BJ636" s="17"/>
      <c r="BK636" s="17"/>
      <c r="BL636" s="17"/>
      <c r="BM636" s="17"/>
      <c r="BN636" s="17"/>
      <c r="BO636" s="17"/>
      <c r="BP636" s="17"/>
      <c r="BQ636" s="17"/>
      <c r="BR636" s="17"/>
      <c r="BS636" s="17"/>
      <c r="BT636" s="17"/>
      <c r="BU636" s="17"/>
      <c r="BV636" s="17"/>
      <c r="BW636" s="17"/>
      <c r="BX636" s="17"/>
      <c r="BY636" s="17"/>
      <c r="BZ636" s="17"/>
      <c r="CA636" s="17"/>
      <c r="CB636" s="17"/>
      <c r="CC636" s="17"/>
      <c r="CD636" s="17"/>
      <c r="CE636" s="17"/>
      <c r="CF636" s="17"/>
      <c r="CG636" s="17"/>
      <c r="CH636" s="17"/>
    </row>
    <row r="637" spans="8:86" x14ac:dyDescent="0.15">
      <c r="H637" s="3">
        <f t="shared" si="263"/>
        <v>0.62500000000000044</v>
      </c>
      <c r="I637" s="3">
        <f t="shared" si="264"/>
        <v>360</v>
      </c>
      <c r="J637" s="14">
        <f t="shared" si="265"/>
        <v>500</v>
      </c>
      <c r="K637" s="3">
        <f t="shared" si="255"/>
        <v>0</v>
      </c>
      <c r="L637" s="3">
        <f t="shared" si="251"/>
        <v>500</v>
      </c>
      <c r="M637" s="15">
        <f t="shared" si="266"/>
        <v>7.0000000000000007E-2</v>
      </c>
      <c r="N637" s="3">
        <f t="shared" si="267"/>
        <v>55.106266373170001</v>
      </c>
      <c r="O637" s="3">
        <f t="shared" si="252"/>
        <v>55.106266373170001</v>
      </c>
      <c r="P637" s="3">
        <f t="shared" si="256"/>
        <v>59.254049863623663</v>
      </c>
      <c r="Q637" s="3">
        <f t="shared" si="257"/>
        <v>15.114559720837637</v>
      </c>
      <c r="R637" s="3">
        <f t="shared" si="258"/>
        <v>37.184304792230648</v>
      </c>
      <c r="S637" s="3">
        <f t="shared" si="253"/>
        <v>1</v>
      </c>
      <c r="T637" s="3">
        <f t="shared" si="259"/>
        <v>22069.745071393016</v>
      </c>
      <c r="U637" s="3">
        <f t="shared" si="260"/>
        <v>0.5</v>
      </c>
      <c r="V637" s="3">
        <f t="shared" si="261"/>
        <v>0</v>
      </c>
      <c r="W637" s="3">
        <f t="shared" si="262"/>
        <v>19838.2558943412</v>
      </c>
      <c r="X637" s="3">
        <f t="shared" si="254"/>
        <v>7557.2798604188183</v>
      </c>
      <c r="AI637" s="3"/>
      <c r="AJ637" s="3"/>
      <c r="AK637" s="15">
        <f t="shared" si="245"/>
        <v>3</v>
      </c>
      <c r="AL637" s="11">
        <f t="shared" si="249"/>
        <v>3768</v>
      </c>
      <c r="AM637" s="11" t="b">
        <f t="shared" si="244"/>
        <v>1</v>
      </c>
      <c r="AN637" s="11">
        <f t="shared" si="246"/>
        <v>36000</v>
      </c>
      <c r="AO637" s="11">
        <f t="shared" si="247"/>
        <v>0</v>
      </c>
      <c r="AP637" s="11">
        <f t="shared" si="248"/>
        <v>0.26733961782645288</v>
      </c>
      <c r="AQ637" s="11">
        <f t="shared" si="250"/>
        <v>0</v>
      </c>
      <c r="AT637" s="3"/>
      <c r="AU637" s="17"/>
      <c r="AV637" s="19"/>
      <c r="AW637" s="17"/>
      <c r="AX637" s="17">
        <f t="shared" si="269"/>
        <v>628</v>
      </c>
      <c r="AY637" s="17">
        <f t="shared" si="268"/>
        <v>62.8</v>
      </c>
      <c r="AZ637" s="17">
        <v>26.733961782645288</v>
      </c>
      <c r="BA637" s="17"/>
      <c r="BB637" s="17">
        <v>36</v>
      </c>
      <c r="BC637" s="17"/>
      <c r="BD637" s="17"/>
      <c r="BE637" s="17"/>
      <c r="BF637" s="17"/>
      <c r="BG637" s="17"/>
      <c r="BH637" s="17"/>
      <c r="BI637" s="17"/>
      <c r="BJ637" s="17"/>
      <c r="BK637" s="17"/>
      <c r="BL637" s="17"/>
      <c r="BM637" s="17"/>
      <c r="BN637" s="17"/>
      <c r="BO637" s="17"/>
      <c r="BP637" s="17"/>
      <c r="BQ637" s="17"/>
      <c r="BR637" s="17"/>
      <c r="BS637" s="17"/>
      <c r="BT637" s="17"/>
      <c r="BU637" s="17"/>
      <c r="BV637" s="17"/>
      <c r="BW637" s="17"/>
      <c r="BX637" s="17"/>
      <c r="BY637" s="17"/>
      <c r="BZ637" s="17"/>
      <c r="CA637" s="17"/>
      <c r="CB637" s="17"/>
      <c r="CC637" s="17"/>
      <c r="CD637" s="17"/>
      <c r="CE637" s="17"/>
      <c r="CF637" s="17"/>
      <c r="CG637" s="17"/>
      <c r="CH637" s="17"/>
    </row>
    <row r="638" spans="8:86" x14ac:dyDescent="0.15">
      <c r="H638" s="3">
        <f t="shared" si="263"/>
        <v>0.62600000000000044</v>
      </c>
      <c r="I638" s="3">
        <f t="shared" si="264"/>
        <v>360</v>
      </c>
      <c r="J638" s="14">
        <f t="shared" si="265"/>
        <v>500</v>
      </c>
      <c r="K638" s="3">
        <f t="shared" si="255"/>
        <v>0</v>
      </c>
      <c r="L638" s="3">
        <f t="shared" si="251"/>
        <v>500</v>
      </c>
      <c r="M638" s="15">
        <f t="shared" si="266"/>
        <v>7.0000000000000007E-2</v>
      </c>
      <c r="N638" s="3">
        <f t="shared" si="267"/>
        <v>55.044961525749464</v>
      </c>
      <c r="O638" s="3">
        <f t="shared" si="252"/>
        <v>55.044961525749464</v>
      </c>
      <c r="P638" s="3">
        <f t="shared" si="256"/>
        <v>59.188130672848892</v>
      </c>
      <c r="Q638" s="3">
        <f t="shared" si="257"/>
        <v>15.07042023069485</v>
      </c>
      <c r="R638" s="3">
        <f t="shared" si="258"/>
        <v>37.129275451771875</v>
      </c>
      <c r="S638" s="3">
        <f t="shared" si="253"/>
        <v>1</v>
      </c>
      <c r="T638" s="3">
        <f t="shared" si="259"/>
        <v>22058.855221077021</v>
      </c>
      <c r="U638" s="3">
        <f t="shared" si="260"/>
        <v>0.5</v>
      </c>
      <c r="V638" s="3">
        <f t="shared" si="261"/>
        <v>0</v>
      </c>
      <c r="W638" s="3">
        <f t="shared" si="262"/>
        <v>19816.186149269808</v>
      </c>
      <c r="X638" s="3">
        <f t="shared" si="254"/>
        <v>7535.210115347425</v>
      </c>
      <c r="AI638" s="3"/>
      <c r="AJ638" s="3"/>
      <c r="AK638" s="15">
        <f t="shared" si="245"/>
        <v>3</v>
      </c>
      <c r="AL638" s="11">
        <f t="shared" si="249"/>
        <v>3774</v>
      </c>
      <c r="AM638" s="11" t="b">
        <f t="shared" si="244"/>
        <v>1</v>
      </c>
      <c r="AN638" s="11">
        <f t="shared" si="246"/>
        <v>36000</v>
      </c>
      <c r="AO638" s="11">
        <f t="shared" si="247"/>
        <v>0</v>
      </c>
      <c r="AP638" s="11">
        <f t="shared" si="248"/>
        <v>0.25787354130408718</v>
      </c>
      <c r="AQ638" s="11">
        <f t="shared" si="250"/>
        <v>0</v>
      </c>
      <c r="AT638" s="3"/>
      <c r="AU638" s="17"/>
      <c r="AV638" s="19"/>
      <c r="AW638" s="17"/>
      <c r="AX638" s="17">
        <f t="shared" si="269"/>
        <v>629</v>
      </c>
      <c r="AY638" s="17">
        <f t="shared" si="268"/>
        <v>62.9</v>
      </c>
      <c r="AZ638" s="17">
        <v>25.787354130408719</v>
      </c>
      <c r="BA638" s="17"/>
      <c r="BB638" s="17">
        <v>36</v>
      </c>
      <c r="BC638" s="17"/>
      <c r="BD638" s="17"/>
      <c r="BE638" s="17"/>
      <c r="BF638" s="17"/>
      <c r="BG638" s="17"/>
      <c r="BH638" s="17"/>
      <c r="BI638" s="17"/>
      <c r="BJ638" s="17"/>
      <c r="BK638" s="17"/>
      <c r="BL638" s="17"/>
      <c r="BM638" s="17"/>
      <c r="BN638" s="17"/>
      <c r="BO638" s="17"/>
      <c r="BP638" s="17"/>
      <c r="BQ638" s="17"/>
      <c r="BR638" s="17"/>
      <c r="BS638" s="17"/>
      <c r="BT638" s="17"/>
      <c r="BU638" s="17"/>
      <c r="BV638" s="17"/>
      <c r="BW638" s="17"/>
      <c r="BX638" s="17"/>
      <c r="BY638" s="17"/>
      <c r="BZ638" s="17"/>
      <c r="CA638" s="17"/>
      <c r="CB638" s="17"/>
      <c r="CC638" s="17"/>
      <c r="CD638" s="17"/>
      <c r="CE638" s="17"/>
      <c r="CF638" s="17"/>
      <c r="CG638" s="17"/>
      <c r="CH638" s="17"/>
    </row>
    <row r="639" spans="8:86" x14ac:dyDescent="0.15">
      <c r="H639" s="3">
        <f t="shared" si="263"/>
        <v>0.62700000000000045</v>
      </c>
      <c r="I639" s="3">
        <f t="shared" si="264"/>
        <v>360</v>
      </c>
      <c r="J639" s="14">
        <f t="shared" si="265"/>
        <v>500</v>
      </c>
      <c r="K639" s="3">
        <f t="shared" si="255"/>
        <v>0</v>
      </c>
      <c r="L639" s="3">
        <f t="shared" si="251"/>
        <v>500</v>
      </c>
      <c r="M639" s="15">
        <f t="shared" si="266"/>
        <v>7.0000000000000007E-2</v>
      </c>
      <c r="N639" s="3">
        <f t="shared" si="267"/>
        <v>54.983686927913148</v>
      </c>
      <c r="O639" s="3">
        <f t="shared" si="252"/>
        <v>54.983686927913148</v>
      </c>
      <c r="P639" s="3">
        <f t="shared" si="256"/>
        <v>59.122244008508765</v>
      </c>
      <c r="Q639" s="3">
        <f t="shared" si="257"/>
        <v>15.026302520252695</v>
      </c>
      <c r="R639" s="3">
        <f t="shared" si="258"/>
        <v>37.074273264380729</v>
      </c>
      <c r="S639" s="3">
        <f t="shared" si="253"/>
        <v>1</v>
      </c>
      <c r="T639" s="3">
        <f t="shared" si="259"/>
        <v>22047.970744128037</v>
      </c>
      <c r="U639" s="3">
        <f t="shared" si="260"/>
        <v>0.5</v>
      </c>
      <c r="V639" s="3">
        <f t="shared" si="261"/>
        <v>0</v>
      </c>
      <c r="W639" s="3">
        <f t="shared" si="262"/>
        <v>19794.127294048732</v>
      </c>
      <c r="X639" s="3">
        <f t="shared" si="254"/>
        <v>7513.1512601263476</v>
      </c>
      <c r="AI639" s="3"/>
      <c r="AJ639" s="3"/>
      <c r="AK639" s="15">
        <f t="shared" si="245"/>
        <v>3</v>
      </c>
      <c r="AL639" s="11">
        <f t="shared" si="249"/>
        <v>3780</v>
      </c>
      <c r="AM639" s="11" t="b">
        <f t="shared" si="244"/>
        <v>1</v>
      </c>
      <c r="AN639" s="11">
        <f t="shared" si="246"/>
        <v>36000</v>
      </c>
      <c r="AO639" s="11">
        <f t="shared" si="247"/>
        <v>0</v>
      </c>
      <c r="AP639" s="11">
        <f t="shared" si="248"/>
        <v>0.24878167494155265</v>
      </c>
      <c r="AQ639" s="11">
        <f t="shared" si="250"/>
        <v>0</v>
      </c>
      <c r="AT639" s="3"/>
      <c r="AU639" s="17"/>
      <c r="AV639" s="19"/>
      <c r="AW639" s="17"/>
      <c r="AX639" s="17">
        <f t="shared" si="269"/>
        <v>630</v>
      </c>
      <c r="AY639" s="17">
        <f t="shared" si="268"/>
        <v>63</v>
      </c>
      <c r="AZ639" s="17">
        <v>24.878167494155264</v>
      </c>
      <c r="BA639" s="17"/>
      <c r="BB639" s="17">
        <v>36</v>
      </c>
      <c r="BC639" s="17"/>
      <c r="BD639" s="17"/>
      <c r="BE639" s="17"/>
      <c r="BF639" s="17"/>
      <c r="BG639" s="17"/>
      <c r="BH639" s="17"/>
      <c r="BI639" s="17"/>
      <c r="BJ639" s="17"/>
      <c r="BK639" s="17"/>
      <c r="BL639" s="17"/>
      <c r="BM639" s="17"/>
      <c r="BN639" s="17"/>
      <c r="BO639" s="17"/>
      <c r="BP639" s="17"/>
      <c r="BQ639" s="17"/>
      <c r="BR639" s="17"/>
      <c r="BS639" s="17"/>
      <c r="BT639" s="17"/>
      <c r="BU639" s="17"/>
      <c r="BV639" s="17"/>
      <c r="BW639" s="17"/>
      <c r="BX639" s="17"/>
      <c r="BY639" s="17"/>
      <c r="BZ639" s="17"/>
      <c r="CA639" s="17"/>
      <c r="CB639" s="17"/>
      <c r="CC639" s="17"/>
      <c r="CD639" s="17"/>
      <c r="CE639" s="17"/>
      <c r="CF639" s="17"/>
      <c r="CG639" s="17"/>
      <c r="CH639" s="17"/>
    </row>
    <row r="640" spans="8:86" x14ac:dyDescent="0.15">
      <c r="H640" s="3">
        <f t="shared" si="263"/>
        <v>0.62800000000000045</v>
      </c>
      <c r="I640" s="3">
        <f t="shared" si="264"/>
        <v>360</v>
      </c>
      <c r="J640" s="14">
        <f t="shared" si="265"/>
        <v>500</v>
      </c>
      <c r="K640" s="3">
        <f t="shared" si="255"/>
        <v>0</v>
      </c>
      <c r="L640" s="3">
        <f t="shared" si="251"/>
        <v>500</v>
      </c>
      <c r="M640" s="15">
        <f t="shared" si="266"/>
        <v>7.0000000000000007E-2</v>
      </c>
      <c r="N640" s="3">
        <f t="shared" si="267"/>
        <v>54.922442564735015</v>
      </c>
      <c r="O640" s="3">
        <f t="shared" si="252"/>
        <v>54.922442564735015</v>
      </c>
      <c r="P640" s="3">
        <f t="shared" si="256"/>
        <v>59.056389854553785</v>
      </c>
      <c r="Q640" s="3">
        <f t="shared" si="257"/>
        <v>14.982206578764439</v>
      </c>
      <c r="R640" s="3">
        <f t="shared" si="258"/>
        <v>37.019298216659109</v>
      </c>
      <c r="S640" s="3">
        <f t="shared" si="253"/>
        <v>1</v>
      </c>
      <c r="T640" s="3">
        <f t="shared" si="259"/>
        <v>22037.091637894671</v>
      </c>
      <c r="U640" s="3">
        <f t="shared" si="260"/>
        <v>0.5</v>
      </c>
      <c r="V640" s="3">
        <f t="shared" si="261"/>
        <v>0</v>
      </c>
      <c r="W640" s="3">
        <f t="shared" si="262"/>
        <v>19772.079323304606</v>
      </c>
      <c r="X640" s="3">
        <f t="shared" si="254"/>
        <v>7491.1032893822194</v>
      </c>
      <c r="AI640" s="3"/>
      <c r="AJ640" s="3"/>
      <c r="AK640" s="15">
        <f t="shared" si="245"/>
        <v>3</v>
      </c>
      <c r="AL640" s="11">
        <f t="shared" si="249"/>
        <v>3786</v>
      </c>
      <c r="AM640" s="11" t="b">
        <f t="shared" si="244"/>
        <v>1</v>
      </c>
      <c r="AN640" s="11">
        <f t="shared" si="246"/>
        <v>36000</v>
      </c>
      <c r="AO640" s="11">
        <f t="shared" si="247"/>
        <v>0</v>
      </c>
      <c r="AP640" s="11">
        <f t="shared" si="248"/>
        <v>0.24004922557260044</v>
      </c>
      <c r="AQ640" s="11">
        <f t="shared" si="250"/>
        <v>0</v>
      </c>
      <c r="AT640" s="3"/>
      <c r="AU640" s="17"/>
      <c r="AV640" s="19"/>
      <c r="AW640" s="17"/>
      <c r="AX640" s="17">
        <f t="shared" si="269"/>
        <v>631</v>
      </c>
      <c r="AY640" s="17">
        <f t="shared" si="268"/>
        <v>63.1</v>
      </c>
      <c r="AZ640" s="17">
        <v>24.004922557260045</v>
      </c>
      <c r="BA640" s="17"/>
      <c r="BB640" s="17">
        <v>36</v>
      </c>
      <c r="BC640" s="17"/>
      <c r="BD640" s="17"/>
      <c r="BE640" s="17"/>
      <c r="BF640" s="17"/>
      <c r="BG640" s="17"/>
      <c r="BH640" s="17"/>
      <c r="BI640" s="17"/>
      <c r="BJ640" s="17"/>
      <c r="BK640" s="17"/>
      <c r="BL640" s="17"/>
      <c r="BM640" s="17"/>
      <c r="BN640" s="17"/>
      <c r="BO640" s="17"/>
      <c r="BP640" s="17"/>
      <c r="BQ640" s="17"/>
      <c r="BR640" s="17"/>
      <c r="BS640" s="17"/>
      <c r="BT640" s="17"/>
      <c r="BU640" s="17"/>
      <c r="BV640" s="17"/>
      <c r="BW640" s="17"/>
      <c r="BX640" s="17"/>
      <c r="BY640" s="17"/>
      <c r="BZ640" s="17"/>
      <c r="CA640" s="17"/>
      <c r="CB640" s="17"/>
      <c r="CC640" s="17"/>
      <c r="CD640" s="17"/>
      <c r="CE640" s="17"/>
      <c r="CF640" s="17"/>
      <c r="CG640" s="17"/>
      <c r="CH640" s="17"/>
    </row>
    <row r="641" spans="8:86" x14ac:dyDescent="0.15">
      <c r="H641" s="3">
        <f t="shared" si="263"/>
        <v>0.62900000000000045</v>
      </c>
      <c r="I641" s="3">
        <f t="shared" si="264"/>
        <v>360</v>
      </c>
      <c r="J641" s="14">
        <f t="shared" si="265"/>
        <v>500</v>
      </c>
      <c r="K641" s="3">
        <f t="shared" si="255"/>
        <v>0</v>
      </c>
      <c r="L641" s="3">
        <f t="shared" si="251"/>
        <v>500</v>
      </c>
      <c r="M641" s="15">
        <f t="shared" si="266"/>
        <v>7.0000000000000007E-2</v>
      </c>
      <c r="N641" s="3">
        <f t="shared" si="267"/>
        <v>54.861228421296417</v>
      </c>
      <c r="O641" s="3">
        <f t="shared" si="252"/>
        <v>54.861228421296417</v>
      </c>
      <c r="P641" s="3">
        <f t="shared" si="256"/>
        <v>58.990568194942391</v>
      </c>
      <c r="Q641" s="3">
        <f t="shared" si="257"/>
        <v>14.938132395488649</v>
      </c>
      <c r="R641" s="3">
        <f t="shared" si="258"/>
        <v>36.964350295215517</v>
      </c>
      <c r="S641" s="3">
        <f t="shared" si="253"/>
        <v>1</v>
      </c>
      <c r="T641" s="3">
        <f t="shared" si="259"/>
        <v>22026.217899726871</v>
      </c>
      <c r="U641" s="3">
        <f t="shared" si="260"/>
        <v>0.5</v>
      </c>
      <c r="V641" s="3">
        <f t="shared" si="261"/>
        <v>0</v>
      </c>
      <c r="W641" s="3">
        <f t="shared" si="262"/>
        <v>19750.04223166671</v>
      </c>
      <c r="X641" s="3">
        <f t="shared" si="254"/>
        <v>7469.0661977443251</v>
      </c>
      <c r="AI641" s="3"/>
      <c r="AJ641" s="3"/>
      <c r="AK641" s="15">
        <f t="shared" si="245"/>
        <v>3</v>
      </c>
      <c r="AL641" s="11">
        <f t="shared" si="249"/>
        <v>3792</v>
      </c>
      <c r="AM641" s="11" t="b">
        <f t="shared" si="244"/>
        <v>1</v>
      </c>
      <c r="AN641" s="11">
        <f t="shared" si="246"/>
        <v>36000</v>
      </c>
      <c r="AO641" s="11">
        <f t="shared" si="247"/>
        <v>0</v>
      </c>
      <c r="AP641" s="11">
        <f t="shared" si="248"/>
        <v>0.23166198483008948</v>
      </c>
      <c r="AQ641" s="11">
        <f t="shared" si="250"/>
        <v>0</v>
      </c>
      <c r="AT641" s="3"/>
      <c r="AU641" s="17"/>
      <c r="AV641" s="19"/>
      <c r="AW641" s="17"/>
      <c r="AX641" s="17">
        <f t="shared" si="269"/>
        <v>632</v>
      </c>
      <c r="AY641" s="17">
        <f t="shared" si="268"/>
        <v>63.2</v>
      </c>
      <c r="AZ641" s="17">
        <v>23.166198483008948</v>
      </c>
      <c r="BA641" s="17"/>
      <c r="BB641" s="17">
        <v>36</v>
      </c>
      <c r="BC641" s="17"/>
      <c r="BD641" s="17"/>
      <c r="BE641" s="17"/>
      <c r="BF641" s="17"/>
      <c r="BG641" s="17"/>
      <c r="BH641" s="17"/>
      <c r="BI641" s="17"/>
      <c r="BJ641" s="17"/>
      <c r="BK641" s="17"/>
      <c r="BL641" s="17"/>
      <c r="BM641" s="17"/>
      <c r="BN641" s="17"/>
      <c r="BO641" s="17"/>
      <c r="BP641" s="17"/>
      <c r="BQ641" s="17"/>
      <c r="BR641" s="17"/>
      <c r="BS641" s="17"/>
      <c r="BT641" s="17"/>
      <c r="BU641" s="17"/>
      <c r="BV641" s="17"/>
      <c r="BW641" s="17"/>
      <c r="BX641" s="17"/>
      <c r="BY641" s="17"/>
      <c r="BZ641" s="17"/>
      <c r="CA641" s="17"/>
      <c r="CB641" s="17"/>
      <c r="CC641" s="17"/>
      <c r="CD641" s="17"/>
      <c r="CE641" s="17"/>
      <c r="CF641" s="17"/>
      <c r="CG641" s="17"/>
      <c r="CH641" s="17"/>
    </row>
    <row r="642" spans="8:86" x14ac:dyDescent="0.15">
      <c r="H642" s="3">
        <f t="shared" si="263"/>
        <v>0.63000000000000045</v>
      </c>
      <c r="I642" s="3">
        <f t="shared" si="264"/>
        <v>360</v>
      </c>
      <c r="J642" s="14">
        <f t="shared" si="265"/>
        <v>500</v>
      </c>
      <c r="K642" s="3">
        <f t="shared" si="255"/>
        <v>0</v>
      </c>
      <c r="L642" s="3">
        <f t="shared" si="251"/>
        <v>500</v>
      </c>
      <c r="M642" s="15">
        <f t="shared" si="266"/>
        <v>7.0000000000000007E-2</v>
      </c>
      <c r="N642" s="3">
        <f t="shared" si="267"/>
        <v>54.800044482686069</v>
      </c>
      <c r="O642" s="3">
        <f t="shared" si="252"/>
        <v>54.800044482686069</v>
      </c>
      <c r="P642" s="3">
        <f t="shared" si="256"/>
        <v>58.924779013640936</v>
      </c>
      <c r="Q642" s="3">
        <f t="shared" si="257"/>
        <v>14.894079959689195</v>
      </c>
      <c r="R642" s="3">
        <f t="shared" si="258"/>
        <v>36.909429486665069</v>
      </c>
      <c r="S642" s="3">
        <f t="shared" si="253"/>
        <v>1</v>
      </c>
      <c r="T642" s="3">
        <f t="shared" si="259"/>
        <v>22015.349526975871</v>
      </c>
      <c r="U642" s="3">
        <f t="shared" si="260"/>
        <v>0.5</v>
      </c>
      <c r="V642" s="3">
        <f t="shared" si="261"/>
        <v>0</v>
      </c>
      <c r="W642" s="3">
        <f t="shared" si="262"/>
        <v>19728.016013766985</v>
      </c>
      <c r="X642" s="3">
        <f t="shared" si="254"/>
        <v>7447.0399798445978</v>
      </c>
      <c r="AI642" s="3"/>
      <c r="AJ642" s="3"/>
      <c r="AK642" s="15">
        <f t="shared" si="245"/>
        <v>3</v>
      </c>
      <c r="AL642" s="11">
        <f t="shared" si="249"/>
        <v>3798</v>
      </c>
      <c r="AM642" s="11" t="b">
        <f t="shared" si="244"/>
        <v>1</v>
      </c>
      <c r="AN642" s="11">
        <f t="shared" si="246"/>
        <v>36000</v>
      </c>
      <c r="AO642" s="11">
        <f t="shared" si="247"/>
        <v>0</v>
      </c>
      <c r="AP642" s="11">
        <f t="shared" si="248"/>
        <v>0.22360630602788006</v>
      </c>
      <c r="AQ642" s="11">
        <f t="shared" si="250"/>
        <v>0</v>
      </c>
      <c r="AT642" s="3"/>
      <c r="AU642" s="17"/>
      <c r="AV642" s="19"/>
      <c r="AW642" s="17"/>
      <c r="AX642" s="17">
        <f t="shared" si="269"/>
        <v>633</v>
      </c>
      <c r="AY642" s="17">
        <f t="shared" si="268"/>
        <v>63.3</v>
      </c>
      <c r="AZ642" s="17">
        <v>22.360630602788007</v>
      </c>
      <c r="BA642" s="17"/>
      <c r="BB642" s="17">
        <v>36</v>
      </c>
      <c r="BC642" s="17"/>
      <c r="BD642" s="17"/>
      <c r="BE642" s="17"/>
      <c r="BF642" s="17"/>
      <c r="BG642" s="17"/>
      <c r="BH642" s="17"/>
      <c r="BI642" s="17"/>
      <c r="BJ642" s="17"/>
      <c r="BK642" s="17"/>
      <c r="BL642" s="17"/>
      <c r="BM642" s="17"/>
      <c r="BN642" s="17"/>
      <c r="BO642" s="17"/>
      <c r="BP642" s="17"/>
      <c r="BQ642" s="17"/>
      <c r="BR642" s="17"/>
      <c r="BS642" s="17"/>
      <c r="BT642" s="17"/>
      <c r="BU642" s="17"/>
      <c r="BV642" s="17"/>
      <c r="BW642" s="17"/>
      <c r="BX642" s="17"/>
      <c r="BY642" s="17"/>
      <c r="BZ642" s="17"/>
      <c r="CA642" s="17"/>
      <c r="CB642" s="17"/>
      <c r="CC642" s="17"/>
      <c r="CD642" s="17"/>
      <c r="CE642" s="17"/>
      <c r="CF642" s="17"/>
      <c r="CG642" s="17"/>
      <c r="CH642" s="17"/>
    </row>
    <row r="643" spans="8:86" x14ac:dyDescent="0.15">
      <c r="H643" s="3">
        <f t="shared" si="263"/>
        <v>0.63100000000000045</v>
      </c>
      <c r="I643" s="3">
        <f t="shared" si="264"/>
        <v>360</v>
      </c>
      <c r="J643" s="14">
        <f t="shared" si="265"/>
        <v>500</v>
      </c>
      <c r="K643" s="3">
        <f t="shared" si="255"/>
        <v>0</v>
      </c>
      <c r="L643" s="3">
        <f t="shared" si="251"/>
        <v>500</v>
      </c>
      <c r="M643" s="15">
        <f t="shared" si="266"/>
        <v>7.0000000000000007E-2</v>
      </c>
      <c r="N643" s="3">
        <f t="shared" si="267"/>
        <v>54.738890734000023</v>
      </c>
      <c r="O643" s="3">
        <f t="shared" si="252"/>
        <v>54.738890734000023</v>
      </c>
      <c r="P643" s="3">
        <f t="shared" si="256"/>
        <v>58.859022294623685</v>
      </c>
      <c r="Q643" s="3">
        <f t="shared" si="257"/>
        <v>14.850049260635243</v>
      </c>
      <c r="R643" s="3">
        <f t="shared" si="258"/>
        <v>36.854535777629465</v>
      </c>
      <c r="S643" s="3">
        <f t="shared" si="253"/>
        <v>1</v>
      </c>
      <c r="T643" s="3">
        <f t="shared" si="259"/>
        <v>22004.48651699422</v>
      </c>
      <c r="U643" s="3">
        <f t="shared" si="260"/>
        <v>0.5</v>
      </c>
      <c r="V643" s="3">
        <f t="shared" si="261"/>
        <v>0</v>
      </c>
      <c r="W643" s="3">
        <f t="shared" si="262"/>
        <v>19706.000664240008</v>
      </c>
      <c r="X643" s="3">
        <f t="shared" si="254"/>
        <v>7425.0246303176218</v>
      </c>
      <c r="AI643" s="3"/>
      <c r="AJ643" s="3"/>
      <c r="AK643" s="15">
        <f t="shared" si="245"/>
        <v>3</v>
      </c>
      <c r="AL643" s="11">
        <f t="shared" si="249"/>
        <v>3804</v>
      </c>
      <c r="AM643" s="11" t="b">
        <f t="shared" si="244"/>
        <v>0</v>
      </c>
      <c r="AN643" s="11">
        <f t="shared" si="246"/>
        <v>36000</v>
      </c>
      <c r="AO643" s="11">
        <f t="shared" si="247"/>
        <v>0</v>
      </c>
      <c r="AP643" s="11">
        <f t="shared" si="248"/>
        <v>0.22470862084269488</v>
      </c>
      <c r="AQ643" s="11">
        <f t="shared" si="250"/>
        <v>0</v>
      </c>
      <c r="AT643" s="3"/>
      <c r="AU643" s="17"/>
      <c r="AV643" s="19"/>
      <c r="AW643" s="17"/>
      <c r="AX643" s="17">
        <f t="shared" si="269"/>
        <v>634</v>
      </c>
      <c r="AY643" s="17">
        <f t="shared" si="268"/>
        <v>63.4</v>
      </c>
      <c r="AZ643" s="17">
        <v>22.470862084269488</v>
      </c>
      <c r="BA643" s="17"/>
      <c r="BB643" s="17">
        <v>36</v>
      </c>
      <c r="BC643" s="17"/>
      <c r="BD643" s="17"/>
      <c r="BE643" s="17"/>
      <c r="BF643" s="17"/>
      <c r="BG643" s="17"/>
      <c r="BH643" s="17"/>
      <c r="BI643" s="17"/>
      <c r="BJ643" s="17"/>
      <c r="BK643" s="17"/>
      <c r="BL643" s="17"/>
      <c r="BM643" s="17"/>
      <c r="BN643" s="17"/>
      <c r="BO643" s="17"/>
      <c r="BP643" s="17"/>
      <c r="BQ643" s="17"/>
      <c r="BR643" s="17"/>
      <c r="BS643" s="17"/>
      <c r="BT643" s="17"/>
      <c r="BU643" s="17"/>
      <c r="BV643" s="17"/>
      <c r="BW643" s="17"/>
      <c r="BX643" s="17"/>
      <c r="BY643" s="17"/>
      <c r="BZ643" s="17"/>
      <c r="CA643" s="17"/>
      <c r="CB643" s="17"/>
      <c r="CC643" s="17"/>
      <c r="CD643" s="17"/>
      <c r="CE643" s="17"/>
      <c r="CF643" s="17"/>
      <c r="CG643" s="17"/>
      <c r="CH643" s="17"/>
    </row>
    <row r="644" spans="8:86" x14ac:dyDescent="0.15">
      <c r="H644" s="3">
        <f t="shared" si="263"/>
        <v>0.63200000000000045</v>
      </c>
      <c r="I644" s="3">
        <f t="shared" si="264"/>
        <v>360</v>
      </c>
      <c r="J644" s="14">
        <f t="shared" si="265"/>
        <v>500</v>
      </c>
      <c r="K644" s="3">
        <f t="shared" si="255"/>
        <v>0</v>
      </c>
      <c r="L644" s="3">
        <f t="shared" si="251"/>
        <v>500</v>
      </c>
      <c r="M644" s="15">
        <f t="shared" si="266"/>
        <v>7.0000000000000007E-2</v>
      </c>
      <c r="N644" s="3">
        <f t="shared" si="267"/>
        <v>54.677767160341702</v>
      </c>
      <c r="O644" s="3">
        <f t="shared" si="252"/>
        <v>54.677767160341702</v>
      </c>
      <c r="P644" s="3">
        <f t="shared" si="256"/>
        <v>58.793298021872801</v>
      </c>
      <c r="Q644" s="3">
        <f t="shared" si="257"/>
        <v>14.806040287601256</v>
      </c>
      <c r="R644" s="3">
        <f t="shared" si="258"/>
        <v>36.799669154737032</v>
      </c>
      <c r="S644" s="3">
        <f t="shared" si="253"/>
        <v>1</v>
      </c>
      <c r="T644" s="3">
        <f t="shared" si="259"/>
        <v>21993.628867135772</v>
      </c>
      <c r="U644" s="3">
        <f t="shared" si="260"/>
        <v>0.5</v>
      </c>
      <c r="V644" s="3">
        <f t="shared" si="261"/>
        <v>0</v>
      </c>
      <c r="W644" s="3">
        <f t="shared" si="262"/>
        <v>19683.996177723013</v>
      </c>
      <c r="X644" s="3">
        <f t="shared" si="254"/>
        <v>7403.0201438006279</v>
      </c>
      <c r="AI644" s="3"/>
      <c r="AJ644" s="3"/>
      <c r="AK644" s="15">
        <f t="shared" si="245"/>
        <v>3</v>
      </c>
      <c r="AL644" s="11">
        <f t="shared" si="249"/>
        <v>3810</v>
      </c>
      <c r="AM644" s="11" t="b">
        <f t="shared" si="244"/>
        <v>0</v>
      </c>
      <c r="AN644" s="11">
        <f t="shared" si="246"/>
        <v>36000</v>
      </c>
      <c r="AO644" s="11">
        <f t="shared" si="247"/>
        <v>0</v>
      </c>
      <c r="AP644" s="11">
        <f t="shared" si="248"/>
        <v>0.2258109356575097</v>
      </c>
      <c r="AQ644" s="11">
        <f t="shared" si="250"/>
        <v>0</v>
      </c>
      <c r="AT644" s="3"/>
      <c r="AU644" s="17"/>
      <c r="AV644" s="19"/>
      <c r="AW644" s="17"/>
      <c r="AX644" s="17">
        <f t="shared" si="269"/>
        <v>635</v>
      </c>
      <c r="AY644" s="17">
        <f t="shared" si="268"/>
        <v>63.5</v>
      </c>
      <c r="AZ644" s="17">
        <v>22.581093565750969</v>
      </c>
      <c r="BA644" s="17"/>
      <c r="BB644" s="17">
        <v>36</v>
      </c>
      <c r="BC644" s="17"/>
      <c r="BD644" s="17"/>
      <c r="BE644" s="17"/>
      <c r="BF644" s="17"/>
      <c r="BG644" s="17"/>
      <c r="BH644" s="17"/>
      <c r="BI644" s="17"/>
      <c r="BJ644" s="17"/>
      <c r="BK644" s="17"/>
      <c r="BL644" s="17"/>
      <c r="BM644" s="17"/>
      <c r="BN644" s="17"/>
      <c r="BO644" s="17"/>
      <c r="BP644" s="17"/>
      <c r="BQ644" s="17"/>
      <c r="BR644" s="17"/>
      <c r="BS644" s="17"/>
      <c r="BT644" s="17"/>
      <c r="BU644" s="17"/>
      <c r="BV644" s="17"/>
      <c r="BW644" s="17"/>
      <c r="BX644" s="17"/>
      <c r="BY644" s="17"/>
      <c r="BZ644" s="17"/>
      <c r="CA644" s="17"/>
      <c r="CB644" s="17"/>
      <c r="CC644" s="17"/>
      <c r="CD644" s="17"/>
      <c r="CE644" s="17"/>
      <c r="CF644" s="17"/>
      <c r="CG644" s="17"/>
      <c r="CH644" s="17"/>
    </row>
    <row r="645" spans="8:86" x14ac:dyDescent="0.15">
      <c r="H645" s="3">
        <f t="shared" si="263"/>
        <v>0.63300000000000045</v>
      </c>
      <c r="I645" s="3">
        <f t="shared" si="264"/>
        <v>360</v>
      </c>
      <c r="J645" s="14">
        <f t="shared" si="265"/>
        <v>500</v>
      </c>
      <c r="K645" s="3">
        <f t="shared" si="255"/>
        <v>0</v>
      </c>
      <c r="L645" s="3">
        <f t="shared" si="251"/>
        <v>500</v>
      </c>
      <c r="M645" s="15">
        <f t="shared" si="266"/>
        <v>7.0000000000000007E-2</v>
      </c>
      <c r="N645" s="3">
        <f t="shared" si="267"/>
        <v>54.616673746821888</v>
      </c>
      <c r="O645" s="3">
        <f t="shared" si="252"/>
        <v>54.616673746821888</v>
      </c>
      <c r="P645" s="3">
        <f t="shared" si="256"/>
        <v>58.727606179378377</v>
      </c>
      <c r="Q645" s="3">
        <f t="shared" si="257"/>
        <v>14.762053029866983</v>
      </c>
      <c r="R645" s="3">
        <f t="shared" si="258"/>
        <v>36.74482960462268</v>
      </c>
      <c r="S645" s="3">
        <f t="shared" si="253"/>
        <v>1</v>
      </c>
      <c r="T645" s="3">
        <f t="shared" si="259"/>
        <v>21982.776574755695</v>
      </c>
      <c r="U645" s="3">
        <f t="shared" si="260"/>
        <v>0.5</v>
      </c>
      <c r="V645" s="3">
        <f t="shared" si="261"/>
        <v>0</v>
      </c>
      <c r="W645" s="3">
        <f t="shared" si="262"/>
        <v>19662.002548855879</v>
      </c>
      <c r="X645" s="3">
        <f t="shared" si="254"/>
        <v>7381.0265149334919</v>
      </c>
      <c r="AI645" s="3"/>
      <c r="AJ645" s="3"/>
      <c r="AK645" s="15">
        <f t="shared" si="245"/>
        <v>3</v>
      </c>
      <c r="AL645" s="11">
        <f t="shared" si="249"/>
        <v>3816</v>
      </c>
      <c r="AM645" s="11" t="b">
        <f t="shared" si="244"/>
        <v>0</v>
      </c>
      <c r="AN645" s="11">
        <f t="shared" si="246"/>
        <v>36000</v>
      </c>
      <c r="AO645" s="11">
        <f t="shared" si="247"/>
        <v>0</v>
      </c>
      <c r="AP645" s="11">
        <f t="shared" si="248"/>
        <v>0.2269132504723245</v>
      </c>
      <c r="AQ645" s="11">
        <f t="shared" si="250"/>
        <v>0</v>
      </c>
      <c r="AT645" s="3"/>
      <c r="AU645" s="17"/>
      <c r="AV645" s="19"/>
      <c r="AW645" s="17"/>
      <c r="AX645" s="17">
        <f t="shared" si="269"/>
        <v>636</v>
      </c>
      <c r="AY645" s="17">
        <f t="shared" si="268"/>
        <v>63.6</v>
      </c>
      <c r="AZ645" s="17">
        <v>22.69132504723245</v>
      </c>
      <c r="BA645" s="17"/>
      <c r="BB645" s="17">
        <v>36</v>
      </c>
      <c r="BC645" s="17"/>
      <c r="BD645" s="17"/>
      <c r="BE645" s="17"/>
      <c r="BF645" s="17"/>
      <c r="BG645" s="17"/>
      <c r="BH645" s="17"/>
      <c r="BI645" s="17"/>
      <c r="BJ645" s="17"/>
      <c r="BK645" s="17"/>
      <c r="BL645" s="17"/>
      <c r="BM645" s="17"/>
      <c r="BN645" s="17"/>
      <c r="BO645" s="17"/>
      <c r="BP645" s="17"/>
      <c r="BQ645" s="17"/>
      <c r="BR645" s="17"/>
      <c r="BS645" s="17"/>
      <c r="BT645" s="17"/>
      <c r="BU645" s="17"/>
      <c r="BV645" s="17"/>
      <c r="BW645" s="17"/>
      <c r="BX645" s="17"/>
      <c r="BY645" s="17"/>
      <c r="BZ645" s="17"/>
      <c r="CA645" s="17"/>
      <c r="CB645" s="17"/>
      <c r="CC645" s="17"/>
      <c r="CD645" s="17"/>
      <c r="CE645" s="17"/>
      <c r="CF645" s="17"/>
      <c r="CG645" s="17"/>
      <c r="CH645" s="17"/>
    </row>
    <row r="646" spans="8:86" x14ac:dyDescent="0.15">
      <c r="H646" s="3">
        <f t="shared" si="263"/>
        <v>0.63400000000000045</v>
      </c>
      <c r="I646" s="3">
        <f t="shared" si="264"/>
        <v>360</v>
      </c>
      <c r="J646" s="14">
        <f t="shared" si="265"/>
        <v>500</v>
      </c>
      <c r="K646" s="3">
        <f t="shared" si="255"/>
        <v>0</v>
      </c>
      <c r="L646" s="3">
        <f t="shared" si="251"/>
        <v>500</v>
      </c>
      <c r="M646" s="15">
        <f t="shared" si="266"/>
        <v>7.0000000000000007E-2</v>
      </c>
      <c r="N646" s="3">
        <f t="shared" si="267"/>
        <v>54.555610478558677</v>
      </c>
      <c r="O646" s="3">
        <f t="shared" si="252"/>
        <v>54.555610478558677</v>
      </c>
      <c r="P646" s="3">
        <f t="shared" si="256"/>
        <v>58.661946751138366</v>
      </c>
      <c r="Q646" s="3">
        <f t="shared" si="257"/>
        <v>14.718087476717471</v>
      </c>
      <c r="R646" s="3">
        <f t="shared" si="258"/>
        <v>36.690017113927922</v>
      </c>
      <c r="S646" s="3">
        <f t="shared" si="253"/>
        <v>1</v>
      </c>
      <c r="T646" s="3">
        <f t="shared" si="259"/>
        <v>21971.929637210447</v>
      </c>
      <c r="U646" s="3">
        <f t="shared" si="260"/>
        <v>0.5</v>
      </c>
      <c r="V646" s="3">
        <f t="shared" si="261"/>
        <v>0</v>
      </c>
      <c r="W646" s="3">
        <f t="shared" si="262"/>
        <v>19640.019772281124</v>
      </c>
      <c r="X646" s="3">
        <f t="shared" si="254"/>
        <v>7359.0437383587359</v>
      </c>
      <c r="AI646" s="3"/>
      <c r="AJ646" s="3"/>
      <c r="AK646" s="15">
        <f t="shared" si="245"/>
        <v>3</v>
      </c>
      <c r="AL646" s="11">
        <f t="shared" si="249"/>
        <v>3822</v>
      </c>
      <c r="AM646" s="11" t="b">
        <f t="shared" si="244"/>
        <v>0</v>
      </c>
      <c r="AN646" s="11">
        <f t="shared" si="246"/>
        <v>36000</v>
      </c>
      <c r="AO646" s="11">
        <f t="shared" si="247"/>
        <v>0</v>
      </c>
      <c r="AP646" s="11">
        <f t="shared" si="248"/>
        <v>0.22801556528713929</v>
      </c>
      <c r="AQ646" s="11">
        <f t="shared" si="250"/>
        <v>0</v>
      </c>
      <c r="AT646" s="3"/>
      <c r="AU646" s="17"/>
      <c r="AV646" s="19"/>
      <c r="AW646" s="17"/>
      <c r="AX646" s="17">
        <f t="shared" si="269"/>
        <v>637</v>
      </c>
      <c r="AY646" s="17">
        <f t="shared" si="268"/>
        <v>63.7</v>
      </c>
      <c r="AZ646" s="17">
        <v>22.801556528713927</v>
      </c>
      <c r="BA646" s="17"/>
      <c r="BB646" s="17">
        <v>36</v>
      </c>
      <c r="BC646" s="17"/>
      <c r="BD646" s="17"/>
      <c r="BE646" s="17"/>
      <c r="BF646" s="17"/>
      <c r="BG646" s="17"/>
      <c r="BH646" s="17"/>
      <c r="BI646" s="17"/>
      <c r="BJ646" s="17"/>
      <c r="BK646" s="17"/>
      <c r="BL646" s="17"/>
      <c r="BM646" s="17"/>
      <c r="BN646" s="17"/>
      <c r="BO646" s="17"/>
      <c r="BP646" s="17"/>
      <c r="BQ646" s="17"/>
      <c r="BR646" s="17"/>
      <c r="BS646" s="17"/>
      <c r="BT646" s="17"/>
      <c r="BU646" s="17"/>
      <c r="BV646" s="17"/>
      <c r="BW646" s="17"/>
      <c r="BX646" s="17"/>
      <c r="BY646" s="17"/>
      <c r="BZ646" s="17"/>
      <c r="CA646" s="17"/>
      <c r="CB646" s="17"/>
      <c r="CC646" s="17"/>
      <c r="CD646" s="17"/>
      <c r="CE646" s="17"/>
      <c r="CF646" s="17"/>
      <c r="CG646" s="17"/>
      <c r="CH646" s="17"/>
    </row>
    <row r="647" spans="8:86" x14ac:dyDescent="0.15">
      <c r="H647" s="3">
        <f t="shared" si="263"/>
        <v>0.63500000000000045</v>
      </c>
      <c r="I647" s="3">
        <f t="shared" si="264"/>
        <v>360</v>
      </c>
      <c r="J647" s="14">
        <f t="shared" si="265"/>
        <v>500</v>
      </c>
      <c r="K647" s="3">
        <f t="shared" si="255"/>
        <v>0</v>
      </c>
      <c r="L647" s="3">
        <f t="shared" si="251"/>
        <v>500</v>
      </c>
      <c r="M647" s="15">
        <f t="shared" si="266"/>
        <v>7.0000000000000007E-2</v>
      </c>
      <c r="N647" s="3">
        <f t="shared" si="267"/>
        <v>54.494577340677544</v>
      </c>
      <c r="O647" s="3">
        <f t="shared" si="252"/>
        <v>54.494577340677544</v>
      </c>
      <c r="P647" s="3">
        <f t="shared" si="256"/>
        <v>58.59631972115865</v>
      </c>
      <c r="Q647" s="3">
        <f t="shared" si="257"/>
        <v>14.67414361744305</v>
      </c>
      <c r="R647" s="3">
        <f t="shared" si="258"/>
        <v>36.63523166930085</v>
      </c>
      <c r="S647" s="3">
        <f t="shared" si="253"/>
        <v>1</v>
      </c>
      <c r="T647" s="3">
        <f t="shared" si="259"/>
        <v>21961.088051857801</v>
      </c>
      <c r="U647" s="3">
        <f t="shared" si="260"/>
        <v>0.5</v>
      </c>
      <c r="V647" s="3">
        <f t="shared" si="261"/>
        <v>0</v>
      </c>
      <c r="W647" s="3">
        <f t="shared" si="262"/>
        <v>19618.047842643915</v>
      </c>
      <c r="X647" s="3">
        <f t="shared" si="254"/>
        <v>7337.0718087215255</v>
      </c>
      <c r="AI647" s="3"/>
      <c r="AJ647" s="3"/>
      <c r="AK647" s="15">
        <f t="shared" si="245"/>
        <v>3</v>
      </c>
      <c r="AL647" s="11">
        <f t="shared" si="249"/>
        <v>3828</v>
      </c>
      <c r="AM647" s="11" t="b">
        <f t="shared" si="244"/>
        <v>0</v>
      </c>
      <c r="AN647" s="11">
        <f t="shared" si="246"/>
        <v>36000</v>
      </c>
      <c r="AO647" s="11">
        <f t="shared" si="247"/>
        <v>0</v>
      </c>
      <c r="AP647" s="11">
        <f t="shared" si="248"/>
        <v>0.22911788010195408</v>
      </c>
      <c r="AQ647" s="11">
        <f t="shared" si="250"/>
        <v>0</v>
      </c>
      <c r="AT647" s="3"/>
      <c r="AU647" s="17"/>
      <c r="AV647" s="19"/>
      <c r="AW647" s="17"/>
      <c r="AX647" s="17">
        <f t="shared" si="269"/>
        <v>638</v>
      </c>
      <c r="AY647" s="17">
        <f t="shared" si="268"/>
        <v>63.8</v>
      </c>
      <c r="AZ647" s="17">
        <v>22.911788010195409</v>
      </c>
      <c r="BA647" s="17"/>
      <c r="BB647" s="17">
        <v>36</v>
      </c>
      <c r="BC647" s="17"/>
      <c r="BD647" s="17"/>
      <c r="BE647" s="17"/>
      <c r="BF647" s="17"/>
      <c r="BG647" s="17"/>
      <c r="BH647" s="17"/>
      <c r="BI647" s="17"/>
      <c r="BJ647" s="17"/>
      <c r="BK647" s="17"/>
      <c r="BL647" s="17"/>
      <c r="BM647" s="17"/>
      <c r="BN647" s="17"/>
      <c r="BO647" s="17"/>
      <c r="BP647" s="17"/>
      <c r="BQ647" s="17"/>
      <c r="BR647" s="17"/>
      <c r="BS647" s="17"/>
      <c r="BT647" s="17"/>
      <c r="BU647" s="17"/>
      <c r="BV647" s="17"/>
      <c r="BW647" s="17"/>
      <c r="BX647" s="17"/>
      <c r="BY647" s="17"/>
      <c r="BZ647" s="17"/>
      <c r="CA647" s="17"/>
      <c r="CB647" s="17"/>
      <c r="CC647" s="17"/>
      <c r="CD647" s="17"/>
      <c r="CE647" s="17"/>
      <c r="CF647" s="17"/>
      <c r="CG647" s="17"/>
      <c r="CH647" s="17"/>
    </row>
    <row r="648" spans="8:86" x14ac:dyDescent="0.15">
      <c r="H648" s="3">
        <f t="shared" si="263"/>
        <v>0.63600000000000045</v>
      </c>
      <c r="I648" s="3">
        <f t="shared" si="264"/>
        <v>360</v>
      </c>
      <c r="J648" s="14">
        <f t="shared" si="265"/>
        <v>500</v>
      </c>
      <c r="K648" s="3">
        <f t="shared" si="255"/>
        <v>0</v>
      </c>
      <c r="L648" s="3">
        <f t="shared" si="251"/>
        <v>500</v>
      </c>
      <c r="M648" s="15">
        <f t="shared" si="266"/>
        <v>7.0000000000000007E-2</v>
      </c>
      <c r="N648" s="3">
        <f t="shared" si="267"/>
        <v>54.433574318311265</v>
      </c>
      <c r="O648" s="3">
        <f t="shared" si="252"/>
        <v>54.433574318311265</v>
      </c>
      <c r="P648" s="3">
        <f t="shared" si="256"/>
        <v>58.530725073452977</v>
      </c>
      <c r="Q648" s="3">
        <f t="shared" si="257"/>
        <v>14.630221441339335</v>
      </c>
      <c r="R648" s="3">
        <f t="shared" si="258"/>
        <v>36.580473257396157</v>
      </c>
      <c r="S648" s="3">
        <f t="shared" si="253"/>
        <v>1</v>
      </c>
      <c r="T648" s="3">
        <f t="shared" si="259"/>
        <v>21950.251816056822</v>
      </c>
      <c r="U648" s="3">
        <f t="shared" si="260"/>
        <v>0.5</v>
      </c>
      <c r="V648" s="3">
        <f t="shared" si="261"/>
        <v>0</v>
      </c>
      <c r="W648" s="3">
        <f t="shared" si="262"/>
        <v>19596.086754592056</v>
      </c>
      <c r="X648" s="3">
        <f t="shared" si="254"/>
        <v>7315.1107206696679</v>
      </c>
      <c r="AI648" s="3"/>
      <c r="AJ648" s="3"/>
      <c r="AK648" s="15">
        <f t="shared" si="245"/>
        <v>3</v>
      </c>
      <c r="AL648" s="11">
        <f t="shared" si="249"/>
        <v>3834</v>
      </c>
      <c r="AM648" s="11" t="b">
        <f t="shared" si="244"/>
        <v>0</v>
      </c>
      <c r="AN648" s="11">
        <f t="shared" si="246"/>
        <v>36000</v>
      </c>
      <c r="AO648" s="11">
        <f t="shared" si="247"/>
        <v>0</v>
      </c>
      <c r="AP648" s="11">
        <f t="shared" si="248"/>
        <v>0.23022019491676887</v>
      </c>
      <c r="AQ648" s="11">
        <f t="shared" si="250"/>
        <v>0</v>
      </c>
      <c r="AT648" s="3"/>
      <c r="AU648" s="17"/>
      <c r="AV648" s="19"/>
      <c r="AW648" s="17"/>
      <c r="AX648" s="17">
        <f t="shared" si="269"/>
        <v>639</v>
      </c>
      <c r="AY648" s="17">
        <f t="shared" si="268"/>
        <v>63.9</v>
      </c>
      <c r="AZ648" s="17">
        <v>23.022019491676886</v>
      </c>
      <c r="BA648" s="17"/>
      <c r="BB648" s="17">
        <v>36</v>
      </c>
      <c r="BC648" s="17"/>
      <c r="BD648" s="17"/>
      <c r="BE648" s="17"/>
      <c r="BF648" s="17"/>
      <c r="BG648" s="17"/>
      <c r="BH648" s="17"/>
      <c r="BI648" s="17"/>
      <c r="BJ648" s="17"/>
      <c r="BK648" s="17"/>
      <c r="BL648" s="17"/>
      <c r="BM648" s="17"/>
      <c r="BN648" s="17"/>
      <c r="BO648" s="17"/>
      <c r="BP648" s="17"/>
      <c r="BQ648" s="17"/>
      <c r="BR648" s="17"/>
      <c r="BS648" s="17"/>
      <c r="BT648" s="17"/>
      <c r="BU648" s="17"/>
      <c r="BV648" s="17"/>
      <c r="BW648" s="17"/>
      <c r="BX648" s="17"/>
      <c r="BY648" s="17"/>
      <c r="BZ648" s="17"/>
      <c r="CA648" s="17"/>
      <c r="CB648" s="17"/>
      <c r="CC648" s="17"/>
      <c r="CD648" s="17"/>
      <c r="CE648" s="17"/>
      <c r="CF648" s="17"/>
      <c r="CG648" s="17"/>
      <c r="CH648" s="17"/>
    </row>
    <row r="649" spans="8:86" x14ac:dyDescent="0.15">
      <c r="H649" s="3">
        <f t="shared" si="263"/>
        <v>0.63700000000000045</v>
      </c>
      <c r="I649" s="3">
        <f t="shared" si="264"/>
        <v>360</v>
      </c>
      <c r="J649" s="14">
        <f t="shared" si="265"/>
        <v>500</v>
      </c>
      <c r="K649" s="3">
        <f t="shared" si="255"/>
        <v>0</v>
      </c>
      <c r="L649" s="3">
        <f t="shared" si="251"/>
        <v>500</v>
      </c>
      <c r="M649" s="15">
        <f t="shared" si="266"/>
        <v>7.0000000000000007E-2</v>
      </c>
      <c r="N649" s="3">
        <f t="shared" si="267"/>
        <v>54.372601396600004</v>
      </c>
      <c r="O649" s="3">
        <f t="shared" si="252"/>
        <v>54.372601396600004</v>
      </c>
      <c r="P649" s="3">
        <f t="shared" si="256"/>
        <v>58.465162792043017</v>
      </c>
      <c r="Q649" s="3">
        <f t="shared" si="257"/>
        <v>14.586320937707221</v>
      </c>
      <c r="R649" s="3">
        <f t="shared" si="258"/>
        <v>36.525741864875116</v>
      </c>
      <c r="S649" s="3">
        <f t="shared" si="253"/>
        <v>1</v>
      </c>
      <c r="T649" s="3">
        <f t="shared" si="259"/>
        <v>21939.420927167899</v>
      </c>
      <c r="U649" s="3">
        <f t="shared" si="260"/>
        <v>0.5</v>
      </c>
      <c r="V649" s="3">
        <f t="shared" si="261"/>
        <v>0</v>
      </c>
      <c r="W649" s="3">
        <f t="shared" si="262"/>
        <v>19574.136502776</v>
      </c>
      <c r="X649" s="3">
        <f t="shared" si="254"/>
        <v>7293.1604688536108</v>
      </c>
      <c r="AI649" s="3"/>
      <c r="AJ649" s="3"/>
      <c r="AK649" s="15">
        <f t="shared" si="245"/>
        <v>3</v>
      </c>
      <c r="AL649" s="11">
        <f t="shared" si="249"/>
        <v>3840</v>
      </c>
      <c r="AM649" s="11" t="b">
        <f t="shared" ref="AM649:AM712" si="270">OR(AND(AL649&gt;=$AC$5,AL649&lt;=$AD$5),AND(AL649&gt;=$AC$6,AL649&lt;=$AD$6),AND(AL649&gt;=$AC$7,AL649&lt;=$AD$7),AND(AL649&gt;=$AC$8,AL649&lt;=$AD$8),AND(AL649&gt;=$AC$9,AL649&lt;=$AD$9),AND(AL649&gt;=$AC$10,AL649&lt;=$AD$10),AND(AL649&gt;=$AC$11,AL649&lt;=$AD$11),AND($AD$11&lt;$AC$11,OR(AL649&lt;$AD$11,AL649&gt;$AC$11)))</f>
        <v>0</v>
      </c>
      <c r="AN649" s="11">
        <f t="shared" si="246"/>
        <v>36000</v>
      </c>
      <c r="AO649" s="11">
        <f t="shared" si="247"/>
        <v>0</v>
      </c>
      <c r="AP649" s="11">
        <f t="shared" si="248"/>
        <v>0.23132250973158366</v>
      </c>
      <c r="AQ649" s="11">
        <f t="shared" si="250"/>
        <v>0</v>
      </c>
      <c r="AT649" s="3"/>
      <c r="AU649" s="17"/>
      <c r="AV649" s="19"/>
      <c r="AW649" s="17"/>
      <c r="AX649" s="17">
        <f t="shared" si="269"/>
        <v>640</v>
      </c>
      <c r="AY649" s="17">
        <f t="shared" si="268"/>
        <v>64</v>
      </c>
      <c r="AZ649" s="17">
        <v>23.132250973158367</v>
      </c>
      <c r="BA649" s="17"/>
      <c r="BB649" s="17">
        <v>36</v>
      </c>
      <c r="BC649" s="17"/>
      <c r="BD649" s="17"/>
      <c r="BE649" s="17"/>
      <c r="BF649" s="17"/>
      <c r="BG649" s="17"/>
      <c r="BH649" s="17"/>
      <c r="BI649" s="17"/>
      <c r="BJ649" s="17"/>
      <c r="BK649" s="17"/>
      <c r="BL649" s="17"/>
      <c r="BM649" s="17"/>
      <c r="BN649" s="17"/>
      <c r="BO649" s="17"/>
      <c r="BP649" s="17"/>
      <c r="BQ649" s="17"/>
      <c r="BR649" s="17"/>
      <c r="BS649" s="17"/>
      <c r="BT649" s="17"/>
      <c r="BU649" s="17"/>
      <c r="BV649" s="17"/>
      <c r="BW649" s="17"/>
      <c r="BX649" s="17"/>
      <c r="BY649" s="17"/>
      <c r="BZ649" s="17"/>
      <c r="CA649" s="17"/>
      <c r="CB649" s="17"/>
      <c r="CC649" s="17"/>
      <c r="CD649" s="17"/>
      <c r="CE649" s="17"/>
      <c r="CF649" s="17"/>
      <c r="CG649" s="17"/>
      <c r="CH649" s="17"/>
    </row>
    <row r="650" spans="8:86" x14ac:dyDescent="0.15">
      <c r="H650" s="3">
        <f t="shared" si="263"/>
        <v>0.63800000000000046</v>
      </c>
      <c r="I650" s="3">
        <f t="shared" si="264"/>
        <v>360</v>
      </c>
      <c r="J650" s="14">
        <f t="shared" si="265"/>
        <v>500</v>
      </c>
      <c r="K650" s="3">
        <f t="shared" si="255"/>
        <v>0</v>
      </c>
      <c r="L650" s="3">
        <f t="shared" si="251"/>
        <v>500</v>
      </c>
      <c r="M650" s="15">
        <f t="shared" si="266"/>
        <v>7.0000000000000007E-2</v>
      </c>
      <c r="N650" s="3">
        <f t="shared" si="267"/>
        <v>54.311658560691207</v>
      </c>
      <c r="O650" s="3">
        <f t="shared" si="252"/>
        <v>54.311658560691207</v>
      </c>
      <c r="P650" s="3">
        <f t="shared" si="256"/>
        <v>58.399632860958292</v>
      </c>
      <c r="Q650" s="3">
        <f t="shared" si="257"/>
        <v>14.542442095852886</v>
      </c>
      <c r="R650" s="3">
        <f t="shared" si="258"/>
        <v>36.471037478405592</v>
      </c>
      <c r="S650" s="3">
        <f t="shared" si="253"/>
        <v>1</v>
      </c>
      <c r="T650" s="3">
        <f t="shared" si="259"/>
        <v>21928.595382552703</v>
      </c>
      <c r="U650" s="3">
        <f t="shared" si="260"/>
        <v>0.5</v>
      </c>
      <c r="V650" s="3">
        <f t="shared" si="261"/>
        <v>0</v>
      </c>
      <c r="W650" s="3">
        <f t="shared" si="262"/>
        <v>19552.197081848833</v>
      </c>
      <c r="X650" s="3">
        <f t="shared" si="254"/>
        <v>7271.2210479264431</v>
      </c>
      <c r="AI650" s="3"/>
      <c r="AJ650" s="3"/>
      <c r="AK650" s="15">
        <f t="shared" ref="AK650:AK713" si="271">1+INT(MOD(AL650/60/24-0.5,7))</f>
        <v>3</v>
      </c>
      <c r="AL650" s="11">
        <f t="shared" si="249"/>
        <v>3846</v>
      </c>
      <c r="AM650" s="11" t="b">
        <f t="shared" si="270"/>
        <v>0</v>
      </c>
      <c r="AN650" s="11">
        <f t="shared" ref="AN650:AN713" si="272">IF(AND(AM650,NOT(AM651)),$AB$26,AN649+($AB$28-IF(AND(AM649,AM650),CHOOSE(AK650,$AG$5,$AG$6,$AG$7,$AG$8,$AG$9,$AG$10,$AG$11)*$AA$22/$AA$24,0))*$AB$15)</f>
        <v>36000</v>
      </c>
      <c r="AO650" s="11">
        <f t="shared" ref="AO650:AO713" si="273">IF(AND(AM650,NOT(AM651)),$AB$27,AO649+($AB$29-IF(AND(AM649,AM650),CHOOSE(AK650,$AG$5,$AG$6,$AG$7,$AG$8,$AG$9,$AG$10,$AG$11)*$AA$23/$AA$24,0))*$AB$15)</f>
        <v>0</v>
      </c>
      <c r="AP650" s="11">
        <f t="shared" ref="AP650:AP713" si="274">IF(AN649&lt;=0,0,(AP649*AN649-(IF(AND(AM649,AM650),CHOOSE(AK650,$AI$5,$AI$6,$AI$7,$AI$8,$AI$9,$AI$10,$AI$11),$AA$37))*AP649*$AB$15+$AA$34*(AQ649-AP649)*$AB$15+$AA$33*$AB$15)/AN649)</f>
        <v>0.23242482454639846</v>
      </c>
      <c r="AQ650" s="11">
        <f t="shared" si="250"/>
        <v>0</v>
      </c>
      <c r="AT650" s="3"/>
      <c r="AU650" s="17"/>
      <c r="AV650" s="19"/>
      <c r="AW650" s="17"/>
      <c r="AX650" s="17">
        <f t="shared" si="269"/>
        <v>641</v>
      </c>
      <c r="AY650" s="17">
        <f t="shared" si="268"/>
        <v>64.099999999999994</v>
      </c>
      <c r="AZ650" s="17">
        <v>23.242482454639845</v>
      </c>
      <c r="BA650" s="17"/>
      <c r="BB650" s="17">
        <v>36</v>
      </c>
      <c r="BC650" s="17"/>
      <c r="BD650" s="17"/>
      <c r="BE650" s="17"/>
      <c r="BF650" s="17"/>
      <c r="BG650" s="17"/>
      <c r="BH650" s="17"/>
      <c r="BI650" s="17"/>
      <c r="BJ650" s="17"/>
      <c r="BK650" s="17"/>
      <c r="BL650" s="17"/>
      <c r="BM650" s="17"/>
      <c r="BN650" s="17"/>
      <c r="BO650" s="17"/>
      <c r="BP650" s="17"/>
      <c r="BQ650" s="17"/>
      <c r="BR650" s="17"/>
      <c r="BS650" s="17"/>
      <c r="BT650" s="17"/>
      <c r="BU650" s="17"/>
      <c r="BV650" s="17"/>
      <c r="BW650" s="17"/>
      <c r="BX650" s="17"/>
      <c r="BY650" s="17"/>
      <c r="BZ650" s="17"/>
      <c r="CA650" s="17"/>
      <c r="CB650" s="17"/>
      <c r="CC650" s="17"/>
      <c r="CD650" s="17"/>
      <c r="CE650" s="17"/>
      <c r="CF650" s="17"/>
      <c r="CG650" s="17"/>
      <c r="CH650" s="17"/>
    </row>
    <row r="651" spans="8:86" x14ac:dyDescent="0.15">
      <c r="H651" s="3">
        <f t="shared" si="263"/>
        <v>0.63900000000000046</v>
      </c>
      <c r="I651" s="3">
        <f t="shared" si="264"/>
        <v>360</v>
      </c>
      <c r="J651" s="14">
        <f t="shared" si="265"/>
        <v>500</v>
      </c>
      <c r="K651" s="3">
        <f t="shared" si="255"/>
        <v>0</v>
      </c>
      <c r="L651" s="3">
        <f t="shared" si="251"/>
        <v>500</v>
      </c>
      <c r="M651" s="15">
        <f t="shared" si="266"/>
        <v>7.0000000000000007E-2</v>
      </c>
      <c r="N651" s="3">
        <f t="shared" si="267"/>
        <v>54.250745795739668</v>
      </c>
      <c r="O651" s="3">
        <f t="shared" si="252"/>
        <v>54.250745795739668</v>
      </c>
      <c r="P651" s="3">
        <f t="shared" si="256"/>
        <v>58.33413526423621</v>
      </c>
      <c r="Q651" s="3">
        <f t="shared" si="257"/>
        <v>14.49858490508778</v>
      </c>
      <c r="R651" s="3">
        <f t="shared" si="258"/>
        <v>36.416360084661996</v>
      </c>
      <c r="S651" s="3">
        <f t="shared" si="253"/>
        <v>1</v>
      </c>
      <c r="T651" s="3">
        <f t="shared" si="259"/>
        <v>21917.775179574215</v>
      </c>
      <c r="U651" s="3">
        <f t="shared" si="260"/>
        <v>0.5</v>
      </c>
      <c r="V651" s="3">
        <f t="shared" si="261"/>
        <v>0</v>
      </c>
      <c r="W651" s="3">
        <f t="shared" si="262"/>
        <v>19530.268486466281</v>
      </c>
      <c r="X651" s="3">
        <f t="shared" si="254"/>
        <v>7249.2924525438902</v>
      </c>
      <c r="AI651" s="3"/>
      <c r="AJ651" s="3"/>
      <c r="AK651" s="15">
        <f t="shared" si="271"/>
        <v>3</v>
      </c>
      <c r="AL651" s="11">
        <f t="shared" ref="AL651:AL714" si="275">AL650+$AB$15</f>
        <v>3852</v>
      </c>
      <c r="AM651" s="11" t="b">
        <f t="shared" si="270"/>
        <v>0</v>
      </c>
      <c r="AN651" s="11">
        <f t="shared" si="272"/>
        <v>36000</v>
      </c>
      <c r="AO651" s="11">
        <f t="shared" si="273"/>
        <v>0</v>
      </c>
      <c r="AP651" s="11">
        <f t="shared" si="274"/>
        <v>0.23352713936121325</v>
      </c>
      <c r="AQ651" s="11">
        <f t="shared" ref="AQ651:AQ714" si="276">IF(AO650&lt;=0,0,(AQ650*AO650-$AA$34*(AQ650-AP650)*$AB$15)/AO650)</f>
        <v>0</v>
      </c>
      <c r="AT651" s="3"/>
      <c r="AU651" s="17"/>
      <c r="AV651" s="19"/>
      <c r="AW651" s="17"/>
      <c r="AX651" s="17">
        <f t="shared" si="269"/>
        <v>642</v>
      </c>
      <c r="AY651" s="17">
        <f t="shared" si="268"/>
        <v>64.2</v>
      </c>
      <c r="AZ651" s="17">
        <v>23.352713936121326</v>
      </c>
      <c r="BA651" s="17"/>
      <c r="BB651" s="17">
        <v>36</v>
      </c>
      <c r="BC651" s="17"/>
      <c r="BD651" s="17"/>
      <c r="BE651" s="17"/>
      <c r="BF651" s="17"/>
      <c r="BG651" s="17"/>
      <c r="BH651" s="17"/>
      <c r="BI651" s="17"/>
      <c r="BJ651" s="17"/>
      <c r="BK651" s="17"/>
      <c r="BL651" s="17"/>
      <c r="BM651" s="17"/>
      <c r="BN651" s="17"/>
      <c r="BO651" s="17"/>
      <c r="BP651" s="17"/>
      <c r="BQ651" s="17"/>
      <c r="BR651" s="17"/>
      <c r="BS651" s="17"/>
      <c r="BT651" s="17"/>
      <c r="BU651" s="17"/>
      <c r="BV651" s="17"/>
      <c r="BW651" s="17"/>
      <c r="BX651" s="17"/>
      <c r="BY651" s="17"/>
      <c r="BZ651" s="17"/>
      <c r="CA651" s="17"/>
      <c r="CB651" s="17"/>
      <c r="CC651" s="17"/>
      <c r="CD651" s="17"/>
      <c r="CE651" s="17"/>
      <c r="CF651" s="17"/>
      <c r="CG651" s="17"/>
      <c r="CH651" s="17"/>
    </row>
    <row r="652" spans="8:86" x14ac:dyDescent="0.15">
      <c r="H652" s="3">
        <f t="shared" si="263"/>
        <v>0.64000000000000046</v>
      </c>
      <c r="I652" s="3">
        <f t="shared" si="264"/>
        <v>360</v>
      </c>
      <c r="J652" s="14">
        <f t="shared" si="265"/>
        <v>500</v>
      </c>
      <c r="K652" s="3">
        <f t="shared" si="255"/>
        <v>0</v>
      </c>
      <c r="L652" s="3">
        <f t="shared" ref="L652:L715" si="277">$L$8*$L$6/I652</f>
        <v>500</v>
      </c>
      <c r="M652" s="15">
        <f t="shared" si="266"/>
        <v>7.0000000000000007E-2</v>
      </c>
      <c r="N652" s="3">
        <f t="shared" si="267"/>
        <v>54.189863086907515</v>
      </c>
      <c r="O652" s="3">
        <f t="shared" ref="O652:O715" si="278">N652*S652</f>
        <v>54.189863086907515</v>
      </c>
      <c r="P652" s="3">
        <f t="shared" si="256"/>
        <v>58.26866998592206</v>
      </c>
      <c r="Q652" s="3">
        <f t="shared" si="257"/>
        <v>14.454749354728632</v>
      </c>
      <c r="R652" s="3">
        <f t="shared" si="258"/>
        <v>36.361709670325347</v>
      </c>
      <c r="S652" s="3">
        <f t="shared" ref="S652:S715" si="279">IF($F$10=0,0,IF($F$10=1,1,(N652-L652-1/$I$5+((L652-N652+1/$I$5)^2+4*N652/$I$5)^0.5)/2/N652))</f>
        <v>1</v>
      </c>
      <c r="T652" s="3">
        <f t="shared" si="259"/>
        <v>21906.960315596712</v>
      </c>
      <c r="U652" s="3">
        <f t="shared" si="260"/>
        <v>0.5</v>
      </c>
      <c r="V652" s="3">
        <f t="shared" si="261"/>
        <v>0</v>
      </c>
      <c r="W652" s="3">
        <f t="shared" si="262"/>
        <v>19508.350711286705</v>
      </c>
      <c r="X652" s="3">
        <f t="shared" ref="X652:X715" si="280">IF($F$19,W652-W653+X653,J652*Q652)</f>
        <v>7227.3746773643161</v>
      </c>
      <c r="AI652" s="3"/>
      <c r="AJ652" s="3"/>
      <c r="AK652" s="15">
        <f t="shared" si="271"/>
        <v>3</v>
      </c>
      <c r="AL652" s="11">
        <f t="shared" si="275"/>
        <v>3858</v>
      </c>
      <c r="AM652" s="11" t="b">
        <f t="shared" si="270"/>
        <v>0</v>
      </c>
      <c r="AN652" s="11">
        <f t="shared" si="272"/>
        <v>36000</v>
      </c>
      <c r="AO652" s="11">
        <f t="shared" si="273"/>
        <v>0</v>
      </c>
      <c r="AP652" s="11">
        <f t="shared" si="274"/>
        <v>0.23462945417602804</v>
      </c>
      <c r="AQ652" s="11">
        <f t="shared" si="276"/>
        <v>0</v>
      </c>
      <c r="AT652" s="3"/>
      <c r="AU652" s="17"/>
      <c r="AV652" s="19"/>
      <c r="AW652" s="17"/>
      <c r="AX652" s="17">
        <f t="shared" si="269"/>
        <v>643</v>
      </c>
      <c r="AY652" s="17">
        <f t="shared" si="268"/>
        <v>64.3</v>
      </c>
      <c r="AZ652" s="17">
        <v>23.462945417602803</v>
      </c>
      <c r="BA652" s="17"/>
      <c r="BB652" s="17">
        <v>36</v>
      </c>
      <c r="BC652" s="17"/>
      <c r="BD652" s="17"/>
      <c r="BE652" s="17"/>
      <c r="BF652" s="17"/>
      <c r="BG652" s="17"/>
      <c r="BH652" s="17"/>
      <c r="BI652" s="17"/>
      <c r="BJ652" s="17"/>
      <c r="BK652" s="17"/>
      <c r="BL652" s="17"/>
      <c r="BM652" s="17"/>
      <c r="BN652" s="17"/>
      <c r="BO652" s="17"/>
      <c r="BP652" s="17"/>
      <c r="BQ652" s="17"/>
      <c r="BR652" s="17"/>
      <c r="BS652" s="17"/>
      <c r="BT652" s="17"/>
      <c r="BU652" s="17"/>
      <c r="BV652" s="17"/>
      <c r="BW652" s="17"/>
      <c r="BX652" s="17"/>
      <c r="BY652" s="17"/>
      <c r="BZ652" s="17"/>
      <c r="CA652" s="17"/>
      <c r="CB652" s="17"/>
      <c r="CC652" s="17"/>
      <c r="CD652" s="17"/>
      <c r="CE652" s="17"/>
      <c r="CF652" s="17"/>
      <c r="CG652" s="17"/>
      <c r="CH652" s="17"/>
    </row>
    <row r="653" spans="8:86" x14ac:dyDescent="0.15">
      <c r="H653" s="3">
        <f t="shared" si="263"/>
        <v>0.64100000000000046</v>
      </c>
      <c r="I653" s="3">
        <f t="shared" si="264"/>
        <v>360</v>
      </c>
      <c r="J653" s="14">
        <f t="shared" si="265"/>
        <v>500</v>
      </c>
      <c r="K653" s="3">
        <f t="shared" ref="K653:K716" si="281">2*$F$6*$I$6*H653+$F$6*$I$7</f>
        <v>0</v>
      </c>
      <c r="L653" s="3">
        <f t="shared" si="277"/>
        <v>500</v>
      </c>
      <c r="M653" s="15">
        <f t="shared" si="266"/>
        <v>7.0000000000000007E-2</v>
      </c>
      <c r="N653" s="3">
        <f t="shared" si="267"/>
        <v>54.129010419364192</v>
      </c>
      <c r="O653" s="3">
        <f t="shared" si="278"/>
        <v>54.129010419364192</v>
      </c>
      <c r="P653" s="3">
        <f t="shared" ref="P653:P716" si="282">O653/(1-M653)</f>
        <v>58.203237010069024</v>
      </c>
      <c r="Q653" s="3">
        <f t="shared" ref="Q653:Q716" si="283">IF($F$19,IF($F$20,0,X653/J653),(Q652*J652-T652*$I$4)/J653)</f>
        <v>14.410935434097439</v>
      </c>
      <c r="R653" s="3">
        <f t="shared" ref="R653:R716" si="284">IF($F$19,P653,(1-U653)*P653+U653*Q653)</f>
        <v>36.307086222083228</v>
      </c>
      <c r="S653" s="3">
        <f t="shared" si="279"/>
        <v>1</v>
      </c>
      <c r="T653" s="3">
        <f t="shared" ref="T653:T716" si="285">IF($F$19,0,$F$8*(P653-Q653))+R653*K653*(1-$F$11)</f>
        <v>21896.150787985793</v>
      </c>
      <c r="U653" s="3">
        <f t="shared" ref="U653:U716" si="286">IF($F$8=0,0,IF(V653=0,0.5,IF(ISERROR(EXP(V653)),0,1/V653-1/(EXP(V653)-1))))</f>
        <v>0.5</v>
      </c>
      <c r="V653" s="3">
        <f t="shared" ref="V653:V716" si="287">K653*(1-$F$11)/$F$8</f>
        <v>0</v>
      </c>
      <c r="W653" s="3">
        <f t="shared" ref="W653:W716" si="288">(I653+$L$5)*N653</f>
        <v>19486.44375097111</v>
      </c>
      <c r="X653" s="3">
        <f t="shared" si="280"/>
        <v>7205.4677170487194</v>
      </c>
      <c r="AI653" s="3"/>
      <c r="AJ653" s="3"/>
      <c r="AK653" s="15">
        <f t="shared" si="271"/>
        <v>3</v>
      </c>
      <c r="AL653" s="11">
        <f t="shared" si="275"/>
        <v>3864</v>
      </c>
      <c r="AM653" s="11" t="b">
        <f t="shared" si="270"/>
        <v>0</v>
      </c>
      <c r="AN653" s="11">
        <f t="shared" si="272"/>
        <v>36000</v>
      </c>
      <c r="AO653" s="11">
        <f t="shared" si="273"/>
        <v>0</v>
      </c>
      <c r="AP653" s="11">
        <f t="shared" si="274"/>
        <v>0.23573176899084283</v>
      </c>
      <c r="AQ653" s="11">
        <f t="shared" si="276"/>
        <v>0</v>
      </c>
      <c r="AT653" s="3"/>
      <c r="AU653" s="17"/>
      <c r="AV653" s="19"/>
      <c r="AW653" s="17"/>
      <c r="AX653" s="17">
        <f t="shared" si="269"/>
        <v>644</v>
      </c>
      <c r="AY653" s="17">
        <f t="shared" si="268"/>
        <v>64.400000000000006</v>
      </c>
      <c r="AZ653" s="17">
        <v>23.573176899084284</v>
      </c>
      <c r="BA653" s="17"/>
      <c r="BB653" s="17">
        <v>36</v>
      </c>
      <c r="BC653" s="17"/>
      <c r="BD653" s="17"/>
      <c r="BE653" s="17"/>
      <c r="BF653" s="17"/>
      <c r="BG653" s="17"/>
      <c r="BH653" s="17"/>
      <c r="BI653" s="17"/>
      <c r="BJ653" s="17"/>
      <c r="BK653" s="17"/>
      <c r="BL653" s="17"/>
      <c r="BM653" s="17"/>
      <c r="BN653" s="17"/>
      <c r="BO653" s="17"/>
      <c r="BP653" s="17"/>
      <c r="BQ653" s="17"/>
      <c r="BR653" s="17"/>
      <c r="BS653" s="17"/>
      <c r="BT653" s="17"/>
      <c r="BU653" s="17"/>
      <c r="BV653" s="17"/>
      <c r="BW653" s="17"/>
      <c r="BX653" s="17"/>
      <c r="BY653" s="17"/>
      <c r="BZ653" s="17"/>
      <c r="CA653" s="17"/>
      <c r="CB653" s="17"/>
      <c r="CC653" s="17"/>
      <c r="CD653" s="17"/>
      <c r="CE653" s="17"/>
      <c r="CF653" s="17"/>
      <c r="CG653" s="17"/>
      <c r="CH653" s="17"/>
    </row>
    <row r="654" spans="8:86" x14ac:dyDescent="0.15">
      <c r="H654" s="3">
        <f t="shared" ref="H654:H717" si="289">H653+$I$4</f>
        <v>0.64200000000000046</v>
      </c>
      <c r="I654" s="3">
        <f t="shared" ref="I654:I717" si="290">$I$12-$F$6*($I$6*H654^2+$I$7*H654)</f>
        <v>360</v>
      </c>
      <c r="J654" s="14">
        <f t="shared" ref="J654:J717" si="291">$J$12-$F$6*($I$6*H654^2+$I$7*H654)</f>
        <v>500</v>
      </c>
      <c r="K654" s="3">
        <f t="shared" si="281"/>
        <v>0</v>
      </c>
      <c r="L654" s="3">
        <f t="shared" si="277"/>
        <v>500</v>
      </c>
      <c r="M654" s="15">
        <f t="shared" ref="M654:M717" si="292">$M$12*L654/$L$12</f>
        <v>7.0000000000000007E-2</v>
      </c>
      <c r="N654" s="3">
        <f t="shared" ref="N654:N717" si="293">(N653*I653+P653*$L$5-T653*$I$4)/(I654+$L$5/(1-M654))</f>
        <v>54.06818777828645</v>
      </c>
      <c r="O654" s="3">
        <f t="shared" si="278"/>
        <v>54.06818777828645</v>
      </c>
      <c r="P654" s="3">
        <f t="shared" si="282"/>
        <v>58.137836320738124</v>
      </c>
      <c r="Q654" s="3">
        <f t="shared" si="283"/>
        <v>14.367143132521466</v>
      </c>
      <c r="R654" s="3">
        <f t="shared" si="284"/>
        <v>36.252489726629797</v>
      </c>
      <c r="S654" s="3">
        <f t="shared" si="279"/>
        <v>1</v>
      </c>
      <c r="T654" s="3">
        <f t="shared" si="285"/>
        <v>21885.346594108327</v>
      </c>
      <c r="U654" s="3">
        <f t="shared" si="286"/>
        <v>0.5</v>
      </c>
      <c r="V654" s="3">
        <f t="shared" si="287"/>
        <v>0</v>
      </c>
      <c r="W654" s="3">
        <f t="shared" si="288"/>
        <v>19464.547600183123</v>
      </c>
      <c r="X654" s="3">
        <f t="shared" si="280"/>
        <v>7183.5715662607336</v>
      </c>
      <c r="AI654" s="3"/>
      <c r="AJ654" s="3"/>
      <c r="AK654" s="15">
        <f t="shared" si="271"/>
        <v>3</v>
      </c>
      <c r="AL654" s="11">
        <f t="shared" si="275"/>
        <v>3870</v>
      </c>
      <c r="AM654" s="11" t="b">
        <f t="shared" si="270"/>
        <v>0</v>
      </c>
      <c r="AN654" s="11">
        <f t="shared" si="272"/>
        <v>36000</v>
      </c>
      <c r="AO654" s="11">
        <f t="shared" si="273"/>
        <v>0</v>
      </c>
      <c r="AP654" s="11">
        <f t="shared" si="274"/>
        <v>0.23683408380565762</v>
      </c>
      <c r="AQ654" s="11">
        <f t="shared" si="276"/>
        <v>0</v>
      </c>
      <c r="AT654" s="3"/>
      <c r="AU654" s="17"/>
      <c r="AV654" s="19"/>
      <c r="AW654" s="17"/>
      <c r="AX654" s="17">
        <f t="shared" si="269"/>
        <v>645</v>
      </c>
      <c r="AY654" s="17">
        <f t="shared" si="268"/>
        <v>64.5</v>
      </c>
      <c r="AZ654" s="17">
        <v>23.683408380565762</v>
      </c>
      <c r="BA654" s="17"/>
      <c r="BB654" s="17">
        <v>36</v>
      </c>
      <c r="BC654" s="17"/>
      <c r="BD654" s="17"/>
      <c r="BE654" s="17"/>
      <c r="BF654" s="17"/>
      <c r="BG654" s="17"/>
      <c r="BH654" s="17"/>
      <c r="BI654" s="17"/>
      <c r="BJ654" s="17"/>
      <c r="BK654" s="17"/>
      <c r="BL654" s="17"/>
      <c r="BM654" s="17"/>
      <c r="BN654" s="17"/>
      <c r="BO654" s="17"/>
      <c r="BP654" s="17"/>
      <c r="BQ654" s="17"/>
      <c r="BR654" s="17"/>
      <c r="BS654" s="17"/>
      <c r="BT654" s="17"/>
      <c r="BU654" s="17"/>
      <c r="BV654" s="17"/>
      <c r="BW654" s="17"/>
      <c r="BX654" s="17"/>
      <c r="BY654" s="17"/>
      <c r="BZ654" s="17"/>
      <c r="CA654" s="17"/>
      <c r="CB654" s="17"/>
      <c r="CC654" s="17"/>
      <c r="CD654" s="17"/>
      <c r="CE654" s="17"/>
      <c r="CF654" s="17"/>
      <c r="CG654" s="17"/>
      <c r="CH654" s="17"/>
    </row>
    <row r="655" spans="8:86" x14ac:dyDescent="0.15">
      <c r="H655" s="3">
        <f t="shared" si="289"/>
        <v>0.64300000000000046</v>
      </c>
      <c r="I655" s="3">
        <f t="shared" si="290"/>
        <v>360</v>
      </c>
      <c r="J655" s="14">
        <f t="shared" si="291"/>
        <v>500</v>
      </c>
      <c r="K655" s="3">
        <f t="shared" si="281"/>
        <v>0</v>
      </c>
      <c r="L655" s="3">
        <f t="shared" si="277"/>
        <v>500</v>
      </c>
      <c r="M655" s="15">
        <f t="shared" si="292"/>
        <v>7.0000000000000007E-2</v>
      </c>
      <c r="N655" s="3">
        <f t="shared" si="293"/>
        <v>54.007395148858379</v>
      </c>
      <c r="O655" s="3">
        <f t="shared" si="278"/>
        <v>54.007395148858379</v>
      </c>
      <c r="P655" s="3">
        <f t="shared" si="282"/>
        <v>58.072467901998259</v>
      </c>
      <c r="Q655" s="3">
        <f t="shared" si="283"/>
        <v>14.32337243933325</v>
      </c>
      <c r="R655" s="3">
        <f t="shared" si="284"/>
        <v>36.197920170665753</v>
      </c>
      <c r="S655" s="3">
        <f t="shared" si="279"/>
        <v>1</v>
      </c>
      <c r="T655" s="3">
        <f t="shared" si="285"/>
        <v>21874.547731332506</v>
      </c>
      <c r="U655" s="3">
        <f t="shared" si="286"/>
        <v>0.5</v>
      </c>
      <c r="V655" s="3">
        <f t="shared" si="287"/>
        <v>0</v>
      </c>
      <c r="W655" s="3">
        <f t="shared" si="288"/>
        <v>19442.662253589016</v>
      </c>
      <c r="X655" s="3">
        <f t="shared" si="280"/>
        <v>7161.6862196666252</v>
      </c>
      <c r="AI655" s="3"/>
      <c r="AJ655" s="3"/>
      <c r="AK655" s="15">
        <f t="shared" si="271"/>
        <v>3</v>
      </c>
      <c r="AL655" s="11">
        <f t="shared" si="275"/>
        <v>3876</v>
      </c>
      <c r="AM655" s="11" t="b">
        <f t="shared" si="270"/>
        <v>0</v>
      </c>
      <c r="AN655" s="11">
        <f t="shared" si="272"/>
        <v>36000</v>
      </c>
      <c r="AO655" s="11">
        <f t="shared" si="273"/>
        <v>0</v>
      </c>
      <c r="AP655" s="11">
        <f t="shared" si="274"/>
        <v>0.23793639862047242</v>
      </c>
      <c r="AQ655" s="11">
        <f t="shared" si="276"/>
        <v>0</v>
      </c>
      <c r="AT655" s="3"/>
      <c r="AU655" s="17"/>
      <c r="AV655" s="19"/>
      <c r="AW655" s="17"/>
      <c r="AX655" s="17">
        <f t="shared" si="269"/>
        <v>646</v>
      </c>
      <c r="AY655" s="17">
        <f t="shared" si="268"/>
        <v>64.599999999999994</v>
      </c>
      <c r="AZ655" s="17">
        <v>23.793639862047243</v>
      </c>
      <c r="BA655" s="17"/>
      <c r="BB655" s="17">
        <v>36</v>
      </c>
      <c r="BC655" s="17"/>
      <c r="BD655" s="17"/>
      <c r="BE655" s="17"/>
      <c r="BF655" s="17"/>
      <c r="BG655" s="17"/>
      <c r="BH655" s="17"/>
      <c r="BI655" s="17"/>
      <c r="BJ655" s="17"/>
      <c r="BK655" s="17"/>
      <c r="BL655" s="17"/>
      <c r="BM655" s="17"/>
      <c r="BN655" s="17"/>
      <c r="BO655" s="17"/>
      <c r="BP655" s="17"/>
      <c r="BQ655" s="17"/>
      <c r="BR655" s="17"/>
      <c r="BS655" s="17"/>
      <c r="BT655" s="17"/>
      <c r="BU655" s="17"/>
      <c r="BV655" s="17"/>
      <c r="BW655" s="17"/>
      <c r="BX655" s="17"/>
      <c r="BY655" s="17"/>
      <c r="BZ655" s="17"/>
      <c r="CA655" s="17"/>
      <c r="CB655" s="17"/>
      <c r="CC655" s="17"/>
      <c r="CD655" s="17"/>
      <c r="CE655" s="17"/>
      <c r="CF655" s="17"/>
      <c r="CG655" s="17"/>
      <c r="CH655" s="17"/>
    </row>
    <row r="656" spans="8:86" x14ac:dyDescent="0.15">
      <c r="H656" s="3">
        <f t="shared" si="289"/>
        <v>0.64400000000000046</v>
      </c>
      <c r="I656" s="3">
        <f t="shared" si="290"/>
        <v>360</v>
      </c>
      <c r="J656" s="14">
        <f t="shared" si="291"/>
        <v>500</v>
      </c>
      <c r="K656" s="3">
        <f t="shared" si="281"/>
        <v>0</v>
      </c>
      <c r="L656" s="3">
        <f t="shared" si="277"/>
        <v>500</v>
      </c>
      <c r="M656" s="15">
        <f t="shared" si="292"/>
        <v>7.0000000000000007E-2</v>
      </c>
      <c r="N656" s="3">
        <f t="shared" si="293"/>
        <v>53.94663251627135</v>
      </c>
      <c r="O656" s="3">
        <f t="shared" si="278"/>
        <v>53.94663251627135</v>
      </c>
      <c r="P656" s="3">
        <f t="shared" si="282"/>
        <v>58.007131737926187</v>
      </c>
      <c r="Q656" s="3">
        <f t="shared" si="283"/>
        <v>14.279623343870586</v>
      </c>
      <c r="R656" s="3">
        <f t="shared" si="284"/>
        <v>36.143377540898385</v>
      </c>
      <c r="S656" s="3">
        <f t="shared" si="279"/>
        <v>1</v>
      </c>
      <c r="T656" s="3">
        <f t="shared" si="285"/>
        <v>21863.754197027803</v>
      </c>
      <c r="U656" s="3">
        <f t="shared" si="286"/>
        <v>0.5</v>
      </c>
      <c r="V656" s="3">
        <f t="shared" si="287"/>
        <v>0</v>
      </c>
      <c r="W656" s="3">
        <f t="shared" si="288"/>
        <v>19420.787705857685</v>
      </c>
      <c r="X656" s="3">
        <f t="shared" si="280"/>
        <v>7139.8116719352929</v>
      </c>
      <c r="AI656" s="3"/>
      <c r="AJ656" s="3"/>
      <c r="AK656" s="15">
        <f t="shared" si="271"/>
        <v>3</v>
      </c>
      <c r="AL656" s="11">
        <f t="shared" si="275"/>
        <v>3882</v>
      </c>
      <c r="AM656" s="11" t="b">
        <f t="shared" si="270"/>
        <v>0</v>
      </c>
      <c r="AN656" s="11">
        <f t="shared" si="272"/>
        <v>36000</v>
      </c>
      <c r="AO656" s="11">
        <f t="shared" si="273"/>
        <v>0</v>
      </c>
      <c r="AP656" s="11">
        <f t="shared" si="274"/>
        <v>0.23903871343528721</v>
      </c>
      <c r="AQ656" s="11">
        <f t="shared" si="276"/>
        <v>0</v>
      </c>
      <c r="AT656" s="3"/>
      <c r="AU656" s="17"/>
      <c r="AV656" s="19"/>
      <c r="AW656" s="17"/>
      <c r="AX656" s="17">
        <f t="shared" si="269"/>
        <v>647</v>
      </c>
      <c r="AY656" s="17">
        <f t="shared" si="268"/>
        <v>64.7</v>
      </c>
      <c r="AZ656" s="17">
        <v>23.903871343528721</v>
      </c>
      <c r="BA656" s="17"/>
      <c r="BB656" s="17">
        <v>36</v>
      </c>
      <c r="BC656" s="17"/>
      <c r="BD656" s="17"/>
      <c r="BE656" s="17"/>
      <c r="BF656" s="17"/>
      <c r="BG656" s="17"/>
      <c r="BH656" s="17"/>
      <c r="BI656" s="17"/>
      <c r="BJ656" s="17"/>
      <c r="BK656" s="17"/>
      <c r="BL656" s="17"/>
      <c r="BM656" s="17"/>
      <c r="BN656" s="17"/>
      <c r="BO656" s="17"/>
      <c r="BP656" s="17"/>
      <c r="BQ656" s="17"/>
      <c r="BR656" s="17"/>
      <c r="BS656" s="17"/>
      <c r="BT656" s="17"/>
      <c r="BU656" s="17"/>
      <c r="BV656" s="17"/>
      <c r="BW656" s="17"/>
      <c r="BX656" s="17"/>
      <c r="BY656" s="17"/>
      <c r="BZ656" s="17"/>
      <c r="CA656" s="17"/>
      <c r="CB656" s="17"/>
      <c r="CC656" s="17"/>
      <c r="CD656" s="17"/>
      <c r="CE656" s="17"/>
      <c r="CF656" s="17"/>
      <c r="CG656" s="17"/>
      <c r="CH656" s="17"/>
    </row>
    <row r="657" spans="8:86" x14ac:dyDescent="0.15">
      <c r="H657" s="3">
        <f t="shared" si="289"/>
        <v>0.64500000000000046</v>
      </c>
      <c r="I657" s="3">
        <f t="shared" si="290"/>
        <v>360</v>
      </c>
      <c r="J657" s="14">
        <f t="shared" si="291"/>
        <v>500</v>
      </c>
      <c r="K657" s="3">
        <f t="shared" si="281"/>
        <v>0</v>
      </c>
      <c r="L657" s="3">
        <f t="shared" si="277"/>
        <v>500</v>
      </c>
      <c r="M657" s="15">
        <f t="shared" si="292"/>
        <v>7.0000000000000007E-2</v>
      </c>
      <c r="N657" s="3">
        <f t="shared" si="293"/>
        <v>53.885899865724049</v>
      </c>
      <c r="O657" s="3">
        <f t="shared" si="278"/>
        <v>53.885899865724049</v>
      </c>
      <c r="P657" s="3">
        <f t="shared" si="282"/>
        <v>57.941827812606512</v>
      </c>
      <c r="Q657" s="3">
        <f t="shared" si="283"/>
        <v>14.235895835476532</v>
      </c>
      <c r="R657" s="3">
        <f t="shared" si="284"/>
        <v>36.088861824041523</v>
      </c>
      <c r="S657" s="3">
        <f t="shared" si="279"/>
        <v>1</v>
      </c>
      <c r="T657" s="3">
        <f t="shared" si="285"/>
        <v>21852.965988564989</v>
      </c>
      <c r="U657" s="3">
        <f t="shared" si="286"/>
        <v>0.5</v>
      </c>
      <c r="V657" s="3">
        <f t="shared" si="287"/>
        <v>0</v>
      </c>
      <c r="W657" s="3">
        <f t="shared" si="288"/>
        <v>19398.923951660658</v>
      </c>
      <c r="X657" s="3">
        <f t="shared" si="280"/>
        <v>7117.9479177382655</v>
      </c>
      <c r="AI657" s="3"/>
      <c r="AJ657" s="3"/>
      <c r="AK657" s="15">
        <f t="shared" si="271"/>
        <v>3</v>
      </c>
      <c r="AL657" s="11">
        <f t="shared" si="275"/>
        <v>3888</v>
      </c>
      <c r="AM657" s="11" t="b">
        <f t="shared" si="270"/>
        <v>0</v>
      </c>
      <c r="AN657" s="11">
        <f t="shared" si="272"/>
        <v>36000</v>
      </c>
      <c r="AO657" s="11">
        <f t="shared" si="273"/>
        <v>0</v>
      </c>
      <c r="AP657" s="11">
        <f t="shared" si="274"/>
        <v>0.240141028250102</v>
      </c>
      <c r="AQ657" s="11">
        <f t="shared" si="276"/>
        <v>0</v>
      </c>
      <c r="AT657" s="3"/>
      <c r="AU657" s="17"/>
      <c r="AV657" s="19"/>
      <c r="AW657" s="17"/>
      <c r="AX657" s="17">
        <f t="shared" si="269"/>
        <v>648</v>
      </c>
      <c r="AY657" s="17">
        <f t="shared" si="268"/>
        <v>64.8</v>
      </c>
      <c r="AZ657" s="17">
        <v>24.014102825010202</v>
      </c>
      <c r="BA657" s="17"/>
      <c r="BB657" s="17">
        <v>36</v>
      </c>
      <c r="BC657" s="17"/>
      <c r="BD657" s="17"/>
      <c r="BE657" s="17"/>
      <c r="BF657" s="17"/>
      <c r="BG657" s="17"/>
      <c r="BH657" s="17"/>
      <c r="BI657" s="17"/>
      <c r="BJ657" s="17"/>
      <c r="BK657" s="17"/>
      <c r="BL657" s="17"/>
      <c r="BM657" s="17"/>
      <c r="BN657" s="17"/>
      <c r="BO657" s="17"/>
      <c r="BP657" s="17"/>
      <c r="BQ657" s="17"/>
      <c r="BR657" s="17"/>
      <c r="BS657" s="17"/>
      <c r="BT657" s="17"/>
      <c r="BU657" s="17"/>
      <c r="BV657" s="17"/>
      <c r="BW657" s="17"/>
      <c r="BX657" s="17"/>
      <c r="BY657" s="17"/>
      <c r="BZ657" s="17"/>
      <c r="CA657" s="17"/>
      <c r="CB657" s="17"/>
      <c r="CC657" s="17"/>
      <c r="CD657" s="17"/>
      <c r="CE657" s="17"/>
      <c r="CF657" s="17"/>
      <c r="CG657" s="17"/>
      <c r="CH657" s="17"/>
    </row>
    <row r="658" spans="8:86" x14ac:dyDescent="0.15">
      <c r="H658" s="3">
        <f t="shared" si="289"/>
        <v>0.64600000000000046</v>
      </c>
      <c r="I658" s="3">
        <f t="shared" si="290"/>
        <v>360</v>
      </c>
      <c r="J658" s="14">
        <f t="shared" si="291"/>
        <v>500</v>
      </c>
      <c r="K658" s="3">
        <f t="shared" si="281"/>
        <v>0</v>
      </c>
      <c r="L658" s="3">
        <f t="shared" si="277"/>
        <v>500</v>
      </c>
      <c r="M658" s="15">
        <f t="shared" si="292"/>
        <v>7.0000000000000007E-2</v>
      </c>
      <c r="N658" s="3">
        <f t="shared" si="293"/>
        <v>53.825197182422478</v>
      </c>
      <c r="O658" s="3">
        <f t="shared" si="278"/>
        <v>53.825197182422478</v>
      </c>
      <c r="P658" s="3">
        <f t="shared" si="282"/>
        <v>57.876556110131702</v>
      </c>
      <c r="Q658" s="3">
        <f t="shared" si="283"/>
        <v>14.192189903499401</v>
      </c>
      <c r="R658" s="3">
        <f t="shared" si="284"/>
        <v>36.034373006815549</v>
      </c>
      <c r="S658" s="3">
        <f t="shared" si="279"/>
        <v>1</v>
      </c>
      <c r="T658" s="3">
        <f t="shared" si="285"/>
        <v>21842.183103316151</v>
      </c>
      <c r="U658" s="3">
        <f t="shared" si="286"/>
        <v>0.5</v>
      </c>
      <c r="V658" s="3">
        <f t="shared" si="287"/>
        <v>0</v>
      </c>
      <c r="W658" s="3">
        <f t="shared" si="288"/>
        <v>19377.070985672093</v>
      </c>
      <c r="X658" s="3">
        <f t="shared" si="280"/>
        <v>7096.0949517497002</v>
      </c>
      <c r="AI658" s="3"/>
      <c r="AJ658" s="3"/>
      <c r="AK658" s="15">
        <f t="shared" si="271"/>
        <v>3</v>
      </c>
      <c r="AL658" s="11">
        <f t="shared" si="275"/>
        <v>3894</v>
      </c>
      <c r="AM658" s="11" t="b">
        <f t="shared" si="270"/>
        <v>0</v>
      </c>
      <c r="AN658" s="11">
        <f t="shared" si="272"/>
        <v>36000</v>
      </c>
      <c r="AO658" s="11">
        <f t="shared" si="273"/>
        <v>0</v>
      </c>
      <c r="AP658" s="11">
        <f t="shared" si="274"/>
        <v>0.24124334306491679</v>
      </c>
      <c r="AQ658" s="11">
        <f t="shared" si="276"/>
        <v>0</v>
      </c>
      <c r="AT658" s="3"/>
      <c r="AU658" s="17"/>
      <c r="AV658" s="19"/>
      <c r="AW658" s="17"/>
      <c r="AX658" s="17">
        <f t="shared" si="269"/>
        <v>649</v>
      </c>
      <c r="AY658" s="17">
        <f t="shared" si="268"/>
        <v>64.900000000000006</v>
      </c>
      <c r="AZ658" s="17">
        <v>24.124334306491679</v>
      </c>
      <c r="BA658" s="17"/>
      <c r="BB658" s="17">
        <v>36</v>
      </c>
      <c r="BC658" s="17"/>
      <c r="BD658" s="17"/>
      <c r="BE658" s="17"/>
      <c r="BF658" s="17"/>
      <c r="BG658" s="17"/>
      <c r="BH658" s="17"/>
      <c r="BI658" s="17"/>
      <c r="BJ658" s="17"/>
      <c r="BK658" s="17"/>
      <c r="BL658" s="17"/>
      <c r="BM658" s="17"/>
      <c r="BN658" s="17"/>
      <c r="BO658" s="17"/>
      <c r="BP658" s="17"/>
      <c r="BQ658" s="17"/>
      <c r="BR658" s="17"/>
      <c r="BS658" s="17"/>
      <c r="BT658" s="17"/>
      <c r="BU658" s="17"/>
      <c r="BV658" s="17"/>
      <c r="BW658" s="17"/>
      <c r="BX658" s="17"/>
      <c r="BY658" s="17"/>
      <c r="BZ658" s="17"/>
      <c r="CA658" s="17"/>
      <c r="CB658" s="17"/>
      <c r="CC658" s="17"/>
      <c r="CD658" s="17"/>
      <c r="CE658" s="17"/>
      <c r="CF658" s="17"/>
      <c r="CG658" s="17"/>
      <c r="CH658" s="17"/>
    </row>
    <row r="659" spans="8:86" x14ac:dyDescent="0.15">
      <c r="H659" s="3">
        <f t="shared" si="289"/>
        <v>0.64700000000000046</v>
      </c>
      <c r="I659" s="3">
        <f t="shared" si="290"/>
        <v>360</v>
      </c>
      <c r="J659" s="14">
        <f t="shared" si="291"/>
        <v>500</v>
      </c>
      <c r="K659" s="3">
        <f t="shared" si="281"/>
        <v>0</v>
      </c>
      <c r="L659" s="3">
        <f t="shared" si="277"/>
        <v>500</v>
      </c>
      <c r="M659" s="15">
        <f t="shared" si="292"/>
        <v>7.0000000000000007E-2</v>
      </c>
      <c r="N659" s="3">
        <f t="shared" si="293"/>
        <v>53.764524451579938</v>
      </c>
      <c r="O659" s="3">
        <f t="shared" si="278"/>
        <v>53.764524451579938</v>
      </c>
      <c r="P659" s="3">
        <f t="shared" si="282"/>
        <v>57.811316614602084</v>
      </c>
      <c r="Q659" s="3">
        <f t="shared" si="283"/>
        <v>14.148505537292767</v>
      </c>
      <c r="R659" s="3">
        <f t="shared" si="284"/>
        <v>35.979911075947427</v>
      </c>
      <c r="S659" s="3">
        <f t="shared" si="279"/>
        <v>1</v>
      </c>
      <c r="T659" s="3">
        <f t="shared" si="285"/>
        <v>21831.405538654657</v>
      </c>
      <c r="U659" s="3">
        <f t="shared" si="286"/>
        <v>0.5</v>
      </c>
      <c r="V659" s="3">
        <f t="shared" si="287"/>
        <v>0</v>
      </c>
      <c r="W659" s="3">
        <f t="shared" si="288"/>
        <v>19355.228802568778</v>
      </c>
      <c r="X659" s="3">
        <f t="shared" si="280"/>
        <v>7074.2527686463836</v>
      </c>
      <c r="AI659" s="3"/>
      <c r="AJ659" s="3"/>
      <c r="AK659" s="15">
        <f t="shared" si="271"/>
        <v>3</v>
      </c>
      <c r="AL659" s="11">
        <f t="shared" si="275"/>
        <v>3900</v>
      </c>
      <c r="AM659" s="11" t="b">
        <f t="shared" si="270"/>
        <v>0</v>
      </c>
      <c r="AN659" s="11">
        <f t="shared" si="272"/>
        <v>36000</v>
      </c>
      <c r="AO659" s="11">
        <f t="shared" si="273"/>
        <v>0</v>
      </c>
      <c r="AP659" s="11">
        <f t="shared" si="274"/>
        <v>0.24234565787973159</v>
      </c>
      <c r="AQ659" s="11">
        <f t="shared" si="276"/>
        <v>0</v>
      </c>
      <c r="AT659" s="3"/>
      <c r="AU659" s="17"/>
      <c r="AV659" s="19"/>
      <c r="AW659" s="17"/>
      <c r="AX659" s="17">
        <f t="shared" si="269"/>
        <v>650</v>
      </c>
      <c r="AY659" s="17">
        <f t="shared" si="268"/>
        <v>65</v>
      </c>
      <c r="AZ659" s="17">
        <v>24.234565787973157</v>
      </c>
      <c r="BA659" s="17"/>
      <c r="BB659" s="17">
        <v>36</v>
      </c>
      <c r="BC659" s="17"/>
      <c r="BD659" s="17"/>
      <c r="BE659" s="17"/>
      <c r="BF659" s="17"/>
      <c r="BG659" s="17"/>
      <c r="BH659" s="17"/>
      <c r="BI659" s="17"/>
      <c r="BJ659" s="17"/>
      <c r="BK659" s="17"/>
      <c r="BL659" s="17"/>
      <c r="BM659" s="17"/>
      <c r="BN659" s="17"/>
      <c r="BO659" s="17"/>
      <c r="BP659" s="17"/>
      <c r="BQ659" s="17"/>
      <c r="BR659" s="17"/>
      <c r="BS659" s="17"/>
      <c r="BT659" s="17"/>
      <c r="BU659" s="17"/>
      <c r="BV659" s="17"/>
      <c r="BW659" s="17"/>
      <c r="BX659" s="17"/>
      <c r="BY659" s="17"/>
      <c r="BZ659" s="17"/>
      <c r="CA659" s="17"/>
      <c r="CB659" s="17"/>
      <c r="CC659" s="17"/>
      <c r="CD659" s="17"/>
      <c r="CE659" s="17"/>
      <c r="CF659" s="17"/>
      <c r="CG659" s="17"/>
      <c r="CH659" s="17"/>
    </row>
    <row r="660" spans="8:86" x14ac:dyDescent="0.15">
      <c r="H660" s="3">
        <f t="shared" si="289"/>
        <v>0.64800000000000046</v>
      </c>
      <c r="I660" s="3">
        <f t="shared" si="290"/>
        <v>360</v>
      </c>
      <c r="J660" s="14">
        <f t="shared" si="291"/>
        <v>500</v>
      </c>
      <c r="K660" s="3">
        <f t="shared" si="281"/>
        <v>0</v>
      </c>
      <c r="L660" s="3">
        <f t="shared" si="277"/>
        <v>500</v>
      </c>
      <c r="M660" s="15">
        <f t="shared" si="292"/>
        <v>7.0000000000000007E-2</v>
      </c>
      <c r="N660" s="3">
        <f t="shared" si="293"/>
        <v>53.703881658417011</v>
      </c>
      <c r="O660" s="3">
        <f t="shared" si="278"/>
        <v>53.703881658417011</v>
      </c>
      <c r="P660" s="3">
        <f t="shared" si="282"/>
        <v>57.746109310125824</v>
      </c>
      <c r="Q660" s="3">
        <f t="shared" si="283"/>
        <v>14.104842726215459</v>
      </c>
      <c r="R660" s="3">
        <f t="shared" si="284"/>
        <v>35.925476018170642</v>
      </c>
      <c r="S660" s="3">
        <f t="shared" si="279"/>
        <v>1</v>
      </c>
      <c r="T660" s="3">
        <f t="shared" si="285"/>
        <v>21820.633291955182</v>
      </c>
      <c r="U660" s="3">
        <f t="shared" si="286"/>
        <v>0.5</v>
      </c>
      <c r="V660" s="3">
        <f t="shared" si="287"/>
        <v>0</v>
      </c>
      <c r="W660" s="3">
        <f t="shared" si="288"/>
        <v>19333.397397030123</v>
      </c>
      <c r="X660" s="3">
        <f t="shared" si="280"/>
        <v>7052.4213631077291</v>
      </c>
      <c r="AI660" s="3"/>
      <c r="AJ660" s="3"/>
      <c r="AK660" s="15">
        <f t="shared" si="271"/>
        <v>3</v>
      </c>
      <c r="AL660" s="11">
        <f t="shared" si="275"/>
        <v>3906</v>
      </c>
      <c r="AM660" s="11" t="b">
        <f t="shared" si="270"/>
        <v>0</v>
      </c>
      <c r="AN660" s="11">
        <f t="shared" si="272"/>
        <v>36000</v>
      </c>
      <c r="AO660" s="11">
        <f t="shared" si="273"/>
        <v>0</v>
      </c>
      <c r="AP660" s="11">
        <f t="shared" si="274"/>
        <v>0.24344797269454638</v>
      </c>
      <c r="AQ660" s="11">
        <f t="shared" si="276"/>
        <v>0</v>
      </c>
      <c r="AT660" s="3"/>
      <c r="AU660" s="17"/>
      <c r="AV660" s="19"/>
      <c r="AW660" s="17"/>
      <c r="AX660" s="17">
        <f t="shared" si="269"/>
        <v>651</v>
      </c>
      <c r="AY660" s="17">
        <f t="shared" ref="AY660:AY723" si="294">IF(ISNUMBER(AX660),IF(ROUND((AX660)*$AG$15*$AB$15,0) &lt;= 10080, ROUND((AX660)*$AG$15,0)*$AB$15/60, 168),168)</f>
        <v>65.099999999999994</v>
      </c>
      <c r="AZ660" s="17">
        <v>24.344797269454638</v>
      </c>
      <c r="BA660" s="17"/>
      <c r="BB660" s="17">
        <v>36</v>
      </c>
      <c r="BC660" s="17"/>
      <c r="BD660" s="17"/>
      <c r="BE660" s="17"/>
      <c r="BF660" s="17"/>
      <c r="BG660" s="17"/>
      <c r="BH660" s="17"/>
      <c r="BI660" s="17"/>
      <c r="BJ660" s="17"/>
      <c r="BK660" s="17"/>
      <c r="BL660" s="17"/>
      <c r="BM660" s="17"/>
      <c r="BN660" s="17"/>
      <c r="BO660" s="17"/>
      <c r="BP660" s="17"/>
      <c r="BQ660" s="17"/>
      <c r="BR660" s="17"/>
      <c r="BS660" s="17"/>
      <c r="BT660" s="17"/>
      <c r="BU660" s="17"/>
      <c r="BV660" s="17"/>
      <c r="BW660" s="17"/>
      <c r="BX660" s="17"/>
      <c r="BY660" s="17"/>
      <c r="BZ660" s="17"/>
      <c r="CA660" s="17"/>
      <c r="CB660" s="17"/>
      <c r="CC660" s="17"/>
      <c r="CD660" s="17"/>
      <c r="CE660" s="17"/>
      <c r="CF660" s="17"/>
      <c r="CG660" s="17"/>
      <c r="CH660" s="17"/>
    </row>
    <row r="661" spans="8:86" x14ac:dyDescent="0.15">
      <c r="H661" s="3">
        <f t="shared" si="289"/>
        <v>0.64900000000000047</v>
      </c>
      <c r="I661" s="3">
        <f t="shared" si="290"/>
        <v>360</v>
      </c>
      <c r="J661" s="14">
        <f t="shared" si="291"/>
        <v>500</v>
      </c>
      <c r="K661" s="3">
        <f t="shared" si="281"/>
        <v>0</v>
      </c>
      <c r="L661" s="3">
        <f t="shared" si="277"/>
        <v>500</v>
      </c>
      <c r="M661" s="15">
        <f t="shared" si="292"/>
        <v>7.0000000000000007E-2</v>
      </c>
      <c r="N661" s="3">
        <f t="shared" si="293"/>
        <v>53.643268788161578</v>
      </c>
      <c r="O661" s="3">
        <f t="shared" si="278"/>
        <v>53.643268788161578</v>
      </c>
      <c r="P661" s="3">
        <f t="shared" si="282"/>
        <v>57.680934180818902</v>
      </c>
      <c r="Q661" s="3">
        <f t="shared" si="283"/>
        <v>14.061201459631548</v>
      </c>
      <c r="R661" s="3">
        <f t="shared" si="284"/>
        <v>35.871067820225221</v>
      </c>
      <c r="S661" s="3">
        <f t="shared" si="279"/>
        <v>1</v>
      </c>
      <c r="T661" s="3">
        <f t="shared" si="285"/>
        <v>21809.866360593678</v>
      </c>
      <c r="U661" s="3">
        <f t="shared" si="286"/>
        <v>0.5</v>
      </c>
      <c r="V661" s="3">
        <f t="shared" si="287"/>
        <v>0</v>
      </c>
      <c r="W661" s="3">
        <f t="shared" si="288"/>
        <v>19311.576763738169</v>
      </c>
      <c r="X661" s="3">
        <f t="shared" si="280"/>
        <v>7030.6007298157738</v>
      </c>
      <c r="AI661" s="3"/>
      <c r="AJ661" s="3"/>
      <c r="AK661" s="15">
        <f t="shared" si="271"/>
        <v>3</v>
      </c>
      <c r="AL661" s="11">
        <f t="shared" si="275"/>
        <v>3912</v>
      </c>
      <c r="AM661" s="11" t="b">
        <f t="shared" si="270"/>
        <v>0</v>
      </c>
      <c r="AN661" s="11">
        <f t="shared" si="272"/>
        <v>36000</v>
      </c>
      <c r="AO661" s="11">
        <f t="shared" si="273"/>
        <v>0</v>
      </c>
      <c r="AP661" s="11">
        <f t="shared" si="274"/>
        <v>0.24455028750936117</v>
      </c>
      <c r="AQ661" s="11">
        <f t="shared" si="276"/>
        <v>0</v>
      </c>
      <c r="AT661" s="3"/>
      <c r="AU661" s="17"/>
      <c r="AV661" s="19"/>
      <c r="AW661" s="17"/>
      <c r="AX661" s="17">
        <f t="shared" si="269"/>
        <v>652</v>
      </c>
      <c r="AY661" s="17">
        <f t="shared" si="294"/>
        <v>65.2</v>
      </c>
      <c r="AZ661" s="17">
        <v>24.455028750936116</v>
      </c>
      <c r="BA661" s="17"/>
      <c r="BB661" s="17">
        <v>36</v>
      </c>
      <c r="BC661" s="17"/>
      <c r="BD661" s="17"/>
      <c r="BE661" s="17"/>
      <c r="BF661" s="17"/>
      <c r="BG661" s="17"/>
      <c r="BH661" s="17"/>
      <c r="BI661" s="17"/>
      <c r="BJ661" s="17"/>
      <c r="BK661" s="17"/>
      <c r="BL661" s="17"/>
      <c r="BM661" s="17"/>
      <c r="BN661" s="17"/>
      <c r="BO661" s="17"/>
      <c r="BP661" s="17"/>
      <c r="BQ661" s="17"/>
      <c r="BR661" s="17"/>
      <c r="BS661" s="17"/>
      <c r="BT661" s="17"/>
      <c r="BU661" s="17"/>
      <c r="BV661" s="17"/>
      <c r="BW661" s="17"/>
      <c r="BX661" s="17"/>
      <c r="BY661" s="17"/>
      <c r="BZ661" s="17"/>
      <c r="CA661" s="17"/>
      <c r="CB661" s="17"/>
      <c r="CC661" s="17"/>
      <c r="CD661" s="17"/>
      <c r="CE661" s="17"/>
      <c r="CF661" s="17"/>
      <c r="CG661" s="17"/>
      <c r="CH661" s="17"/>
    </row>
    <row r="662" spans="8:86" x14ac:dyDescent="0.15">
      <c r="H662" s="3">
        <f t="shared" si="289"/>
        <v>0.65000000000000047</v>
      </c>
      <c r="I662" s="3">
        <f t="shared" si="290"/>
        <v>360</v>
      </c>
      <c r="J662" s="14">
        <f t="shared" si="291"/>
        <v>500</v>
      </c>
      <c r="K662" s="3">
        <f t="shared" si="281"/>
        <v>0</v>
      </c>
      <c r="L662" s="3">
        <f t="shared" si="277"/>
        <v>500</v>
      </c>
      <c r="M662" s="15">
        <f t="shared" si="292"/>
        <v>7.0000000000000007E-2</v>
      </c>
      <c r="N662" s="3">
        <f t="shared" si="293"/>
        <v>53.582685826048824</v>
      </c>
      <c r="O662" s="3">
        <f t="shared" si="278"/>
        <v>53.582685826048824</v>
      </c>
      <c r="P662" s="3">
        <f t="shared" si="282"/>
        <v>57.615791210805192</v>
      </c>
      <c r="Q662" s="3">
        <f t="shared" si="283"/>
        <v>14.017581726910361</v>
      </c>
      <c r="R662" s="3">
        <f t="shared" si="284"/>
        <v>35.816686468857775</v>
      </c>
      <c r="S662" s="3">
        <f t="shared" si="279"/>
        <v>1</v>
      </c>
      <c r="T662" s="3">
        <f t="shared" si="285"/>
        <v>21799.104741947416</v>
      </c>
      <c r="U662" s="3">
        <f t="shared" si="286"/>
        <v>0.5</v>
      </c>
      <c r="V662" s="3">
        <f t="shared" si="287"/>
        <v>0</v>
      </c>
      <c r="W662" s="3">
        <f t="shared" si="288"/>
        <v>19289.766897377576</v>
      </c>
      <c r="X662" s="3">
        <f t="shared" si="280"/>
        <v>7008.7908634551804</v>
      </c>
      <c r="AI662" s="3"/>
      <c r="AJ662" s="3"/>
      <c r="AK662" s="15">
        <f t="shared" si="271"/>
        <v>3</v>
      </c>
      <c r="AL662" s="11">
        <f t="shared" si="275"/>
        <v>3918</v>
      </c>
      <c r="AM662" s="11" t="b">
        <f t="shared" si="270"/>
        <v>0</v>
      </c>
      <c r="AN662" s="11">
        <f t="shared" si="272"/>
        <v>36000</v>
      </c>
      <c r="AO662" s="11">
        <f t="shared" si="273"/>
        <v>0</v>
      </c>
      <c r="AP662" s="11">
        <f t="shared" si="274"/>
        <v>0.24565260232417596</v>
      </c>
      <c r="AQ662" s="11">
        <f t="shared" si="276"/>
        <v>0</v>
      </c>
      <c r="AT662" s="3"/>
      <c r="AU662" s="17"/>
      <c r="AV662" s="19"/>
      <c r="AW662" s="17"/>
      <c r="AX662" s="17">
        <f t="shared" si="269"/>
        <v>653</v>
      </c>
      <c r="AY662" s="17">
        <f t="shared" si="294"/>
        <v>65.3</v>
      </c>
      <c r="AZ662" s="17">
        <v>24.565260232417597</v>
      </c>
      <c r="BA662" s="17"/>
      <c r="BB662" s="17">
        <v>36</v>
      </c>
      <c r="BC662" s="17"/>
      <c r="BD662" s="17"/>
      <c r="BE662" s="17"/>
      <c r="BF662" s="17"/>
      <c r="BG662" s="17"/>
      <c r="BH662" s="17"/>
      <c r="BI662" s="17"/>
      <c r="BJ662" s="17"/>
      <c r="BK662" s="17"/>
      <c r="BL662" s="17"/>
      <c r="BM662" s="17"/>
      <c r="BN662" s="17"/>
      <c r="BO662" s="17"/>
      <c r="BP662" s="17"/>
      <c r="BQ662" s="17"/>
      <c r="BR662" s="17"/>
      <c r="BS662" s="17"/>
      <c r="BT662" s="17"/>
      <c r="BU662" s="17"/>
      <c r="BV662" s="17"/>
      <c r="BW662" s="17"/>
      <c r="BX662" s="17"/>
      <c r="BY662" s="17"/>
      <c r="BZ662" s="17"/>
      <c r="CA662" s="17"/>
      <c r="CB662" s="17"/>
      <c r="CC662" s="17"/>
      <c r="CD662" s="17"/>
      <c r="CE662" s="17"/>
      <c r="CF662" s="17"/>
      <c r="CG662" s="17"/>
      <c r="CH662" s="17"/>
    </row>
    <row r="663" spans="8:86" x14ac:dyDescent="0.15">
      <c r="H663" s="3">
        <f t="shared" si="289"/>
        <v>0.65100000000000047</v>
      </c>
      <c r="I663" s="3">
        <f t="shared" si="290"/>
        <v>360</v>
      </c>
      <c r="J663" s="14">
        <f t="shared" si="291"/>
        <v>500</v>
      </c>
      <c r="K663" s="3">
        <f t="shared" si="281"/>
        <v>0</v>
      </c>
      <c r="L663" s="3">
        <f t="shared" si="277"/>
        <v>500</v>
      </c>
      <c r="M663" s="15">
        <f t="shared" si="292"/>
        <v>7.0000000000000007E-2</v>
      </c>
      <c r="N663" s="3">
        <f t="shared" si="293"/>
        <v>53.522132757321188</v>
      </c>
      <c r="O663" s="3">
        <f t="shared" si="278"/>
        <v>53.522132757321188</v>
      </c>
      <c r="P663" s="3">
        <f t="shared" si="282"/>
        <v>57.550680384216335</v>
      </c>
      <c r="Q663" s="3">
        <f t="shared" si="283"/>
        <v>13.973983517426467</v>
      </c>
      <c r="R663" s="3">
        <f t="shared" si="284"/>
        <v>35.762331950821398</v>
      </c>
      <c r="S663" s="3">
        <f t="shared" si="279"/>
        <v>1</v>
      </c>
      <c r="T663" s="3">
        <f t="shared" si="285"/>
        <v>21788.348433394935</v>
      </c>
      <c r="U663" s="3">
        <f t="shared" si="286"/>
        <v>0.5</v>
      </c>
      <c r="V663" s="3">
        <f t="shared" si="287"/>
        <v>0</v>
      </c>
      <c r="W663" s="3">
        <f t="shared" si="288"/>
        <v>19267.967792635627</v>
      </c>
      <c r="X663" s="3">
        <f t="shared" si="280"/>
        <v>6986.9917587132331</v>
      </c>
      <c r="AI663" s="3"/>
      <c r="AJ663" s="3"/>
      <c r="AK663" s="15">
        <f t="shared" si="271"/>
        <v>3</v>
      </c>
      <c r="AL663" s="11">
        <f t="shared" si="275"/>
        <v>3924</v>
      </c>
      <c r="AM663" s="11" t="b">
        <f t="shared" si="270"/>
        <v>0</v>
      </c>
      <c r="AN663" s="11">
        <f t="shared" si="272"/>
        <v>36000</v>
      </c>
      <c r="AO663" s="11">
        <f t="shared" si="273"/>
        <v>0</v>
      </c>
      <c r="AP663" s="11">
        <f t="shared" si="274"/>
        <v>0.24675491713899075</v>
      </c>
      <c r="AQ663" s="11">
        <f t="shared" si="276"/>
        <v>0</v>
      </c>
      <c r="AT663" s="3"/>
      <c r="AU663" s="17"/>
      <c r="AV663" s="19"/>
      <c r="AW663" s="17"/>
      <c r="AX663" s="17">
        <f t="shared" si="269"/>
        <v>654</v>
      </c>
      <c r="AY663" s="17">
        <f t="shared" si="294"/>
        <v>65.400000000000006</v>
      </c>
      <c r="AZ663" s="17">
        <v>24.675491713899074</v>
      </c>
      <c r="BA663" s="17"/>
      <c r="BB663" s="17">
        <v>36</v>
      </c>
      <c r="BC663" s="17"/>
      <c r="BD663" s="17"/>
      <c r="BE663" s="17"/>
      <c r="BF663" s="17"/>
      <c r="BG663" s="17"/>
      <c r="BH663" s="17"/>
      <c r="BI663" s="17"/>
      <c r="BJ663" s="17"/>
      <c r="BK663" s="17"/>
      <c r="BL663" s="17"/>
      <c r="BM663" s="17"/>
      <c r="BN663" s="17"/>
      <c r="BO663" s="17"/>
      <c r="BP663" s="17"/>
      <c r="BQ663" s="17"/>
      <c r="BR663" s="17"/>
      <c r="BS663" s="17"/>
      <c r="BT663" s="17"/>
      <c r="BU663" s="17"/>
      <c r="BV663" s="17"/>
      <c r="BW663" s="17"/>
      <c r="BX663" s="17"/>
      <c r="BY663" s="17"/>
      <c r="BZ663" s="17"/>
      <c r="CA663" s="17"/>
      <c r="CB663" s="17"/>
      <c r="CC663" s="17"/>
      <c r="CD663" s="17"/>
      <c r="CE663" s="17"/>
      <c r="CF663" s="17"/>
      <c r="CG663" s="17"/>
      <c r="CH663" s="17"/>
    </row>
    <row r="664" spans="8:86" x14ac:dyDescent="0.15">
      <c r="H664" s="3">
        <f t="shared" si="289"/>
        <v>0.65200000000000047</v>
      </c>
      <c r="I664" s="3">
        <f t="shared" si="290"/>
        <v>360</v>
      </c>
      <c r="J664" s="14">
        <f t="shared" si="291"/>
        <v>500</v>
      </c>
      <c r="K664" s="3">
        <f t="shared" si="281"/>
        <v>0</v>
      </c>
      <c r="L664" s="3">
        <f t="shared" si="277"/>
        <v>500</v>
      </c>
      <c r="M664" s="15">
        <f t="shared" si="292"/>
        <v>7.0000000000000007E-2</v>
      </c>
      <c r="N664" s="3">
        <f t="shared" si="293"/>
        <v>53.461609567228422</v>
      </c>
      <c r="O664" s="3">
        <f t="shared" si="278"/>
        <v>53.461609567228422</v>
      </c>
      <c r="P664" s="3">
        <f t="shared" si="282"/>
        <v>57.485601685191853</v>
      </c>
      <c r="Q664" s="3">
        <f t="shared" si="283"/>
        <v>13.930406820559677</v>
      </c>
      <c r="R664" s="3">
        <f t="shared" si="284"/>
        <v>35.708004252875767</v>
      </c>
      <c r="S664" s="3">
        <f t="shared" si="279"/>
        <v>1</v>
      </c>
      <c r="T664" s="3">
        <f t="shared" si="285"/>
        <v>21777.597432316088</v>
      </c>
      <c r="U664" s="3">
        <f t="shared" si="286"/>
        <v>0.5</v>
      </c>
      <c r="V664" s="3">
        <f t="shared" si="287"/>
        <v>0</v>
      </c>
      <c r="W664" s="3">
        <f t="shared" si="288"/>
        <v>19246.179444202233</v>
      </c>
      <c r="X664" s="3">
        <f t="shared" si="280"/>
        <v>6965.203410279838</v>
      </c>
      <c r="AI664" s="3"/>
      <c r="AJ664" s="3"/>
      <c r="AK664" s="15">
        <f t="shared" si="271"/>
        <v>3</v>
      </c>
      <c r="AL664" s="11">
        <f t="shared" si="275"/>
        <v>3930</v>
      </c>
      <c r="AM664" s="11" t="b">
        <f t="shared" si="270"/>
        <v>0</v>
      </c>
      <c r="AN664" s="11">
        <f t="shared" si="272"/>
        <v>36000</v>
      </c>
      <c r="AO664" s="11">
        <f t="shared" si="273"/>
        <v>0</v>
      </c>
      <c r="AP664" s="11">
        <f t="shared" si="274"/>
        <v>0.24785723195380555</v>
      </c>
      <c r="AQ664" s="11">
        <f t="shared" si="276"/>
        <v>0</v>
      </c>
      <c r="AT664" s="3"/>
      <c r="AU664" s="17"/>
      <c r="AV664" s="19"/>
      <c r="AW664" s="17"/>
      <c r="AX664" s="17">
        <f t="shared" si="269"/>
        <v>655</v>
      </c>
      <c r="AY664" s="17">
        <f t="shared" si="294"/>
        <v>65.5</v>
      </c>
      <c r="AZ664" s="17">
        <v>24.785723195380555</v>
      </c>
      <c r="BA664" s="17"/>
      <c r="BB664" s="17">
        <v>36</v>
      </c>
      <c r="BC664" s="17"/>
      <c r="BD664" s="17"/>
      <c r="BE664" s="17"/>
      <c r="BF664" s="17"/>
      <c r="BG664" s="17"/>
      <c r="BH664" s="17"/>
      <c r="BI664" s="17"/>
      <c r="BJ664" s="17"/>
      <c r="BK664" s="17"/>
      <c r="BL664" s="17"/>
      <c r="BM664" s="17"/>
      <c r="BN664" s="17"/>
      <c r="BO664" s="17"/>
      <c r="BP664" s="17"/>
      <c r="BQ664" s="17"/>
      <c r="BR664" s="17"/>
      <c r="BS664" s="17"/>
      <c r="BT664" s="17"/>
      <c r="BU664" s="17"/>
      <c r="BV664" s="17"/>
      <c r="BW664" s="17"/>
      <c r="BX664" s="17"/>
      <c r="BY664" s="17"/>
      <c r="BZ664" s="17"/>
      <c r="CA664" s="17"/>
      <c r="CB664" s="17"/>
      <c r="CC664" s="17"/>
      <c r="CD664" s="17"/>
      <c r="CE664" s="17"/>
      <c r="CF664" s="17"/>
      <c r="CG664" s="17"/>
      <c r="CH664" s="17"/>
    </row>
    <row r="665" spans="8:86" x14ac:dyDescent="0.15">
      <c r="H665" s="3">
        <f t="shared" si="289"/>
        <v>0.65300000000000047</v>
      </c>
      <c r="I665" s="3">
        <f t="shared" si="290"/>
        <v>360</v>
      </c>
      <c r="J665" s="14">
        <f t="shared" si="291"/>
        <v>500</v>
      </c>
      <c r="K665" s="3">
        <f t="shared" si="281"/>
        <v>0</v>
      </c>
      <c r="L665" s="3">
        <f t="shared" si="277"/>
        <v>500</v>
      </c>
      <c r="M665" s="15">
        <f t="shared" si="292"/>
        <v>7.0000000000000007E-2</v>
      </c>
      <c r="N665" s="3">
        <f t="shared" si="293"/>
        <v>53.401116241027545</v>
      </c>
      <c r="O665" s="3">
        <f t="shared" si="278"/>
        <v>53.401116241027545</v>
      </c>
      <c r="P665" s="3">
        <f t="shared" si="282"/>
        <v>57.420555097879081</v>
      </c>
      <c r="Q665" s="3">
        <f t="shared" si="283"/>
        <v>13.886851625695044</v>
      </c>
      <c r="R665" s="3">
        <f t="shared" si="284"/>
        <v>35.653703361787066</v>
      </c>
      <c r="S665" s="3">
        <f t="shared" si="279"/>
        <v>1</v>
      </c>
      <c r="T665" s="3">
        <f t="shared" si="285"/>
        <v>21766.85173609202</v>
      </c>
      <c r="U665" s="3">
        <f t="shared" si="286"/>
        <v>0.5</v>
      </c>
      <c r="V665" s="3">
        <f t="shared" si="287"/>
        <v>0</v>
      </c>
      <c r="W665" s="3">
        <f t="shared" si="288"/>
        <v>19224.401846769917</v>
      </c>
      <c r="X665" s="3">
        <f t="shared" si="280"/>
        <v>6943.4258128475221</v>
      </c>
      <c r="AI665" s="3"/>
      <c r="AJ665" s="3"/>
      <c r="AK665" s="15">
        <f t="shared" si="271"/>
        <v>3</v>
      </c>
      <c r="AL665" s="11">
        <f t="shared" si="275"/>
        <v>3936</v>
      </c>
      <c r="AM665" s="11" t="b">
        <f t="shared" si="270"/>
        <v>0</v>
      </c>
      <c r="AN665" s="11">
        <f t="shared" si="272"/>
        <v>36000</v>
      </c>
      <c r="AO665" s="11">
        <f t="shared" si="273"/>
        <v>0</v>
      </c>
      <c r="AP665" s="11">
        <f t="shared" si="274"/>
        <v>0.24895954676862034</v>
      </c>
      <c r="AQ665" s="11">
        <f t="shared" si="276"/>
        <v>0</v>
      </c>
      <c r="AT665" s="3"/>
      <c r="AU665" s="17"/>
      <c r="AV665" s="19"/>
      <c r="AW665" s="17"/>
      <c r="AX665" s="17">
        <f t="shared" si="269"/>
        <v>656</v>
      </c>
      <c r="AY665" s="17">
        <f t="shared" si="294"/>
        <v>65.599999999999994</v>
      </c>
      <c r="AZ665" s="17">
        <v>24.895954676862033</v>
      </c>
      <c r="BA665" s="17"/>
      <c r="BB665" s="17">
        <v>36</v>
      </c>
      <c r="BC665" s="17"/>
      <c r="BD665" s="17"/>
      <c r="BE665" s="17"/>
      <c r="BF665" s="17"/>
      <c r="BG665" s="17"/>
      <c r="BH665" s="17"/>
      <c r="BI665" s="17"/>
      <c r="BJ665" s="17"/>
      <c r="BK665" s="17"/>
      <c r="BL665" s="17"/>
      <c r="BM665" s="17"/>
      <c r="BN665" s="17"/>
      <c r="BO665" s="17"/>
      <c r="BP665" s="17"/>
      <c r="BQ665" s="17"/>
      <c r="BR665" s="17"/>
      <c r="BS665" s="17"/>
      <c r="BT665" s="17"/>
      <c r="BU665" s="17"/>
      <c r="BV665" s="17"/>
      <c r="BW665" s="17"/>
      <c r="BX665" s="17"/>
      <c r="BY665" s="17"/>
      <c r="BZ665" s="17"/>
      <c r="CA665" s="17"/>
      <c r="CB665" s="17"/>
      <c r="CC665" s="17"/>
      <c r="CD665" s="17"/>
      <c r="CE665" s="17"/>
      <c r="CF665" s="17"/>
      <c r="CG665" s="17"/>
      <c r="CH665" s="17"/>
    </row>
    <row r="666" spans="8:86" x14ac:dyDescent="0.15">
      <c r="H666" s="3">
        <f t="shared" si="289"/>
        <v>0.65400000000000047</v>
      </c>
      <c r="I666" s="3">
        <f t="shared" si="290"/>
        <v>360</v>
      </c>
      <c r="J666" s="14">
        <f t="shared" si="291"/>
        <v>500</v>
      </c>
      <c r="K666" s="3">
        <f t="shared" si="281"/>
        <v>0</v>
      </c>
      <c r="L666" s="3">
        <f t="shared" si="277"/>
        <v>500</v>
      </c>
      <c r="M666" s="15">
        <f t="shared" si="292"/>
        <v>7.0000000000000007E-2</v>
      </c>
      <c r="N666" s="3">
        <f t="shared" si="293"/>
        <v>53.340652763982852</v>
      </c>
      <c r="O666" s="3">
        <f t="shared" si="278"/>
        <v>53.340652763982852</v>
      </c>
      <c r="P666" s="3">
        <f t="shared" si="282"/>
        <v>57.355540606433181</v>
      </c>
      <c r="Q666" s="3">
        <f t="shared" si="283"/>
        <v>13.843317922222861</v>
      </c>
      <c r="R666" s="3">
        <f t="shared" si="284"/>
        <v>35.599429264328023</v>
      </c>
      <c r="S666" s="3">
        <f t="shared" si="279"/>
        <v>1</v>
      </c>
      <c r="T666" s="3">
        <f t="shared" si="285"/>
        <v>21756.11134210516</v>
      </c>
      <c r="U666" s="3">
        <f t="shared" si="286"/>
        <v>0.5</v>
      </c>
      <c r="V666" s="3">
        <f t="shared" si="287"/>
        <v>0</v>
      </c>
      <c r="W666" s="3">
        <f t="shared" si="288"/>
        <v>19202.634995033826</v>
      </c>
      <c r="X666" s="3">
        <f t="shared" si="280"/>
        <v>6921.6589611114305</v>
      </c>
      <c r="AI666" s="3"/>
      <c r="AJ666" s="3"/>
      <c r="AK666" s="15">
        <f t="shared" si="271"/>
        <v>3</v>
      </c>
      <c r="AL666" s="11">
        <f t="shared" si="275"/>
        <v>3942</v>
      </c>
      <c r="AM666" s="11" t="b">
        <f t="shared" si="270"/>
        <v>0</v>
      </c>
      <c r="AN666" s="11">
        <f t="shared" si="272"/>
        <v>36000</v>
      </c>
      <c r="AO666" s="11">
        <f t="shared" si="273"/>
        <v>0</v>
      </c>
      <c r="AP666" s="11">
        <f t="shared" si="274"/>
        <v>0.25006186158343513</v>
      </c>
      <c r="AQ666" s="11">
        <f t="shared" si="276"/>
        <v>0</v>
      </c>
      <c r="AT666" s="3"/>
      <c r="AU666" s="17"/>
      <c r="AV666" s="19"/>
      <c r="AW666" s="17"/>
      <c r="AX666" s="17">
        <f t="shared" si="269"/>
        <v>657</v>
      </c>
      <c r="AY666" s="17">
        <f t="shared" si="294"/>
        <v>65.7</v>
      </c>
      <c r="AZ666" s="17">
        <v>25.006186158343514</v>
      </c>
      <c r="BA666" s="17"/>
      <c r="BB666" s="17">
        <v>36</v>
      </c>
      <c r="BC666" s="17"/>
      <c r="BD666" s="17"/>
      <c r="BE666" s="17"/>
      <c r="BF666" s="17"/>
      <c r="BG666" s="17"/>
      <c r="BH666" s="17"/>
      <c r="BI666" s="17"/>
      <c r="BJ666" s="17"/>
      <c r="BK666" s="17"/>
      <c r="BL666" s="17"/>
      <c r="BM666" s="17"/>
      <c r="BN666" s="17"/>
      <c r="BO666" s="17"/>
      <c r="BP666" s="17"/>
      <c r="BQ666" s="17"/>
      <c r="BR666" s="17"/>
      <c r="BS666" s="17"/>
      <c r="BT666" s="17"/>
      <c r="BU666" s="17"/>
      <c r="BV666" s="17"/>
      <c r="BW666" s="17"/>
      <c r="BX666" s="17"/>
      <c r="BY666" s="17"/>
      <c r="BZ666" s="17"/>
      <c r="CA666" s="17"/>
      <c r="CB666" s="17"/>
      <c r="CC666" s="17"/>
      <c r="CD666" s="17"/>
      <c r="CE666" s="17"/>
      <c r="CF666" s="17"/>
      <c r="CG666" s="17"/>
      <c r="CH666" s="17"/>
    </row>
    <row r="667" spans="8:86" x14ac:dyDescent="0.15">
      <c r="H667" s="3">
        <f t="shared" si="289"/>
        <v>0.65500000000000047</v>
      </c>
      <c r="I667" s="3">
        <f t="shared" si="290"/>
        <v>360</v>
      </c>
      <c r="J667" s="14">
        <f t="shared" si="291"/>
        <v>500</v>
      </c>
      <c r="K667" s="3">
        <f t="shared" si="281"/>
        <v>0</v>
      </c>
      <c r="L667" s="3">
        <f t="shared" si="277"/>
        <v>500</v>
      </c>
      <c r="M667" s="15">
        <f t="shared" si="292"/>
        <v>7.0000000000000007E-2</v>
      </c>
      <c r="N667" s="3">
        <f t="shared" si="293"/>
        <v>53.280219121365896</v>
      </c>
      <c r="O667" s="3">
        <f t="shared" si="278"/>
        <v>53.280219121365896</v>
      </c>
      <c r="P667" s="3">
        <f t="shared" si="282"/>
        <v>57.290558195017098</v>
      </c>
      <c r="Q667" s="3">
        <f t="shared" si="283"/>
        <v>13.79980569953865</v>
      </c>
      <c r="R667" s="3">
        <f t="shared" si="284"/>
        <v>35.545181947277875</v>
      </c>
      <c r="S667" s="3">
        <f t="shared" si="279"/>
        <v>1</v>
      </c>
      <c r="T667" s="3">
        <f t="shared" si="285"/>
        <v>21745.376247739223</v>
      </c>
      <c r="U667" s="3">
        <f t="shared" si="286"/>
        <v>0.5</v>
      </c>
      <c r="V667" s="3">
        <f t="shared" si="287"/>
        <v>0</v>
      </c>
      <c r="W667" s="3">
        <f t="shared" si="288"/>
        <v>19180.878883691723</v>
      </c>
      <c r="X667" s="3">
        <f t="shared" si="280"/>
        <v>6899.9028497693253</v>
      </c>
      <c r="AI667" s="3"/>
      <c r="AJ667" s="3"/>
      <c r="AK667" s="15">
        <f t="shared" si="271"/>
        <v>3</v>
      </c>
      <c r="AL667" s="11">
        <f t="shared" si="275"/>
        <v>3948</v>
      </c>
      <c r="AM667" s="11" t="b">
        <f t="shared" si="270"/>
        <v>0</v>
      </c>
      <c r="AN667" s="11">
        <f t="shared" si="272"/>
        <v>36000</v>
      </c>
      <c r="AO667" s="11">
        <f t="shared" si="273"/>
        <v>0</v>
      </c>
      <c r="AP667" s="11">
        <f t="shared" si="274"/>
        <v>0.25116417639824989</v>
      </c>
      <c r="AQ667" s="11">
        <f t="shared" si="276"/>
        <v>0</v>
      </c>
      <c r="AT667" s="3"/>
      <c r="AU667" s="17"/>
      <c r="AV667" s="19"/>
      <c r="AW667" s="17"/>
      <c r="AX667" s="17">
        <f t="shared" si="269"/>
        <v>658</v>
      </c>
      <c r="AY667" s="17">
        <f t="shared" si="294"/>
        <v>65.8</v>
      </c>
      <c r="AZ667" s="17">
        <v>25.116417639824988</v>
      </c>
      <c r="BA667" s="17"/>
      <c r="BB667" s="17">
        <v>36</v>
      </c>
      <c r="BC667" s="17"/>
      <c r="BD667" s="17"/>
      <c r="BE667" s="17"/>
      <c r="BF667" s="17"/>
      <c r="BG667" s="17"/>
      <c r="BH667" s="17"/>
      <c r="BI667" s="17"/>
      <c r="BJ667" s="17"/>
      <c r="BK667" s="17"/>
      <c r="BL667" s="17"/>
      <c r="BM667" s="17"/>
      <c r="BN667" s="17"/>
      <c r="BO667" s="17"/>
      <c r="BP667" s="17"/>
      <c r="BQ667" s="17"/>
      <c r="BR667" s="17"/>
      <c r="BS667" s="17"/>
      <c r="BT667" s="17"/>
      <c r="BU667" s="17"/>
      <c r="BV667" s="17"/>
      <c r="BW667" s="17"/>
      <c r="BX667" s="17"/>
      <c r="BY667" s="17"/>
      <c r="BZ667" s="17"/>
      <c r="CA667" s="17"/>
      <c r="CB667" s="17"/>
      <c r="CC667" s="17"/>
      <c r="CD667" s="17"/>
      <c r="CE667" s="17"/>
      <c r="CF667" s="17"/>
      <c r="CG667" s="17"/>
      <c r="CH667" s="17"/>
    </row>
    <row r="668" spans="8:86" x14ac:dyDescent="0.15">
      <c r="H668" s="3">
        <f t="shared" si="289"/>
        <v>0.65600000000000047</v>
      </c>
      <c r="I668" s="3">
        <f t="shared" si="290"/>
        <v>360</v>
      </c>
      <c r="J668" s="14">
        <f t="shared" si="291"/>
        <v>500</v>
      </c>
      <c r="K668" s="3">
        <f t="shared" si="281"/>
        <v>0</v>
      </c>
      <c r="L668" s="3">
        <f t="shared" si="277"/>
        <v>500</v>
      </c>
      <c r="M668" s="15">
        <f t="shared" si="292"/>
        <v>7.0000000000000007E-2</v>
      </c>
      <c r="N668" s="3">
        <f t="shared" si="293"/>
        <v>53.219815298455515</v>
      </c>
      <c r="O668" s="3">
        <f t="shared" si="278"/>
        <v>53.219815298455515</v>
      </c>
      <c r="P668" s="3">
        <f t="shared" si="282"/>
        <v>57.225607847801633</v>
      </c>
      <c r="Q668" s="3">
        <f t="shared" si="283"/>
        <v>13.756314947043172</v>
      </c>
      <c r="R668" s="3">
        <f t="shared" si="284"/>
        <v>35.490961397422403</v>
      </c>
      <c r="S668" s="3">
        <f t="shared" si="279"/>
        <v>1</v>
      </c>
      <c r="T668" s="3">
        <f t="shared" si="285"/>
        <v>21734.64645037923</v>
      </c>
      <c r="U668" s="3">
        <f t="shared" si="286"/>
        <v>0.5</v>
      </c>
      <c r="V668" s="3">
        <f t="shared" si="287"/>
        <v>0</v>
      </c>
      <c r="W668" s="3">
        <f t="shared" si="288"/>
        <v>19159.133507443985</v>
      </c>
      <c r="X668" s="3">
        <f t="shared" si="280"/>
        <v>6878.1574735215863</v>
      </c>
      <c r="AI668" s="3"/>
      <c r="AJ668" s="3"/>
      <c r="AK668" s="15">
        <f t="shared" si="271"/>
        <v>3</v>
      </c>
      <c r="AL668" s="11">
        <f t="shared" si="275"/>
        <v>3954</v>
      </c>
      <c r="AM668" s="11" t="b">
        <f t="shared" si="270"/>
        <v>0</v>
      </c>
      <c r="AN668" s="11">
        <f t="shared" si="272"/>
        <v>36000</v>
      </c>
      <c r="AO668" s="11">
        <f t="shared" si="273"/>
        <v>0</v>
      </c>
      <c r="AP668" s="11">
        <f t="shared" si="274"/>
        <v>0.25226649121306471</v>
      </c>
      <c r="AQ668" s="11">
        <f t="shared" si="276"/>
        <v>0</v>
      </c>
      <c r="AT668" s="3"/>
      <c r="AU668" s="17"/>
      <c r="AV668" s="19"/>
      <c r="AW668" s="17"/>
      <c r="AX668" s="17">
        <f t="shared" si="269"/>
        <v>659</v>
      </c>
      <c r="AY668" s="17">
        <f t="shared" si="294"/>
        <v>65.900000000000006</v>
      </c>
      <c r="AZ668" s="17">
        <v>25.226649121306473</v>
      </c>
      <c r="BA668" s="17"/>
      <c r="BB668" s="17">
        <v>36</v>
      </c>
      <c r="BC668" s="17"/>
      <c r="BD668" s="17"/>
      <c r="BE668" s="17"/>
      <c r="BF668" s="17"/>
      <c r="BG668" s="17"/>
      <c r="BH668" s="17"/>
      <c r="BI668" s="17"/>
      <c r="BJ668" s="17"/>
      <c r="BK668" s="17"/>
      <c r="BL668" s="17"/>
      <c r="BM668" s="17"/>
      <c r="BN668" s="17"/>
      <c r="BO668" s="17"/>
      <c r="BP668" s="17"/>
      <c r="BQ668" s="17"/>
      <c r="BR668" s="17"/>
      <c r="BS668" s="17"/>
      <c r="BT668" s="17"/>
      <c r="BU668" s="17"/>
      <c r="BV668" s="17"/>
      <c r="BW668" s="17"/>
      <c r="BX668" s="17"/>
      <c r="BY668" s="17"/>
      <c r="BZ668" s="17"/>
      <c r="CA668" s="17"/>
      <c r="CB668" s="17"/>
      <c r="CC668" s="17"/>
      <c r="CD668" s="17"/>
      <c r="CE668" s="17"/>
      <c r="CF668" s="17"/>
      <c r="CG668" s="17"/>
      <c r="CH668" s="17"/>
    </row>
    <row r="669" spans="8:86" x14ac:dyDescent="0.15">
      <c r="H669" s="3">
        <f t="shared" si="289"/>
        <v>0.65700000000000047</v>
      </c>
      <c r="I669" s="3">
        <f t="shared" si="290"/>
        <v>360</v>
      </c>
      <c r="J669" s="14">
        <f t="shared" si="291"/>
        <v>500</v>
      </c>
      <c r="K669" s="3">
        <f t="shared" si="281"/>
        <v>0</v>
      </c>
      <c r="L669" s="3">
        <f t="shared" si="277"/>
        <v>500</v>
      </c>
      <c r="M669" s="15">
        <f t="shared" si="292"/>
        <v>7.0000000000000007E-2</v>
      </c>
      <c r="N669" s="3">
        <f t="shared" si="293"/>
        <v>53.159441280537791</v>
      </c>
      <c r="O669" s="3">
        <f t="shared" si="278"/>
        <v>53.159441280537791</v>
      </c>
      <c r="P669" s="3">
        <f t="shared" si="282"/>
        <v>57.160689548965372</v>
      </c>
      <c r="Q669" s="3">
        <f t="shared" si="283"/>
        <v>13.712845654142415</v>
      </c>
      <c r="R669" s="3">
        <f t="shared" si="284"/>
        <v>35.436767601553896</v>
      </c>
      <c r="S669" s="3">
        <f t="shared" si="279"/>
        <v>1</v>
      </c>
      <c r="T669" s="3">
        <f t="shared" si="285"/>
        <v>21723.92194741148</v>
      </c>
      <c r="U669" s="3">
        <f t="shared" si="286"/>
        <v>0.5</v>
      </c>
      <c r="V669" s="3">
        <f t="shared" si="287"/>
        <v>0</v>
      </c>
      <c r="W669" s="3">
        <f t="shared" si="288"/>
        <v>19137.398860993606</v>
      </c>
      <c r="X669" s="3">
        <f t="shared" si="280"/>
        <v>6856.4228270712074</v>
      </c>
      <c r="AI669" s="3"/>
      <c r="AJ669" s="3"/>
      <c r="AK669" s="15">
        <f t="shared" si="271"/>
        <v>3</v>
      </c>
      <c r="AL669" s="11">
        <f t="shared" si="275"/>
        <v>3960</v>
      </c>
      <c r="AM669" s="11" t="b">
        <f t="shared" si="270"/>
        <v>0</v>
      </c>
      <c r="AN669" s="11">
        <f t="shared" si="272"/>
        <v>36000</v>
      </c>
      <c r="AO669" s="11">
        <f t="shared" si="273"/>
        <v>0</v>
      </c>
      <c r="AP669" s="11">
        <f t="shared" si="274"/>
        <v>0.25336880602787948</v>
      </c>
      <c r="AQ669" s="11">
        <f t="shared" si="276"/>
        <v>0</v>
      </c>
      <c r="AT669" s="3"/>
      <c r="AU669" s="17"/>
      <c r="AV669" s="19"/>
      <c r="AW669" s="17"/>
      <c r="AX669" s="17">
        <f t="shared" si="269"/>
        <v>660</v>
      </c>
      <c r="AY669" s="17">
        <f t="shared" si="294"/>
        <v>66</v>
      </c>
      <c r="AZ669" s="17">
        <v>25.336880602787947</v>
      </c>
      <c r="BA669" s="17"/>
      <c r="BB669" s="17">
        <v>36</v>
      </c>
      <c r="BC669" s="17"/>
      <c r="BD669" s="17"/>
      <c r="BE669" s="17"/>
      <c r="BF669" s="17"/>
      <c r="BG669" s="17"/>
      <c r="BH669" s="17"/>
      <c r="BI669" s="17"/>
      <c r="BJ669" s="17"/>
      <c r="BK669" s="17"/>
      <c r="BL669" s="17"/>
      <c r="BM669" s="17"/>
      <c r="BN669" s="17"/>
      <c r="BO669" s="17"/>
      <c r="BP669" s="17"/>
      <c r="BQ669" s="17"/>
      <c r="BR669" s="17"/>
      <c r="BS669" s="17"/>
      <c r="BT669" s="17"/>
      <c r="BU669" s="17"/>
      <c r="BV669" s="17"/>
      <c r="BW669" s="17"/>
      <c r="BX669" s="17"/>
      <c r="BY669" s="17"/>
      <c r="BZ669" s="17"/>
      <c r="CA669" s="17"/>
      <c r="CB669" s="17"/>
      <c r="CC669" s="17"/>
      <c r="CD669" s="17"/>
      <c r="CE669" s="17"/>
      <c r="CF669" s="17"/>
      <c r="CG669" s="17"/>
      <c r="CH669" s="17"/>
    </row>
    <row r="670" spans="8:86" x14ac:dyDescent="0.15">
      <c r="H670" s="3">
        <f t="shared" si="289"/>
        <v>0.65800000000000047</v>
      </c>
      <c r="I670" s="3">
        <f t="shared" si="290"/>
        <v>360</v>
      </c>
      <c r="J670" s="14">
        <f t="shared" si="291"/>
        <v>500</v>
      </c>
      <c r="K670" s="3">
        <f t="shared" si="281"/>
        <v>0</v>
      </c>
      <c r="L670" s="3">
        <f t="shared" si="277"/>
        <v>500</v>
      </c>
      <c r="M670" s="15">
        <f t="shared" si="292"/>
        <v>7.0000000000000007E-2</v>
      </c>
      <c r="N670" s="3">
        <f t="shared" si="293"/>
        <v>53.099097052906096</v>
      </c>
      <c r="O670" s="3">
        <f t="shared" si="278"/>
        <v>53.099097052906096</v>
      </c>
      <c r="P670" s="3">
        <f t="shared" si="282"/>
        <v>57.095803282694732</v>
      </c>
      <c r="Q670" s="3">
        <f t="shared" si="283"/>
        <v>13.669397810247592</v>
      </c>
      <c r="R670" s="3">
        <f t="shared" si="284"/>
        <v>35.38260054647116</v>
      </c>
      <c r="S670" s="3">
        <f t="shared" si="279"/>
        <v>1</v>
      </c>
      <c r="T670" s="3">
        <f t="shared" si="285"/>
        <v>21713.202736223571</v>
      </c>
      <c r="U670" s="3">
        <f t="shared" si="286"/>
        <v>0.5</v>
      </c>
      <c r="V670" s="3">
        <f t="shared" si="287"/>
        <v>0</v>
      </c>
      <c r="W670" s="3">
        <f t="shared" si="288"/>
        <v>19115.674939046196</v>
      </c>
      <c r="X670" s="3">
        <f t="shared" si="280"/>
        <v>6834.6989051237961</v>
      </c>
      <c r="AI670" s="3"/>
      <c r="AJ670" s="3"/>
      <c r="AK670" s="15">
        <f t="shared" si="271"/>
        <v>3</v>
      </c>
      <c r="AL670" s="11">
        <f t="shared" si="275"/>
        <v>3966</v>
      </c>
      <c r="AM670" s="11" t="b">
        <f t="shared" si="270"/>
        <v>0</v>
      </c>
      <c r="AN670" s="11">
        <f t="shared" si="272"/>
        <v>36000</v>
      </c>
      <c r="AO670" s="11">
        <f t="shared" si="273"/>
        <v>0</v>
      </c>
      <c r="AP670" s="11">
        <f t="shared" si="274"/>
        <v>0.2544711208426943</v>
      </c>
      <c r="AQ670" s="11">
        <f t="shared" si="276"/>
        <v>0</v>
      </c>
      <c r="AT670" s="3"/>
      <c r="AU670" s="17"/>
      <c r="AV670" s="19"/>
      <c r="AW670" s="17"/>
      <c r="AX670" s="17">
        <f t="shared" si="269"/>
        <v>661</v>
      </c>
      <c r="AY670" s="17">
        <f t="shared" si="294"/>
        <v>66.099999999999994</v>
      </c>
      <c r="AZ670" s="17">
        <v>25.447112084269431</v>
      </c>
      <c r="BA670" s="17"/>
      <c r="BB670" s="17">
        <v>36</v>
      </c>
      <c r="BC670" s="17"/>
      <c r="BD670" s="17"/>
      <c r="BE670" s="17"/>
      <c r="BF670" s="17"/>
      <c r="BG670" s="17"/>
      <c r="BH670" s="17"/>
      <c r="BI670" s="17"/>
      <c r="BJ670" s="17"/>
      <c r="BK670" s="17"/>
      <c r="BL670" s="17"/>
      <c r="BM670" s="17"/>
      <c r="BN670" s="17"/>
      <c r="BO670" s="17"/>
      <c r="BP670" s="17"/>
      <c r="BQ670" s="17"/>
      <c r="BR670" s="17"/>
      <c r="BS670" s="17"/>
      <c r="BT670" s="17"/>
      <c r="BU670" s="17"/>
      <c r="BV670" s="17"/>
      <c r="BW670" s="17"/>
      <c r="BX670" s="17"/>
      <c r="BY670" s="17"/>
      <c r="BZ670" s="17"/>
      <c r="CA670" s="17"/>
      <c r="CB670" s="17"/>
      <c r="CC670" s="17"/>
      <c r="CD670" s="17"/>
      <c r="CE670" s="17"/>
      <c r="CF670" s="17"/>
      <c r="CG670" s="17"/>
      <c r="CH670" s="17"/>
    </row>
    <row r="671" spans="8:86" x14ac:dyDescent="0.15">
      <c r="H671" s="3">
        <f t="shared" si="289"/>
        <v>0.65900000000000047</v>
      </c>
      <c r="I671" s="3">
        <f t="shared" si="290"/>
        <v>360</v>
      </c>
      <c r="J671" s="14">
        <f t="shared" si="291"/>
        <v>500</v>
      </c>
      <c r="K671" s="3">
        <f t="shared" si="281"/>
        <v>0</v>
      </c>
      <c r="L671" s="3">
        <f t="shared" si="277"/>
        <v>500</v>
      </c>
      <c r="M671" s="15">
        <f t="shared" si="292"/>
        <v>7.0000000000000007E-2</v>
      </c>
      <c r="N671" s="3">
        <f t="shared" si="293"/>
        <v>53.038782600861033</v>
      </c>
      <c r="O671" s="3">
        <f t="shared" si="278"/>
        <v>53.038782600861033</v>
      </c>
      <c r="P671" s="3">
        <f t="shared" si="282"/>
        <v>57.030949033183909</v>
      </c>
      <c r="Q671" s="3">
        <f t="shared" si="283"/>
        <v>13.625971404775147</v>
      </c>
      <c r="R671" s="3">
        <f t="shared" si="284"/>
        <v>35.328460218979529</v>
      </c>
      <c r="S671" s="3">
        <f t="shared" si="279"/>
        <v>1</v>
      </c>
      <c r="T671" s="3">
        <f t="shared" si="285"/>
        <v>21702.488814204378</v>
      </c>
      <c r="U671" s="3">
        <f t="shared" si="286"/>
        <v>0.5</v>
      </c>
      <c r="V671" s="3">
        <f t="shared" si="287"/>
        <v>0</v>
      </c>
      <c r="W671" s="3">
        <f t="shared" si="288"/>
        <v>19093.961736309971</v>
      </c>
      <c r="X671" s="3">
        <f t="shared" si="280"/>
        <v>6812.9857023875729</v>
      </c>
      <c r="AI671" s="3"/>
      <c r="AJ671" s="3"/>
      <c r="AK671" s="15">
        <f t="shared" si="271"/>
        <v>3</v>
      </c>
      <c r="AL671" s="11">
        <f t="shared" si="275"/>
        <v>3972</v>
      </c>
      <c r="AM671" s="11" t="b">
        <f t="shared" si="270"/>
        <v>0</v>
      </c>
      <c r="AN671" s="11">
        <f t="shared" si="272"/>
        <v>36000</v>
      </c>
      <c r="AO671" s="11">
        <f t="shared" si="273"/>
        <v>0</v>
      </c>
      <c r="AP671" s="11">
        <f t="shared" si="274"/>
        <v>0.25557343565750906</v>
      </c>
      <c r="AQ671" s="11">
        <f t="shared" si="276"/>
        <v>0</v>
      </c>
      <c r="AT671" s="3"/>
      <c r="AU671" s="17"/>
      <c r="AV671" s="19"/>
      <c r="AW671" s="17"/>
      <c r="AX671" s="17">
        <f t="shared" si="269"/>
        <v>662</v>
      </c>
      <c r="AY671" s="17">
        <f t="shared" si="294"/>
        <v>66.2</v>
      </c>
      <c r="AZ671" s="17">
        <v>25.557343565750905</v>
      </c>
      <c r="BA671" s="17"/>
      <c r="BB671" s="17">
        <v>36</v>
      </c>
      <c r="BC671" s="17"/>
      <c r="BD671" s="17"/>
      <c r="BE671" s="17"/>
      <c r="BF671" s="17"/>
      <c r="BG671" s="17"/>
      <c r="BH671" s="17"/>
      <c r="BI671" s="17"/>
      <c r="BJ671" s="17"/>
      <c r="BK671" s="17"/>
      <c r="BL671" s="17"/>
      <c r="BM671" s="17"/>
      <c r="BN671" s="17"/>
      <c r="BO671" s="17"/>
      <c r="BP671" s="17"/>
      <c r="BQ671" s="17"/>
      <c r="BR671" s="17"/>
      <c r="BS671" s="17"/>
      <c r="BT671" s="17"/>
      <c r="BU671" s="17"/>
      <c r="BV671" s="17"/>
      <c r="BW671" s="17"/>
      <c r="BX671" s="17"/>
      <c r="BY671" s="17"/>
      <c r="BZ671" s="17"/>
      <c r="CA671" s="17"/>
      <c r="CB671" s="17"/>
      <c r="CC671" s="17"/>
      <c r="CD671" s="17"/>
      <c r="CE671" s="17"/>
      <c r="CF671" s="17"/>
      <c r="CG671" s="17"/>
      <c r="CH671" s="17"/>
    </row>
    <row r="672" spans="8:86" x14ac:dyDescent="0.15">
      <c r="H672" s="3">
        <f t="shared" si="289"/>
        <v>0.66000000000000048</v>
      </c>
      <c r="I672" s="3">
        <f t="shared" si="290"/>
        <v>360</v>
      </c>
      <c r="J672" s="14">
        <f t="shared" si="291"/>
        <v>500</v>
      </c>
      <c r="K672" s="3">
        <f t="shared" si="281"/>
        <v>0</v>
      </c>
      <c r="L672" s="3">
        <f t="shared" si="277"/>
        <v>500</v>
      </c>
      <c r="M672" s="15">
        <f t="shared" si="292"/>
        <v>7.0000000000000007E-2</v>
      </c>
      <c r="N672" s="3">
        <f t="shared" si="293"/>
        <v>52.978497909710462</v>
      </c>
      <c r="O672" s="3">
        <f t="shared" si="278"/>
        <v>52.978497909710462</v>
      </c>
      <c r="P672" s="3">
        <f t="shared" si="282"/>
        <v>56.966126784634909</v>
      </c>
      <c r="Q672" s="3">
        <f t="shared" si="283"/>
        <v>13.582566427146737</v>
      </c>
      <c r="R672" s="3">
        <f t="shared" si="284"/>
        <v>35.274346605890827</v>
      </c>
      <c r="S672" s="3">
        <f t="shared" si="279"/>
        <v>1</v>
      </c>
      <c r="T672" s="3">
        <f t="shared" si="285"/>
        <v>21691.780178744088</v>
      </c>
      <c r="U672" s="3">
        <f t="shared" si="286"/>
        <v>0.5</v>
      </c>
      <c r="V672" s="3">
        <f t="shared" si="287"/>
        <v>0</v>
      </c>
      <c r="W672" s="3">
        <f t="shared" si="288"/>
        <v>19072.259247495767</v>
      </c>
      <c r="X672" s="3">
        <f t="shared" si="280"/>
        <v>6791.2832135733688</v>
      </c>
      <c r="AI672" s="3"/>
      <c r="AJ672" s="3"/>
      <c r="AK672" s="15">
        <f t="shared" si="271"/>
        <v>3</v>
      </c>
      <c r="AL672" s="11">
        <f t="shared" si="275"/>
        <v>3978</v>
      </c>
      <c r="AM672" s="11" t="b">
        <f t="shared" si="270"/>
        <v>0</v>
      </c>
      <c r="AN672" s="11">
        <f t="shared" si="272"/>
        <v>36000</v>
      </c>
      <c r="AO672" s="11">
        <f t="shared" si="273"/>
        <v>0</v>
      </c>
      <c r="AP672" s="11">
        <f t="shared" si="274"/>
        <v>0.25667575047232388</v>
      </c>
      <c r="AQ672" s="11">
        <f t="shared" si="276"/>
        <v>0</v>
      </c>
      <c r="AT672" s="3"/>
      <c r="AU672" s="17"/>
      <c r="AV672" s="19"/>
      <c r="AW672" s="17"/>
      <c r="AX672" s="17">
        <f t="shared" si="269"/>
        <v>663</v>
      </c>
      <c r="AY672" s="17">
        <f t="shared" si="294"/>
        <v>66.3</v>
      </c>
      <c r="AZ672" s="17">
        <v>25.66757504723239</v>
      </c>
      <c r="BA672" s="17"/>
      <c r="BB672" s="17">
        <v>36</v>
      </c>
      <c r="BC672" s="17"/>
      <c r="BD672" s="17"/>
      <c r="BE672" s="17"/>
      <c r="BF672" s="17"/>
      <c r="BG672" s="17"/>
      <c r="BH672" s="17"/>
      <c r="BI672" s="17"/>
      <c r="BJ672" s="17"/>
      <c r="BK672" s="17"/>
      <c r="BL672" s="17"/>
      <c r="BM672" s="17"/>
      <c r="BN672" s="17"/>
      <c r="BO672" s="17"/>
      <c r="BP672" s="17"/>
      <c r="BQ672" s="17"/>
      <c r="BR672" s="17"/>
      <c r="BS672" s="17"/>
      <c r="BT672" s="17"/>
      <c r="BU672" s="17"/>
      <c r="BV672" s="17"/>
      <c r="BW672" s="17"/>
      <c r="BX672" s="17"/>
      <c r="BY672" s="17"/>
      <c r="BZ672" s="17"/>
      <c r="CA672" s="17"/>
      <c r="CB672" s="17"/>
      <c r="CC672" s="17"/>
      <c r="CD672" s="17"/>
      <c r="CE672" s="17"/>
      <c r="CF672" s="17"/>
      <c r="CG672" s="17"/>
      <c r="CH672" s="17"/>
    </row>
    <row r="673" spans="8:86" x14ac:dyDescent="0.15">
      <c r="H673" s="3">
        <f t="shared" si="289"/>
        <v>0.66100000000000048</v>
      </c>
      <c r="I673" s="3">
        <f t="shared" si="290"/>
        <v>360</v>
      </c>
      <c r="J673" s="14">
        <f t="shared" si="291"/>
        <v>500</v>
      </c>
      <c r="K673" s="3">
        <f t="shared" si="281"/>
        <v>0</v>
      </c>
      <c r="L673" s="3">
        <f t="shared" si="277"/>
        <v>500</v>
      </c>
      <c r="M673" s="15">
        <f t="shared" si="292"/>
        <v>7.0000000000000007E-2</v>
      </c>
      <c r="N673" s="3">
        <f t="shared" si="293"/>
        <v>52.918242964769505</v>
      </c>
      <c r="O673" s="3">
        <f t="shared" si="278"/>
        <v>52.918242964769505</v>
      </c>
      <c r="P673" s="3">
        <f t="shared" si="282"/>
        <v>56.901336521257534</v>
      </c>
      <c r="Q673" s="3">
        <f t="shared" si="283"/>
        <v>13.53918286678925</v>
      </c>
      <c r="R673" s="3">
        <f t="shared" si="284"/>
        <v>35.22025969402339</v>
      </c>
      <c r="S673" s="3">
        <f t="shared" si="279"/>
        <v>1</v>
      </c>
      <c r="T673" s="3">
        <f t="shared" si="285"/>
        <v>21681.076827234145</v>
      </c>
      <c r="U673" s="3">
        <f t="shared" si="286"/>
        <v>0.5</v>
      </c>
      <c r="V673" s="3">
        <f t="shared" si="287"/>
        <v>0</v>
      </c>
      <c r="W673" s="3">
        <f t="shared" si="288"/>
        <v>19050.567467317022</v>
      </c>
      <c r="X673" s="3">
        <f t="shared" si="280"/>
        <v>6769.5914333946248</v>
      </c>
      <c r="AI673" s="3"/>
      <c r="AJ673" s="3"/>
      <c r="AK673" s="15">
        <f t="shared" si="271"/>
        <v>3</v>
      </c>
      <c r="AL673" s="11">
        <f t="shared" si="275"/>
        <v>3984</v>
      </c>
      <c r="AM673" s="11" t="b">
        <f t="shared" si="270"/>
        <v>0</v>
      </c>
      <c r="AN673" s="11">
        <f t="shared" si="272"/>
        <v>36000</v>
      </c>
      <c r="AO673" s="11">
        <f t="shared" si="273"/>
        <v>0</v>
      </c>
      <c r="AP673" s="11">
        <f t="shared" si="274"/>
        <v>0.25777806528713865</v>
      </c>
      <c r="AQ673" s="11">
        <f t="shared" si="276"/>
        <v>0</v>
      </c>
      <c r="AT673" s="3"/>
      <c r="AU673" s="17"/>
      <c r="AV673" s="19"/>
      <c r="AW673" s="17"/>
      <c r="AX673" s="17">
        <f t="shared" si="269"/>
        <v>664</v>
      </c>
      <c r="AY673" s="17">
        <f t="shared" si="294"/>
        <v>66.400000000000006</v>
      </c>
      <c r="AZ673" s="17">
        <v>25.777806528713864</v>
      </c>
      <c r="BA673" s="17"/>
      <c r="BB673" s="17">
        <v>36</v>
      </c>
      <c r="BC673" s="17"/>
      <c r="BD673" s="17"/>
      <c r="BE673" s="17"/>
      <c r="BF673" s="17"/>
      <c r="BG673" s="17"/>
      <c r="BH673" s="17"/>
      <c r="BI673" s="17"/>
      <c r="BJ673" s="17"/>
      <c r="BK673" s="17"/>
      <c r="BL673" s="17"/>
      <c r="BM673" s="17"/>
      <c r="BN673" s="17"/>
      <c r="BO673" s="17"/>
      <c r="BP673" s="17"/>
      <c r="BQ673" s="17"/>
      <c r="BR673" s="17"/>
      <c r="BS673" s="17"/>
      <c r="BT673" s="17"/>
      <c r="BU673" s="17"/>
      <c r="BV673" s="17"/>
      <c r="BW673" s="17"/>
      <c r="BX673" s="17"/>
      <c r="BY673" s="17"/>
      <c r="BZ673" s="17"/>
      <c r="CA673" s="17"/>
      <c r="CB673" s="17"/>
      <c r="CC673" s="17"/>
      <c r="CD673" s="17"/>
      <c r="CE673" s="17"/>
      <c r="CF673" s="17"/>
      <c r="CG673" s="17"/>
      <c r="CH673" s="17"/>
    </row>
    <row r="674" spans="8:86" x14ac:dyDescent="0.15">
      <c r="H674" s="3">
        <f t="shared" si="289"/>
        <v>0.66200000000000048</v>
      </c>
      <c r="I674" s="3">
        <f t="shared" si="290"/>
        <v>360</v>
      </c>
      <c r="J674" s="14">
        <f t="shared" si="291"/>
        <v>500</v>
      </c>
      <c r="K674" s="3">
        <f t="shared" si="281"/>
        <v>0</v>
      </c>
      <c r="L674" s="3">
        <f t="shared" si="277"/>
        <v>500</v>
      </c>
      <c r="M674" s="15">
        <f t="shared" si="292"/>
        <v>7.0000000000000007E-2</v>
      </c>
      <c r="N674" s="3">
        <f t="shared" si="293"/>
        <v>52.858017751360521</v>
      </c>
      <c r="O674" s="3">
        <f t="shared" si="278"/>
        <v>52.858017751360521</v>
      </c>
      <c r="P674" s="3">
        <f t="shared" si="282"/>
        <v>56.836578227269378</v>
      </c>
      <c r="Q674" s="3">
        <f t="shared" si="283"/>
        <v>13.495820713134782</v>
      </c>
      <c r="R674" s="3">
        <f t="shared" si="284"/>
        <v>35.166199470202081</v>
      </c>
      <c r="S674" s="3">
        <f t="shared" si="279"/>
        <v>1</v>
      </c>
      <c r="T674" s="3">
        <f t="shared" si="285"/>
        <v>21670.378757067298</v>
      </c>
      <c r="U674" s="3">
        <f t="shared" si="286"/>
        <v>0.5</v>
      </c>
      <c r="V674" s="3">
        <f t="shared" si="287"/>
        <v>0</v>
      </c>
      <c r="W674" s="3">
        <f t="shared" si="288"/>
        <v>19028.886390489788</v>
      </c>
      <c r="X674" s="3">
        <f t="shared" si="280"/>
        <v>6747.9103565673904</v>
      </c>
      <c r="AI674" s="3"/>
      <c r="AJ674" s="3"/>
      <c r="AK674" s="15">
        <f t="shared" si="271"/>
        <v>3</v>
      </c>
      <c r="AL674" s="11">
        <f t="shared" si="275"/>
        <v>3990</v>
      </c>
      <c r="AM674" s="11" t="b">
        <f t="shared" si="270"/>
        <v>0</v>
      </c>
      <c r="AN674" s="11">
        <f t="shared" si="272"/>
        <v>36000</v>
      </c>
      <c r="AO674" s="11">
        <f t="shared" si="273"/>
        <v>0</v>
      </c>
      <c r="AP674" s="11">
        <f t="shared" si="274"/>
        <v>0.25888038010195347</v>
      </c>
      <c r="AQ674" s="11">
        <f t="shared" si="276"/>
        <v>0</v>
      </c>
      <c r="AT674" s="3"/>
      <c r="AU674" s="17"/>
      <c r="AV674" s="19"/>
      <c r="AW674" s="17"/>
      <c r="AX674" s="17">
        <f t="shared" si="269"/>
        <v>665</v>
      </c>
      <c r="AY674" s="17">
        <f t="shared" si="294"/>
        <v>66.5</v>
      </c>
      <c r="AZ674" s="17">
        <v>25.888038010195345</v>
      </c>
      <c r="BA674" s="17"/>
      <c r="BB674" s="17">
        <v>36</v>
      </c>
      <c r="BC674" s="17"/>
      <c r="BD674" s="17"/>
      <c r="BE674" s="17"/>
      <c r="BF674" s="17"/>
      <c r="BG674" s="17"/>
      <c r="BH674" s="17"/>
      <c r="BI674" s="17"/>
      <c r="BJ674" s="17"/>
      <c r="BK674" s="17"/>
      <c r="BL674" s="17"/>
      <c r="BM674" s="17"/>
      <c r="BN674" s="17"/>
      <c r="BO674" s="17"/>
      <c r="BP674" s="17"/>
      <c r="BQ674" s="17"/>
      <c r="BR674" s="17"/>
      <c r="BS674" s="17"/>
      <c r="BT674" s="17"/>
      <c r="BU674" s="17"/>
      <c r="BV674" s="17"/>
      <c r="BW674" s="17"/>
      <c r="BX674" s="17"/>
      <c r="BY674" s="17"/>
      <c r="BZ674" s="17"/>
      <c r="CA674" s="17"/>
      <c r="CB674" s="17"/>
      <c r="CC674" s="17"/>
      <c r="CD674" s="17"/>
      <c r="CE674" s="17"/>
      <c r="CF674" s="17"/>
      <c r="CG674" s="17"/>
      <c r="CH674" s="17"/>
    </row>
    <row r="675" spans="8:86" x14ac:dyDescent="0.15">
      <c r="H675" s="3">
        <f t="shared" si="289"/>
        <v>0.66300000000000048</v>
      </c>
      <c r="I675" s="3">
        <f t="shared" si="290"/>
        <v>360</v>
      </c>
      <c r="J675" s="14">
        <f t="shared" si="291"/>
        <v>500</v>
      </c>
      <c r="K675" s="3">
        <f t="shared" si="281"/>
        <v>0</v>
      </c>
      <c r="L675" s="3">
        <f t="shared" si="277"/>
        <v>500</v>
      </c>
      <c r="M675" s="15">
        <f t="shared" si="292"/>
        <v>7.0000000000000007E-2</v>
      </c>
      <c r="N675" s="3">
        <f t="shared" si="293"/>
        <v>52.79782225481312</v>
      </c>
      <c r="O675" s="3">
        <f t="shared" si="278"/>
        <v>52.79782225481312</v>
      </c>
      <c r="P675" s="3">
        <f t="shared" si="282"/>
        <v>56.771851886895831</v>
      </c>
      <c r="Q675" s="3">
        <f t="shared" si="283"/>
        <v>13.452479955620646</v>
      </c>
      <c r="R675" s="3">
        <f t="shared" si="284"/>
        <v>35.112165921258239</v>
      </c>
      <c r="S675" s="3">
        <f t="shared" si="279"/>
        <v>1</v>
      </c>
      <c r="T675" s="3">
        <f t="shared" si="285"/>
        <v>21659.685965637593</v>
      </c>
      <c r="U675" s="3">
        <f t="shared" si="286"/>
        <v>0.5</v>
      </c>
      <c r="V675" s="3">
        <f t="shared" si="287"/>
        <v>0</v>
      </c>
      <c r="W675" s="3">
        <f t="shared" si="288"/>
        <v>19007.216011732722</v>
      </c>
      <c r="X675" s="3">
        <f t="shared" si="280"/>
        <v>6726.2399778103227</v>
      </c>
      <c r="AI675" s="3"/>
      <c r="AJ675" s="3"/>
      <c r="AK675" s="15">
        <f t="shared" si="271"/>
        <v>3</v>
      </c>
      <c r="AL675" s="11">
        <f t="shared" si="275"/>
        <v>3996</v>
      </c>
      <c r="AM675" s="11" t="b">
        <f t="shared" si="270"/>
        <v>0</v>
      </c>
      <c r="AN675" s="11">
        <f t="shared" si="272"/>
        <v>36000</v>
      </c>
      <c r="AO675" s="11">
        <f t="shared" si="273"/>
        <v>0</v>
      </c>
      <c r="AP675" s="11">
        <f t="shared" si="274"/>
        <v>0.25998269491676823</v>
      </c>
      <c r="AQ675" s="11">
        <f t="shared" si="276"/>
        <v>0</v>
      </c>
      <c r="AT675" s="3"/>
      <c r="AU675" s="17"/>
      <c r="AV675" s="19"/>
      <c r="AW675" s="17"/>
      <c r="AX675" s="17">
        <f t="shared" si="269"/>
        <v>666</v>
      </c>
      <c r="AY675" s="17">
        <f t="shared" si="294"/>
        <v>66.599999999999994</v>
      </c>
      <c r="AZ675" s="17">
        <v>25.998269491676822</v>
      </c>
      <c r="BA675" s="17"/>
      <c r="BB675" s="17">
        <v>36</v>
      </c>
      <c r="BC675" s="17"/>
      <c r="BD675" s="17"/>
      <c r="BE675" s="17"/>
      <c r="BF675" s="17"/>
      <c r="BG675" s="17"/>
      <c r="BH675" s="17"/>
      <c r="BI675" s="17"/>
      <c r="BJ675" s="17"/>
      <c r="BK675" s="17"/>
      <c r="BL675" s="17"/>
      <c r="BM675" s="17"/>
      <c r="BN675" s="17"/>
      <c r="BO675" s="17"/>
      <c r="BP675" s="17"/>
      <c r="BQ675" s="17"/>
      <c r="BR675" s="17"/>
      <c r="BS675" s="17"/>
      <c r="BT675" s="17"/>
      <c r="BU675" s="17"/>
      <c r="BV675" s="17"/>
      <c r="BW675" s="17"/>
      <c r="BX675" s="17"/>
      <c r="BY675" s="17"/>
      <c r="BZ675" s="17"/>
      <c r="CA675" s="17"/>
      <c r="CB675" s="17"/>
      <c r="CC675" s="17"/>
      <c r="CD675" s="17"/>
      <c r="CE675" s="17"/>
      <c r="CF675" s="17"/>
      <c r="CG675" s="17"/>
      <c r="CH675" s="17"/>
    </row>
    <row r="676" spans="8:86" x14ac:dyDescent="0.15">
      <c r="H676" s="3">
        <f t="shared" si="289"/>
        <v>0.66400000000000048</v>
      </c>
      <c r="I676" s="3">
        <f t="shared" si="290"/>
        <v>360</v>
      </c>
      <c r="J676" s="14">
        <f t="shared" si="291"/>
        <v>500</v>
      </c>
      <c r="K676" s="3">
        <f t="shared" si="281"/>
        <v>0</v>
      </c>
      <c r="L676" s="3">
        <f t="shared" si="277"/>
        <v>500</v>
      </c>
      <c r="M676" s="15">
        <f t="shared" si="292"/>
        <v>7.0000000000000007E-2</v>
      </c>
      <c r="N676" s="3">
        <f t="shared" si="293"/>
        <v>52.737656460464123</v>
      </c>
      <c r="O676" s="3">
        <f t="shared" si="278"/>
        <v>52.737656460464123</v>
      </c>
      <c r="P676" s="3">
        <f t="shared" si="282"/>
        <v>56.707157484370029</v>
      </c>
      <c r="Q676" s="3">
        <f t="shared" si="283"/>
        <v>13.409160583689371</v>
      </c>
      <c r="R676" s="3">
        <f t="shared" si="284"/>
        <v>35.0581590340297</v>
      </c>
      <c r="S676" s="3">
        <f t="shared" si="279"/>
        <v>1</v>
      </c>
      <c r="T676" s="3">
        <f t="shared" si="285"/>
        <v>21648.998450340328</v>
      </c>
      <c r="U676" s="3">
        <f t="shared" si="286"/>
        <v>0.5</v>
      </c>
      <c r="V676" s="3">
        <f t="shared" si="287"/>
        <v>0</v>
      </c>
      <c r="W676" s="3">
        <f t="shared" si="288"/>
        <v>18985.556325767084</v>
      </c>
      <c r="X676" s="3">
        <f t="shared" si="280"/>
        <v>6704.5802918446852</v>
      </c>
      <c r="AI676" s="3"/>
      <c r="AJ676" s="3"/>
      <c r="AK676" s="15">
        <f t="shared" si="271"/>
        <v>3</v>
      </c>
      <c r="AL676" s="11">
        <f t="shared" si="275"/>
        <v>4002</v>
      </c>
      <c r="AM676" s="11" t="b">
        <f t="shared" si="270"/>
        <v>0</v>
      </c>
      <c r="AN676" s="11">
        <f t="shared" si="272"/>
        <v>36000</v>
      </c>
      <c r="AO676" s="11">
        <f t="shared" si="273"/>
        <v>0</v>
      </c>
      <c r="AP676" s="11">
        <f t="shared" si="274"/>
        <v>0.26108500973158305</v>
      </c>
      <c r="AQ676" s="11">
        <f t="shared" si="276"/>
        <v>0</v>
      </c>
      <c r="AT676" s="3"/>
      <c r="AU676" s="17"/>
      <c r="AV676" s="19"/>
      <c r="AW676" s="17"/>
      <c r="AX676" s="17">
        <f t="shared" si="269"/>
        <v>667</v>
      </c>
      <c r="AY676" s="17">
        <f t="shared" si="294"/>
        <v>66.7</v>
      </c>
      <c r="AZ676" s="17">
        <v>26.108500973158304</v>
      </c>
      <c r="BA676" s="17"/>
      <c r="BB676" s="17">
        <v>36</v>
      </c>
      <c r="BC676" s="17"/>
      <c r="BD676" s="17"/>
      <c r="BE676" s="17"/>
      <c r="BF676" s="17"/>
      <c r="BG676" s="17"/>
      <c r="BH676" s="17"/>
      <c r="BI676" s="17"/>
      <c r="BJ676" s="17"/>
      <c r="BK676" s="17"/>
      <c r="BL676" s="17"/>
      <c r="BM676" s="17"/>
      <c r="BN676" s="17"/>
      <c r="BO676" s="17"/>
      <c r="BP676" s="17"/>
      <c r="BQ676" s="17"/>
      <c r="BR676" s="17"/>
      <c r="BS676" s="17"/>
      <c r="BT676" s="17"/>
      <c r="BU676" s="17"/>
      <c r="BV676" s="17"/>
      <c r="BW676" s="17"/>
      <c r="BX676" s="17"/>
      <c r="BY676" s="17"/>
      <c r="BZ676" s="17"/>
      <c r="CA676" s="17"/>
      <c r="CB676" s="17"/>
      <c r="CC676" s="17"/>
      <c r="CD676" s="17"/>
      <c r="CE676" s="17"/>
      <c r="CF676" s="17"/>
      <c r="CG676" s="17"/>
      <c r="CH676" s="17"/>
    </row>
    <row r="677" spans="8:86" x14ac:dyDescent="0.15">
      <c r="H677" s="3">
        <f t="shared" si="289"/>
        <v>0.66500000000000048</v>
      </c>
      <c r="I677" s="3">
        <f t="shared" si="290"/>
        <v>360</v>
      </c>
      <c r="J677" s="14">
        <f t="shared" si="291"/>
        <v>500</v>
      </c>
      <c r="K677" s="3">
        <f t="shared" si="281"/>
        <v>0</v>
      </c>
      <c r="L677" s="3">
        <f t="shared" si="277"/>
        <v>500</v>
      </c>
      <c r="M677" s="15">
        <f t="shared" si="292"/>
        <v>7.0000000000000007E-2</v>
      </c>
      <c r="N677" s="3">
        <f t="shared" si="293"/>
        <v>52.677520353657627</v>
      </c>
      <c r="O677" s="3">
        <f t="shared" si="278"/>
        <v>52.677520353657627</v>
      </c>
      <c r="P677" s="3">
        <f t="shared" si="282"/>
        <v>56.642495003932936</v>
      </c>
      <c r="Q677" s="3">
        <f t="shared" si="283"/>
        <v>13.365862586788689</v>
      </c>
      <c r="R677" s="3">
        <f t="shared" si="284"/>
        <v>35.004178795360815</v>
      </c>
      <c r="S677" s="3">
        <f t="shared" si="279"/>
        <v>1</v>
      </c>
      <c r="T677" s="3">
        <f t="shared" si="285"/>
        <v>21638.316208572123</v>
      </c>
      <c r="U677" s="3">
        <f t="shared" si="286"/>
        <v>0.5</v>
      </c>
      <c r="V677" s="3">
        <f t="shared" si="287"/>
        <v>0</v>
      </c>
      <c r="W677" s="3">
        <f t="shared" si="288"/>
        <v>18963.907327316745</v>
      </c>
      <c r="X677" s="3">
        <f t="shared" si="280"/>
        <v>6682.9312933943447</v>
      </c>
      <c r="AI677" s="3"/>
      <c r="AJ677" s="3"/>
      <c r="AK677" s="15">
        <f t="shared" si="271"/>
        <v>3</v>
      </c>
      <c r="AL677" s="11">
        <f t="shared" si="275"/>
        <v>4008</v>
      </c>
      <c r="AM677" s="11" t="b">
        <f t="shared" si="270"/>
        <v>0</v>
      </c>
      <c r="AN677" s="11">
        <f t="shared" si="272"/>
        <v>36000</v>
      </c>
      <c r="AO677" s="11">
        <f t="shared" si="273"/>
        <v>0</v>
      </c>
      <c r="AP677" s="11">
        <f t="shared" si="274"/>
        <v>0.26218732454639782</v>
      </c>
      <c r="AQ677" s="11">
        <f t="shared" si="276"/>
        <v>0</v>
      </c>
      <c r="AT677" s="3"/>
      <c r="AU677" s="17"/>
      <c r="AV677" s="19"/>
      <c r="AW677" s="17"/>
      <c r="AX677" s="17">
        <f t="shared" si="269"/>
        <v>668</v>
      </c>
      <c r="AY677" s="17">
        <f t="shared" si="294"/>
        <v>66.8</v>
      </c>
      <c r="AZ677" s="17">
        <v>26.218732454639781</v>
      </c>
      <c r="BA677" s="17"/>
      <c r="BB677" s="17">
        <v>36</v>
      </c>
      <c r="BC677" s="17"/>
      <c r="BD677" s="17"/>
      <c r="BE677" s="17"/>
      <c r="BF677" s="17"/>
      <c r="BG677" s="17"/>
      <c r="BH677" s="17"/>
      <c r="BI677" s="17"/>
      <c r="BJ677" s="17"/>
      <c r="BK677" s="17"/>
      <c r="BL677" s="17"/>
      <c r="BM677" s="17"/>
      <c r="BN677" s="17"/>
      <c r="BO677" s="17"/>
      <c r="BP677" s="17"/>
      <c r="BQ677" s="17"/>
      <c r="BR677" s="17"/>
      <c r="BS677" s="17"/>
      <c r="BT677" s="17"/>
      <c r="BU677" s="17"/>
      <c r="BV677" s="17"/>
      <c r="BW677" s="17"/>
      <c r="BX677" s="17"/>
      <c r="BY677" s="17"/>
      <c r="BZ677" s="17"/>
      <c r="CA677" s="17"/>
      <c r="CB677" s="17"/>
      <c r="CC677" s="17"/>
      <c r="CD677" s="17"/>
      <c r="CE677" s="17"/>
      <c r="CF677" s="17"/>
      <c r="CG677" s="17"/>
      <c r="CH677" s="17"/>
    </row>
    <row r="678" spans="8:86" x14ac:dyDescent="0.15">
      <c r="H678" s="3">
        <f t="shared" si="289"/>
        <v>0.66600000000000048</v>
      </c>
      <c r="I678" s="3">
        <f t="shared" si="290"/>
        <v>360</v>
      </c>
      <c r="J678" s="14">
        <f t="shared" si="291"/>
        <v>500</v>
      </c>
      <c r="K678" s="3">
        <f t="shared" si="281"/>
        <v>0</v>
      </c>
      <c r="L678" s="3">
        <f t="shared" si="277"/>
        <v>500</v>
      </c>
      <c r="M678" s="15">
        <f t="shared" si="292"/>
        <v>7.0000000000000007E-2</v>
      </c>
      <c r="N678" s="3">
        <f t="shared" si="293"/>
        <v>52.617413919744919</v>
      </c>
      <c r="O678" s="3">
        <f t="shared" si="278"/>
        <v>52.617413919744919</v>
      </c>
      <c r="P678" s="3">
        <f t="shared" si="282"/>
        <v>56.577864429833248</v>
      </c>
      <c r="Q678" s="3">
        <f t="shared" si="283"/>
        <v>13.322585954371545</v>
      </c>
      <c r="R678" s="3">
        <f t="shared" si="284"/>
        <v>34.950225192102394</v>
      </c>
      <c r="S678" s="3">
        <f t="shared" si="279"/>
        <v>1</v>
      </c>
      <c r="T678" s="3">
        <f t="shared" si="285"/>
        <v>21627.639237730851</v>
      </c>
      <c r="U678" s="3">
        <f t="shared" si="286"/>
        <v>0.5</v>
      </c>
      <c r="V678" s="3">
        <f t="shared" si="287"/>
        <v>0</v>
      </c>
      <c r="W678" s="3">
        <f t="shared" si="288"/>
        <v>18942.269011108172</v>
      </c>
      <c r="X678" s="3">
        <f t="shared" si="280"/>
        <v>6661.2929771857725</v>
      </c>
      <c r="AI678" s="3"/>
      <c r="AJ678" s="3"/>
      <c r="AK678" s="15">
        <f t="shared" si="271"/>
        <v>3</v>
      </c>
      <c r="AL678" s="11">
        <f t="shared" si="275"/>
        <v>4014</v>
      </c>
      <c r="AM678" s="11" t="b">
        <f t="shared" si="270"/>
        <v>0</v>
      </c>
      <c r="AN678" s="11">
        <f t="shared" si="272"/>
        <v>36000</v>
      </c>
      <c r="AO678" s="11">
        <f t="shared" si="273"/>
        <v>0</v>
      </c>
      <c r="AP678" s="11">
        <f t="shared" si="274"/>
        <v>0.26328963936121264</v>
      </c>
      <c r="AQ678" s="11">
        <f t="shared" si="276"/>
        <v>0</v>
      </c>
      <c r="AT678" s="3"/>
      <c r="AU678" s="17"/>
      <c r="AV678" s="19"/>
      <c r="AW678" s="17"/>
      <c r="AX678" s="17">
        <f t="shared" si="269"/>
        <v>669</v>
      </c>
      <c r="AY678" s="17">
        <f t="shared" si="294"/>
        <v>66.900000000000006</v>
      </c>
      <c r="AZ678" s="17">
        <v>26.328963936121262</v>
      </c>
      <c r="BA678" s="17"/>
      <c r="BB678" s="17">
        <v>36</v>
      </c>
      <c r="BC678" s="17"/>
      <c r="BD678" s="17"/>
      <c r="BE678" s="17"/>
      <c r="BF678" s="17"/>
      <c r="BG678" s="17"/>
      <c r="BH678" s="17"/>
      <c r="BI678" s="17"/>
      <c r="BJ678" s="17"/>
      <c r="BK678" s="17"/>
      <c r="BL678" s="17"/>
      <c r="BM678" s="17"/>
      <c r="BN678" s="17"/>
      <c r="BO678" s="17"/>
      <c r="BP678" s="17"/>
      <c r="BQ678" s="17"/>
      <c r="BR678" s="17"/>
      <c r="BS678" s="17"/>
      <c r="BT678" s="17"/>
      <c r="BU678" s="17"/>
      <c r="BV678" s="17"/>
      <c r="BW678" s="17"/>
      <c r="BX678" s="17"/>
      <c r="BY678" s="17"/>
      <c r="BZ678" s="17"/>
      <c r="CA678" s="17"/>
      <c r="CB678" s="17"/>
      <c r="CC678" s="17"/>
      <c r="CD678" s="17"/>
      <c r="CE678" s="17"/>
      <c r="CF678" s="17"/>
      <c r="CG678" s="17"/>
      <c r="CH678" s="17"/>
    </row>
    <row r="679" spans="8:86" x14ac:dyDescent="0.15">
      <c r="H679" s="3">
        <f t="shared" si="289"/>
        <v>0.66700000000000048</v>
      </c>
      <c r="I679" s="3">
        <f t="shared" si="290"/>
        <v>360</v>
      </c>
      <c r="J679" s="14">
        <f t="shared" si="291"/>
        <v>500</v>
      </c>
      <c r="K679" s="3">
        <f t="shared" si="281"/>
        <v>0</v>
      </c>
      <c r="L679" s="3">
        <f t="shared" si="277"/>
        <v>500</v>
      </c>
      <c r="M679" s="15">
        <f t="shared" si="292"/>
        <v>7.0000000000000007E-2</v>
      </c>
      <c r="N679" s="3">
        <f t="shared" si="293"/>
        <v>52.557337144084563</v>
      </c>
      <c r="O679" s="3">
        <f t="shared" si="278"/>
        <v>52.557337144084563</v>
      </c>
      <c r="P679" s="3">
        <f t="shared" si="282"/>
        <v>56.513265746327491</v>
      </c>
      <c r="Q679" s="3">
        <f t="shared" si="283"/>
        <v>13.279330675896082</v>
      </c>
      <c r="R679" s="3">
        <f t="shared" si="284"/>
        <v>34.896298211111784</v>
      </c>
      <c r="S679" s="3">
        <f t="shared" si="279"/>
        <v>1</v>
      </c>
      <c r="T679" s="3">
        <f t="shared" si="285"/>
        <v>21616.967535215703</v>
      </c>
      <c r="U679" s="3">
        <f t="shared" si="286"/>
        <v>0.5</v>
      </c>
      <c r="V679" s="3">
        <f t="shared" si="287"/>
        <v>0</v>
      </c>
      <c r="W679" s="3">
        <f t="shared" si="288"/>
        <v>18920.641371870443</v>
      </c>
      <c r="X679" s="3">
        <f t="shared" si="280"/>
        <v>6639.6653379480413</v>
      </c>
      <c r="AI679" s="3"/>
      <c r="AJ679" s="3"/>
      <c r="AK679" s="15">
        <f t="shared" si="271"/>
        <v>3</v>
      </c>
      <c r="AL679" s="11">
        <f t="shared" si="275"/>
        <v>4020</v>
      </c>
      <c r="AM679" s="11" t="b">
        <f t="shared" si="270"/>
        <v>0</v>
      </c>
      <c r="AN679" s="11">
        <f t="shared" si="272"/>
        <v>36000</v>
      </c>
      <c r="AO679" s="11">
        <f t="shared" si="273"/>
        <v>0</v>
      </c>
      <c r="AP679" s="11">
        <f t="shared" si="274"/>
        <v>0.2643919541760274</v>
      </c>
      <c r="AQ679" s="11">
        <f t="shared" si="276"/>
        <v>0</v>
      </c>
      <c r="AT679" s="3"/>
      <c r="AU679" s="17"/>
      <c r="AV679" s="19"/>
      <c r="AW679" s="17"/>
      <c r="AX679" s="17">
        <f t="shared" si="269"/>
        <v>670</v>
      </c>
      <c r="AY679" s="17">
        <f t="shared" si="294"/>
        <v>67</v>
      </c>
      <c r="AZ679" s="17">
        <v>26.43919541760274</v>
      </c>
      <c r="BA679" s="17"/>
      <c r="BB679" s="17">
        <v>36</v>
      </c>
      <c r="BC679" s="17"/>
      <c r="BD679" s="17"/>
      <c r="BE679" s="17"/>
      <c r="BF679" s="17"/>
      <c r="BG679" s="17"/>
      <c r="BH679" s="17"/>
      <c r="BI679" s="17"/>
      <c r="BJ679" s="17"/>
      <c r="BK679" s="17"/>
      <c r="BL679" s="17"/>
      <c r="BM679" s="17"/>
      <c r="BN679" s="17"/>
      <c r="BO679" s="17"/>
      <c r="BP679" s="17"/>
      <c r="BQ679" s="17"/>
      <c r="BR679" s="17"/>
      <c r="BS679" s="17"/>
      <c r="BT679" s="17"/>
      <c r="BU679" s="17"/>
      <c r="BV679" s="17"/>
      <c r="BW679" s="17"/>
      <c r="BX679" s="17"/>
      <c r="BY679" s="17"/>
      <c r="BZ679" s="17"/>
      <c r="CA679" s="17"/>
      <c r="CB679" s="17"/>
      <c r="CC679" s="17"/>
      <c r="CD679" s="17"/>
      <c r="CE679" s="17"/>
      <c r="CF679" s="17"/>
      <c r="CG679" s="17"/>
      <c r="CH679" s="17"/>
    </row>
    <row r="680" spans="8:86" x14ac:dyDescent="0.15">
      <c r="H680" s="3">
        <f t="shared" si="289"/>
        <v>0.66800000000000048</v>
      </c>
      <c r="I680" s="3">
        <f t="shared" si="290"/>
        <v>360</v>
      </c>
      <c r="J680" s="14">
        <f t="shared" si="291"/>
        <v>500</v>
      </c>
      <c r="K680" s="3">
        <f t="shared" si="281"/>
        <v>0</v>
      </c>
      <c r="L680" s="3">
        <f t="shared" si="277"/>
        <v>500</v>
      </c>
      <c r="M680" s="15">
        <f t="shared" si="292"/>
        <v>7.0000000000000007E-2</v>
      </c>
      <c r="N680" s="3">
        <f t="shared" si="293"/>
        <v>52.497290012042299</v>
      </c>
      <c r="O680" s="3">
        <f t="shared" si="278"/>
        <v>52.497290012042299</v>
      </c>
      <c r="P680" s="3">
        <f t="shared" si="282"/>
        <v>56.448698937679893</v>
      </c>
      <c r="Q680" s="3">
        <f t="shared" si="283"/>
        <v>13.236096740825651</v>
      </c>
      <c r="R680" s="3">
        <f t="shared" si="284"/>
        <v>34.842397839252769</v>
      </c>
      <c r="S680" s="3">
        <f t="shared" si="279"/>
        <v>1</v>
      </c>
      <c r="T680" s="3">
        <f t="shared" si="285"/>
        <v>21606.30109842712</v>
      </c>
      <c r="U680" s="3">
        <f t="shared" si="286"/>
        <v>0.5</v>
      </c>
      <c r="V680" s="3">
        <f t="shared" si="287"/>
        <v>0</v>
      </c>
      <c r="W680" s="3">
        <f t="shared" si="288"/>
        <v>18899.024404335229</v>
      </c>
      <c r="X680" s="3">
        <f t="shared" si="280"/>
        <v>6618.0483704128255</v>
      </c>
      <c r="AI680" s="3"/>
      <c r="AJ680" s="3"/>
      <c r="AK680" s="15">
        <f t="shared" si="271"/>
        <v>3</v>
      </c>
      <c r="AL680" s="11">
        <f t="shared" si="275"/>
        <v>4026</v>
      </c>
      <c r="AM680" s="11" t="b">
        <f t="shared" si="270"/>
        <v>0</v>
      </c>
      <c r="AN680" s="11">
        <f t="shared" si="272"/>
        <v>36000</v>
      </c>
      <c r="AO680" s="11">
        <f t="shared" si="273"/>
        <v>0</v>
      </c>
      <c r="AP680" s="11">
        <f t="shared" si="274"/>
        <v>0.26549426899084222</v>
      </c>
      <c r="AQ680" s="11">
        <f t="shared" si="276"/>
        <v>0</v>
      </c>
      <c r="AT680" s="3"/>
      <c r="AU680" s="17"/>
      <c r="AV680" s="19"/>
      <c r="AW680" s="17"/>
      <c r="AX680" s="17">
        <f t="shared" si="269"/>
        <v>671</v>
      </c>
      <c r="AY680" s="17">
        <f t="shared" si="294"/>
        <v>67.099999999999994</v>
      </c>
      <c r="AZ680" s="17">
        <v>26.549426899084221</v>
      </c>
      <c r="BA680" s="17"/>
      <c r="BB680" s="17">
        <v>36</v>
      </c>
      <c r="BC680" s="17"/>
      <c r="BD680" s="17"/>
      <c r="BE680" s="17"/>
      <c r="BF680" s="17"/>
      <c r="BG680" s="17"/>
      <c r="BH680" s="17"/>
      <c r="BI680" s="17"/>
      <c r="BJ680" s="17"/>
      <c r="BK680" s="17"/>
      <c r="BL680" s="17"/>
      <c r="BM680" s="17"/>
      <c r="BN680" s="17"/>
      <c r="BO680" s="17"/>
      <c r="BP680" s="17"/>
      <c r="BQ680" s="17"/>
      <c r="BR680" s="17"/>
      <c r="BS680" s="17"/>
      <c r="BT680" s="17"/>
      <c r="BU680" s="17"/>
      <c r="BV680" s="17"/>
      <c r="BW680" s="17"/>
      <c r="BX680" s="17"/>
      <c r="BY680" s="17"/>
      <c r="BZ680" s="17"/>
      <c r="CA680" s="17"/>
      <c r="CB680" s="17"/>
      <c r="CC680" s="17"/>
      <c r="CD680" s="17"/>
      <c r="CE680" s="17"/>
      <c r="CF680" s="17"/>
      <c r="CG680" s="17"/>
      <c r="CH680" s="17"/>
    </row>
    <row r="681" spans="8:86" x14ac:dyDescent="0.15">
      <c r="H681" s="3">
        <f t="shared" si="289"/>
        <v>0.66900000000000048</v>
      </c>
      <c r="I681" s="3">
        <f t="shared" si="290"/>
        <v>360</v>
      </c>
      <c r="J681" s="14">
        <f t="shared" si="291"/>
        <v>500</v>
      </c>
      <c r="K681" s="3">
        <f t="shared" si="281"/>
        <v>0</v>
      </c>
      <c r="L681" s="3">
        <f t="shared" si="277"/>
        <v>500</v>
      </c>
      <c r="M681" s="15">
        <f t="shared" si="292"/>
        <v>7.0000000000000007E-2</v>
      </c>
      <c r="N681" s="3">
        <f t="shared" si="293"/>
        <v>52.437272508991121</v>
      </c>
      <c r="O681" s="3">
        <f t="shared" si="278"/>
        <v>52.437272508991121</v>
      </c>
      <c r="P681" s="3">
        <f t="shared" si="282"/>
        <v>56.384163988162499</v>
      </c>
      <c r="Q681" s="3">
        <f t="shared" si="283"/>
        <v>13.192884138628797</v>
      </c>
      <c r="R681" s="3">
        <f t="shared" si="284"/>
        <v>34.788524063395649</v>
      </c>
      <c r="S681" s="3">
        <f t="shared" si="279"/>
        <v>1</v>
      </c>
      <c r="T681" s="3">
        <f t="shared" si="285"/>
        <v>21595.639924766849</v>
      </c>
      <c r="U681" s="3">
        <f t="shared" si="286"/>
        <v>0.5</v>
      </c>
      <c r="V681" s="3">
        <f t="shared" si="287"/>
        <v>0</v>
      </c>
      <c r="W681" s="3">
        <f t="shared" si="288"/>
        <v>18877.418103236803</v>
      </c>
      <c r="X681" s="3">
        <f t="shared" si="280"/>
        <v>6596.4420693143984</v>
      </c>
      <c r="AI681" s="3"/>
      <c r="AJ681" s="3"/>
      <c r="AK681" s="15">
        <f t="shared" si="271"/>
        <v>3</v>
      </c>
      <c r="AL681" s="11">
        <f t="shared" si="275"/>
        <v>4032</v>
      </c>
      <c r="AM681" s="11" t="b">
        <f t="shared" si="270"/>
        <v>0</v>
      </c>
      <c r="AN681" s="11">
        <f t="shared" si="272"/>
        <v>36000</v>
      </c>
      <c r="AO681" s="11">
        <f t="shared" si="273"/>
        <v>0</v>
      </c>
      <c r="AP681" s="11">
        <f t="shared" si="274"/>
        <v>0.26659658380565698</v>
      </c>
      <c r="AQ681" s="11">
        <f t="shared" si="276"/>
        <v>0</v>
      </c>
      <c r="AT681" s="3"/>
      <c r="AU681" s="17"/>
      <c r="AV681" s="19"/>
      <c r="AW681" s="17"/>
      <c r="AX681" s="17">
        <f t="shared" si="269"/>
        <v>672</v>
      </c>
      <c r="AY681" s="17">
        <f t="shared" si="294"/>
        <v>67.2</v>
      </c>
      <c r="AZ681" s="17">
        <v>26.659658380565698</v>
      </c>
      <c r="BA681" s="17"/>
      <c r="BB681" s="17">
        <v>36</v>
      </c>
      <c r="BC681" s="17"/>
      <c r="BD681" s="17"/>
      <c r="BE681" s="17"/>
      <c r="BF681" s="17"/>
      <c r="BG681" s="17"/>
      <c r="BH681" s="17"/>
      <c r="BI681" s="17"/>
      <c r="BJ681" s="17"/>
      <c r="BK681" s="17"/>
      <c r="BL681" s="17"/>
      <c r="BM681" s="17"/>
      <c r="BN681" s="17"/>
      <c r="BO681" s="17"/>
      <c r="BP681" s="17"/>
      <c r="BQ681" s="17"/>
      <c r="BR681" s="17"/>
      <c r="BS681" s="17"/>
      <c r="BT681" s="17"/>
      <c r="BU681" s="17"/>
      <c r="BV681" s="17"/>
      <c r="BW681" s="17"/>
      <c r="BX681" s="17"/>
      <c r="BY681" s="17"/>
      <c r="BZ681" s="17"/>
      <c r="CA681" s="17"/>
      <c r="CB681" s="17"/>
      <c r="CC681" s="17"/>
      <c r="CD681" s="17"/>
      <c r="CE681" s="17"/>
      <c r="CF681" s="17"/>
      <c r="CG681" s="17"/>
      <c r="CH681" s="17"/>
    </row>
    <row r="682" spans="8:86" x14ac:dyDescent="0.15">
      <c r="H682" s="3">
        <f t="shared" si="289"/>
        <v>0.67000000000000048</v>
      </c>
      <c r="I682" s="3">
        <f t="shared" si="290"/>
        <v>360</v>
      </c>
      <c r="J682" s="14">
        <f t="shared" si="291"/>
        <v>500</v>
      </c>
      <c r="K682" s="3">
        <f t="shared" si="281"/>
        <v>0</v>
      </c>
      <c r="L682" s="3">
        <f t="shared" si="277"/>
        <v>500</v>
      </c>
      <c r="M682" s="15">
        <f t="shared" si="292"/>
        <v>7.0000000000000007E-2</v>
      </c>
      <c r="N682" s="3">
        <f t="shared" si="293"/>
        <v>52.377284620311215</v>
      </c>
      <c r="O682" s="3">
        <f t="shared" si="278"/>
        <v>52.377284620311215</v>
      </c>
      <c r="P682" s="3">
        <f t="shared" si="282"/>
        <v>56.319660882055075</v>
      </c>
      <c r="Q682" s="3">
        <f t="shared" si="283"/>
        <v>13.149692858779263</v>
      </c>
      <c r="R682" s="3">
        <f t="shared" si="284"/>
        <v>34.734676870417168</v>
      </c>
      <c r="S682" s="3">
        <f t="shared" si="279"/>
        <v>1</v>
      </c>
      <c r="T682" s="3">
        <f t="shared" si="285"/>
        <v>21584.984011637905</v>
      </c>
      <c r="U682" s="3">
        <f t="shared" si="286"/>
        <v>0.5</v>
      </c>
      <c r="V682" s="3">
        <f t="shared" si="287"/>
        <v>0</v>
      </c>
      <c r="W682" s="3">
        <f t="shared" si="288"/>
        <v>18855.822463312037</v>
      </c>
      <c r="X682" s="3">
        <f t="shared" si="280"/>
        <v>6574.8464293896313</v>
      </c>
      <c r="AI682" s="3"/>
      <c r="AJ682" s="3"/>
      <c r="AK682" s="15">
        <f t="shared" si="271"/>
        <v>3</v>
      </c>
      <c r="AL682" s="11">
        <f t="shared" si="275"/>
        <v>4038</v>
      </c>
      <c r="AM682" s="11" t="b">
        <f t="shared" si="270"/>
        <v>0</v>
      </c>
      <c r="AN682" s="11">
        <f t="shared" si="272"/>
        <v>36000</v>
      </c>
      <c r="AO682" s="11">
        <f t="shared" si="273"/>
        <v>0</v>
      </c>
      <c r="AP682" s="11">
        <f t="shared" si="274"/>
        <v>0.2676988986204718</v>
      </c>
      <c r="AQ682" s="11">
        <f t="shared" si="276"/>
        <v>0</v>
      </c>
      <c r="AT682" s="3"/>
      <c r="AU682" s="17"/>
      <c r="AV682" s="19"/>
      <c r="AW682" s="17"/>
      <c r="AX682" s="17">
        <f t="shared" si="269"/>
        <v>673</v>
      </c>
      <c r="AY682" s="17">
        <f t="shared" si="294"/>
        <v>67.3</v>
      </c>
      <c r="AZ682" s="17">
        <v>26.769889862047179</v>
      </c>
      <c r="BA682" s="17"/>
      <c r="BB682" s="17">
        <v>36</v>
      </c>
      <c r="BC682" s="17"/>
      <c r="BD682" s="17"/>
      <c r="BE682" s="17"/>
      <c r="BF682" s="17"/>
      <c r="BG682" s="17"/>
      <c r="BH682" s="17"/>
      <c r="BI682" s="17"/>
      <c r="BJ682" s="17"/>
      <c r="BK682" s="17"/>
      <c r="BL682" s="17"/>
      <c r="BM682" s="17"/>
      <c r="BN682" s="17"/>
      <c r="BO682" s="17"/>
      <c r="BP682" s="17"/>
      <c r="BQ682" s="17"/>
      <c r="BR682" s="17"/>
      <c r="BS682" s="17"/>
      <c r="BT682" s="17"/>
      <c r="BU682" s="17"/>
      <c r="BV682" s="17"/>
      <c r="BW682" s="17"/>
      <c r="BX682" s="17"/>
      <c r="BY682" s="17"/>
      <c r="BZ682" s="17"/>
      <c r="CA682" s="17"/>
      <c r="CB682" s="17"/>
      <c r="CC682" s="17"/>
      <c r="CD682" s="17"/>
      <c r="CE682" s="17"/>
      <c r="CF682" s="17"/>
      <c r="CG682" s="17"/>
      <c r="CH682" s="17"/>
    </row>
    <row r="683" spans="8:86" x14ac:dyDescent="0.15">
      <c r="H683" s="3">
        <f t="shared" si="289"/>
        <v>0.67100000000000048</v>
      </c>
      <c r="I683" s="3">
        <f t="shared" si="290"/>
        <v>360</v>
      </c>
      <c r="J683" s="14">
        <f t="shared" si="291"/>
        <v>500</v>
      </c>
      <c r="K683" s="3">
        <f t="shared" si="281"/>
        <v>0</v>
      </c>
      <c r="L683" s="3">
        <f t="shared" si="277"/>
        <v>500</v>
      </c>
      <c r="M683" s="15">
        <f t="shared" si="292"/>
        <v>7.0000000000000007E-2</v>
      </c>
      <c r="N683" s="3">
        <f t="shared" si="293"/>
        <v>52.317326331389992</v>
      </c>
      <c r="O683" s="3">
        <f t="shared" si="278"/>
        <v>52.317326331389992</v>
      </c>
      <c r="P683" s="3">
        <f t="shared" si="282"/>
        <v>56.255189603645157</v>
      </c>
      <c r="Q683" s="3">
        <f t="shared" si="283"/>
        <v>13.106522890755986</v>
      </c>
      <c r="R683" s="3">
        <f t="shared" si="284"/>
        <v>34.680856247200573</v>
      </c>
      <c r="S683" s="3">
        <f t="shared" si="279"/>
        <v>1</v>
      </c>
      <c r="T683" s="3">
        <f t="shared" si="285"/>
        <v>21574.333356444582</v>
      </c>
      <c r="U683" s="3">
        <f t="shared" si="286"/>
        <v>0.5</v>
      </c>
      <c r="V683" s="3">
        <f t="shared" si="287"/>
        <v>0</v>
      </c>
      <c r="W683" s="3">
        <f t="shared" si="288"/>
        <v>18834.237479300398</v>
      </c>
      <c r="X683" s="3">
        <f t="shared" si="280"/>
        <v>6553.2614453779934</v>
      </c>
      <c r="AI683" s="3"/>
      <c r="AJ683" s="3"/>
      <c r="AK683" s="15">
        <f t="shared" si="271"/>
        <v>3</v>
      </c>
      <c r="AL683" s="11">
        <f t="shared" si="275"/>
        <v>4044</v>
      </c>
      <c r="AM683" s="11" t="b">
        <f t="shared" si="270"/>
        <v>0</v>
      </c>
      <c r="AN683" s="11">
        <f t="shared" si="272"/>
        <v>36000</v>
      </c>
      <c r="AO683" s="11">
        <f t="shared" si="273"/>
        <v>0</v>
      </c>
      <c r="AP683" s="11">
        <f t="shared" si="274"/>
        <v>0.26880121343528657</v>
      </c>
      <c r="AQ683" s="11">
        <f t="shared" si="276"/>
        <v>0</v>
      </c>
      <c r="AT683" s="3"/>
      <c r="AU683" s="17"/>
      <c r="AV683" s="19"/>
      <c r="AW683" s="17"/>
      <c r="AX683" s="17">
        <f t="shared" si="269"/>
        <v>674</v>
      </c>
      <c r="AY683" s="17">
        <f t="shared" si="294"/>
        <v>67.400000000000006</v>
      </c>
      <c r="AZ683" s="17">
        <v>26.880121343528657</v>
      </c>
      <c r="BA683" s="17"/>
      <c r="BB683" s="17">
        <v>36</v>
      </c>
      <c r="BC683" s="17"/>
      <c r="BD683" s="17"/>
      <c r="BE683" s="17"/>
      <c r="BF683" s="17"/>
      <c r="BG683" s="17"/>
      <c r="BH683" s="17"/>
      <c r="BI683" s="17"/>
      <c r="BJ683" s="17"/>
      <c r="BK683" s="17"/>
      <c r="BL683" s="17"/>
      <c r="BM683" s="17"/>
      <c r="BN683" s="17"/>
      <c r="BO683" s="17"/>
      <c r="BP683" s="17"/>
      <c r="BQ683" s="17"/>
      <c r="BR683" s="17"/>
      <c r="BS683" s="17"/>
      <c r="BT683" s="17"/>
      <c r="BU683" s="17"/>
      <c r="BV683" s="17"/>
      <c r="BW683" s="17"/>
      <c r="BX683" s="17"/>
      <c r="BY683" s="17"/>
      <c r="BZ683" s="17"/>
      <c r="CA683" s="17"/>
      <c r="CB683" s="17"/>
      <c r="CC683" s="17"/>
      <c r="CD683" s="17"/>
      <c r="CE683" s="17"/>
      <c r="CF683" s="17"/>
      <c r="CG683" s="17"/>
      <c r="CH683" s="17"/>
    </row>
    <row r="684" spans="8:86" x14ac:dyDescent="0.15">
      <c r="H684" s="3">
        <f t="shared" si="289"/>
        <v>0.67200000000000049</v>
      </c>
      <c r="I684" s="3">
        <f t="shared" si="290"/>
        <v>360</v>
      </c>
      <c r="J684" s="14">
        <f t="shared" si="291"/>
        <v>500</v>
      </c>
      <c r="K684" s="3">
        <f t="shared" si="281"/>
        <v>0</v>
      </c>
      <c r="L684" s="3">
        <f t="shared" si="277"/>
        <v>500</v>
      </c>
      <c r="M684" s="15">
        <f t="shared" si="292"/>
        <v>7.0000000000000007E-2</v>
      </c>
      <c r="N684" s="3">
        <f t="shared" si="293"/>
        <v>52.25739762762209</v>
      </c>
      <c r="O684" s="3">
        <f t="shared" si="278"/>
        <v>52.25739762762209</v>
      </c>
      <c r="P684" s="3">
        <f t="shared" si="282"/>
        <v>56.190750137228058</v>
      </c>
      <c r="Q684" s="3">
        <f t="shared" si="283"/>
        <v>13.063374224043098</v>
      </c>
      <c r="R684" s="3">
        <f t="shared" si="284"/>
        <v>34.627062180635576</v>
      </c>
      <c r="S684" s="3">
        <f t="shared" si="279"/>
        <v>1</v>
      </c>
      <c r="T684" s="3">
        <f t="shared" si="285"/>
        <v>21563.687956592483</v>
      </c>
      <c r="U684" s="3">
        <f t="shared" si="286"/>
        <v>0.5</v>
      </c>
      <c r="V684" s="3">
        <f t="shared" si="287"/>
        <v>0</v>
      </c>
      <c r="W684" s="3">
        <f t="shared" si="288"/>
        <v>18812.663145943952</v>
      </c>
      <c r="X684" s="3">
        <f t="shared" si="280"/>
        <v>6531.6871120215492</v>
      </c>
      <c r="AI684" s="3"/>
      <c r="AJ684" s="3"/>
      <c r="AK684" s="15">
        <f t="shared" si="271"/>
        <v>3</v>
      </c>
      <c r="AL684" s="11">
        <f t="shared" si="275"/>
        <v>4050</v>
      </c>
      <c r="AM684" s="11" t="b">
        <f t="shared" si="270"/>
        <v>0</v>
      </c>
      <c r="AN684" s="11">
        <f t="shared" si="272"/>
        <v>36000</v>
      </c>
      <c r="AO684" s="11">
        <f t="shared" si="273"/>
        <v>0</v>
      </c>
      <c r="AP684" s="11">
        <f t="shared" si="274"/>
        <v>0.26990352825010139</v>
      </c>
      <c r="AQ684" s="11">
        <f t="shared" si="276"/>
        <v>0</v>
      </c>
      <c r="AT684" s="3"/>
      <c r="AU684" s="17"/>
      <c r="AV684" s="19"/>
      <c r="AW684" s="17"/>
      <c r="AX684" s="17">
        <f t="shared" si="269"/>
        <v>675</v>
      </c>
      <c r="AY684" s="17">
        <f t="shared" si="294"/>
        <v>67.5</v>
      </c>
      <c r="AZ684" s="17">
        <v>26.990352825010138</v>
      </c>
      <c r="BA684" s="17"/>
      <c r="BB684" s="17">
        <v>36</v>
      </c>
      <c r="BC684" s="17"/>
      <c r="BD684" s="17"/>
      <c r="BE684" s="17"/>
      <c r="BF684" s="17"/>
      <c r="BG684" s="17"/>
      <c r="BH684" s="17"/>
      <c r="BI684" s="17"/>
      <c r="BJ684" s="17"/>
      <c r="BK684" s="17"/>
      <c r="BL684" s="17"/>
      <c r="BM684" s="17"/>
      <c r="BN684" s="17"/>
      <c r="BO684" s="17"/>
      <c r="BP684" s="17"/>
      <c r="BQ684" s="17"/>
      <c r="BR684" s="17"/>
      <c r="BS684" s="17"/>
      <c r="BT684" s="17"/>
      <c r="BU684" s="17"/>
      <c r="BV684" s="17"/>
      <c r="BW684" s="17"/>
      <c r="BX684" s="17"/>
      <c r="BY684" s="17"/>
      <c r="BZ684" s="17"/>
      <c r="CA684" s="17"/>
      <c r="CB684" s="17"/>
      <c r="CC684" s="17"/>
      <c r="CD684" s="17"/>
      <c r="CE684" s="17"/>
      <c r="CF684" s="17"/>
      <c r="CG684" s="17"/>
      <c r="CH684" s="17"/>
    </row>
    <row r="685" spans="8:86" x14ac:dyDescent="0.15">
      <c r="H685" s="3">
        <f t="shared" si="289"/>
        <v>0.67300000000000049</v>
      </c>
      <c r="I685" s="3">
        <f t="shared" si="290"/>
        <v>360</v>
      </c>
      <c r="J685" s="14">
        <f t="shared" si="291"/>
        <v>500</v>
      </c>
      <c r="K685" s="3">
        <f t="shared" si="281"/>
        <v>0</v>
      </c>
      <c r="L685" s="3">
        <f t="shared" si="277"/>
        <v>500</v>
      </c>
      <c r="M685" s="15">
        <f t="shared" si="292"/>
        <v>7.0000000000000007E-2</v>
      </c>
      <c r="N685" s="3">
        <f t="shared" si="293"/>
        <v>52.197498494409331</v>
      </c>
      <c r="O685" s="3">
        <f t="shared" si="278"/>
        <v>52.197498494409331</v>
      </c>
      <c r="P685" s="3">
        <f t="shared" si="282"/>
        <v>56.126342467106809</v>
      </c>
      <c r="Q685" s="3">
        <f t="shared" si="283"/>
        <v>13.020246848129913</v>
      </c>
      <c r="R685" s="3">
        <f t="shared" si="284"/>
        <v>34.573294657618362</v>
      </c>
      <c r="S685" s="3">
        <f t="shared" si="279"/>
        <v>1</v>
      </c>
      <c r="T685" s="3">
        <f t="shared" si="285"/>
        <v>21553.047809488446</v>
      </c>
      <c r="U685" s="3">
        <f t="shared" si="286"/>
        <v>0.5</v>
      </c>
      <c r="V685" s="3">
        <f t="shared" si="287"/>
        <v>0</v>
      </c>
      <c r="W685" s="3">
        <f t="shared" si="288"/>
        <v>18791.099457987359</v>
      </c>
      <c r="X685" s="3">
        <f t="shared" si="280"/>
        <v>6510.1234240649565</v>
      </c>
      <c r="AI685" s="3"/>
      <c r="AJ685" s="3"/>
      <c r="AK685" s="15">
        <f t="shared" si="271"/>
        <v>3</v>
      </c>
      <c r="AL685" s="11">
        <f t="shared" si="275"/>
        <v>4056</v>
      </c>
      <c r="AM685" s="11" t="b">
        <f t="shared" si="270"/>
        <v>0</v>
      </c>
      <c r="AN685" s="11">
        <f t="shared" si="272"/>
        <v>36000</v>
      </c>
      <c r="AO685" s="11">
        <f t="shared" si="273"/>
        <v>0</v>
      </c>
      <c r="AP685" s="11">
        <f t="shared" si="274"/>
        <v>0.27100584306491615</v>
      </c>
      <c r="AQ685" s="11">
        <f t="shared" si="276"/>
        <v>0</v>
      </c>
      <c r="AT685" s="3"/>
      <c r="AU685" s="17"/>
      <c r="AV685" s="19"/>
      <c r="AW685" s="17"/>
      <c r="AX685" s="17">
        <f t="shared" si="269"/>
        <v>676</v>
      </c>
      <c r="AY685" s="17">
        <f t="shared" si="294"/>
        <v>67.599999999999994</v>
      </c>
      <c r="AZ685" s="17">
        <v>27.100584306491616</v>
      </c>
      <c r="BA685" s="17"/>
      <c r="BB685" s="17">
        <v>36</v>
      </c>
      <c r="BC685" s="17"/>
      <c r="BD685" s="17"/>
      <c r="BE685" s="17"/>
      <c r="BF685" s="17"/>
      <c r="BG685" s="17"/>
      <c r="BH685" s="17"/>
      <c r="BI685" s="17"/>
      <c r="BJ685" s="17"/>
      <c r="BK685" s="17"/>
      <c r="BL685" s="17"/>
      <c r="BM685" s="17"/>
      <c r="BN685" s="17"/>
      <c r="BO685" s="17"/>
      <c r="BP685" s="17"/>
      <c r="BQ685" s="17"/>
      <c r="BR685" s="17"/>
      <c r="BS685" s="17"/>
      <c r="BT685" s="17"/>
      <c r="BU685" s="17"/>
      <c r="BV685" s="17"/>
      <c r="BW685" s="17"/>
      <c r="BX685" s="17"/>
      <c r="BY685" s="17"/>
      <c r="BZ685" s="17"/>
      <c r="CA685" s="17"/>
      <c r="CB685" s="17"/>
      <c r="CC685" s="17"/>
      <c r="CD685" s="17"/>
      <c r="CE685" s="17"/>
      <c r="CF685" s="17"/>
      <c r="CG685" s="17"/>
      <c r="CH685" s="17"/>
    </row>
    <row r="686" spans="8:86" x14ac:dyDescent="0.15">
      <c r="H686" s="3">
        <f t="shared" si="289"/>
        <v>0.67400000000000049</v>
      </c>
      <c r="I686" s="3">
        <f t="shared" si="290"/>
        <v>360</v>
      </c>
      <c r="J686" s="14">
        <f t="shared" si="291"/>
        <v>500</v>
      </c>
      <c r="K686" s="3">
        <f t="shared" si="281"/>
        <v>0</v>
      </c>
      <c r="L686" s="3">
        <f t="shared" si="277"/>
        <v>500</v>
      </c>
      <c r="M686" s="15">
        <f t="shared" si="292"/>
        <v>7.0000000000000007E-2</v>
      </c>
      <c r="N686" s="3">
        <f t="shared" si="293"/>
        <v>52.137628917160754</v>
      </c>
      <c r="O686" s="3">
        <f t="shared" si="278"/>
        <v>52.137628917160754</v>
      </c>
      <c r="P686" s="3">
        <f t="shared" si="282"/>
        <v>56.061966577592209</v>
      </c>
      <c r="Q686" s="3">
        <f t="shared" si="283"/>
        <v>12.977140752510936</v>
      </c>
      <c r="R686" s="3">
        <f t="shared" si="284"/>
        <v>34.519553665051575</v>
      </c>
      <c r="S686" s="3">
        <f t="shared" si="279"/>
        <v>1</v>
      </c>
      <c r="T686" s="3">
        <f t="shared" si="285"/>
        <v>21542.412912540636</v>
      </c>
      <c r="U686" s="3">
        <f t="shared" si="286"/>
        <v>0.5</v>
      </c>
      <c r="V686" s="3">
        <f t="shared" si="287"/>
        <v>0</v>
      </c>
      <c r="W686" s="3">
        <f t="shared" si="288"/>
        <v>18769.546410177871</v>
      </c>
      <c r="X686" s="3">
        <f t="shared" si="280"/>
        <v>6488.5703762554676</v>
      </c>
      <c r="AI686" s="3"/>
      <c r="AJ686" s="3"/>
      <c r="AK686" s="15">
        <f t="shared" si="271"/>
        <v>3</v>
      </c>
      <c r="AL686" s="11">
        <f t="shared" si="275"/>
        <v>4062</v>
      </c>
      <c r="AM686" s="11" t="b">
        <f t="shared" si="270"/>
        <v>0</v>
      </c>
      <c r="AN686" s="11">
        <f t="shared" si="272"/>
        <v>36000</v>
      </c>
      <c r="AO686" s="11">
        <f t="shared" si="273"/>
        <v>0</v>
      </c>
      <c r="AP686" s="11">
        <f t="shared" si="274"/>
        <v>0.27210815787973097</v>
      </c>
      <c r="AQ686" s="11">
        <f t="shared" si="276"/>
        <v>0</v>
      </c>
      <c r="AT686" s="3"/>
      <c r="AU686" s="17"/>
      <c r="AV686" s="19"/>
      <c r="AW686" s="17"/>
      <c r="AX686" s="17">
        <f t="shared" ref="AX686:AX749" si="295">IF(AX685&gt;=$AG$14,$AG$14,AX685+1)</f>
        <v>677</v>
      </c>
      <c r="AY686" s="17">
        <f t="shared" si="294"/>
        <v>67.7</v>
      </c>
      <c r="AZ686" s="17">
        <v>27.210815787973097</v>
      </c>
      <c r="BA686" s="17"/>
      <c r="BB686" s="17">
        <v>36</v>
      </c>
      <c r="BC686" s="17"/>
      <c r="BD686" s="17"/>
      <c r="BE686" s="17"/>
      <c r="BF686" s="17"/>
      <c r="BG686" s="17"/>
      <c r="BH686" s="17"/>
      <c r="BI686" s="17"/>
      <c r="BJ686" s="17"/>
      <c r="BK686" s="17"/>
      <c r="BL686" s="17"/>
      <c r="BM686" s="17"/>
      <c r="BN686" s="17"/>
      <c r="BO686" s="17"/>
      <c r="BP686" s="17"/>
      <c r="BQ686" s="17"/>
      <c r="BR686" s="17"/>
      <c r="BS686" s="17"/>
      <c r="BT686" s="17"/>
      <c r="BU686" s="17"/>
      <c r="BV686" s="17"/>
      <c r="BW686" s="17"/>
      <c r="BX686" s="17"/>
      <c r="BY686" s="17"/>
      <c r="BZ686" s="17"/>
      <c r="CA686" s="17"/>
      <c r="CB686" s="17"/>
      <c r="CC686" s="17"/>
      <c r="CD686" s="17"/>
      <c r="CE686" s="17"/>
      <c r="CF686" s="17"/>
      <c r="CG686" s="17"/>
      <c r="CH686" s="17"/>
    </row>
    <row r="687" spans="8:86" x14ac:dyDescent="0.15">
      <c r="H687" s="3">
        <f t="shared" si="289"/>
        <v>0.67500000000000049</v>
      </c>
      <c r="I687" s="3">
        <f t="shared" si="290"/>
        <v>360</v>
      </c>
      <c r="J687" s="14">
        <f t="shared" si="291"/>
        <v>500</v>
      </c>
      <c r="K687" s="3">
        <f t="shared" si="281"/>
        <v>0</v>
      </c>
      <c r="L687" s="3">
        <f t="shared" si="277"/>
        <v>500</v>
      </c>
      <c r="M687" s="15">
        <f t="shared" si="292"/>
        <v>7.0000000000000007E-2</v>
      </c>
      <c r="N687" s="3">
        <f t="shared" si="293"/>
        <v>52.077788881292577</v>
      </c>
      <c r="O687" s="3">
        <f t="shared" si="278"/>
        <v>52.077788881292577</v>
      </c>
      <c r="P687" s="3">
        <f t="shared" si="282"/>
        <v>55.997622453002776</v>
      </c>
      <c r="Q687" s="3">
        <f t="shared" si="283"/>
        <v>12.934055926685854</v>
      </c>
      <c r="R687" s="3">
        <f t="shared" si="284"/>
        <v>34.465839189844317</v>
      </c>
      <c r="S687" s="3">
        <f t="shared" si="279"/>
        <v>1</v>
      </c>
      <c r="T687" s="3">
        <f t="shared" si="285"/>
        <v>21531.783263158461</v>
      </c>
      <c r="U687" s="3">
        <f t="shared" si="286"/>
        <v>0.5</v>
      </c>
      <c r="V687" s="3">
        <f t="shared" si="287"/>
        <v>0</v>
      </c>
      <c r="W687" s="3">
        <f t="shared" si="288"/>
        <v>18748.003997265329</v>
      </c>
      <c r="X687" s="3">
        <f t="shared" si="280"/>
        <v>6467.0279633429273</v>
      </c>
      <c r="AI687" s="3"/>
      <c r="AJ687" s="3"/>
      <c r="AK687" s="15">
        <f t="shared" si="271"/>
        <v>3</v>
      </c>
      <c r="AL687" s="11">
        <f t="shared" si="275"/>
        <v>4068</v>
      </c>
      <c r="AM687" s="11" t="b">
        <f t="shared" si="270"/>
        <v>0</v>
      </c>
      <c r="AN687" s="11">
        <f t="shared" si="272"/>
        <v>36000</v>
      </c>
      <c r="AO687" s="11">
        <f t="shared" si="273"/>
        <v>0</v>
      </c>
      <c r="AP687" s="11">
        <f t="shared" si="274"/>
        <v>0.27321047269454574</v>
      </c>
      <c r="AQ687" s="11">
        <f t="shared" si="276"/>
        <v>0</v>
      </c>
      <c r="AT687" s="3"/>
      <c r="AU687" s="17"/>
      <c r="AV687" s="19"/>
      <c r="AW687" s="17"/>
      <c r="AX687" s="17">
        <f t="shared" si="295"/>
        <v>678</v>
      </c>
      <c r="AY687" s="17">
        <f t="shared" si="294"/>
        <v>67.8</v>
      </c>
      <c r="AZ687" s="17">
        <v>27.321047269454574</v>
      </c>
      <c r="BA687" s="17"/>
      <c r="BB687" s="17">
        <v>36</v>
      </c>
      <c r="BC687" s="17"/>
      <c r="BD687" s="17"/>
      <c r="BE687" s="17"/>
      <c r="BF687" s="17"/>
      <c r="BG687" s="17"/>
      <c r="BH687" s="17"/>
      <c r="BI687" s="17"/>
      <c r="BJ687" s="17"/>
      <c r="BK687" s="17"/>
      <c r="BL687" s="17"/>
      <c r="BM687" s="17"/>
      <c r="BN687" s="17"/>
      <c r="BO687" s="17"/>
      <c r="BP687" s="17"/>
      <c r="BQ687" s="17"/>
      <c r="BR687" s="17"/>
      <c r="BS687" s="17"/>
      <c r="BT687" s="17"/>
      <c r="BU687" s="17"/>
      <c r="BV687" s="17"/>
      <c r="BW687" s="17"/>
      <c r="BX687" s="17"/>
      <c r="BY687" s="17"/>
      <c r="BZ687" s="17"/>
      <c r="CA687" s="17"/>
      <c r="CB687" s="17"/>
      <c r="CC687" s="17"/>
      <c r="CD687" s="17"/>
      <c r="CE687" s="17"/>
      <c r="CF687" s="17"/>
      <c r="CG687" s="17"/>
      <c r="CH687" s="17"/>
    </row>
    <row r="688" spans="8:86" x14ac:dyDescent="0.15">
      <c r="H688" s="3">
        <f t="shared" si="289"/>
        <v>0.67600000000000049</v>
      </c>
      <c r="I688" s="3">
        <f t="shared" si="290"/>
        <v>360</v>
      </c>
      <c r="J688" s="14">
        <f t="shared" si="291"/>
        <v>500</v>
      </c>
      <c r="K688" s="3">
        <f t="shared" si="281"/>
        <v>0</v>
      </c>
      <c r="L688" s="3">
        <f t="shared" si="277"/>
        <v>500</v>
      </c>
      <c r="M688" s="15">
        <f t="shared" si="292"/>
        <v>7.0000000000000007E-2</v>
      </c>
      <c r="N688" s="3">
        <f t="shared" si="293"/>
        <v>52.017978372228249</v>
      </c>
      <c r="O688" s="3">
        <f t="shared" si="278"/>
        <v>52.017978372228249</v>
      </c>
      <c r="P688" s="3">
        <f t="shared" si="282"/>
        <v>55.933310077664785</v>
      </c>
      <c r="Q688" s="3">
        <f t="shared" si="283"/>
        <v>12.890992360159538</v>
      </c>
      <c r="R688" s="3">
        <f t="shared" si="284"/>
        <v>34.412151218912165</v>
      </c>
      <c r="S688" s="3">
        <f t="shared" si="279"/>
        <v>1</v>
      </c>
      <c r="T688" s="3">
        <f t="shared" si="285"/>
        <v>21521.158858752624</v>
      </c>
      <c r="U688" s="3">
        <f t="shared" si="286"/>
        <v>0.5</v>
      </c>
      <c r="V688" s="3">
        <f t="shared" si="287"/>
        <v>0</v>
      </c>
      <c r="W688" s="3">
        <f t="shared" si="288"/>
        <v>18726.472214002169</v>
      </c>
      <c r="X688" s="3">
        <f t="shared" si="280"/>
        <v>6445.4961800797691</v>
      </c>
      <c r="AI688" s="3"/>
      <c r="AJ688" s="3"/>
      <c r="AK688" s="15">
        <f t="shared" si="271"/>
        <v>3</v>
      </c>
      <c r="AL688" s="11">
        <f t="shared" si="275"/>
        <v>4074</v>
      </c>
      <c r="AM688" s="11" t="b">
        <f t="shared" si="270"/>
        <v>0</v>
      </c>
      <c r="AN688" s="11">
        <f t="shared" si="272"/>
        <v>36000</v>
      </c>
      <c r="AO688" s="11">
        <f t="shared" si="273"/>
        <v>0</v>
      </c>
      <c r="AP688" s="11">
        <f t="shared" si="274"/>
        <v>0.27431278750936056</v>
      </c>
      <c r="AQ688" s="11">
        <f t="shared" si="276"/>
        <v>0</v>
      </c>
      <c r="AT688" s="3"/>
      <c r="AU688" s="17"/>
      <c r="AV688" s="19"/>
      <c r="AW688" s="17"/>
      <c r="AX688" s="17">
        <f t="shared" si="295"/>
        <v>679</v>
      </c>
      <c r="AY688" s="17">
        <f t="shared" si="294"/>
        <v>67.900000000000006</v>
      </c>
      <c r="AZ688" s="17">
        <v>27.431278750936055</v>
      </c>
      <c r="BA688" s="17"/>
      <c r="BB688" s="17">
        <v>36</v>
      </c>
      <c r="BC688" s="17"/>
      <c r="BD688" s="17"/>
      <c r="BE688" s="17"/>
      <c r="BF688" s="17"/>
      <c r="BG688" s="17"/>
      <c r="BH688" s="17"/>
      <c r="BI688" s="17"/>
      <c r="BJ688" s="17"/>
      <c r="BK688" s="17"/>
      <c r="BL688" s="17"/>
      <c r="BM688" s="17"/>
      <c r="BN688" s="17"/>
      <c r="BO688" s="17"/>
      <c r="BP688" s="17"/>
      <c r="BQ688" s="17"/>
      <c r="BR688" s="17"/>
      <c r="BS688" s="17"/>
      <c r="BT688" s="17"/>
      <c r="BU688" s="17"/>
      <c r="BV688" s="17"/>
      <c r="BW688" s="17"/>
      <c r="BX688" s="17"/>
      <c r="BY688" s="17"/>
      <c r="BZ688" s="17"/>
      <c r="CA688" s="17"/>
      <c r="CB688" s="17"/>
      <c r="CC688" s="17"/>
      <c r="CD688" s="17"/>
      <c r="CE688" s="17"/>
      <c r="CF688" s="17"/>
      <c r="CG688" s="17"/>
      <c r="CH688" s="17"/>
    </row>
    <row r="689" spans="8:86" x14ac:dyDescent="0.15">
      <c r="H689" s="3">
        <f t="shared" si="289"/>
        <v>0.67700000000000049</v>
      </c>
      <c r="I689" s="3">
        <f t="shared" si="290"/>
        <v>360</v>
      </c>
      <c r="J689" s="14">
        <f t="shared" si="291"/>
        <v>500</v>
      </c>
      <c r="K689" s="3">
        <f t="shared" si="281"/>
        <v>0</v>
      </c>
      <c r="L689" s="3">
        <f t="shared" si="277"/>
        <v>500</v>
      </c>
      <c r="M689" s="15">
        <f t="shared" si="292"/>
        <v>7.0000000000000007E-2</v>
      </c>
      <c r="N689" s="3">
        <f t="shared" si="293"/>
        <v>51.958197375398385</v>
      </c>
      <c r="O689" s="3">
        <f t="shared" si="278"/>
        <v>51.958197375398385</v>
      </c>
      <c r="P689" s="3">
        <f t="shared" si="282"/>
        <v>55.869029435912246</v>
      </c>
      <c r="Q689" s="3">
        <f t="shared" si="283"/>
        <v>12.847950042442033</v>
      </c>
      <c r="R689" s="3">
        <f t="shared" si="284"/>
        <v>34.358489739177138</v>
      </c>
      <c r="S689" s="3">
        <f t="shared" si="279"/>
        <v>1</v>
      </c>
      <c r="T689" s="3">
        <f t="shared" si="285"/>
        <v>21510.539696735108</v>
      </c>
      <c r="U689" s="3">
        <f t="shared" si="286"/>
        <v>0.5</v>
      </c>
      <c r="V689" s="3">
        <f t="shared" si="287"/>
        <v>0</v>
      </c>
      <c r="W689" s="3">
        <f t="shared" si="288"/>
        <v>18704.951055143418</v>
      </c>
      <c r="X689" s="3">
        <f t="shared" si="280"/>
        <v>6423.9750212210165</v>
      </c>
      <c r="AI689" s="3"/>
      <c r="AJ689" s="3"/>
      <c r="AK689" s="15">
        <f t="shared" si="271"/>
        <v>3</v>
      </c>
      <c r="AL689" s="11">
        <f t="shared" si="275"/>
        <v>4080</v>
      </c>
      <c r="AM689" s="11" t="b">
        <f t="shared" si="270"/>
        <v>0</v>
      </c>
      <c r="AN689" s="11">
        <f t="shared" si="272"/>
        <v>36000</v>
      </c>
      <c r="AO689" s="11">
        <f t="shared" si="273"/>
        <v>0</v>
      </c>
      <c r="AP689" s="11">
        <f t="shared" si="274"/>
        <v>0.27541510232417532</v>
      </c>
      <c r="AQ689" s="11">
        <f t="shared" si="276"/>
        <v>0</v>
      </c>
      <c r="AT689" s="3"/>
      <c r="AU689" s="17"/>
      <c r="AV689" s="19"/>
      <c r="AW689" s="17"/>
      <c r="AX689" s="17">
        <f t="shared" si="295"/>
        <v>680</v>
      </c>
      <c r="AY689" s="17">
        <f t="shared" si="294"/>
        <v>68</v>
      </c>
      <c r="AZ689" s="17">
        <v>27.541510232417533</v>
      </c>
      <c r="BA689" s="17"/>
      <c r="BB689" s="17">
        <v>36</v>
      </c>
      <c r="BC689" s="17"/>
      <c r="BD689" s="17"/>
      <c r="BE689" s="17"/>
      <c r="BF689" s="17"/>
      <c r="BG689" s="17"/>
      <c r="BH689" s="17"/>
      <c r="BI689" s="17"/>
      <c r="BJ689" s="17"/>
      <c r="BK689" s="17"/>
      <c r="BL689" s="17"/>
      <c r="BM689" s="17"/>
      <c r="BN689" s="17"/>
      <c r="BO689" s="17"/>
      <c r="BP689" s="17"/>
      <c r="BQ689" s="17"/>
      <c r="BR689" s="17"/>
      <c r="BS689" s="17"/>
      <c r="BT689" s="17"/>
      <c r="BU689" s="17"/>
      <c r="BV689" s="17"/>
      <c r="BW689" s="17"/>
      <c r="BX689" s="17"/>
      <c r="BY689" s="17"/>
      <c r="BZ689" s="17"/>
      <c r="CA689" s="17"/>
      <c r="CB689" s="17"/>
      <c r="CC689" s="17"/>
      <c r="CD689" s="17"/>
      <c r="CE689" s="17"/>
      <c r="CF689" s="17"/>
      <c r="CG689" s="17"/>
      <c r="CH689" s="17"/>
    </row>
    <row r="690" spans="8:86" x14ac:dyDescent="0.15">
      <c r="H690" s="3">
        <f t="shared" si="289"/>
        <v>0.67800000000000049</v>
      </c>
      <c r="I690" s="3">
        <f t="shared" si="290"/>
        <v>360</v>
      </c>
      <c r="J690" s="14">
        <f t="shared" si="291"/>
        <v>500</v>
      </c>
      <c r="K690" s="3">
        <f t="shared" si="281"/>
        <v>0</v>
      </c>
      <c r="L690" s="3">
        <f t="shared" si="277"/>
        <v>500</v>
      </c>
      <c r="M690" s="15">
        <f t="shared" si="292"/>
        <v>7.0000000000000007E-2</v>
      </c>
      <c r="N690" s="3">
        <f t="shared" si="293"/>
        <v>51.898445876240785</v>
      </c>
      <c r="O690" s="3">
        <f t="shared" si="278"/>
        <v>51.898445876240785</v>
      </c>
      <c r="P690" s="3">
        <f t="shared" si="282"/>
        <v>55.804780512086872</v>
      </c>
      <c r="Q690" s="3">
        <f t="shared" si="283"/>
        <v>12.804928963048564</v>
      </c>
      <c r="R690" s="3">
        <f t="shared" si="284"/>
        <v>34.304854737567716</v>
      </c>
      <c r="S690" s="3">
        <f t="shared" si="279"/>
        <v>1</v>
      </c>
      <c r="T690" s="3">
        <f t="shared" si="285"/>
        <v>21499.925774519157</v>
      </c>
      <c r="U690" s="3">
        <f t="shared" si="286"/>
        <v>0.5</v>
      </c>
      <c r="V690" s="3">
        <f t="shared" si="287"/>
        <v>0</v>
      </c>
      <c r="W690" s="3">
        <f t="shared" si="288"/>
        <v>18683.440515446684</v>
      </c>
      <c r="X690" s="3">
        <f t="shared" si="280"/>
        <v>6402.4644815242818</v>
      </c>
      <c r="AI690" s="3"/>
      <c r="AJ690" s="3"/>
      <c r="AK690" s="15">
        <f t="shared" si="271"/>
        <v>3</v>
      </c>
      <c r="AL690" s="11">
        <f t="shared" si="275"/>
        <v>4086</v>
      </c>
      <c r="AM690" s="11" t="b">
        <f t="shared" si="270"/>
        <v>0</v>
      </c>
      <c r="AN690" s="11">
        <f t="shared" si="272"/>
        <v>36000</v>
      </c>
      <c r="AO690" s="11">
        <f t="shared" si="273"/>
        <v>0</v>
      </c>
      <c r="AP690" s="11">
        <f t="shared" si="274"/>
        <v>0.27651741713899014</v>
      </c>
      <c r="AQ690" s="11">
        <f t="shared" si="276"/>
        <v>0</v>
      </c>
      <c r="AT690" s="3"/>
      <c r="AU690" s="17"/>
      <c r="AV690" s="19"/>
      <c r="AW690" s="17"/>
      <c r="AX690" s="17">
        <f t="shared" si="295"/>
        <v>681</v>
      </c>
      <c r="AY690" s="17">
        <f t="shared" si="294"/>
        <v>68.099999999999994</v>
      </c>
      <c r="AZ690" s="17">
        <v>27.651741713899014</v>
      </c>
      <c r="BA690" s="17"/>
      <c r="BB690" s="17">
        <v>36</v>
      </c>
      <c r="BC690" s="17"/>
      <c r="BD690" s="17"/>
      <c r="BE690" s="17"/>
      <c r="BF690" s="17"/>
      <c r="BG690" s="17"/>
      <c r="BH690" s="17"/>
      <c r="BI690" s="17"/>
      <c r="BJ690" s="17"/>
      <c r="BK690" s="17"/>
      <c r="BL690" s="17"/>
      <c r="BM690" s="17"/>
      <c r="BN690" s="17"/>
      <c r="BO690" s="17"/>
      <c r="BP690" s="17"/>
      <c r="BQ690" s="17"/>
      <c r="BR690" s="17"/>
      <c r="BS690" s="17"/>
      <c r="BT690" s="17"/>
      <c r="BU690" s="17"/>
      <c r="BV690" s="17"/>
      <c r="BW690" s="17"/>
      <c r="BX690" s="17"/>
      <c r="BY690" s="17"/>
      <c r="BZ690" s="17"/>
      <c r="CA690" s="17"/>
      <c r="CB690" s="17"/>
      <c r="CC690" s="17"/>
      <c r="CD690" s="17"/>
      <c r="CE690" s="17"/>
      <c r="CF690" s="17"/>
      <c r="CG690" s="17"/>
      <c r="CH690" s="17"/>
    </row>
    <row r="691" spans="8:86" x14ac:dyDescent="0.15">
      <c r="H691" s="3">
        <f t="shared" si="289"/>
        <v>0.67900000000000049</v>
      </c>
      <c r="I691" s="3">
        <f t="shared" si="290"/>
        <v>360</v>
      </c>
      <c r="J691" s="14">
        <f t="shared" si="291"/>
        <v>500</v>
      </c>
      <c r="K691" s="3">
        <f t="shared" si="281"/>
        <v>0</v>
      </c>
      <c r="L691" s="3">
        <f t="shared" si="277"/>
        <v>500</v>
      </c>
      <c r="M691" s="15">
        <f t="shared" si="292"/>
        <v>7.0000000000000007E-2</v>
      </c>
      <c r="N691" s="3">
        <f t="shared" si="293"/>
        <v>51.83872386020046</v>
      </c>
      <c r="O691" s="3">
        <f t="shared" si="278"/>
        <v>51.83872386020046</v>
      </c>
      <c r="P691" s="3">
        <f t="shared" si="282"/>
        <v>55.740563290538134</v>
      </c>
      <c r="Q691" s="3">
        <f t="shared" si="283"/>
        <v>12.761929111499525</v>
      </c>
      <c r="R691" s="3">
        <f t="shared" si="284"/>
        <v>34.25124620101883</v>
      </c>
      <c r="S691" s="3">
        <f t="shared" si="279"/>
        <v>1</v>
      </c>
      <c r="T691" s="3">
        <f t="shared" si="285"/>
        <v>21489.317089519303</v>
      </c>
      <c r="U691" s="3">
        <f t="shared" si="286"/>
        <v>0.5</v>
      </c>
      <c r="V691" s="3">
        <f t="shared" si="287"/>
        <v>0</v>
      </c>
      <c r="W691" s="3">
        <f t="shared" si="288"/>
        <v>18661.940589672166</v>
      </c>
      <c r="X691" s="3">
        <f t="shared" si="280"/>
        <v>6380.9645557497624</v>
      </c>
      <c r="AI691" s="3"/>
      <c r="AJ691" s="3"/>
      <c r="AK691" s="15">
        <f t="shared" si="271"/>
        <v>3</v>
      </c>
      <c r="AL691" s="11">
        <f t="shared" si="275"/>
        <v>4092</v>
      </c>
      <c r="AM691" s="11" t="b">
        <f t="shared" si="270"/>
        <v>0</v>
      </c>
      <c r="AN691" s="11">
        <f t="shared" si="272"/>
        <v>36000</v>
      </c>
      <c r="AO691" s="11">
        <f t="shared" si="273"/>
        <v>0</v>
      </c>
      <c r="AP691" s="11">
        <f t="shared" si="274"/>
        <v>0.2776197319538049</v>
      </c>
      <c r="AQ691" s="11">
        <f t="shared" si="276"/>
        <v>0</v>
      </c>
      <c r="AT691" s="3"/>
      <c r="AU691" s="17"/>
      <c r="AV691" s="19"/>
      <c r="AW691" s="17"/>
      <c r="AX691" s="17">
        <f t="shared" si="295"/>
        <v>682</v>
      </c>
      <c r="AY691" s="17">
        <f t="shared" si="294"/>
        <v>68.2</v>
      </c>
      <c r="AZ691" s="17">
        <v>27.761973195380492</v>
      </c>
      <c r="BA691" s="17"/>
      <c r="BB691" s="17">
        <v>36</v>
      </c>
      <c r="BC691" s="17"/>
      <c r="BD691" s="17"/>
      <c r="BE691" s="17"/>
      <c r="BF691" s="17"/>
      <c r="BG691" s="17"/>
      <c r="BH691" s="17"/>
      <c r="BI691" s="17"/>
      <c r="BJ691" s="17"/>
      <c r="BK691" s="17"/>
      <c r="BL691" s="17"/>
      <c r="BM691" s="17"/>
      <c r="BN691" s="17"/>
      <c r="BO691" s="17"/>
      <c r="BP691" s="17"/>
      <c r="BQ691" s="17"/>
      <c r="BR691" s="17"/>
      <c r="BS691" s="17"/>
      <c r="BT691" s="17"/>
      <c r="BU691" s="17"/>
      <c r="BV691" s="17"/>
      <c r="BW691" s="17"/>
      <c r="BX691" s="17"/>
      <c r="BY691" s="17"/>
      <c r="BZ691" s="17"/>
      <c r="CA691" s="17"/>
      <c r="CB691" s="17"/>
      <c r="CC691" s="17"/>
      <c r="CD691" s="17"/>
      <c r="CE691" s="17"/>
      <c r="CF691" s="17"/>
      <c r="CG691" s="17"/>
      <c r="CH691" s="17"/>
    </row>
    <row r="692" spans="8:86" x14ac:dyDescent="0.15">
      <c r="H692" s="3">
        <f t="shared" si="289"/>
        <v>0.68000000000000049</v>
      </c>
      <c r="I692" s="3">
        <f t="shared" si="290"/>
        <v>360</v>
      </c>
      <c r="J692" s="14">
        <f t="shared" si="291"/>
        <v>500</v>
      </c>
      <c r="K692" s="3">
        <f t="shared" si="281"/>
        <v>0</v>
      </c>
      <c r="L692" s="3">
        <f t="shared" si="277"/>
        <v>500</v>
      </c>
      <c r="M692" s="15">
        <f t="shared" si="292"/>
        <v>7.0000000000000007E-2</v>
      </c>
      <c r="N692" s="3">
        <f t="shared" si="293"/>
        <v>51.779031312729572</v>
      </c>
      <c r="O692" s="3">
        <f t="shared" si="278"/>
        <v>51.779031312729572</v>
      </c>
      <c r="P692" s="3">
        <f t="shared" si="282"/>
        <v>55.6763777556232</v>
      </c>
      <c r="Q692" s="3">
        <f t="shared" si="283"/>
        <v>12.718950477320487</v>
      </c>
      <c r="R692" s="3">
        <f t="shared" si="284"/>
        <v>34.197664116471842</v>
      </c>
      <c r="S692" s="3">
        <f t="shared" si="279"/>
        <v>1</v>
      </c>
      <c r="T692" s="3">
        <f t="shared" si="285"/>
        <v>21478.71363915136</v>
      </c>
      <c r="U692" s="3">
        <f t="shared" si="286"/>
        <v>0.5</v>
      </c>
      <c r="V692" s="3">
        <f t="shared" si="287"/>
        <v>0</v>
      </c>
      <c r="W692" s="3">
        <f t="shared" si="288"/>
        <v>18640.451272582646</v>
      </c>
      <c r="X692" s="3">
        <f t="shared" si="280"/>
        <v>6359.4752386602431</v>
      </c>
      <c r="AI692" s="3"/>
      <c r="AJ692" s="3"/>
      <c r="AK692" s="15">
        <f t="shared" si="271"/>
        <v>3</v>
      </c>
      <c r="AL692" s="11">
        <f t="shared" si="275"/>
        <v>4098</v>
      </c>
      <c r="AM692" s="11" t="b">
        <f t="shared" si="270"/>
        <v>0</v>
      </c>
      <c r="AN692" s="11">
        <f t="shared" si="272"/>
        <v>36000</v>
      </c>
      <c r="AO692" s="11">
        <f t="shared" si="273"/>
        <v>0</v>
      </c>
      <c r="AP692" s="11">
        <f t="shared" si="274"/>
        <v>0.27872204676861972</v>
      </c>
      <c r="AQ692" s="11">
        <f t="shared" si="276"/>
        <v>0</v>
      </c>
      <c r="AT692" s="3"/>
      <c r="AU692" s="17"/>
      <c r="AV692" s="19"/>
      <c r="AW692" s="17"/>
      <c r="AX692" s="17">
        <f t="shared" si="295"/>
        <v>683</v>
      </c>
      <c r="AY692" s="17">
        <f t="shared" si="294"/>
        <v>68.3</v>
      </c>
      <c r="AZ692" s="17">
        <v>27.872204676861973</v>
      </c>
      <c r="BA692" s="17"/>
      <c r="BB692" s="17">
        <v>36</v>
      </c>
      <c r="BC692" s="17"/>
      <c r="BD692" s="17"/>
      <c r="BE692" s="17"/>
      <c r="BF692" s="17"/>
      <c r="BG692" s="17"/>
      <c r="BH692" s="17"/>
      <c r="BI692" s="17"/>
      <c r="BJ692" s="17"/>
      <c r="BK692" s="17"/>
      <c r="BL692" s="17"/>
      <c r="BM692" s="17"/>
      <c r="BN692" s="17"/>
      <c r="BO692" s="17"/>
      <c r="BP692" s="17"/>
      <c r="BQ692" s="17"/>
      <c r="BR692" s="17"/>
      <c r="BS692" s="17"/>
      <c r="BT692" s="17"/>
      <c r="BU692" s="17"/>
      <c r="BV692" s="17"/>
      <c r="BW692" s="17"/>
      <c r="BX692" s="17"/>
      <c r="BY692" s="17"/>
      <c r="BZ692" s="17"/>
      <c r="CA692" s="17"/>
      <c r="CB692" s="17"/>
      <c r="CC692" s="17"/>
      <c r="CD692" s="17"/>
      <c r="CE692" s="17"/>
      <c r="CF692" s="17"/>
      <c r="CG692" s="17"/>
      <c r="CH692" s="17"/>
    </row>
    <row r="693" spans="8:86" x14ac:dyDescent="0.15">
      <c r="H693" s="3">
        <f t="shared" si="289"/>
        <v>0.68100000000000049</v>
      </c>
      <c r="I693" s="3">
        <f t="shared" si="290"/>
        <v>360</v>
      </c>
      <c r="J693" s="14">
        <f t="shared" si="291"/>
        <v>500</v>
      </c>
      <c r="K693" s="3">
        <f t="shared" si="281"/>
        <v>0</v>
      </c>
      <c r="L693" s="3">
        <f t="shared" si="277"/>
        <v>500</v>
      </c>
      <c r="M693" s="15">
        <f t="shared" si="292"/>
        <v>7.0000000000000007E-2</v>
      </c>
      <c r="N693" s="3">
        <f t="shared" si="293"/>
        <v>51.719368219287489</v>
      </c>
      <c r="O693" s="3">
        <f t="shared" si="278"/>
        <v>51.719368219287489</v>
      </c>
      <c r="P693" s="3">
        <f t="shared" si="282"/>
        <v>55.612223891706982</v>
      </c>
      <c r="Q693" s="3">
        <f t="shared" si="283"/>
        <v>12.675993050042184</v>
      </c>
      <c r="R693" s="3">
        <f t="shared" si="284"/>
        <v>34.144108470874585</v>
      </c>
      <c r="S693" s="3">
        <f t="shared" si="279"/>
        <v>1</v>
      </c>
      <c r="T693" s="3">
        <f t="shared" si="285"/>
        <v>21468.115420832397</v>
      </c>
      <c r="U693" s="3">
        <f t="shared" si="286"/>
        <v>0.5</v>
      </c>
      <c r="V693" s="3">
        <f t="shared" si="287"/>
        <v>0</v>
      </c>
      <c r="W693" s="3">
        <f t="shared" si="288"/>
        <v>18618.972558943497</v>
      </c>
      <c r="X693" s="3">
        <f t="shared" si="280"/>
        <v>6337.9965250210917</v>
      </c>
      <c r="AI693" s="3"/>
      <c r="AJ693" s="3"/>
      <c r="AK693" s="15">
        <f t="shared" si="271"/>
        <v>3</v>
      </c>
      <c r="AL693" s="11">
        <f t="shared" si="275"/>
        <v>4104</v>
      </c>
      <c r="AM693" s="11" t="b">
        <f t="shared" si="270"/>
        <v>0</v>
      </c>
      <c r="AN693" s="11">
        <f t="shared" si="272"/>
        <v>36000</v>
      </c>
      <c r="AO693" s="11">
        <f t="shared" si="273"/>
        <v>0</v>
      </c>
      <c r="AP693" s="11">
        <f t="shared" si="274"/>
        <v>0.27982436158343454</v>
      </c>
      <c r="AQ693" s="11">
        <f t="shared" si="276"/>
        <v>0</v>
      </c>
      <c r="AT693" s="3"/>
      <c r="AU693" s="17"/>
      <c r="AV693" s="19"/>
      <c r="AW693" s="17"/>
      <c r="AX693" s="17">
        <f t="shared" si="295"/>
        <v>684</v>
      </c>
      <c r="AY693" s="17">
        <f t="shared" si="294"/>
        <v>68.400000000000006</v>
      </c>
      <c r="AZ693" s="17">
        <v>27.982436158343454</v>
      </c>
      <c r="BA693" s="17"/>
      <c r="BB693" s="17">
        <v>36</v>
      </c>
      <c r="BC693" s="17"/>
      <c r="BD693" s="17"/>
      <c r="BE693" s="17"/>
      <c r="BF693" s="17"/>
      <c r="BG693" s="17"/>
      <c r="BH693" s="17"/>
      <c r="BI693" s="17"/>
      <c r="BJ693" s="17"/>
      <c r="BK693" s="17"/>
      <c r="BL693" s="17"/>
      <c r="BM693" s="17"/>
      <c r="BN693" s="17"/>
      <c r="BO693" s="17"/>
      <c r="BP693" s="17"/>
      <c r="BQ693" s="17"/>
      <c r="BR693" s="17"/>
      <c r="BS693" s="17"/>
      <c r="BT693" s="17"/>
      <c r="BU693" s="17"/>
      <c r="BV693" s="17"/>
      <c r="BW693" s="17"/>
      <c r="BX693" s="17"/>
      <c r="BY693" s="17"/>
      <c r="BZ693" s="17"/>
      <c r="CA693" s="17"/>
      <c r="CB693" s="17"/>
      <c r="CC693" s="17"/>
      <c r="CD693" s="17"/>
      <c r="CE693" s="17"/>
      <c r="CF693" s="17"/>
      <c r="CG693" s="17"/>
      <c r="CH693" s="17"/>
    </row>
    <row r="694" spans="8:86" x14ac:dyDescent="0.15">
      <c r="H694" s="3">
        <f t="shared" si="289"/>
        <v>0.68200000000000049</v>
      </c>
      <c r="I694" s="3">
        <f t="shared" si="290"/>
        <v>360</v>
      </c>
      <c r="J694" s="14">
        <f t="shared" si="291"/>
        <v>500</v>
      </c>
      <c r="K694" s="3">
        <f t="shared" si="281"/>
        <v>0</v>
      </c>
      <c r="L694" s="3">
        <f t="shared" si="277"/>
        <v>500</v>
      </c>
      <c r="M694" s="15">
        <f t="shared" si="292"/>
        <v>7.0000000000000007E-2</v>
      </c>
      <c r="N694" s="3">
        <f t="shared" si="293"/>
        <v>51.659734565340727</v>
      </c>
      <c r="O694" s="3">
        <f t="shared" si="278"/>
        <v>51.659734565340727</v>
      </c>
      <c r="P694" s="3">
        <f t="shared" si="282"/>
        <v>55.548101683162074</v>
      </c>
      <c r="Q694" s="3">
        <f t="shared" si="283"/>
        <v>12.633056819200519</v>
      </c>
      <c r="R694" s="3">
        <f t="shared" si="284"/>
        <v>34.090579251181296</v>
      </c>
      <c r="S694" s="3">
        <f t="shared" si="279"/>
        <v>1</v>
      </c>
      <c r="T694" s="3">
        <f t="shared" si="285"/>
        <v>21457.522431980778</v>
      </c>
      <c r="U694" s="3">
        <f t="shared" si="286"/>
        <v>0.5</v>
      </c>
      <c r="V694" s="3">
        <f t="shared" si="287"/>
        <v>0</v>
      </c>
      <c r="W694" s="3">
        <f t="shared" si="288"/>
        <v>18597.504443522663</v>
      </c>
      <c r="X694" s="3">
        <f t="shared" si="280"/>
        <v>6316.5284096002597</v>
      </c>
      <c r="AI694" s="3"/>
      <c r="AJ694" s="3"/>
      <c r="AK694" s="15">
        <f t="shared" si="271"/>
        <v>3</v>
      </c>
      <c r="AL694" s="11">
        <f t="shared" si="275"/>
        <v>4110</v>
      </c>
      <c r="AM694" s="11" t="b">
        <f t="shared" si="270"/>
        <v>0</v>
      </c>
      <c r="AN694" s="11">
        <f t="shared" si="272"/>
        <v>36000</v>
      </c>
      <c r="AO694" s="11">
        <f t="shared" si="273"/>
        <v>0</v>
      </c>
      <c r="AP694" s="11">
        <f t="shared" si="274"/>
        <v>0.28092667639824931</v>
      </c>
      <c r="AQ694" s="11">
        <f t="shared" si="276"/>
        <v>0</v>
      </c>
      <c r="AT694" s="3"/>
      <c r="AU694" s="17"/>
      <c r="AV694" s="19"/>
      <c r="AW694" s="17"/>
      <c r="AX694" s="17">
        <f t="shared" si="295"/>
        <v>685</v>
      </c>
      <c r="AY694" s="17">
        <f t="shared" si="294"/>
        <v>68.5</v>
      </c>
      <c r="AZ694" s="17">
        <v>28.092667639824931</v>
      </c>
      <c r="BA694" s="17"/>
      <c r="BB694" s="17">
        <v>36</v>
      </c>
      <c r="BC694" s="17"/>
      <c r="BD694" s="17"/>
      <c r="BE694" s="17"/>
      <c r="BF694" s="17"/>
      <c r="BG694" s="17"/>
      <c r="BH694" s="17"/>
      <c r="BI694" s="17"/>
      <c r="BJ694" s="17"/>
      <c r="BK694" s="17"/>
      <c r="BL694" s="17"/>
      <c r="BM694" s="17"/>
      <c r="BN694" s="17"/>
      <c r="BO694" s="17"/>
      <c r="BP694" s="17"/>
      <c r="BQ694" s="17"/>
      <c r="BR694" s="17"/>
      <c r="BS694" s="17"/>
      <c r="BT694" s="17"/>
      <c r="BU694" s="17"/>
      <c r="BV694" s="17"/>
      <c r="BW694" s="17"/>
      <c r="BX694" s="17"/>
      <c r="BY694" s="17"/>
      <c r="BZ694" s="17"/>
      <c r="CA694" s="17"/>
      <c r="CB694" s="17"/>
      <c r="CC694" s="17"/>
      <c r="CD694" s="17"/>
      <c r="CE694" s="17"/>
      <c r="CF694" s="17"/>
      <c r="CG694" s="17"/>
      <c r="CH694" s="17"/>
    </row>
    <row r="695" spans="8:86" x14ac:dyDescent="0.15">
      <c r="H695" s="3">
        <f t="shared" si="289"/>
        <v>0.6830000000000005</v>
      </c>
      <c r="I695" s="3">
        <f t="shared" si="290"/>
        <v>360</v>
      </c>
      <c r="J695" s="14">
        <f t="shared" si="291"/>
        <v>500</v>
      </c>
      <c r="K695" s="3">
        <f t="shared" si="281"/>
        <v>0</v>
      </c>
      <c r="L695" s="3">
        <f t="shared" si="277"/>
        <v>500</v>
      </c>
      <c r="M695" s="15">
        <f t="shared" si="292"/>
        <v>7.0000000000000007E-2</v>
      </c>
      <c r="N695" s="3">
        <f t="shared" si="293"/>
        <v>51.600130336363002</v>
      </c>
      <c r="O695" s="3">
        <f t="shared" si="278"/>
        <v>51.600130336363002</v>
      </c>
      <c r="P695" s="3">
        <f t="shared" si="282"/>
        <v>55.484011114368819</v>
      </c>
      <c r="Q695" s="3">
        <f t="shared" si="283"/>
        <v>12.590141774336558</v>
      </c>
      <c r="R695" s="3">
        <f t="shared" si="284"/>
        <v>34.037076444352692</v>
      </c>
      <c r="S695" s="3">
        <f t="shared" si="279"/>
        <v>1</v>
      </c>
      <c r="T695" s="3">
        <f t="shared" si="285"/>
        <v>21446.93467001613</v>
      </c>
      <c r="U695" s="3">
        <f t="shared" si="286"/>
        <v>0.5</v>
      </c>
      <c r="V695" s="3">
        <f t="shared" si="287"/>
        <v>0</v>
      </c>
      <c r="W695" s="3">
        <f t="shared" si="288"/>
        <v>18576.046921090681</v>
      </c>
      <c r="X695" s="3">
        <f t="shared" si="280"/>
        <v>6295.0708871682791</v>
      </c>
      <c r="AI695" s="3"/>
      <c r="AJ695" s="3"/>
      <c r="AK695" s="15">
        <f t="shared" si="271"/>
        <v>3</v>
      </c>
      <c r="AL695" s="11">
        <f t="shared" si="275"/>
        <v>4116</v>
      </c>
      <c r="AM695" s="11" t="b">
        <f t="shared" si="270"/>
        <v>0</v>
      </c>
      <c r="AN695" s="11">
        <f t="shared" si="272"/>
        <v>36000</v>
      </c>
      <c r="AO695" s="11">
        <f t="shared" si="273"/>
        <v>0</v>
      </c>
      <c r="AP695" s="11">
        <f t="shared" si="274"/>
        <v>0.28202899121306413</v>
      </c>
      <c r="AQ695" s="11">
        <f t="shared" si="276"/>
        <v>0</v>
      </c>
      <c r="AT695" s="3"/>
      <c r="AU695" s="17"/>
      <c r="AV695" s="19"/>
      <c r="AW695" s="17"/>
      <c r="AX695" s="17">
        <f t="shared" si="295"/>
        <v>686</v>
      </c>
      <c r="AY695" s="17">
        <f t="shared" si="294"/>
        <v>68.599999999999994</v>
      </c>
      <c r="AZ695" s="17">
        <v>28.202899121306412</v>
      </c>
      <c r="BA695" s="17"/>
      <c r="BB695" s="17">
        <v>36</v>
      </c>
      <c r="BC695" s="17"/>
      <c r="BD695" s="17"/>
      <c r="BE695" s="17"/>
      <c r="BF695" s="17"/>
      <c r="BG695" s="17"/>
      <c r="BH695" s="17"/>
      <c r="BI695" s="17"/>
      <c r="BJ695" s="17"/>
      <c r="BK695" s="17"/>
      <c r="BL695" s="17"/>
      <c r="BM695" s="17"/>
      <c r="BN695" s="17"/>
      <c r="BO695" s="17"/>
      <c r="BP695" s="17"/>
      <c r="BQ695" s="17"/>
      <c r="BR695" s="17"/>
      <c r="BS695" s="17"/>
      <c r="BT695" s="17"/>
      <c r="BU695" s="17"/>
      <c r="BV695" s="17"/>
      <c r="BW695" s="17"/>
      <c r="BX695" s="17"/>
      <c r="BY695" s="17"/>
      <c r="BZ695" s="17"/>
      <c r="CA695" s="17"/>
      <c r="CB695" s="17"/>
      <c r="CC695" s="17"/>
      <c r="CD695" s="17"/>
      <c r="CE695" s="17"/>
      <c r="CF695" s="17"/>
      <c r="CG695" s="17"/>
      <c r="CH695" s="17"/>
    </row>
    <row r="696" spans="8:86" x14ac:dyDescent="0.15">
      <c r="H696" s="3">
        <f t="shared" si="289"/>
        <v>0.6840000000000005</v>
      </c>
      <c r="I696" s="3">
        <f t="shared" si="290"/>
        <v>360</v>
      </c>
      <c r="J696" s="14">
        <f t="shared" si="291"/>
        <v>500</v>
      </c>
      <c r="K696" s="3">
        <f t="shared" si="281"/>
        <v>0</v>
      </c>
      <c r="L696" s="3">
        <f t="shared" si="277"/>
        <v>500</v>
      </c>
      <c r="M696" s="15">
        <f t="shared" si="292"/>
        <v>7.0000000000000007E-2</v>
      </c>
      <c r="N696" s="3">
        <f t="shared" si="293"/>
        <v>51.54055551783518</v>
      </c>
      <c r="O696" s="3">
        <f t="shared" si="278"/>
        <v>51.54055551783518</v>
      </c>
      <c r="P696" s="3">
        <f t="shared" si="282"/>
        <v>55.419952169715252</v>
      </c>
      <c r="Q696" s="3">
        <f t="shared" si="283"/>
        <v>12.547247904996526</v>
      </c>
      <c r="R696" s="3">
        <f t="shared" si="284"/>
        <v>33.983600037355892</v>
      </c>
      <c r="S696" s="3">
        <f t="shared" si="279"/>
        <v>1</v>
      </c>
      <c r="T696" s="3">
        <f t="shared" si="285"/>
        <v>21436.352132359363</v>
      </c>
      <c r="U696" s="3">
        <f t="shared" si="286"/>
        <v>0.5</v>
      </c>
      <c r="V696" s="3">
        <f t="shared" si="287"/>
        <v>0</v>
      </c>
      <c r="W696" s="3">
        <f t="shared" si="288"/>
        <v>18554.599986420664</v>
      </c>
      <c r="X696" s="3">
        <f t="shared" si="280"/>
        <v>6273.623952498263</v>
      </c>
      <c r="AI696" s="3"/>
      <c r="AJ696" s="3"/>
      <c r="AK696" s="15">
        <f t="shared" si="271"/>
        <v>3</v>
      </c>
      <c r="AL696" s="11">
        <f t="shared" si="275"/>
        <v>4122</v>
      </c>
      <c r="AM696" s="11" t="b">
        <f t="shared" si="270"/>
        <v>0</v>
      </c>
      <c r="AN696" s="11">
        <f t="shared" si="272"/>
        <v>36000</v>
      </c>
      <c r="AO696" s="11">
        <f t="shared" si="273"/>
        <v>0</v>
      </c>
      <c r="AP696" s="11">
        <f t="shared" si="274"/>
        <v>0.28313130602787889</v>
      </c>
      <c r="AQ696" s="11">
        <f t="shared" si="276"/>
        <v>0</v>
      </c>
      <c r="AT696" s="3"/>
      <c r="AU696" s="17"/>
      <c r="AV696" s="19"/>
      <c r="AW696" s="17"/>
      <c r="AX696" s="17">
        <f t="shared" si="295"/>
        <v>687</v>
      </c>
      <c r="AY696" s="17">
        <f t="shared" si="294"/>
        <v>68.7</v>
      </c>
      <c r="AZ696" s="17">
        <v>28.31313060278789</v>
      </c>
      <c r="BA696" s="17"/>
      <c r="BB696" s="17">
        <v>36</v>
      </c>
      <c r="BC696" s="17"/>
      <c r="BD696" s="17"/>
      <c r="BE696" s="17"/>
      <c r="BF696" s="17"/>
      <c r="BG696" s="17"/>
      <c r="BH696" s="17"/>
      <c r="BI696" s="17"/>
      <c r="BJ696" s="17"/>
      <c r="BK696" s="17"/>
      <c r="BL696" s="17"/>
      <c r="BM696" s="17"/>
      <c r="BN696" s="17"/>
      <c r="BO696" s="17"/>
      <c r="BP696" s="17"/>
      <c r="BQ696" s="17"/>
      <c r="BR696" s="17"/>
      <c r="BS696" s="17"/>
      <c r="BT696" s="17"/>
      <c r="BU696" s="17"/>
      <c r="BV696" s="17"/>
      <c r="BW696" s="17"/>
      <c r="BX696" s="17"/>
      <c r="BY696" s="17"/>
      <c r="BZ696" s="17"/>
      <c r="CA696" s="17"/>
      <c r="CB696" s="17"/>
      <c r="CC696" s="17"/>
      <c r="CD696" s="17"/>
      <c r="CE696" s="17"/>
      <c r="CF696" s="17"/>
      <c r="CG696" s="17"/>
      <c r="CH696" s="17"/>
    </row>
    <row r="697" spans="8:86" x14ac:dyDescent="0.15">
      <c r="H697" s="3">
        <f t="shared" si="289"/>
        <v>0.6850000000000005</v>
      </c>
      <c r="I697" s="3">
        <f t="shared" si="290"/>
        <v>360</v>
      </c>
      <c r="J697" s="14">
        <f t="shared" si="291"/>
        <v>500</v>
      </c>
      <c r="K697" s="3">
        <f t="shared" si="281"/>
        <v>0</v>
      </c>
      <c r="L697" s="3">
        <f t="shared" si="277"/>
        <v>500</v>
      </c>
      <c r="M697" s="15">
        <f t="shared" si="292"/>
        <v>7.0000000000000007E-2</v>
      </c>
      <c r="N697" s="3">
        <f t="shared" si="293"/>
        <v>51.481010095245296</v>
      </c>
      <c r="O697" s="3">
        <f t="shared" si="278"/>
        <v>51.481010095245296</v>
      </c>
      <c r="P697" s="3">
        <f t="shared" si="282"/>
        <v>55.355924833597093</v>
      </c>
      <c r="Q697" s="3">
        <f t="shared" si="283"/>
        <v>12.504375200731808</v>
      </c>
      <c r="R697" s="3">
        <f t="shared" si="284"/>
        <v>33.930150017164451</v>
      </c>
      <c r="S697" s="3">
        <f t="shared" si="279"/>
        <v>1</v>
      </c>
      <c r="T697" s="3">
        <f t="shared" si="285"/>
        <v>21425.774816432644</v>
      </c>
      <c r="U697" s="3">
        <f t="shared" si="286"/>
        <v>0.5</v>
      </c>
      <c r="V697" s="3">
        <f t="shared" si="287"/>
        <v>0</v>
      </c>
      <c r="W697" s="3">
        <f t="shared" si="288"/>
        <v>18533.163634288307</v>
      </c>
      <c r="X697" s="3">
        <f t="shared" si="280"/>
        <v>6252.1876003659036</v>
      </c>
      <c r="AI697" s="3"/>
      <c r="AJ697" s="3"/>
      <c r="AK697" s="15">
        <f t="shared" si="271"/>
        <v>3</v>
      </c>
      <c r="AL697" s="11">
        <f t="shared" si="275"/>
        <v>4128</v>
      </c>
      <c r="AM697" s="11" t="b">
        <f t="shared" si="270"/>
        <v>0</v>
      </c>
      <c r="AN697" s="11">
        <f t="shared" si="272"/>
        <v>36000</v>
      </c>
      <c r="AO697" s="11">
        <f t="shared" si="273"/>
        <v>0</v>
      </c>
      <c r="AP697" s="11">
        <f t="shared" si="274"/>
        <v>0.28423362084269371</v>
      </c>
      <c r="AQ697" s="11">
        <f t="shared" si="276"/>
        <v>0</v>
      </c>
      <c r="AT697" s="3"/>
      <c r="AU697" s="17"/>
      <c r="AV697" s="19"/>
      <c r="AW697" s="17"/>
      <c r="AX697" s="17">
        <f t="shared" si="295"/>
        <v>688</v>
      </c>
      <c r="AY697" s="17">
        <f t="shared" si="294"/>
        <v>68.8</v>
      </c>
      <c r="AZ697" s="17">
        <v>28.423362084269371</v>
      </c>
      <c r="BA697" s="17"/>
      <c r="BB697" s="17">
        <v>36</v>
      </c>
      <c r="BC697" s="17"/>
      <c r="BD697" s="17"/>
      <c r="BE697" s="17"/>
      <c r="BF697" s="17"/>
      <c r="BG697" s="17"/>
      <c r="BH697" s="17"/>
      <c r="BI697" s="17"/>
      <c r="BJ697" s="17"/>
      <c r="BK697" s="17"/>
      <c r="BL697" s="17"/>
      <c r="BM697" s="17"/>
      <c r="BN697" s="17"/>
      <c r="BO697" s="17"/>
      <c r="BP697" s="17"/>
      <c r="BQ697" s="17"/>
      <c r="BR697" s="17"/>
      <c r="BS697" s="17"/>
      <c r="BT697" s="17"/>
      <c r="BU697" s="17"/>
      <c r="BV697" s="17"/>
      <c r="BW697" s="17"/>
      <c r="BX697" s="17"/>
      <c r="BY697" s="17"/>
      <c r="BZ697" s="17"/>
      <c r="CA697" s="17"/>
      <c r="CB697" s="17"/>
      <c r="CC697" s="17"/>
      <c r="CD697" s="17"/>
      <c r="CE697" s="17"/>
      <c r="CF697" s="17"/>
      <c r="CG697" s="17"/>
      <c r="CH697" s="17"/>
    </row>
    <row r="698" spans="8:86" x14ac:dyDescent="0.15">
      <c r="H698" s="3">
        <f t="shared" si="289"/>
        <v>0.6860000000000005</v>
      </c>
      <c r="I698" s="3">
        <f t="shared" si="290"/>
        <v>360</v>
      </c>
      <c r="J698" s="14">
        <f t="shared" si="291"/>
        <v>500</v>
      </c>
      <c r="K698" s="3">
        <f t="shared" si="281"/>
        <v>0</v>
      </c>
      <c r="L698" s="3">
        <f t="shared" si="277"/>
        <v>500</v>
      </c>
      <c r="M698" s="15">
        <f t="shared" si="292"/>
        <v>7.0000000000000007E-2</v>
      </c>
      <c r="N698" s="3">
        <f t="shared" si="293"/>
        <v>51.421494054088541</v>
      </c>
      <c r="O698" s="3">
        <f t="shared" si="278"/>
        <v>51.421494054088541</v>
      </c>
      <c r="P698" s="3">
        <f t="shared" si="282"/>
        <v>55.291929090417788</v>
      </c>
      <c r="Q698" s="3">
        <f t="shared" si="283"/>
        <v>12.461523651098942</v>
      </c>
      <c r="R698" s="3">
        <f t="shared" si="284"/>
        <v>33.876726370758362</v>
      </c>
      <c r="S698" s="3">
        <f t="shared" si="279"/>
        <v>1</v>
      </c>
      <c r="T698" s="3">
        <f t="shared" si="285"/>
        <v>21415.202719659421</v>
      </c>
      <c r="U698" s="3">
        <f t="shared" si="286"/>
        <v>0.5</v>
      </c>
      <c r="V698" s="3">
        <f t="shared" si="287"/>
        <v>0</v>
      </c>
      <c r="W698" s="3">
        <f t="shared" si="288"/>
        <v>18511.737859471876</v>
      </c>
      <c r="X698" s="3">
        <f t="shared" si="280"/>
        <v>6230.7618255494708</v>
      </c>
      <c r="AI698" s="3"/>
      <c r="AJ698" s="3"/>
      <c r="AK698" s="15">
        <f t="shared" si="271"/>
        <v>3</v>
      </c>
      <c r="AL698" s="11">
        <f t="shared" si="275"/>
        <v>4134</v>
      </c>
      <c r="AM698" s="11" t="b">
        <f t="shared" si="270"/>
        <v>0</v>
      </c>
      <c r="AN698" s="11">
        <f t="shared" si="272"/>
        <v>36000</v>
      </c>
      <c r="AO698" s="11">
        <f t="shared" si="273"/>
        <v>0</v>
      </c>
      <c r="AP698" s="11">
        <f t="shared" si="274"/>
        <v>0.28533593565750848</v>
      </c>
      <c r="AQ698" s="11">
        <f t="shared" si="276"/>
        <v>0</v>
      </c>
      <c r="AT698" s="3"/>
      <c r="AU698" s="17"/>
      <c r="AV698" s="19"/>
      <c r="AW698" s="17"/>
      <c r="AX698" s="17">
        <f t="shared" si="295"/>
        <v>689</v>
      </c>
      <c r="AY698" s="17">
        <f t="shared" si="294"/>
        <v>68.900000000000006</v>
      </c>
      <c r="AZ698" s="17">
        <v>28.533593565750849</v>
      </c>
      <c r="BA698" s="17"/>
      <c r="BB698" s="17">
        <v>36</v>
      </c>
      <c r="BC698" s="17"/>
      <c r="BD698" s="17"/>
      <c r="BE698" s="17"/>
      <c r="BF698" s="17"/>
      <c r="BG698" s="17"/>
      <c r="BH698" s="17"/>
      <c r="BI698" s="17"/>
      <c r="BJ698" s="17"/>
      <c r="BK698" s="17"/>
      <c r="BL698" s="17"/>
      <c r="BM698" s="17"/>
      <c r="BN698" s="17"/>
      <c r="BO698" s="17"/>
      <c r="BP698" s="17"/>
      <c r="BQ698" s="17"/>
      <c r="BR698" s="17"/>
      <c r="BS698" s="17"/>
      <c r="BT698" s="17"/>
      <c r="BU698" s="17"/>
      <c r="BV698" s="17"/>
      <c r="BW698" s="17"/>
      <c r="BX698" s="17"/>
      <c r="BY698" s="17"/>
      <c r="BZ698" s="17"/>
      <c r="CA698" s="17"/>
      <c r="CB698" s="17"/>
      <c r="CC698" s="17"/>
      <c r="CD698" s="17"/>
      <c r="CE698" s="17"/>
      <c r="CF698" s="17"/>
      <c r="CG698" s="17"/>
      <c r="CH698" s="17"/>
    </row>
    <row r="699" spans="8:86" x14ac:dyDescent="0.15">
      <c r="H699" s="3">
        <f t="shared" si="289"/>
        <v>0.6870000000000005</v>
      </c>
      <c r="I699" s="3">
        <f t="shared" si="290"/>
        <v>360</v>
      </c>
      <c r="J699" s="14">
        <f t="shared" si="291"/>
        <v>500</v>
      </c>
      <c r="K699" s="3">
        <f t="shared" si="281"/>
        <v>0</v>
      </c>
      <c r="L699" s="3">
        <f t="shared" si="277"/>
        <v>500</v>
      </c>
      <c r="M699" s="15">
        <f t="shared" si="292"/>
        <v>7.0000000000000007E-2</v>
      </c>
      <c r="N699" s="3">
        <f t="shared" si="293"/>
        <v>51.362007379867272</v>
      </c>
      <c r="O699" s="3">
        <f t="shared" si="278"/>
        <v>51.362007379867272</v>
      </c>
      <c r="P699" s="3">
        <f t="shared" si="282"/>
        <v>55.22796492458847</v>
      </c>
      <c r="Q699" s="3">
        <f t="shared" si="283"/>
        <v>12.418693245659622</v>
      </c>
      <c r="R699" s="3">
        <f t="shared" si="284"/>
        <v>33.823329085124044</v>
      </c>
      <c r="S699" s="3">
        <f t="shared" si="279"/>
        <v>1</v>
      </c>
      <c r="T699" s="3">
        <f t="shared" si="285"/>
        <v>21404.635839464427</v>
      </c>
      <c r="U699" s="3">
        <f t="shared" si="286"/>
        <v>0.5</v>
      </c>
      <c r="V699" s="3">
        <f t="shared" si="287"/>
        <v>0</v>
      </c>
      <c r="W699" s="3">
        <f t="shared" si="288"/>
        <v>18490.322656752218</v>
      </c>
      <c r="X699" s="3">
        <f t="shared" si="280"/>
        <v>6209.3466228298112</v>
      </c>
      <c r="AI699" s="3"/>
      <c r="AJ699" s="3"/>
      <c r="AK699" s="15">
        <f t="shared" si="271"/>
        <v>3</v>
      </c>
      <c r="AL699" s="11">
        <f t="shared" si="275"/>
        <v>4140</v>
      </c>
      <c r="AM699" s="11" t="b">
        <f t="shared" si="270"/>
        <v>0</v>
      </c>
      <c r="AN699" s="11">
        <f t="shared" si="272"/>
        <v>36000</v>
      </c>
      <c r="AO699" s="11">
        <f t="shared" si="273"/>
        <v>0</v>
      </c>
      <c r="AP699" s="11">
        <f t="shared" si="274"/>
        <v>0.2864382504723233</v>
      </c>
      <c r="AQ699" s="11">
        <f t="shared" si="276"/>
        <v>0</v>
      </c>
      <c r="AT699" s="3"/>
      <c r="AU699" s="17"/>
      <c r="AV699" s="19"/>
      <c r="AW699" s="17"/>
      <c r="AX699" s="17">
        <f t="shared" si="295"/>
        <v>690</v>
      </c>
      <c r="AY699" s="17">
        <f t="shared" si="294"/>
        <v>69</v>
      </c>
      <c r="AZ699" s="17">
        <v>28.64382504723233</v>
      </c>
      <c r="BA699" s="17"/>
      <c r="BB699" s="17">
        <v>36</v>
      </c>
      <c r="BC699" s="17"/>
      <c r="BD699" s="17"/>
      <c r="BE699" s="17"/>
      <c r="BF699" s="17"/>
      <c r="BG699" s="17"/>
      <c r="BH699" s="17"/>
      <c r="BI699" s="17"/>
      <c r="BJ699" s="17"/>
      <c r="BK699" s="17"/>
      <c r="BL699" s="17"/>
      <c r="BM699" s="17"/>
      <c r="BN699" s="17"/>
      <c r="BO699" s="17"/>
      <c r="BP699" s="17"/>
      <c r="BQ699" s="17"/>
      <c r="BR699" s="17"/>
      <c r="BS699" s="17"/>
      <c r="BT699" s="17"/>
      <c r="BU699" s="17"/>
      <c r="BV699" s="17"/>
      <c r="BW699" s="17"/>
      <c r="BX699" s="17"/>
      <c r="BY699" s="17"/>
      <c r="BZ699" s="17"/>
      <c r="CA699" s="17"/>
      <c r="CB699" s="17"/>
      <c r="CC699" s="17"/>
      <c r="CD699" s="17"/>
      <c r="CE699" s="17"/>
      <c r="CF699" s="17"/>
      <c r="CG699" s="17"/>
      <c r="CH699" s="17"/>
    </row>
    <row r="700" spans="8:86" x14ac:dyDescent="0.15">
      <c r="H700" s="3">
        <f t="shared" si="289"/>
        <v>0.6880000000000005</v>
      </c>
      <c r="I700" s="3">
        <f t="shared" si="290"/>
        <v>360</v>
      </c>
      <c r="J700" s="14">
        <f t="shared" si="291"/>
        <v>500</v>
      </c>
      <c r="K700" s="3">
        <f t="shared" si="281"/>
        <v>0</v>
      </c>
      <c r="L700" s="3">
        <f t="shared" si="277"/>
        <v>500</v>
      </c>
      <c r="M700" s="15">
        <f t="shared" si="292"/>
        <v>7.0000000000000007E-2</v>
      </c>
      <c r="N700" s="3">
        <f t="shared" si="293"/>
        <v>51.302550058090979</v>
      </c>
      <c r="O700" s="3">
        <f t="shared" si="278"/>
        <v>51.302550058090979</v>
      </c>
      <c r="P700" s="3">
        <f t="shared" si="282"/>
        <v>55.164032320527937</v>
      </c>
      <c r="Q700" s="3">
        <f t="shared" si="283"/>
        <v>12.375883973980693</v>
      </c>
      <c r="R700" s="3">
        <f t="shared" si="284"/>
        <v>33.769958147254314</v>
      </c>
      <c r="S700" s="3">
        <f t="shared" si="279"/>
        <v>1</v>
      </c>
      <c r="T700" s="3">
        <f t="shared" si="285"/>
        <v>21394.074173273624</v>
      </c>
      <c r="U700" s="3">
        <f t="shared" si="286"/>
        <v>0.5</v>
      </c>
      <c r="V700" s="3">
        <f t="shared" si="287"/>
        <v>0</v>
      </c>
      <c r="W700" s="3">
        <f t="shared" si="288"/>
        <v>18468.918020912752</v>
      </c>
      <c r="X700" s="3">
        <f t="shared" si="280"/>
        <v>6187.9419869903468</v>
      </c>
      <c r="AI700" s="3"/>
      <c r="AJ700" s="3"/>
      <c r="AK700" s="15">
        <f t="shared" si="271"/>
        <v>3</v>
      </c>
      <c r="AL700" s="11">
        <f t="shared" si="275"/>
        <v>4146</v>
      </c>
      <c r="AM700" s="11" t="b">
        <f t="shared" si="270"/>
        <v>0</v>
      </c>
      <c r="AN700" s="11">
        <f t="shared" si="272"/>
        <v>36000</v>
      </c>
      <c r="AO700" s="11">
        <f t="shared" si="273"/>
        <v>0</v>
      </c>
      <c r="AP700" s="11">
        <f t="shared" si="274"/>
        <v>0.28754056528713806</v>
      </c>
      <c r="AQ700" s="11">
        <f t="shared" si="276"/>
        <v>0</v>
      </c>
      <c r="AT700" s="3"/>
      <c r="AU700" s="17"/>
      <c r="AV700" s="19"/>
      <c r="AW700" s="17"/>
      <c r="AX700" s="17">
        <f t="shared" si="295"/>
        <v>691</v>
      </c>
      <c r="AY700" s="17">
        <f t="shared" si="294"/>
        <v>69.099999999999994</v>
      </c>
      <c r="AZ700" s="17">
        <v>28.754056528713807</v>
      </c>
      <c r="BA700" s="17"/>
      <c r="BB700" s="17">
        <v>36</v>
      </c>
      <c r="BC700" s="17"/>
      <c r="BD700" s="17"/>
      <c r="BE700" s="17"/>
      <c r="BF700" s="17"/>
      <c r="BG700" s="17"/>
      <c r="BH700" s="17"/>
      <c r="BI700" s="17"/>
      <c r="BJ700" s="17"/>
      <c r="BK700" s="17"/>
      <c r="BL700" s="17"/>
      <c r="BM700" s="17"/>
      <c r="BN700" s="17"/>
      <c r="BO700" s="17"/>
      <c r="BP700" s="17"/>
      <c r="BQ700" s="17"/>
      <c r="BR700" s="17"/>
      <c r="BS700" s="17"/>
      <c r="BT700" s="17"/>
      <c r="BU700" s="17"/>
      <c r="BV700" s="17"/>
      <c r="BW700" s="17"/>
      <c r="BX700" s="17"/>
      <c r="BY700" s="17"/>
      <c r="BZ700" s="17"/>
      <c r="CA700" s="17"/>
      <c r="CB700" s="17"/>
      <c r="CC700" s="17"/>
      <c r="CD700" s="17"/>
      <c r="CE700" s="17"/>
      <c r="CF700" s="17"/>
      <c r="CG700" s="17"/>
      <c r="CH700" s="17"/>
    </row>
    <row r="701" spans="8:86" x14ac:dyDescent="0.15">
      <c r="H701" s="3">
        <f t="shared" si="289"/>
        <v>0.6890000000000005</v>
      </c>
      <c r="I701" s="3">
        <f t="shared" si="290"/>
        <v>360</v>
      </c>
      <c r="J701" s="14">
        <f t="shared" si="291"/>
        <v>500</v>
      </c>
      <c r="K701" s="3">
        <f t="shared" si="281"/>
        <v>0</v>
      </c>
      <c r="L701" s="3">
        <f t="shared" si="277"/>
        <v>500</v>
      </c>
      <c r="M701" s="15">
        <f t="shared" si="292"/>
        <v>7.0000000000000007E-2</v>
      </c>
      <c r="N701" s="3">
        <f t="shared" si="293"/>
        <v>51.243122074276329</v>
      </c>
      <c r="O701" s="3">
        <f t="shared" si="278"/>
        <v>51.243122074276329</v>
      </c>
      <c r="P701" s="3">
        <f t="shared" si="282"/>
        <v>55.100131262662721</v>
      </c>
      <c r="Q701" s="3">
        <f t="shared" si="283"/>
        <v>12.333095825634146</v>
      </c>
      <c r="R701" s="3">
        <f t="shared" si="284"/>
        <v>33.71661354414843</v>
      </c>
      <c r="S701" s="3">
        <f t="shared" si="279"/>
        <v>1</v>
      </c>
      <c r="T701" s="3">
        <f t="shared" si="285"/>
        <v>21383.517718514289</v>
      </c>
      <c r="U701" s="3">
        <f t="shared" si="286"/>
        <v>0.5</v>
      </c>
      <c r="V701" s="3">
        <f t="shared" si="287"/>
        <v>0</v>
      </c>
      <c r="W701" s="3">
        <f t="shared" si="288"/>
        <v>18447.523946739479</v>
      </c>
      <c r="X701" s="3">
        <f t="shared" si="280"/>
        <v>6166.5479128170728</v>
      </c>
      <c r="AI701" s="3"/>
      <c r="AJ701" s="3"/>
      <c r="AK701" s="15">
        <f t="shared" si="271"/>
        <v>3</v>
      </c>
      <c r="AL701" s="11">
        <f t="shared" si="275"/>
        <v>4152</v>
      </c>
      <c r="AM701" s="11" t="b">
        <f t="shared" si="270"/>
        <v>0</v>
      </c>
      <c r="AN701" s="11">
        <f t="shared" si="272"/>
        <v>36000</v>
      </c>
      <c r="AO701" s="11">
        <f t="shared" si="273"/>
        <v>0</v>
      </c>
      <c r="AP701" s="11">
        <f t="shared" si="274"/>
        <v>0.28864288010195288</v>
      </c>
      <c r="AQ701" s="11">
        <f t="shared" si="276"/>
        <v>0</v>
      </c>
      <c r="AT701" s="3"/>
      <c r="AU701" s="17"/>
      <c r="AV701" s="19"/>
      <c r="AW701" s="17"/>
      <c r="AX701" s="17">
        <f t="shared" si="295"/>
        <v>692</v>
      </c>
      <c r="AY701" s="17">
        <f t="shared" si="294"/>
        <v>69.2</v>
      </c>
      <c r="AZ701" s="17">
        <v>28.864288010195288</v>
      </c>
      <c r="BA701" s="17"/>
      <c r="BB701" s="17">
        <v>36</v>
      </c>
      <c r="BC701" s="17"/>
      <c r="BD701" s="17"/>
      <c r="BE701" s="17"/>
      <c r="BF701" s="17"/>
      <c r="BG701" s="17"/>
      <c r="BH701" s="17"/>
      <c r="BI701" s="17"/>
      <c r="BJ701" s="17"/>
      <c r="BK701" s="17"/>
      <c r="BL701" s="17"/>
      <c r="BM701" s="17"/>
      <c r="BN701" s="17"/>
      <c r="BO701" s="17"/>
      <c r="BP701" s="17"/>
      <c r="BQ701" s="17"/>
      <c r="BR701" s="17"/>
      <c r="BS701" s="17"/>
      <c r="BT701" s="17"/>
      <c r="BU701" s="17"/>
      <c r="BV701" s="17"/>
      <c r="BW701" s="17"/>
      <c r="BX701" s="17"/>
      <c r="BY701" s="17"/>
      <c r="BZ701" s="17"/>
      <c r="CA701" s="17"/>
      <c r="CB701" s="17"/>
      <c r="CC701" s="17"/>
      <c r="CD701" s="17"/>
      <c r="CE701" s="17"/>
      <c r="CF701" s="17"/>
      <c r="CG701" s="17"/>
      <c r="CH701" s="17"/>
    </row>
    <row r="702" spans="8:86" x14ac:dyDescent="0.15">
      <c r="H702" s="3">
        <f t="shared" si="289"/>
        <v>0.6900000000000005</v>
      </c>
      <c r="I702" s="3">
        <f t="shared" si="290"/>
        <v>360</v>
      </c>
      <c r="J702" s="14">
        <f t="shared" si="291"/>
        <v>500</v>
      </c>
      <c r="K702" s="3">
        <f t="shared" si="281"/>
        <v>0</v>
      </c>
      <c r="L702" s="3">
        <f t="shared" si="277"/>
        <v>500</v>
      </c>
      <c r="M702" s="15">
        <f t="shared" si="292"/>
        <v>7.0000000000000007E-2</v>
      </c>
      <c r="N702" s="3">
        <f t="shared" si="293"/>
        <v>51.183723413947128</v>
      </c>
      <c r="O702" s="3">
        <f t="shared" si="278"/>
        <v>51.183723413947128</v>
      </c>
      <c r="P702" s="3">
        <f t="shared" si="282"/>
        <v>55.036261735427026</v>
      </c>
      <c r="Q702" s="3">
        <f t="shared" si="283"/>
        <v>12.290328790197115</v>
      </c>
      <c r="R702" s="3">
        <f t="shared" si="284"/>
        <v>33.663295262812071</v>
      </c>
      <c r="S702" s="3">
        <f t="shared" si="279"/>
        <v>1</v>
      </c>
      <c r="T702" s="3">
        <f t="shared" si="285"/>
        <v>21372.966472614957</v>
      </c>
      <c r="U702" s="3">
        <f t="shared" si="286"/>
        <v>0.5</v>
      </c>
      <c r="V702" s="3">
        <f t="shared" si="287"/>
        <v>0</v>
      </c>
      <c r="W702" s="3">
        <f t="shared" si="288"/>
        <v>18426.140429020965</v>
      </c>
      <c r="X702" s="3">
        <f t="shared" si="280"/>
        <v>6145.1643950985581</v>
      </c>
      <c r="AI702" s="3"/>
      <c r="AJ702" s="3"/>
      <c r="AK702" s="15">
        <f t="shared" si="271"/>
        <v>3</v>
      </c>
      <c r="AL702" s="11">
        <f t="shared" si="275"/>
        <v>4158</v>
      </c>
      <c r="AM702" s="11" t="b">
        <f t="shared" si="270"/>
        <v>0</v>
      </c>
      <c r="AN702" s="11">
        <f t="shared" si="272"/>
        <v>36000</v>
      </c>
      <c r="AO702" s="11">
        <f t="shared" si="273"/>
        <v>0</v>
      </c>
      <c r="AP702" s="11">
        <f t="shared" si="274"/>
        <v>0.28974519491676765</v>
      </c>
      <c r="AQ702" s="11">
        <f t="shared" si="276"/>
        <v>0</v>
      </c>
      <c r="AT702" s="3"/>
      <c r="AU702" s="17"/>
      <c r="AV702" s="19"/>
      <c r="AW702" s="17"/>
      <c r="AX702" s="17">
        <f t="shared" si="295"/>
        <v>693</v>
      </c>
      <c r="AY702" s="17">
        <f t="shared" si="294"/>
        <v>69.3</v>
      </c>
      <c r="AZ702" s="17">
        <v>28.974519491676766</v>
      </c>
      <c r="BA702" s="17"/>
      <c r="BB702" s="17">
        <v>36</v>
      </c>
      <c r="BC702" s="17"/>
      <c r="BD702" s="17"/>
      <c r="BE702" s="17"/>
      <c r="BF702" s="17"/>
      <c r="BG702" s="17"/>
      <c r="BH702" s="17"/>
      <c r="BI702" s="17"/>
      <c r="BJ702" s="17"/>
      <c r="BK702" s="17"/>
      <c r="BL702" s="17"/>
      <c r="BM702" s="17"/>
      <c r="BN702" s="17"/>
      <c r="BO702" s="17"/>
      <c r="BP702" s="17"/>
      <c r="BQ702" s="17"/>
      <c r="BR702" s="17"/>
      <c r="BS702" s="17"/>
      <c r="BT702" s="17"/>
      <c r="BU702" s="17"/>
      <c r="BV702" s="17"/>
      <c r="BW702" s="17"/>
      <c r="BX702" s="17"/>
      <c r="BY702" s="17"/>
      <c r="BZ702" s="17"/>
      <c r="CA702" s="17"/>
      <c r="CB702" s="17"/>
      <c r="CC702" s="17"/>
      <c r="CD702" s="17"/>
      <c r="CE702" s="17"/>
      <c r="CF702" s="17"/>
      <c r="CG702" s="17"/>
      <c r="CH702" s="17"/>
    </row>
    <row r="703" spans="8:86" x14ac:dyDescent="0.15">
      <c r="H703" s="3">
        <f t="shared" si="289"/>
        <v>0.6910000000000005</v>
      </c>
      <c r="I703" s="3">
        <f t="shared" si="290"/>
        <v>360</v>
      </c>
      <c r="J703" s="14">
        <f t="shared" si="291"/>
        <v>500</v>
      </c>
      <c r="K703" s="3">
        <f t="shared" si="281"/>
        <v>0</v>
      </c>
      <c r="L703" s="3">
        <f t="shared" si="277"/>
        <v>500</v>
      </c>
      <c r="M703" s="15">
        <f t="shared" si="292"/>
        <v>7.0000000000000007E-2</v>
      </c>
      <c r="N703" s="3">
        <f t="shared" si="293"/>
        <v>51.124354062634303</v>
      </c>
      <c r="O703" s="3">
        <f t="shared" si="278"/>
        <v>51.124354062634303</v>
      </c>
      <c r="P703" s="3">
        <f t="shared" si="282"/>
        <v>54.972423723262693</v>
      </c>
      <c r="Q703" s="3">
        <f t="shared" si="283"/>
        <v>12.247582857251885</v>
      </c>
      <c r="R703" s="3">
        <f t="shared" si="284"/>
        <v>33.610003290257289</v>
      </c>
      <c r="S703" s="3">
        <f t="shared" si="279"/>
        <v>1</v>
      </c>
      <c r="T703" s="3">
        <f t="shared" si="285"/>
        <v>21362.420433005405</v>
      </c>
      <c r="U703" s="3">
        <f t="shared" si="286"/>
        <v>0.5</v>
      </c>
      <c r="V703" s="3">
        <f t="shared" si="287"/>
        <v>0</v>
      </c>
      <c r="W703" s="3">
        <f t="shared" si="288"/>
        <v>18404.767462548349</v>
      </c>
      <c r="X703" s="3">
        <f t="shared" si="280"/>
        <v>6123.7914286259429</v>
      </c>
      <c r="AI703" s="3"/>
      <c r="AJ703" s="3"/>
      <c r="AK703" s="15">
        <f t="shared" si="271"/>
        <v>3</v>
      </c>
      <c r="AL703" s="11">
        <f t="shared" si="275"/>
        <v>4164</v>
      </c>
      <c r="AM703" s="11" t="b">
        <f t="shared" si="270"/>
        <v>0</v>
      </c>
      <c r="AN703" s="11">
        <f t="shared" si="272"/>
        <v>36000</v>
      </c>
      <c r="AO703" s="11">
        <f t="shared" si="273"/>
        <v>0</v>
      </c>
      <c r="AP703" s="11">
        <f t="shared" si="274"/>
        <v>0.29084750973158247</v>
      </c>
      <c r="AQ703" s="11">
        <f t="shared" si="276"/>
        <v>0</v>
      </c>
      <c r="AT703" s="3"/>
      <c r="AU703" s="17"/>
      <c r="AV703" s="19"/>
      <c r="AW703" s="17"/>
      <c r="AX703" s="17">
        <f t="shared" si="295"/>
        <v>694</v>
      </c>
      <c r="AY703" s="17">
        <f t="shared" si="294"/>
        <v>69.400000000000006</v>
      </c>
      <c r="AZ703" s="17">
        <v>29.084750973158247</v>
      </c>
      <c r="BA703" s="17"/>
      <c r="BB703" s="17">
        <v>36</v>
      </c>
      <c r="BC703" s="17"/>
      <c r="BD703" s="17"/>
      <c r="BE703" s="17"/>
      <c r="BF703" s="17"/>
      <c r="BG703" s="17"/>
      <c r="BH703" s="17"/>
      <c r="BI703" s="17"/>
      <c r="BJ703" s="17"/>
      <c r="BK703" s="17"/>
      <c r="BL703" s="17"/>
      <c r="BM703" s="17"/>
      <c r="BN703" s="17"/>
      <c r="BO703" s="17"/>
      <c r="BP703" s="17"/>
      <c r="BQ703" s="17"/>
      <c r="BR703" s="17"/>
      <c r="BS703" s="17"/>
      <c r="BT703" s="17"/>
      <c r="BU703" s="17"/>
      <c r="BV703" s="17"/>
      <c r="BW703" s="17"/>
      <c r="BX703" s="17"/>
      <c r="BY703" s="17"/>
      <c r="BZ703" s="17"/>
      <c r="CA703" s="17"/>
      <c r="CB703" s="17"/>
      <c r="CC703" s="17"/>
      <c r="CD703" s="17"/>
      <c r="CE703" s="17"/>
      <c r="CF703" s="17"/>
      <c r="CG703" s="17"/>
      <c r="CH703" s="17"/>
    </row>
    <row r="704" spans="8:86" x14ac:dyDescent="0.15">
      <c r="H704" s="3">
        <f t="shared" si="289"/>
        <v>0.6920000000000005</v>
      </c>
      <c r="I704" s="3">
        <f t="shared" si="290"/>
        <v>360</v>
      </c>
      <c r="J704" s="14">
        <f t="shared" si="291"/>
        <v>500</v>
      </c>
      <c r="K704" s="3">
        <f t="shared" si="281"/>
        <v>0</v>
      </c>
      <c r="L704" s="3">
        <f t="shared" si="277"/>
        <v>500</v>
      </c>
      <c r="M704" s="15">
        <f t="shared" si="292"/>
        <v>7.0000000000000007E-2</v>
      </c>
      <c r="N704" s="3">
        <f t="shared" si="293"/>
        <v>51.065014005875959</v>
      </c>
      <c r="O704" s="3">
        <f t="shared" si="278"/>
        <v>51.065014005875959</v>
      </c>
      <c r="P704" s="3">
        <f t="shared" si="282"/>
        <v>54.908617210619312</v>
      </c>
      <c r="Q704" s="3">
        <f t="shared" si="283"/>
        <v>12.204858016385876</v>
      </c>
      <c r="R704" s="3">
        <f t="shared" si="284"/>
        <v>33.556737613502591</v>
      </c>
      <c r="S704" s="3">
        <f t="shared" si="279"/>
        <v>1</v>
      </c>
      <c r="T704" s="3">
        <f t="shared" si="285"/>
        <v>21351.879597116716</v>
      </c>
      <c r="U704" s="3">
        <f t="shared" si="286"/>
        <v>0.5</v>
      </c>
      <c r="V704" s="3">
        <f t="shared" si="287"/>
        <v>0</v>
      </c>
      <c r="W704" s="3">
        <f t="shared" si="288"/>
        <v>18383.405042115344</v>
      </c>
      <c r="X704" s="3">
        <f t="shared" si="280"/>
        <v>6102.4290081929375</v>
      </c>
      <c r="AI704" s="3"/>
      <c r="AJ704" s="3"/>
      <c r="AK704" s="15">
        <f t="shared" si="271"/>
        <v>3</v>
      </c>
      <c r="AL704" s="11">
        <f t="shared" si="275"/>
        <v>4170</v>
      </c>
      <c r="AM704" s="11" t="b">
        <f t="shared" si="270"/>
        <v>0</v>
      </c>
      <c r="AN704" s="11">
        <f t="shared" si="272"/>
        <v>36000</v>
      </c>
      <c r="AO704" s="11">
        <f t="shared" si="273"/>
        <v>0</v>
      </c>
      <c r="AP704" s="11">
        <f t="shared" si="274"/>
        <v>0.29194982454639723</v>
      </c>
      <c r="AQ704" s="11">
        <f t="shared" si="276"/>
        <v>0</v>
      </c>
      <c r="AT704" s="3"/>
      <c r="AU704" s="17"/>
      <c r="AV704" s="19"/>
      <c r="AW704" s="17"/>
      <c r="AX704" s="17">
        <f t="shared" si="295"/>
        <v>695</v>
      </c>
      <c r="AY704" s="17">
        <f t="shared" si="294"/>
        <v>69.5</v>
      </c>
      <c r="AZ704" s="17">
        <v>29.194982454639725</v>
      </c>
      <c r="BA704" s="17"/>
      <c r="BB704" s="17">
        <v>36</v>
      </c>
      <c r="BC704" s="17"/>
      <c r="BD704" s="17"/>
      <c r="BE704" s="17"/>
      <c r="BF704" s="17"/>
      <c r="BG704" s="17"/>
      <c r="BH704" s="17"/>
      <c r="BI704" s="17"/>
      <c r="BJ704" s="17"/>
      <c r="BK704" s="17"/>
      <c r="BL704" s="17"/>
      <c r="BM704" s="17"/>
      <c r="BN704" s="17"/>
      <c r="BO704" s="17"/>
      <c r="BP704" s="17"/>
      <c r="BQ704" s="17"/>
      <c r="BR704" s="17"/>
      <c r="BS704" s="17"/>
      <c r="BT704" s="17"/>
      <c r="BU704" s="17"/>
      <c r="BV704" s="17"/>
      <c r="BW704" s="17"/>
      <c r="BX704" s="17"/>
      <c r="BY704" s="17"/>
      <c r="BZ704" s="17"/>
      <c r="CA704" s="17"/>
      <c r="CB704" s="17"/>
      <c r="CC704" s="17"/>
      <c r="CD704" s="17"/>
      <c r="CE704" s="17"/>
      <c r="CF704" s="17"/>
      <c r="CG704" s="17"/>
      <c r="CH704" s="17"/>
    </row>
    <row r="705" spans="8:86" x14ac:dyDescent="0.15">
      <c r="H705" s="3">
        <f t="shared" si="289"/>
        <v>0.6930000000000005</v>
      </c>
      <c r="I705" s="3">
        <f t="shared" si="290"/>
        <v>360</v>
      </c>
      <c r="J705" s="14">
        <f t="shared" si="291"/>
        <v>500</v>
      </c>
      <c r="K705" s="3">
        <f t="shared" si="281"/>
        <v>0</v>
      </c>
      <c r="L705" s="3">
        <f t="shared" si="277"/>
        <v>500</v>
      </c>
      <c r="M705" s="15">
        <f t="shared" si="292"/>
        <v>7.0000000000000007E-2</v>
      </c>
      <c r="N705" s="3">
        <f t="shared" si="293"/>
        <v>51.005703229217296</v>
      </c>
      <c r="O705" s="3">
        <f t="shared" si="278"/>
        <v>51.005703229217296</v>
      </c>
      <c r="P705" s="3">
        <f t="shared" si="282"/>
        <v>54.844842181954085</v>
      </c>
      <c r="Q705" s="3">
        <f t="shared" si="283"/>
        <v>12.162154257191641</v>
      </c>
      <c r="R705" s="3">
        <f t="shared" si="284"/>
        <v>33.503498219572862</v>
      </c>
      <c r="S705" s="3">
        <f t="shared" si="279"/>
        <v>1</v>
      </c>
      <c r="T705" s="3">
        <f t="shared" si="285"/>
        <v>21341.343962381223</v>
      </c>
      <c r="U705" s="3">
        <f t="shared" si="286"/>
        <v>0.5</v>
      </c>
      <c r="V705" s="3">
        <f t="shared" si="287"/>
        <v>0</v>
      </c>
      <c r="W705" s="3">
        <f t="shared" si="288"/>
        <v>18362.053162518227</v>
      </c>
      <c r="X705" s="3">
        <f t="shared" si="280"/>
        <v>6081.0771285958208</v>
      </c>
      <c r="AI705" s="3"/>
      <c r="AJ705" s="3"/>
      <c r="AK705" s="15">
        <f t="shared" si="271"/>
        <v>3</v>
      </c>
      <c r="AL705" s="11">
        <f t="shared" si="275"/>
        <v>4176</v>
      </c>
      <c r="AM705" s="11" t="b">
        <f t="shared" si="270"/>
        <v>0</v>
      </c>
      <c r="AN705" s="11">
        <f t="shared" si="272"/>
        <v>36000</v>
      </c>
      <c r="AO705" s="11">
        <f t="shared" si="273"/>
        <v>0</v>
      </c>
      <c r="AP705" s="11">
        <f t="shared" si="274"/>
        <v>0.29305213936121205</v>
      </c>
      <c r="AQ705" s="11">
        <f t="shared" si="276"/>
        <v>0</v>
      </c>
      <c r="AT705" s="3"/>
      <c r="AU705" s="17"/>
      <c r="AV705" s="19"/>
      <c r="AW705" s="17"/>
      <c r="AX705" s="17">
        <f t="shared" si="295"/>
        <v>696</v>
      </c>
      <c r="AY705" s="17">
        <f t="shared" si="294"/>
        <v>69.599999999999994</v>
      </c>
      <c r="AZ705" s="17">
        <v>29.305213936121206</v>
      </c>
      <c r="BA705" s="17"/>
      <c r="BB705" s="17">
        <v>36</v>
      </c>
      <c r="BC705" s="17"/>
      <c r="BD705" s="17"/>
      <c r="BE705" s="17"/>
      <c r="BF705" s="17"/>
      <c r="BG705" s="17"/>
      <c r="BH705" s="17"/>
      <c r="BI705" s="17"/>
      <c r="BJ705" s="17"/>
      <c r="BK705" s="17"/>
      <c r="BL705" s="17"/>
      <c r="BM705" s="17"/>
      <c r="BN705" s="17"/>
      <c r="BO705" s="17"/>
      <c r="BP705" s="17"/>
      <c r="BQ705" s="17"/>
      <c r="BR705" s="17"/>
      <c r="BS705" s="17"/>
      <c r="BT705" s="17"/>
      <c r="BU705" s="17"/>
      <c r="BV705" s="17"/>
      <c r="BW705" s="17"/>
      <c r="BX705" s="17"/>
      <c r="BY705" s="17"/>
      <c r="BZ705" s="17"/>
      <c r="CA705" s="17"/>
      <c r="CB705" s="17"/>
      <c r="CC705" s="17"/>
      <c r="CD705" s="17"/>
      <c r="CE705" s="17"/>
      <c r="CF705" s="17"/>
      <c r="CG705" s="17"/>
      <c r="CH705" s="17"/>
    </row>
    <row r="706" spans="8:86" x14ac:dyDescent="0.15">
      <c r="H706" s="3">
        <f t="shared" si="289"/>
        <v>0.69400000000000051</v>
      </c>
      <c r="I706" s="3">
        <f t="shared" si="290"/>
        <v>360</v>
      </c>
      <c r="J706" s="14">
        <f t="shared" si="291"/>
        <v>500</v>
      </c>
      <c r="K706" s="3">
        <f t="shared" si="281"/>
        <v>0</v>
      </c>
      <c r="L706" s="3">
        <f t="shared" si="277"/>
        <v>500</v>
      </c>
      <c r="M706" s="15">
        <f t="shared" si="292"/>
        <v>7.0000000000000007E-2</v>
      </c>
      <c r="N706" s="3">
        <f t="shared" si="293"/>
        <v>50.946421718210686</v>
      </c>
      <c r="O706" s="3">
        <f t="shared" si="278"/>
        <v>50.946421718210686</v>
      </c>
      <c r="P706" s="3">
        <f t="shared" si="282"/>
        <v>54.781098621731921</v>
      </c>
      <c r="Q706" s="3">
        <f t="shared" si="283"/>
        <v>12.11947156926688</v>
      </c>
      <c r="R706" s="3">
        <f t="shared" si="284"/>
        <v>33.450285095499403</v>
      </c>
      <c r="S706" s="3">
        <f t="shared" si="279"/>
        <v>1</v>
      </c>
      <c r="T706" s="3">
        <f t="shared" si="285"/>
        <v>21330.813526232523</v>
      </c>
      <c r="U706" s="3">
        <f t="shared" si="286"/>
        <v>0.5</v>
      </c>
      <c r="V706" s="3">
        <f t="shared" si="287"/>
        <v>0</v>
      </c>
      <c r="W706" s="3">
        <f t="shared" si="288"/>
        <v>18340.711818555847</v>
      </c>
      <c r="X706" s="3">
        <f t="shared" si="280"/>
        <v>6059.7357846334398</v>
      </c>
      <c r="AI706" s="3"/>
      <c r="AJ706" s="3"/>
      <c r="AK706" s="15">
        <f t="shared" si="271"/>
        <v>3</v>
      </c>
      <c r="AL706" s="11">
        <f t="shared" si="275"/>
        <v>4182</v>
      </c>
      <c r="AM706" s="11" t="b">
        <f t="shared" si="270"/>
        <v>0</v>
      </c>
      <c r="AN706" s="11">
        <f t="shared" si="272"/>
        <v>36000</v>
      </c>
      <c r="AO706" s="11">
        <f t="shared" si="273"/>
        <v>0</v>
      </c>
      <c r="AP706" s="11">
        <f t="shared" si="274"/>
        <v>0.29415445417602681</v>
      </c>
      <c r="AQ706" s="11">
        <f t="shared" si="276"/>
        <v>0</v>
      </c>
      <c r="AT706" s="3"/>
      <c r="AU706" s="17"/>
      <c r="AV706" s="19"/>
      <c r="AW706" s="17"/>
      <c r="AX706" s="17">
        <f t="shared" si="295"/>
        <v>697</v>
      </c>
      <c r="AY706" s="17">
        <f t="shared" si="294"/>
        <v>69.7</v>
      </c>
      <c r="AZ706" s="17">
        <v>29.415445417602683</v>
      </c>
      <c r="BA706" s="17"/>
      <c r="BB706" s="17">
        <v>36</v>
      </c>
      <c r="BC706" s="17"/>
      <c r="BD706" s="17"/>
      <c r="BE706" s="17"/>
      <c r="BF706" s="17"/>
      <c r="BG706" s="17"/>
      <c r="BH706" s="17"/>
      <c r="BI706" s="17"/>
      <c r="BJ706" s="17"/>
      <c r="BK706" s="17"/>
      <c r="BL706" s="17"/>
      <c r="BM706" s="17"/>
      <c r="BN706" s="17"/>
      <c r="BO706" s="17"/>
      <c r="BP706" s="17"/>
      <c r="BQ706" s="17"/>
      <c r="BR706" s="17"/>
      <c r="BS706" s="17"/>
      <c r="BT706" s="17"/>
      <c r="BU706" s="17"/>
      <c r="BV706" s="17"/>
      <c r="BW706" s="17"/>
      <c r="BX706" s="17"/>
      <c r="BY706" s="17"/>
      <c r="BZ706" s="17"/>
      <c r="CA706" s="17"/>
      <c r="CB706" s="17"/>
      <c r="CC706" s="17"/>
      <c r="CD706" s="17"/>
      <c r="CE706" s="17"/>
      <c r="CF706" s="17"/>
      <c r="CG706" s="17"/>
      <c r="CH706" s="17"/>
    </row>
    <row r="707" spans="8:86" x14ac:dyDescent="0.15">
      <c r="H707" s="3">
        <f t="shared" si="289"/>
        <v>0.69500000000000051</v>
      </c>
      <c r="I707" s="3">
        <f t="shared" si="290"/>
        <v>360</v>
      </c>
      <c r="J707" s="14">
        <f t="shared" si="291"/>
        <v>500</v>
      </c>
      <c r="K707" s="3">
        <f t="shared" si="281"/>
        <v>0</v>
      </c>
      <c r="L707" s="3">
        <f t="shared" si="277"/>
        <v>500</v>
      </c>
      <c r="M707" s="15">
        <f t="shared" si="292"/>
        <v>7.0000000000000007E-2</v>
      </c>
      <c r="N707" s="3">
        <f t="shared" si="293"/>
        <v>50.887169458415592</v>
      </c>
      <c r="O707" s="3">
        <f t="shared" si="278"/>
        <v>50.887169458415592</v>
      </c>
      <c r="P707" s="3">
        <f t="shared" si="282"/>
        <v>54.717386514425371</v>
      </c>
      <c r="Q707" s="3">
        <f t="shared" si="283"/>
        <v>12.076809942214416</v>
      </c>
      <c r="R707" s="3">
        <f t="shared" si="284"/>
        <v>33.397098228319891</v>
      </c>
      <c r="S707" s="3">
        <f t="shared" si="279"/>
        <v>1</v>
      </c>
      <c r="T707" s="3">
        <f t="shared" si="285"/>
        <v>21320.288286105475</v>
      </c>
      <c r="U707" s="3">
        <f t="shared" si="286"/>
        <v>0.5</v>
      </c>
      <c r="V707" s="3">
        <f t="shared" si="287"/>
        <v>0</v>
      </c>
      <c r="W707" s="3">
        <f t="shared" si="288"/>
        <v>18319.381005029612</v>
      </c>
      <c r="X707" s="3">
        <f t="shared" si="280"/>
        <v>6038.4049711072075</v>
      </c>
      <c r="AI707" s="3"/>
      <c r="AJ707" s="3"/>
      <c r="AK707" s="15">
        <f t="shared" si="271"/>
        <v>3</v>
      </c>
      <c r="AL707" s="11">
        <f t="shared" si="275"/>
        <v>4188</v>
      </c>
      <c r="AM707" s="11" t="b">
        <f t="shared" si="270"/>
        <v>0</v>
      </c>
      <c r="AN707" s="11">
        <f t="shared" si="272"/>
        <v>36000</v>
      </c>
      <c r="AO707" s="11">
        <f t="shared" si="273"/>
        <v>0</v>
      </c>
      <c r="AP707" s="11">
        <f t="shared" si="274"/>
        <v>0.29525676899084163</v>
      </c>
      <c r="AQ707" s="11">
        <f t="shared" si="276"/>
        <v>0</v>
      </c>
      <c r="AT707" s="3"/>
      <c r="AU707" s="17"/>
      <c r="AV707" s="19"/>
      <c r="AW707" s="17"/>
      <c r="AX707" s="17">
        <f t="shared" si="295"/>
        <v>698</v>
      </c>
      <c r="AY707" s="17">
        <f t="shared" si="294"/>
        <v>69.8</v>
      </c>
      <c r="AZ707" s="17">
        <v>29.525676899084164</v>
      </c>
      <c r="BA707" s="17"/>
      <c r="BB707" s="17">
        <v>36</v>
      </c>
      <c r="BC707" s="17"/>
      <c r="BD707" s="17"/>
      <c r="BE707" s="17"/>
      <c r="BF707" s="17"/>
      <c r="BG707" s="17"/>
      <c r="BH707" s="17"/>
      <c r="BI707" s="17"/>
      <c r="BJ707" s="17"/>
      <c r="BK707" s="17"/>
      <c r="BL707" s="17"/>
      <c r="BM707" s="17"/>
      <c r="BN707" s="17"/>
      <c r="BO707" s="17"/>
      <c r="BP707" s="17"/>
      <c r="BQ707" s="17"/>
      <c r="BR707" s="17"/>
      <c r="BS707" s="17"/>
      <c r="BT707" s="17"/>
      <c r="BU707" s="17"/>
      <c r="BV707" s="17"/>
      <c r="BW707" s="17"/>
      <c r="BX707" s="17"/>
      <c r="BY707" s="17"/>
      <c r="BZ707" s="17"/>
      <c r="CA707" s="17"/>
      <c r="CB707" s="17"/>
      <c r="CC707" s="17"/>
      <c r="CD707" s="17"/>
      <c r="CE707" s="17"/>
      <c r="CF707" s="17"/>
      <c r="CG707" s="17"/>
      <c r="CH707" s="17"/>
    </row>
    <row r="708" spans="8:86" x14ac:dyDescent="0.15">
      <c r="H708" s="3">
        <f t="shared" si="289"/>
        <v>0.69600000000000051</v>
      </c>
      <c r="I708" s="3">
        <f t="shared" si="290"/>
        <v>360</v>
      </c>
      <c r="J708" s="14">
        <f t="shared" si="291"/>
        <v>500</v>
      </c>
      <c r="K708" s="3">
        <f t="shared" si="281"/>
        <v>0</v>
      </c>
      <c r="L708" s="3">
        <f t="shared" si="277"/>
        <v>500</v>
      </c>
      <c r="M708" s="15">
        <f t="shared" si="292"/>
        <v>7.0000000000000007E-2</v>
      </c>
      <c r="N708" s="3">
        <f t="shared" si="293"/>
        <v>50.827946435398637</v>
      </c>
      <c r="O708" s="3">
        <f t="shared" si="278"/>
        <v>50.827946435398637</v>
      </c>
      <c r="P708" s="3">
        <f t="shared" si="282"/>
        <v>54.653705844514668</v>
      </c>
      <c r="Q708" s="3">
        <f t="shared" si="283"/>
        <v>12.034169365642205</v>
      </c>
      <c r="R708" s="3">
        <f t="shared" si="284"/>
        <v>33.343937605078438</v>
      </c>
      <c r="S708" s="3">
        <f t="shared" si="279"/>
        <v>1</v>
      </c>
      <c r="T708" s="3">
        <f t="shared" si="285"/>
        <v>21309.768239436231</v>
      </c>
      <c r="U708" s="3">
        <f t="shared" si="286"/>
        <v>0.5</v>
      </c>
      <c r="V708" s="3">
        <f t="shared" si="287"/>
        <v>0</v>
      </c>
      <c r="W708" s="3">
        <f t="shared" si="288"/>
        <v>18298.060716743508</v>
      </c>
      <c r="X708" s="3">
        <f t="shared" si="280"/>
        <v>6017.0846828211024</v>
      </c>
      <c r="AI708" s="3"/>
      <c r="AJ708" s="3"/>
      <c r="AK708" s="15">
        <f t="shared" si="271"/>
        <v>3</v>
      </c>
      <c r="AL708" s="11">
        <f t="shared" si="275"/>
        <v>4194</v>
      </c>
      <c r="AM708" s="11" t="b">
        <f t="shared" si="270"/>
        <v>0</v>
      </c>
      <c r="AN708" s="11">
        <f t="shared" si="272"/>
        <v>36000</v>
      </c>
      <c r="AO708" s="11">
        <f t="shared" si="273"/>
        <v>0</v>
      </c>
      <c r="AP708" s="11">
        <f t="shared" si="274"/>
        <v>0.2963590838056564</v>
      </c>
      <c r="AQ708" s="11">
        <f t="shared" si="276"/>
        <v>0</v>
      </c>
      <c r="AT708" s="3"/>
      <c r="AU708" s="17"/>
      <c r="AV708" s="19"/>
      <c r="AW708" s="17"/>
      <c r="AX708" s="17">
        <f t="shared" si="295"/>
        <v>699</v>
      </c>
      <c r="AY708" s="17">
        <f t="shared" si="294"/>
        <v>69.900000000000006</v>
      </c>
      <c r="AZ708" s="17">
        <v>29.635908380565638</v>
      </c>
      <c r="BA708" s="17"/>
      <c r="BB708" s="17">
        <v>36</v>
      </c>
      <c r="BC708" s="17"/>
      <c r="BD708" s="17"/>
      <c r="BE708" s="17"/>
      <c r="BF708" s="17"/>
      <c r="BG708" s="17"/>
      <c r="BH708" s="17"/>
      <c r="BI708" s="17"/>
      <c r="BJ708" s="17"/>
      <c r="BK708" s="17"/>
      <c r="BL708" s="17"/>
      <c r="BM708" s="17"/>
      <c r="BN708" s="17"/>
      <c r="BO708" s="17"/>
      <c r="BP708" s="17"/>
      <c r="BQ708" s="17"/>
      <c r="BR708" s="17"/>
      <c r="BS708" s="17"/>
      <c r="BT708" s="17"/>
      <c r="BU708" s="17"/>
      <c r="BV708" s="17"/>
      <c r="BW708" s="17"/>
      <c r="BX708" s="17"/>
      <c r="BY708" s="17"/>
      <c r="BZ708" s="17"/>
      <c r="CA708" s="17"/>
      <c r="CB708" s="17"/>
      <c r="CC708" s="17"/>
      <c r="CD708" s="17"/>
      <c r="CE708" s="17"/>
      <c r="CF708" s="17"/>
      <c r="CG708" s="17"/>
      <c r="CH708" s="17"/>
    </row>
    <row r="709" spans="8:86" x14ac:dyDescent="0.15">
      <c r="H709" s="3">
        <f t="shared" si="289"/>
        <v>0.69700000000000051</v>
      </c>
      <c r="I709" s="3">
        <f t="shared" si="290"/>
        <v>360</v>
      </c>
      <c r="J709" s="14">
        <f t="shared" si="291"/>
        <v>500</v>
      </c>
      <c r="K709" s="3">
        <f t="shared" si="281"/>
        <v>0</v>
      </c>
      <c r="L709" s="3">
        <f t="shared" si="277"/>
        <v>500</v>
      </c>
      <c r="M709" s="15">
        <f t="shared" si="292"/>
        <v>7.0000000000000007E-2</v>
      </c>
      <c r="N709" s="3">
        <f t="shared" si="293"/>
        <v>50.768752634733531</v>
      </c>
      <c r="O709" s="3">
        <f t="shared" si="278"/>
        <v>50.768752634733531</v>
      </c>
      <c r="P709" s="3">
        <f t="shared" si="282"/>
        <v>54.590056596487671</v>
      </c>
      <c r="Q709" s="3">
        <f t="shared" si="283"/>
        <v>11.991549829163333</v>
      </c>
      <c r="R709" s="3">
        <f t="shared" si="284"/>
        <v>33.290803212825502</v>
      </c>
      <c r="S709" s="3">
        <f t="shared" si="279"/>
        <v>1</v>
      </c>
      <c r="T709" s="3">
        <f t="shared" si="285"/>
        <v>21299.25338366217</v>
      </c>
      <c r="U709" s="3">
        <f t="shared" si="286"/>
        <v>0.5</v>
      </c>
      <c r="V709" s="3">
        <f t="shared" si="287"/>
        <v>0</v>
      </c>
      <c r="W709" s="3">
        <f t="shared" si="288"/>
        <v>18276.750948504072</v>
      </c>
      <c r="X709" s="3">
        <f t="shared" si="280"/>
        <v>5995.7749145816661</v>
      </c>
      <c r="AI709" s="3"/>
      <c r="AJ709" s="3"/>
      <c r="AK709" s="15">
        <f t="shared" si="271"/>
        <v>3</v>
      </c>
      <c r="AL709" s="11">
        <f t="shared" si="275"/>
        <v>4200</v>
      </c>
      <c r="AM709" s="11" t="b">
        <f t="shared" si="270"/>
        <v>0</v>
      </c>
      <c r="AN709" s="11">
        <f t="shared" si="272"/>
        <v>36000</v>
      </c>
      <c r="AO709" s="11">
        <f t="shared" si="273"/>
        <v>0</v>
      </c>
      <c r="AP709" s="11">
        <f t="shared" si="274"/>
        <v>0.29746139862047122</v>
      </c>
      <c r="AQ709" s="11">
        <f t="shared" si="276"/>
        <v>0</v>
      </c>
      <c r="AT709" s="3"/>
      <c r="AU709" s="17"/>
      <c r="AV709" s="19"/>
      <c r="AW709" s="17"/>
      <c r="AX709" s="17">
        <f t="shared" si="295"/>
        <v>700</v>
      </c>
      <c r="AY709" s="17">
        <f t="shared" si="294"/>
        <v>70</v>
      </c>
      <c r="AZ709" s="17">
        <v>29.746139862047123</v>
      </c>
      <c r="BA709" s="17"/>
      <c r="BB709" s="17">
        <v>36</v>
      </c>
      <c r="BC709" s="17"/>
      <c r="BD709" s="17"/>
      <c r="BE709" s="17"/>
      <c r="BF709" s="17"/>
      <c r="BG709" s="17"/>
      <c r="BH709" s="17"/>
      <c r="BI709" s="17"/>
      <c r="BJ709" s="17"/>
      <c r="BK709" s="17"/>
      <c r="BL709" s="17"/>
      <c r="BM709" s="17"/>
      <c r="BN709" s="17"/>
      <c r="BO709" s="17"/>
      <c r="BP709" s="17"/>
      <c r="BQ709" s="17"/>
      <c r="BR709" s="17"/>
      <c r="BS709" s="17"/>
      <c r="BT709" s="17"/>
      <c r="BU709" s="17"/>
      <c r="BV709" s="17"/>
      <c r="BW709" s="17"/>
      <c r="BX709" s="17"/>
      <c r="BY709" s="17"/>
      <c r="BZ709" s="17"/>
      <c r="CA709" s="17"/>
      <c r="CB709" s="17"/>
      <c r="CC709" s="17"/>
      <c r="CD709" s="17"/>
      <c r="CE709" s="17"/>
      <c r="CF709" s="17"/>
      <c r="CG709" s="17"/>
      <c r="CH709" s="17"/>
    </row>
    <row r="710" spans="8:86" x14ac:dyDescent="0.15">
      <c r="H710" s="3">
        <f t="shared" si="289"/>
        <v>0.69800000000000051</v>
      </c>
      <c r="I710" s="3">
        <f t="shared" si="290"/>
        <v>360</v>
      </c>
      <c r="J710" s="14">
        <f t="shared" si="291"/>
        <v>500</v>
      </c>
      <c r="K710" s="3">
        <f t="shared" si="281"/>
        <v>0</v>
      </c>
      <c r="L710" s="3">
        <f t="shared" si="277"/>
        <v>500</v>
      </c>
      <c r="M710" s="15">
        <f t="shared" si="292"/>
        <v>7.0000000000000007E-2</v>
      </c>
      <c r="N710" s="3">
        <f t="shared" si="293"/>
        <v>50.709588042001137</v>
      </c>
      <c r="O710" s="3">
        <f t="shared" si="278"/>
        <v>50.709588042001137</v>
      </c>
      <c r="P710" s="3">
        <f t="shared" si="282"/>
        <v>54.526438754839937</v>
      </c>
      <c r="Q710" s="3">
        <f t="shared" si="283"/>
        <v>11.948951322396008</v>
      </c>
      <c r="R710" s="3">
        <f t="shared" si="284"/>
        <v>33.237695038617971</v>
      </c>
      <c r="S710" s="3">
        <f t="shared" si="279"/>
        <v>1</v>
      </c>
      <c r="T710" s="3">
        <f t="shared" si="285"/>
        <v>21288.743716221965</v>
      </c>
      <c r="U710" s="3">
        <f t="shared" si="286"/>
        <v>0.5</v>
      </c>
      <c r="V710" s="3">
        <f t="shared" si="287"/>
        <v>0</v>
      </c>
      <c r="W710" s="3">
        <f t="shared" si="288"/>
        <v>18255.45169512041</v>
      </c>
      <c r="X710" s="3">
        <f t="shared" si="280"/>
        <v>5974.4756611980038</v>
      </c>
      <c r="AI710" s="3"/>
      <c r="AJ710" s="3"/>
      <c r="AK710" s="15">
        <f t="shared" si="271"/>
        <v>3</v>
      </c>
      <c r="AL710" s="11">
        <f t="shared" si="275"/>
        <v>4206</v>
      </c>
      <c r="AM710" s="11" t="b">
        <f t="shared" si="270"/>
        <v>0</v>
      </c>
      <c r="AN710" s="11">
        <f t="shared" si="272"/>
        <v>36000</v>
      </c>
      <c r="AO710" s="11">
        <f t="shared" si="273"/>
        <v>0</v>
      </c>
      <c r="AP710" s="11">
        <f t="shared" si="274"/>
        <v>0.29856371343528598</v>
      </c>
      <c r="AQ710" s="11">
        <f t="shared" si="276"/>
        <v>0</v>
      </c>
      <c r="AT710" s="3"/>
      <c r="AU710" s="17"/>
      <c r="AV710" s="19"/>
      <c r="AW710" s="17"/>
      <c r="AX710" s="17">
        <f t="shared" si="295"/>
        <v>701</v>
      </c>
      <c r="AY710" s="17">
        <f t="shared" si="294"/>
        <v>70.099999999999994</v>
      </c>
      <c r="AZ710" s="17">
        <v>29.856371343528597</v>
      </c>
      <c r="BA710" s="17"/>
      <c r="BB710" s="17">
        <v>36</v>
      </c>
      <c r="BC710" s="17"/>
      <c r="BD710" s="17"/>
      <c r="BE710" s="17"/>
      <c r="BF710" s="17"/>
      <c r="BG710" s="17"/>
      <c r="BH710" s="17"/>
      <c r="BI710" s="17"/>
      <c r="BJ710" s="17"/>
      <c r="BK710" s="17"/>
      <c r="BL710" s="17"/>
      <c r="BM710" s="17"/>
      <c r="BN710" s="17"/>
      <c r="BO710" s="17"/>
      <c r="BP710" s="17"/>
      <c r="BQ710" s="17"/>
      <c r="BR710" s="17"/>
      <c r="BS710" s="17"/>
      <c r="BT710" s="17"/>
      <c r="BU710" s="17"/>
      <c r="BV710" s="17"/>
      <c r="BW710" s="17"/>
      <c r="BX710" s="17"/>
      <c r="BY710" s="17"/>
      <c r="BZ710" s="17"/>
      <c r="CA710" s="17"/>
      <c r="CB710" s="17"/>
      <c r="CC710" s="17"/>
      <c r="CD710" s="17"/>
      <c r="CE710" s="17"/>
      <c r="CF710" s="17"/>
      <c r="CG710" s="17"/>
      <c r="CH710" s="17"/>
    </row>
    <row r="711" spans="8:86" x14ac:dyDescent="0.15">
      <c r="H711" s="3">
        <f t="shared" si="289"/>
        <v>0.69900000000000051</v>
      </c>
      <c r="I711" s="3">
        <f t="shared" si="290"/>
        <v>360</v>
      </c>
      <c r="J711" s="14">
        <f t="shared" si="291"/>
        <v>500</v>
      </c>
      <c r="K711" s="3">
        <f t="shared" si="281"/>
        <v>0</v>
      </c>
      <c r="L711" s="3">
        <f t="shared" si="277"/>
        <v>500</v>
      </c>
      <c r="M711" s="15">
        <f t="shared" si="292"/>
        <v>7.0000000000000007E-2</v>
      </c>
      <c r="N711" s="3">
        <f t="shared" si="293"/>
        <v>50.650452642789411</v>
      </c>
      <c r="O711" s="3">
        <f t="shared" si="278"/>
        <v>50.650452642789411</v>
      </c>
      <c r="P711" s="3">
        <f t="shared" si="282"/>
        <v>54.462852304074637</v>
      </c>
      <c r="Q711" s="3">
        <f t="shared" si="283"/>
        <v>11.906373834963563</v>
      </c>
      <c r="R711" s="3">
        <f t="shared" si="284"/>
        <v>33.184613069519102</v>
      </c>
      <c r="S711" s="3">
        <f t="shared" si="279"/>
        <v>1</v>
      </c>
      <c r="T711" s="3">
        <f t="shared" si="285"/>
        <v>21278.239234555534</v>
      </c>
      <c r="U711" s="3">
        <f t="shared" si="286"/>
        <v>0.5</v>
      </c>
      <c r="V711" s="3">
        <f t="shared" si="287"/>
        <v>0</v>
      </c>
      <c r="W711" s="3">
        <f t="shared" si="288"/>
        <v>18234.162951404189</v>
      </c>
      <c r="X711" s="3">
        <f t="shared" si="280"/>
        <v>5953.1869174817821</v>
      </c>
      <c r="AI711" s="3"/>
      <c r="AJ711" s="3"/>
      <c r="AK711" s="15">
        <f t="shared" si="271"/>
        <v>3</v>
      </c>
      <c r="AL711" s="11">
        <f t="shared" si="275"/>
        <v>4212</v>
      </c>
      <c r="AM711" s="11" t="b">
        <f t="shared" si="270"/>
        <v>0</v>
      </c>
      <c r="AN711" s="11">
        <f t="shared" si="272"/>
        <v>36000</v>
      </c>
      <c r="AO711" s="11">
        <f t="shared" si="273"/>
        <v>0</v>
      </c>
      <c r="AP711" s="11">
        <f t="shared" si="274"/>
        <v>0.2996660282501008</v>
      </c>
      <c r="AQ711" s="11">
        <f t="shared" si="276"/>
        <v>0</v>
      </c>
      <c r="AT711" s="3"/>
      <c r="AU711" s="17"/>
      <c r="AV711" s="19"/>
      <c r="AW711" s="17"/>
      <c r="AX711" s="17">
        <f t="shared" si="295"/>
        <v>702</v>
      </c>
      <c r="AY711" s="17">
        <f t="shared" si="294"/>
        <v>70.2</v>
      </c>
      <c r="AZ711" s="17">
        <v>29.966602825010082</v>
      </c>
      <c r="BA711" s="17"/>
      <c r="BB711" s="17">
        <v>36</v>
      </c>
      <c r="BC711" s="17"/>
      <c r="BD711" s="17"/>
      <c r="BE711" s="17"/>
      <c r="BF711" s="17"/>
      <c r="BG711" s="17"/>
      <c r="BH711" s="17"/>
      <c r="BI711" s="17"/>
      <c r="BJ711" s="17"/>
      <c r="BK711" s="17"/>
      <c r="BL711" s="17"/>
      <c r="BM711" s="17"/>
      <c r="BN711" s="17"/>
      <c r="BO711" s="17"/>
      <c r="BP711" s="17"/>
      <c r="BQ711" s="17"/>
      <c r="BR711" s="17"/>
      <c r="BS711" s="17"/>
      <c r="BT711" s="17"/>
      <c r="BU711" s="17"/>
      <c r="BV711" s="17"/>
      <c r="BW711" s="17"/>
      <c r="BX711" s="17"/>
      <c r="BY711" s="17"/>
      <c r="BZ711" s="17"/>
      <c r="CA711" s="17"/>
      <c r="CB711" s="17"/>
      <c r="CC711" s="17"/>
      <c r="CD711" s="17"/>
      <c r="CE711" s="17"/>
      <c r="CF711" s="17"/>
      <c r="CG711" s="17"/>
      <c r="CH711" s="17"/>
    </row>
    <row r="712" spans="8:86" x14ac:dyDescent="0.15">
      <c r="H712" s="3">
        <f t="shared" si="289"/>
        <v>0.70000000000000051</v>
      </c>
      <c r="I712" s="3">
        <f t="shared" si="290"/>
        <v>360</v>
      </c>
      <c r="J712" s="14">
        <f t="shared" si="291"/>
        <v>500</v>
      </c>
      <c r="K712" s="3">
        <f t="shared" si="281"/>
        <v>0</v>
      </c>
      <c r="L712" s="3">
        <f t="shared" si="277"/>
        <v>500</v>
      </c>
      <c r="M712" s="15">
        <f t="shared" si="292"/>
        <v>7.0000000000000007E-2</v>
      </c>
      <c r="N712" s="3">
        <f t="shared" si="293"/>
        <v>50.591346422693427</v>
      </c>
      <c r="O712" s="3">
        <f t="shared" si="278"/>
        <v>50.591346422693427</v>
      </c>
      <c r="P712" s="3">
        <f t="shared" si="282"/>
        <v>54.399297228702615</v>
      </c>
      <c r="Q712" s="3">
        <f t="shared" si="283"/>
        <v>11.863817356494454</v>
      </c>
      <c r="R712" s="3">
        <f t="shared" si="284"/>
        <v>33.131557292598536</v>
      </c>
      <c r="S712" s="3">
        <f t="shared" si="279"/>
        <v>1</v>
      </c>
      <c r="T712" s="3">
        <f t="shared" si="285"/>
        <v>21267.739936104077</v>
      </c>
      <c r="U712" s="3">
        <f t="shared" si="286"/>
        <v>0.5</v>
      </c>
      <c r="V712" s="3">
        <f t="shared" si="287"/>
        <v>0</v>
      </c>
      <c r="W712" s="3">
        <f t="shared" si="288"/>
        <v>18212.884712169634</v>
      </c>
      <c r="X712" s="3">
        <f t="shared" si="280"/>
        <v>5931.9086782472268</v>
      </c>
      <c r="AI712" s="3"/>
      <c r="AJ712" s="3"/>
      <c r="AK712" s="15">
        <f t="shared" si="271"/>
        <v>3</v>
      </c>
      <c r="AL712" s="11">
        <f t="shared" si="275"/>
        <v>4218</v>
      </c>
      <c r="AM712" s="11" t="b">
        <f t="shared" si="270"/>
        <v>0</v>
      </c>
      <c r="AN712" s="11">
        <f t="shared" si="272"/>
        <v>36000</v>
      </c>
      <c r="AO712" s="11">
        <f t="shared" si="273"/>
        <v>0</v>
      </c>
      <c r="AP712" s="11">
        <f t="shared" si="274"/>
        <v>0.30076834306491557</v>
      </c>
      <c r="AQ712" s="11">
        <f t="shared" si="276"/>
        <v>0</v>
      </c>
      <c r="AT712" s="3"/>
      <c r="AU712" s="17"/>
      <c r="AV712" s="19"/>
      <c r="AW712" s="17"/>
      <c r="AX712" s="17">
        <f t="shared" si="295"/>
        <v>703</v>
      </c>
      <c r="AY712" s="17">
        <f t="shared" si="294"/>
        <v>70.3</v>
      </c>
      <c r="AZ712" s="17">
        <v>30.076834306491556</v>
      </c>
      <c r="BA712" s="17"/>
      <c r="BB712" s="17">
        <v>36</v>
      </c>
      <c r="BC712" s="17"/>
      <c r="BD712" s="17"/>
      <c r="BE712" s="17"/>
      <c r="BF712" s="17"/>
      <c r="BG712" s="17"/>
      <c r="BH712" s="17"/>
      <c r="BI712" s="17"/>
      <c r="BJ712" s="17"/>
      <c r="BK712" s="17"/>
      <c r="BL712" s="17"/>
      <c r="BM712" s="17"/>
      <c r="BN712" s="17"/>
      <c r="BO712" s="17"/>
      <c r="BP712" s="17"/>
      <c r="BQ712" s="17"/>
      <c r="BR712" s="17"/>
      <c r="BS712" s="17"/>
      <c r="BT712" s="17"/>
      <c r="BU712" s="17"/>
      <c r="BV712" s="17"/>
      <c r="BW712" s="17"/>
      <c r="BX712" s="17"/>
      <c r="BY712" s="17"/>
      <c r="BZ712" s="17"/>
      <c r="CA712" s="17"/>
      <c r="CB712" s="17"/>
      <c r="CC712" s="17"/>
      <c r="CD712" s="17"/>
      <c r="CE712" s="17"/>
      <c r="CF712" s="17"/>
      <c r="CG712" s="17"/>
      <c r="CH712" s="17"/>
    </row>
    <row r="713" spans="8:86" x14ac:dyDescent="0.15">
      <c r="H713" s="3">
        <f t="shared" si="289"/>
        <v>0.70100000000000051</v>
      </c>
      <c r="I713" s="3">
        <f t="shared" si="290"/>
        <v>360</v>
      </c>
      <c r="J713" s="14">
        <f t="shared" si="291"/>
        <v>500</v>
      </c>
      <c r="K713" s="3">
        <f t="shared" si="281"/>
        <v>0</v>
      </c>
      <c r="L713" s="3">
        <f t="shared" si="277"/>
        <v>500</v>
      </c>
      <c r="M713" s="15">
        <f t="shared" si="292"/>
        <v>7.0000000000000007E-2</v>
      </c>
      <c r="N713" s="3">
        <f t="shared" si="293"/>
        <v>50.532269367315358</v>
      </c>
      <c r="O713" s="3">
        <f t="shared" si="278"/>
        <v>50.532269367315358</v>
      </c>
      <c r="P713" s="3">
        <f t="shared" si="282"/>
        <v>54.335773513242323</v>
      </c>
      <c r="Q713" s="3">
        <f t="shared" si="283"/>
        <v>11.821281876622246</v>
      </c>
      <c r="R713" s="3">
        <f t="shared" si="284"/>
        <v>33.078527694932284</v>
      </c>
      <c r="S713" s="3">
        <f t="shared" si="279"/>
        <v>1</v>
      </c>
      <c r="T713" s="3">
        <f t="shared" si="285"/>
        <v>21257.245818310039</v>
      </c>
      <c r="U713" s="3">
        <f t="shared" si="286"/>
        <v>0.5</v>
      </c>
      <c r="V713" s="3">
        <f t="shared" si="287"/>
        <v>0</v>
      </c>
      <c r="W713" s="3">
        <f t="shared" si="288"/>
        <v>18191.616972233529</v>
      </c>
      <c r="X713" s="3">
        <f t="shared" si="280"/>
        <v>5910.6409383111231</v>
      </c>
      <c r="AI713" s="3"/>
      <c r="AJ713" s="3"/>
      <c r="AK713" s="15">
        <f t="shared" si="271"/>
        <v>3</v>
      </c>
      <c r="AL713" s="11">
        <f t="shared" si="275"/>
        <v>4224</v>
      </c>
      <c r="AM713" s="11" t="b">
        <f t="shared" ref="AM713:AM776" si="296">OR(AND(AL713&gt;=$AC$5,AL713&lt;=$AD$5),AND(AL713&gt;=$AC$6,AL713&lt;=$AD$6),AND(AL713&gt;=$AC$7,AL713&lt;=$AD$7),AND(AL713&gt;=$AC$8,AL713&lt;=$AD$8),AND(AL713&gt;=$AC$9,AL713&lt;=$AD$9),AND(AL713&gt;=$AC$10,AL713&lt;=$AD$10),AND(AL713&gt;=$AC$11,AL713&lt;=$AD$11),AND($AD$11&lt;$AC$11,OR(AL713&lt;$AD$11,AL713&gt;$AC$11)))</f>
        <v>0</v>
      </c>
      <c r="AN713" s="11">
        <f t="shared" si="272"/>
        <v>36000</v>
      </c>
      <c r="AO713" s="11">
        <f t="shared" si="273"/>
        <v>0</v>
      </c>
      <c r="AP713" s="11">
        <f t="shared" si="274"/>
        <v>0.30187065787973039</v>
      </c>
      <c r="AQ713" s="11">
        <f t="shared" si="276"/>
        <v>0</v>
      </c>
      <c r="AT713" s="3"/>
      <c r="AU713" s="17"/>
      <c r="AV713" s="19"/>
      <c r="AW713" s="17"/>
      <c r="AX713" s="17">
        <f t="shared" si="295"/>
        <v>704</v>
      </c>
      <c r="AY713" s="17">
        <f t="shared" si="294"/>
        <v>70.400000000000006</v>
      </c>
      <c r="AZ713" s="17">
        <v>30.18706578797304</v>
      </c>
      <c r="BA713" s="17"/>
      <c r="BB713" s="17">
        <v>36</v>
      </c>
      <c r="BC713" s="17"/>
      <c r="BD713" s="17"/>
      <c r="BE713" s="17"/>
      <c r="BF713" s="17"/>
      <c r="BG713" s="17"/>
      <c r="BH713" s="17"/>
      <c r="BI713" s="17"/>
      <c r="BJ713" s="17"/>
      <c r="BK713" s="17"/>
      <c r="BL713" s="17"/>
      <c r="BM713" s="17"/>
      <c r="BN713" s="17"/>
      <c r="BO713" s="17"/>
      <c r="BP713" s="17"/>
      <c r="BQ713" s="17"/>
      <c r="BR713" s="17"/>
      <c r="BS713" s="17"/>
      <c r="BT713" s="17"/>
      <c r="BU713" s="17"/>
      <c r="BV713" s="17"/>
      <c r="BW713" s="17"/>
      <c r="BX713" s="17"/>
      <c r="BY713" s="17"/>
      <c r="BZ713" s="17"/>
      <c r="CA713" s="17"/>
      <c r="CB713" s="17"/>
      <c r="CC713" s="17"/>
      <c r="CD713" s="17"/>
      <c r="CE713" s="17"/>
      <c r="CF713" s="17"/>
      <c r="CG713" s="17"/>
      <c r="CH713" s="17"/>
    </row>
    <row r="714" spans="8:86" x14ac:dyDescent="0.15">
      <c r="H714" s="3">
        <f t="shared" si="289"/>
        <v>0.70200000000000051</v>
      </c>
      <c r="I714" s="3">
        <f t="shared" si="290"/>
        <v>360</v>
      </c>
      <c r="J714" s="14">
        <f t="shared" si="291"/>
        <v>500</v>
      </c>
      <c r="K714" s="3">
        <f t="shared" si="281"/>
        <v>0</v>
      </c>
      <c r="L714" s="3">
        <f t="shared" si="277"/>
        <v>500</v>
      </c>
      <c r="M714" s="15">
        <f t="shared" si="292"/>
        <v>7.0000000000000007E-2</v>
      </c>
      <c r="N714" s="3">
        <f t="shared" si="293"/>
        <v>50.473221462264497</v>
      </c>
      <c r="O714" s="3">
        <f t="shared" si="278"/>
        <v>50.473221462264497</v>
      </c>
      <c r="P714" s="3">
        <f t="shared" si="282"/>
        <v>54.272281142219896</v>
      </c>
      <c r="Q714" s="3">
        <f t="shared" si="283"/>
        <v>11.778767384985626</v>
      </c>
      <c r="R714" s="3">
        <f t="shared" si="284"/>
        <v>33.025524263602762</v>
      </c>
      <c r="S714" s="3">
        <f t="shared" si="279"/>
        <v>1</v>
      </c>
      <c r="T714" s="3">
        <f t="shared" si="285"/>
        <v>21246.756878617132</v>
      </c>
      <c r="U714" s="3">
        <f t="shared" si="286"/>
        <v>0.5</v>
      </c>
      <c r="V714" s="3">
        <f t="shared" si="287"/>
        <v>0</v>
      </c>
      <c r="W714" s="3">
        <f t="shared" si="288"/>
        <v>18170.359726415219</v>
      </c>
      <c r="X714" s="3">
        <f t="shared" si="280"/>
        <v>5889.3836924928128</v>
      </c>
      <c r="AI714" s="3"/>
      <c r="AJ714" s="3"/>
      <c r="AK714" s="15">
        <f t="shared" ref="AK714:AK777" si="297">1+INT(MOD(AL714/60/24-0.5,7))</f>
        <v>3</v>
      </c>
      <c r="AL714" s="11">
        <f t="shared" si="275"/>
        <v>4230</v>
      </c>
      <c r="AM714" s="11" t="b">
        <f t="shared" si="296"/>
        <v>0</v>
      </c>
      <c r="AN714" s="11">
        <f t="shared" ref="AN714:AN777" si="298">IF(AND(AM714,NOT(AM715)),$AB$26,AN713+($AB$28-IF(AND(AM713,AM714),CHOOSE(AK714,$AG$5,$AG$6,$AG$7,$AG$8,$AG$9,$AG$10,$AG$11)*$AA$22/$AA$24,0))*$AB$15)</f>
        <v>36000</v>
      </c>
      <c r="AO714" s="11">
        <f t="shared" ref="AO714:AO777" si="299">IF(AND(AM714,NOT(AM715)),$AB$27,AO713+($AB$29-IF(AND(AM713,AM714),CHOOSE(AK714,$AG$5,$AG$6,$AG$7,$AG$8,$AG$9,$AG$10,$AG$11)*$AA$23/$AA$24,0))*$AB$15)</f>
        <v>0</v>
      </c>
      <c r="AP714" s="11">
        <f t="shared" ref="AP714:AP777" si="300">IF(AN713&lt;=0,0,(AP713*AN713-(IF(AND(AM713,AM714),CHOOSE(AK714,$AI$5,$AI$6,$AI$7,$AI$8,$AI$9,$AI$10,$AI$11),$AA$37))*AP713*$AB$15+$AA$34*(AQ713-AP713)*$AB$15+$AA$33*$AB$15)/AN713)</f>
        <v>0.30297297269454515</v>
      </c>
      <c r="AQ714" s="11">
        <f t="shared" si="276"/>
        <v>0</v>
      </c>
      <c r="AT714" s="3"/>
      <c r="AU714" s="17"/>
      <c r="AV714" s="19"/>
      <c r="AW714" s="17"/>
      <c r="AX714" s="17">
        <f t="shared" si="295"/>
        <v>705</v>
      </c>
      <c r="AY714" s="17">
        <f t="shared" si="294"/>
        <v>70.5</v>
      </c>
      <c r="AZ714" s="17">
        <v>30.297297269454514</v>
      </c>
      <c r="BA714" s="17"/>
      <c r="BB714" s="17">
        <v>36</v>
      </c>
      <c r="BC714" s="17"/>
      <c r="BD714" s="17"/>
      <c r="BE714" s="17"/>
      <c r="BF714" s="17"/>
      <c r="BG714" s="17"/>
      <c r="BH714" s="17"/>
      <c r="BI714" s="17"/>
      <c r="BJ714" s="17"/>
      <c r="BK714" s="17"/>
      <c r="BL714" s="17"/>
      <c r="BM714" s="17"/>
      <c r="BN714" s="17"/>
      <c r="BO714" s="17"/>
      <c r="BP714" s="17"/>
      <c r="BQ714" s="17"/>
      <c r="BR714" s="17"/>
      <c r="BS714" s="17"/>
      <c r="BT714" s="17"/>
      <c r="BU714" s="17"/>
      <c r="BV714" s="17"/>
      <c r="BW714" s="17"/>
      <c r="BX714" s="17"/>
      <c r="BY714" s="17"/>
      <c r="BZ714" s="17"/>
      <c r="CA714" s="17"/>
      <c r="CB714" s="17"/>
      <c r="CC714" s="17"/>
      <c r="CD714" s="17"/>
      <c r="CE714" s="17"/>
      <c r="CF714" s="17"/>
      <c r="CG714" s="17"/>
      <c r="CH714" s="17"/>
    </row>
    <row r="715" spans="8:86" x14ac:dyDescent="0.15">
      <c r="H715" s="3">
        <f t="shared" si="289"/>
        <v>0.70300000000000051</v>
      </c>
      <c r="I715" s="3">
        <f t="shared" si="290"/>
        <v>360</v>
      </c>
      <c r="J715" s="14">
        <f t="shared" si="291"/>
        <v>500</v>
      </c>
      <c r="K715" s="3">
        <f t="shared" si="281"/>
        <v>0</v>
      </c>
      <c r="L715" s="3">
        <f t="shared" si="277"/>
        <v>500</v>
      </c>
      <c r="M715" s="15">
        <f t="shared" si="292"/>
        <v>7.0000000000000007E-2</v>
      </c>
      <c r="N715" s="3">
        <f t="shared" si="293"/>
        <v>50.414202693157229</v>
      </c>
      <c r="O715" s="3">
        <f t="shared" si="278"/>
        <v>50.414202693157229</v>
      </c>
      <c r="P715" s="3">
        <f t="shared" si="282"/>
        <v>54.208820100169063</v>
      </c>
      <c r="Q715" s="3">
        <f t="shared" si="283"/>
        <v>11.736273871228391</v>
      </c>
      <c r="R715" s="3">
        <f t="shared" si="284"/>
        <v>32.972546985698727</v>
      </c>
      <c r="S715" s="3">
        <f t="shared" si="279"/>
        <v>1</v>
      </c>
      <c r="T715" s="3">
        <f t="shared" si="285"/>
        <v>21236.273114470336</v>
      </c>
      <c r="U715" s="3">
        <f t="shared" si="286"/>
        <v>0.5</v>
      </c>
      <c r="V715" s="3">
        <f t="shared" si="287"/>
        <v>0</v>
      </c>
      <c r="W715" s="3">
        <f t="shared" si="288"/>
        <v>18149.112969536603</v>
      </c>
      <c r="X715" s="3">
        <f t="shared" si="280"/>
        <v>5868.1369356141959</v>
      </c>
      <c r="AI715" s="3"/>
      <c r="AJ715" s="3"/>
      <c r="AK715" s="15">
        <f t="shared" si="297"/>
        <v>3</v>
      </c>
      <c r="AL715" s="11">
        <f t="shared" ref="AL715:AL778" si="301">AL714+$AB$15</f>
        <v>4236</v>
      </c>
      <c r="AM715" s="11" t="b">
        <f t="shared" si="296"/>
        <v>0</v>
      </c>
      <c r="AN715" s="11">
        <f t="shared" si="298"/>
        <v>36000</v>
      </c>
      <c r="AO715" s="11">
        <f t="shared" si="299"/>
        <v>0</v>
      </c>
      <c r="AP715" s="11">
        <f t="shared" si="300"/>
        <v>0.30407528750935997</v>
      </c>
      <c r="AQ715" s="11">
        <f t="shared" ref="AQ715:AQ778" si="302">IF(AO714&lt;=0,0,(AQ714*AO714-$AA$34*(AQ714-AP714)*$AB$15)/AO714)</f>
        <v>0</v>
      </c>
      <c r="AT715" s="3"/>
      <c r="AU715" s="17"/>
      <c r="AV715" s="19"/>
      <c r="AW715" s="17"/>
      <c r="AX715" s="17">
        <f t="shared" si="295"/>
        <v>706</v>
      </c>
      <c r="AY715" s="17">
        <f t="shared" si="294"/>
        <v>70.599999999999994</v>
      </c>
      <c r="AZ715" s="17">
        <v>30.407528750935995</v>
      </c>
      <c r="BA715" s="17"/>
      <c r="BB715" s="17">
        <v>36</v>
      </c>
      <c r="BC715" s="17"/>
      <c r="BD715" s="17"/>
      <c r="BE715" s="17"/>
      <c r="BF715" s="17"/>
      <c r="BG715" s="17"/>
      <c r="BH715" s="17"/>
      <c r="BI715" s="17"/>
      <c r="BJ715" s="17"/>
      <c r="BK715" s="17"/>
      <c r="BL715" s="17"/>
      <c r="BM715" s="17"/>
      <c r="BN715" s="17"/>
      <c r="BO715" s="17"/>
      <c r="BP715" s="17"/>
      <c r="BQ715" s="17"/>
      <c r="BR715" s="17"/>
      <c r="BS715" s="17"/>
      <c r="BT715" s="17"/>
      <c r="BU715" s="17"/>
      <c r="BV715" s="17"/>
      <c r="BW715" s="17"/>
      <c r="BX715" s="17"/>
      <c r="BY715" s="17"/>
      <c r="BZ715" s="17"/>
      <c r="CA715" s="17"/>
      <c r="CB715" s="17"/>
      <c r="CC715" s="17"/>
      <c r="CD715" s="17"/>
      <c r="CE715" s="17"/>
      <c r="CF715" s="17"/>
      <c r="CG715" s="17"/>
      <c r="CH715" s="17"/>
    </row>
    <row r="716" spans="8:86" x14ac:dyDescent="0.15">
      <c r="H716" s="3">
        <f t="shared" si="289"/>
        <v>0.70400000000000051</v>
      </c>
      <c r="I716" s="3">
        <f t="shared" si="290"/>
        <v>360</v>
      </c>
      <c r="J716" s="14">
        <f t="shared" si="291"/>
        <v>500</v>
      </c>
      <c r="K716" s="3">
        <f t="shared" si="281"/>
        <v>0</v>
      </c>
      <c r="L716" s="3">
        <f t="shared" ref="L716:L779" si="303">$L$8*$L$6/I716</f>
        <v>500</v>
      </c>
      <c r="M716" s="15">
        <f t="shared" si="292"/>
        <v>7.0000000000000007E-2</v>
      </c>
      <c r="N716" s="3">
        <f t="shared" si="293"/>
        <v>50.355213045617035</v>
      </c>
      <c r="O716" s="3">
        <f t="shared" ref="O716:O779" si="304">N716*S716</f>
        <v>50.355213045617035</v>
      </c>
      <c r="P716" s="3">
        <f t="shared" si="282"/>
        <v>54.145390371631223</v>
      </c>
      <c r="Q716" s="3">
        <f t="shared" si="283"/>
        <v>11.693801324999452</v>
      </c>
      <c r="R716" s="3">
        <f t="shared" si="284"/>
        <v>32.919595848315339</v>
      </c>
      <c r="S716" s="3">
        <f t="shared" ref="S716:S779" si="305">IF($F$10=0,0,IF($F$10=1,1,(N716-L716-1/$I$5+((L716-N716+1/$I$5)^2+4*N716/$I$5)^0.5)/2/N716))</f>
        <v>1</v>
      </c>
      <c r="T716" s="3">
        <f t="shared" si="285"/>
        <v>21225.794523315883</v>
      </c>
      <c r="U716" s="3">
        <f t="shared" si="286"/>
        <v>0.5</v>
      </c>
      <c r="V716" s="3">
        <f t="shared" si="287"/>
        <v>0</v>
      </c>
      <c r="W716" s="3">
        <f t="shared" si="288"/>
        <v>18127.876696422132</v>
      </c>
      <c r="X716" s="3">
        <f t="shared" ref="X716:X779" si="306">IF($F$19,W716-W717+X717,J716*Q716)</f>
        <v>5846.9006624997255</v>
      </c>
      <c r="AI716" s="3"/>
      <c r="AJ716" s="3"/>
      <c r="AK716" s="15">
        <f t="shared" si="297"/>
        <v>3</v>
      </c>
      <c r="AL716" s="11">
        <f t="shared" si="301"/>
        <v>4242</v>
      </c>
      <c r="AM716" s="11" t="b">
        <f t="shared" si="296"/>
        <v>0</v>
      </c>
      <c r="AN716" s="11">
        <f t="shared" si="298"/>
        <v>36000</v>
      </c>
      <c r="AO716" s="11">
        <f t="shared" si="299"/>
        <v>0</v>
      </c>
      <c r="AP716" s="11">
        <f t="shared" si="300"/>
        <v>0.30517760232417473</v>
      </c>
      <c r="AQ716" s="11">
        <f t="shared" si="302"/>
        <v>0</v>
      </c>
      <c r="AT716" s="3"/>
      <c r="AU716" s="17"/>
      <c r="AV716" s="19"/>
      <c r="AW716" s="17"/>
      <c r="AX716" s="17">
        <f t="shared" si="295"/>
        <v>707</v>
      </c>
      <c r="AY716" s="17">
        <f t="shared" si="294"/>
        <v>70.7</v>
      </c>
      <c r="AZ716" s="17">
        <v>30.517760232417473</v>
      </c>
      <c r="BA716" s="17"/>
      <c r="BB716" s="17">
        <v>36</v>
      </c>
      <c r="BC716" s="17"/>
      <c r="BD716" s="17"/>
      <c r="BE716" s="17"/>
      <c r="BF716" s="17"/>
      <c r="BG716" s="17"/>
      <c r="BH716" s="17"/>
      <c r="BI716" s="17"/>
      <c r="BJ716" s="17"/>
      <c r="BK716" s="17"/>
      <c r="BL716" s="17"/>
      <c r="BM716" s="17"/>
      <c r="BN716" s="17"/>
      <c r="BO716" s="17"/>
      <c r="BP716" s="17"/>
      <c r="BQ716" s="17"/>
      <c r="BR716" s="17"/>
      <c r="BS716" s="17"/>
      <c r="BT716" s="17"/>
      <c r="BU716" s="17"/>
      <c r="BV716" s="17"/>
      <c r="BW716" s="17"/>
      <c r="BX716" s="17"/>
      <c r="BY716" s="17"/>
      <c r="BZ716" s="17"/>
      <c r="CA716" s="17"/>
      <c r="CB716" s="17"/>
      <c r="CC716" s="17"/>
      <c r="CD716" s="17"/>
      <c r="CE716" s="17"/>
      <c r="CF716" s="17"/>
      <c r="CG716" s="17"/>
      <c r="CH716" s="17"/>
    </row>
    <row r="717" spans="8:86" x14ac:dyDescent="0.15">
      <c r="H717" s="3">
        <f t="shared" si="289"/>
        <v>0.70500000000000052</v>
      </c>
      <c r="I717" s="3">
        <f t="shared" si="290"/>
        <v>360</v>
      </c>
      <c r="J717" s="14">
        <f t="shared" si="291"/>
        <v>500</v>
      </c>
      <c r="K717" s="3">
        <f t="shared" ref="K717:K780" si="307">2*$F$6*$I$6*H717+$F$6*$I$7</f>
        <v>0</v>
      </c>
      <c r="L717" s="3">
        <f t="shared" si="303"/>
        <v>500</v>
      </c>
      <c r="M717" s="15">
        <f t="shared" si="292"/>
        <v>7.0000000000000007E-2</v>
      </c>
      <c r="N717" s="3">
        <f t="shared" si="293"/>
        <v>50.296252505274495</v>
      </c>
      <c r="O717" s="3">
        <f t="shared" si="304"/>
        <v>50.296252505274495</v>
      </c>
      <c r="P717" s="3">
        <f t="shared" ref="P717:P780" si="308">O717/(1-M717)</f>
        <v>54.081991941155373</v>
      </c>
      <c r="Q717" s="3">
        <f t="shared" ref="Q717:Q780" si="309">IF($F$19,IF($F$20,0,X717/J717),(Q716*J716-T716*$I$4)/J717)</f>
        <v>11.651349735952818</v>
      </c>
      <c r="R717" s="3">
        <f t="shared" ref="R717:R780" si="310">IF($F$19,P717,(1-U717)*P717+U717*Q717)</f>
        <v>32.866670838554093</v>
      </c>
      <c r="S717" s="3">
        <f t="shared" si="305"/>
        <v>1</v>
      </c>
      <c r="T717" s="3">
        <f t="shared" ref="T717:T780" si="311">IF($F$19,0,$F$8*(P717-Q717))+R717*K717*(1-$F$11)</f>
        <v>21215.321102601276</v>
      </c>
      <c r="U717" s="3">
        <f t="shared" ref="U717:U780" si="312">IF($F$8=0,0,IF(V717=0,0.5,IF(ISERROR(EXP(V717)),0,1/V717-1/(EXP(V717)-1))))</f>
        <v>0.5</v>
      </c>
      <c r="V717" s="3">
        <f t="shared" ref="V717:V780" si="313">K717*(1-$F$11)/$F$8</f>
        <v>0</v>
      </c>
      <c r="W717" s="3">
        <f t="shared" ref="W717:W780" si="314">(I717+$L$5)*N717</f>
        <v>18106.650901898818</v>
      </c>
      <c r="X717" s="3">
        <f t="shared" si="306"/>
        <v>5825.6748679764096</v>
      </c>
      <c r="AI717" s="3"/>
      <c r="AJ717" s="3"/>
      <c r="AK717" s="15">
        <f t="shared" si="297"/>
        <v>3</v>
      </c>
      <c r="AL717" s="11">
        <f t="shared" si="301"/>
        <v>4248</v>
      </c>
      <c r="AM717" s="11" t="b">
        <f t="shared" si="296"/>
        <v>0</v>
      </c>
      <c r="AN717" s="11">
        <f t="shared" si="298"/>
        <v>36000</v>
      </c>
      <c r="AO717" s="11">
        <f t="shared" si="299"/>
        <v>0</v>
      </c>
      <c r="AP717" s="11">
        <f t="shared" si="300"/>
        <v>0.30627991713898955</v>
      </c>
      <c r="AQ717" s="11">
        <f t="shared" si="302"/>
        <v>0</v>
      </c>
      <c r="AT717" s="3"/>
      <c r="AU717" s="17"/>
      <c r="AV717" s="19"/>
      <c r="AW717" s="17"/>
      <c r="AX717" s="17">
        <f t="shared" si="295"/>
        <v>708</v>
      </c>
      <c r="AY717" s="17">
        <f t="shared" si="294"/>
        <v>70.8</v>
      </c>
      <c r="AZ717" s="17">
        <v>30.627991713898954</v>
      </c>
      <c r="BA717" s="17"/>
      <c r="BB717" s="17">
        <v>36</v>
      </c>
      <c r="BC717" s="17"/>
      <c r="BD717" s="17"/>
      <c r="BE717" s="17"/>
      <c r="BF717" s="17"/>
      <c r="BG717" s="17"/>
      <c r="BH717" s="17"/>
      <c r="BI717" s="17"/>
      <c r="BJ717" s="17"/>
      <c r="BK717" s="17"/>
      <c r="BL717" s="17"/>
      <c r="BM717" s="17"/>
      <c r="BN717" s="17"/>
      <c r="BO717" s="17"/>
      <c r="BP717" s="17"/>
      <c r="BQ717" s="17"/>
      <c r="BR717" s="17"/>
      <c r="BS717" s="17"/>
      <c r="BT717" s="17"/>
      <c r="BU717" s="17"/>
      <c r="BV717" s="17"/>
      <c r="BW717" s="17"/>
      <c r="BX717" s="17"/>
      <c r="BY717" s="17"/>
      <c r="BZ717" s="17"/>
      <c r="CA717" s="17"/>
      <c r="CB717" s="17"/>
      <c r="CC717" s="17"/>
      <c r="CD717" s="17"/>
      <c r="CE717" s="17"/>
      <c r="CF717" s="17"/>
      <c r="CG717" s="17"/>
      <c r="CH717" s="17"/>
    </row>
    <row r="718" spans="8:86" x14ac:dyDescent="0.15">
      <c r="H718" s="3">
        <f t="shared" ref="H718:H781" si="315">H717+$I$4</f>
        <v>0.70600000000000052</v>
      </c>
      <c r="I718" s="3">
        <f t="shared" ref="I718:I781" si="316">$I$12-$F$6*($I$6*H718^2+$I$7*H718)</f>
        <v>360</v>
      </c>
      <c r="J718" s="14">
        <f t="shared" ref="J718:J781" si="317">$J$12-$F$6*($I$6*H718^2+$I$7*H718)</f>
        <v>500</v>
      </c>
      <c r="K718" s="3">
        <f t="shared" si="307"/>
        <v>0</v>
      </c>
      <c r="L718" s="3">
        <f t="shared" si="303"/>
        <v>500</v>
      </c>
      <c r="M718" s="15">
        <f t="shared" ref="M718:M781" si="318">$M$12*L718/$L$12</f>
        <v>7.0000000000000007E-2</v>
      </c>
      <c r="N718" s="3">
        <f t="shared" ref="N718:N781" si="319">(N717*I717+P717*$L$5-T717*$I$4)/(I718+$L$5/(1-M718))</f>
        <v>50.237321057767268</v>
      </c>
      <c r="O718" s="3">
        <f t="shared" si="304"/>
        <v>50.237321057767268</v>
      </c>
      <c r="P718" s="3">
        <f t="shared" si="308"/>
        <v>54.018624793298144</v>
      </c>
      <c r="Q718" s="3">
        <f t="shared" si="309"/>
        <v>11.608919093747616</v>
      </c>
      <c r="R718" s="3">
        <f t="shared" si="310"/>
        <v>32.81377194352288</v>
      </c>
      <c r="S718" s="3">
        <f t="shared" si="305"/>
        <v>1</v>
      </c>
      <c r="T718" s="3">
        <f t="shared" si="311"/>
        <v>21204.852849775263</v>
      </c>
      <c r="U718" s="3">
        <f t="shared" si="312"/>
        <v>0.5</v>
      </c>
      <c r="V718" s="3">
        <f t="shared" si="313"/>
        <v>0</v>
      </c>
      <c r="W718" s="3">
        <f t="shared" si="314"/>
        <v>18085.435580796217</v>
      </c>
      <c r="X718" s="3">
        <f t="shared" si="306"/>
        <v>5804.459546873808</v>
      </c>
      <c r="AI718" s="3"/>
      <c r="AJ718" s="3"/>
      <c r="AK718" s="15">
        <f t="shared" si="297"/>
        <v>3</v>
      </c>
      <c r="AL718" s="11">
        <f t="shared" si="301"/>
        <v>4254</v>
      </c>
      <c r="AM718" s="11" t="b">
        <f t="shared" si="296"/>
        <v>0</v>
      </c>
      <c r="AN718" s="11">
        <f t="shared" si="298"/>
        <v>36000</v>
      </c>
      <c r="AO718" s="11">
        <f t="shared" si="299"/>
        <v>0</v>
      </c>
      <c r="AP718" s="11">
        <f t="shared" si="300"/>
        <v>0.30738223195380437</v>
      </c>
      <c r="AQ718" s="11">
        <f t="shared" si="302"/>
        <v>0</v>
      </c>
      <c r="AT718" s="3"/>
      <c r="AU718" s="17"/>
      <c r="AV718" s="19"/>
      <c r="AW718" s="17"/>
      <c r="AX718" s="17">
        <f t="shared" si="295"/>
        <v>709</v>
      </c>
      <c r="AY718" s="17">
        <f t="shared" si="294"/>
        <v>70.900000000000006</v>
      </c>
      <c r="AZ718" s="17">
        <v>30.738223195380439</v>
      </c>
      <c r="BA718" s="17"/>
      <c r="BB718" s="17">
        <v>36</v>
      </c>
      <c r="BC718" s="17"/>
      <c r="BD718" s="17"/>
      <c r="BE718" s="17"/>
      <c r="BF718" s="17"/>
      <c r="BG718" s="17"/>
      <c r="BH718" s="17"/>
      <c r="BI718" s="17"/>
      <c r="BJ718" s="17"/>
      <c r="BK718" s="17"/>
      <c r="BL718" s="17"/>
      <c r="BM718" s="17"/>
      <c r="BN718" s="17"/>
      <c r="BO718" s="17"/>
      <c r="BP718" s="17"/>
      <c r="BQ718" s="17"/>
      <c r="BR718" s="17"/>
      <c r="BS718" s="17"/>
      <c r="BT718" s="17"/>
      <c r="BU718" s="17"/>
      <c r="BV718" s="17"/>
      <c r="BW718" s="17"/>
      <c r="BX718" s="17"/>
      <c r="BY718" s="17"/>
      <c r="BZ718" s="17"/>
      <c r="CA718" s="17"/>
      <c r="CB718" s="17"/>
      <c r="CC718" s="17"/>
      <c r="CD718" s="17"/>
      <c r="CE718" s="17"/>
      <c r="CF718" s="17"/>
      <c r="CG718" s="17"/>
      <c r="CH718" s="17"/>
    </row>
    <row r="719" spans="8:86" x14ac:dyDescent="0.15">
      <c r="H719" s="3">
        <f t="shared" si="315"/>
        <v>0.70700000000000052</v>
      </c>
      <c r="I719" s="3">
        <f t="shared" si="316"/>
        <v>360</v>
      </c>
      <c r="J719" s="14">
        <f t="shared" si="317"/>
        <v>500</v>
      </c>
      <c r="K719" s="3">
        <f t="shared" si="307"/>
        <v>0</v>
      </c>
      <c r="L719" s="3">
        <f t="shared" si="303"/>
        <v>500</v>
      </c>
      <c r="M719" s="15">
        <f t="shared" si="318"/>
        <v>7.0000000000000007E-2</v>
      </c>
      <c r="N719" s="3">
        <f t="shared" si="319"/>
        <v>50.178418688740109</v>
      </c>
      <c r="O719" s="3">
        <f t="shared" si="304"/>
        <v>50.178418688740109</v>
      </c>
      <c r="P719" s="3">
        <f t="shared" si="308"/>
        <v>53.955288912623779</v>
      </c>
      <c r="Q719" s="3">
        <f t="shared" si="309"/>
        <v>11.566509388048065</v>
      </c>
      <c r="R719" s="3">
        <f t="shared" si="310"/>
        <v>32.760899150335923</v>
      </c>
      <c r="S719" s="3">
        <f t="shared" si="305"/>
        <v>1</v>
      </c>
      <c r="T719" s="3">
        <f t="shared" si="311"/>
        <v>21194.389762287854</v>
      </c>
      <c r="U719" s="3">
        <f t="shared" si="312"/>
        <v>0.5</v>
      </c>
      <c r="V719" s="3">
        <f t="shared" si="313"/>
        <v>0</v>
      </c>
      <c r="W719" s="3">
        <f t="shared" si="314"/>
        <v>18064.23072794644</v>
      </c>
      <c r="X719" s="3">
        <f t="shared" si="306"/>
        <v>5783.2546940240327</v>
      </c>
      <c r="AI719" s="3"/>
      <c r="AJ719" s="3"/>
      <c r="AK719" s="15">
        <f t="shared" si="297"/>
        <v>3</v>
      </c>
      <c r="AL719" s="11">
        <f t="shared" si="301"/>
        <v>4260</v>
      </c>
      <c r="AM719" s="11" t="b">
        <f t="shared" si="296"/>
        <v>0</v>
      </c>
      <c r="AN719" s="11">
        <f t="shared" si="298"/>
        <v>36000</v>
      </c>
      <c r="AO719" s="11">
        <f t="shared" si="299"/>
        <v>0</v>
      </c>
      <c r="AP719" s="11">
        <f t="shared" si="300"/>
        <v>0.30848454676861914</v>
      </c>
      <c r="AQ719" s="11">
        <f t="shared" si="302"/>
        <v>0</v>
      </c>
      <c r="AT719" s="3"/>
      <c r="AU719" s="17"/>
      <c r="AV719" s="19"/>
      <c r="AW719" s="17"/>
      <c r="AX719" s="17">
        <f t="shared" si="295"/>
        <v>710</v>
      </c>
      <c r="AY719" s="17">
        <f t="shared" si="294"/>
        <v>71</v>
      </c>
      <c r="AZ719" s="17">
        <v>30.848454676861913</v>
      </c>
      <c r="BA719" s="17"/>
      <c r="BB719" s="17">
        <v>36</v>
      </c>
      <c r="BC719" s="17"/>
      <c r="BD719" s="17"/>
      <c r="BE719" s="17"/>
      <c r="BF719" s="17"/>
      <c r="BG719" s="17"/>
      <c r="BH719" s="17"/>
      <c r="BI719" s="17"/>
      <c r="BJ719" s="17"/>
      <c r="BK719" s="17"/>
      <c r="BL719" s="17"/>
      <c r="BM719" s="17"/>
      <c r="BN719" s="17"/>
      <c r="BO719" s="17"/>
      <c r="BP719" s="17"/>
      <c r="BQ719" s="17"/>
      <c r="BR719" s="17"/>
      <c r="BS719" s="17"/>
      <c r="BT719" s="17"/>
      <c r="BU719" s="17"/>
      <c r="BV719" s="17"/>
      <c r="BW719" s="17"/>
      <c r="BX719" s="17"/>
      <c r="BY719" s="17"/>
      <c r="BZ719" s="17"/>
      <c r="CA719" s="17"/>
      <c r="CB719" s="17"/>
      <c r="CC719" s="17"/>
      <c r="CD719" s="17"/>
      <c r="CE719" s="17"/>
      <c r="CF719" s="17"/>
      <c r="CG719" s="17"/>
      <c r="CH719" s="17"/>
    </row>
    <row r="720" spans="8:86" x14ac:dyDescent="0.15">
      <c r="H720" s="3">
        <f t="shared" si="315"/>
        <v>0.70800000000000052</v>
      </c>
      <c r="I720" s="3">
        <f t="shared" si="316"/>
        <v>360</v>
      </c>
      <c r="J720" s="14">
        <f t="shared" si="317"/>
        <v>500</v>
      </c>
      <c r="K720" s="3">
        <f t="shared" si="307"/>
        <v>0</v>
      </c>
      <c r="L720" s="3">
        <f t="shared" si="303"/>
        <v>500</v>
      </c>
      <c r="M720" s="15">
        <f t="shared" si="318"/>
        <v>7.0000000000000007E-2</v>
      </c>
      <c r="N720" s="3">
        <f t="shared" si="319"/>
        <v>50.119545383844866</v>
      </c>
      <c r="O720" s="3">
        <f t="shared" si="304"/>
        <v>50.119545383844866</v>
      </c>
      <c r="P720" s="3">
        <f t="shared" si="308"/>
        <v>53.891984283704161</v>
      </c>
      <c r="Q720" s="3">
        <f t="shared" si="309"/>
        <v>11.524120608523489</v>
      </c>
      <c r="R720" s="3">
        <f t="shared" si="310"/>
        <v>32.708052446113825</v>
      </c>
      <c r="S720" s="3">
        <f t="shared" si="305"/>
        <v>1</v>
      </c>
      <c r="T720" s="3">
        <f t="shared" si="311"/>
        <v>21183.931837590335</v>
      </c>
      <c r="U720" s="3">
        <f t="shared" si="312"/>
        <v>0.5</v>
      </c>
      <c r="V720" s="3">
        <f t="shared" si="313"/>
        <v>0</v>
      </c>
      <c r="W720" s="3">
        <f t="shared" si="314"/>
        <v>18043.036338184153</v>
      </c>
      <c r="X720" s="3">
        <f t="shared" si="306"/>
        <v>5762.0603042617449</v>
      </c>
      <c r="AI720" s="3"/>
      <c r="AJ720" s="3"/>
      <c r="AK720" s="15">
        <f t="shared" si="297"/>
        <v>3</v>
      </c>
      <c r="AL720" s="11">
        <f t="shared" si="301"/>
        <v>4266</v>
      </c>
      <c r="AM720" s="11" t="b">
        <f t="shared" si="296"/>
        <v>0</v>
      </c>
      <c r="AN720" s="11">
        <f t="shared" si="298"/>
        <v>36000</v>
      </c>
      <c r="AO720" s="11">
        <f t="shared" si="299"/>
        <v>0</v>
      </c>
      <c r="AP720" s="11">
        <f t="shared" si="300"/>
        <v>0.30958686158343396</v>
      </c>
      <c r="AQ720" s="11">
        <f t="shared" si="302"/>
        <v>0</v>
      </c>
      <c r="AT720" s="3"/>
      <c r="AU720" s="17"/>
      <c r="AV720" s="19"/>
      <c r="AW720" s="17"/>
      <c r="AX720" s="17">
        <f t="shared" si="295"/>
        <v>711</v>
      </c>
      <c r="AY720" s="17">
        <f t="shared" si="294"/>
        <v>71.099999999999994</v>
      </c>
      <c r="AZ720" s="17">
        <v>30.958686158343397</v>
      </c>
      <c r="BA720" s="17"/>
      <c r="BB720" s="17">
        <v>36</v>
      </c>
      <c r="BC720" s="17"/>
      <c r="BD720" s="17"/>
      <c r="BE720" s="17"/>
      <c r="BF720" s="17"/>
      <c r="BG720" s="17"/>
      <c r="BH720" s="17"/>
      <c r="BI720" s="17"/>
      <c r="BJ720" s="17"/>
      <c r="BK720" s="17"/>
      <c r="BL720" s="17"/>
      <c r="BM720" s="17"/>
      <c r="BN720" s="17"/>
      <c r="BO720" s="17"/>
      <c r="BP720" s="17"/>
      <c r="BQ720" s="17"/>
      <c r="BR720" s="17"/>
      <c r="BS720" s="17"/>
      <c r="BT720" s="17"/>
      <c r="BU720" s="17"/>
      <c r="BV720" s="17"/>
      <c r="BW720" s="17"/>
      <c r="BX720" s="17"/>
      <c r="BY720" s="17"/>
      <c r="BZ720" s="17"/>
      <c r="CA720" s="17"/>
      <c r="CB720" s="17"/>
      <c r="CC720" s="17"/>
      <c r="CD720" s="17"/>
      <c r="CE720" s="17"/>
      <c r="CF720" s="17"/>
      <c r="CG720" s="17"/>
      <c r="CH720" s="17"/>
    </row>
    <row r="721" spans="8:86" x14ac:dyDescent="0.15">
      <c r="H721" s="3">
        <f t="shared" si="315"/>
        <v>0.70900000000000052</v>
      </c>
      <c r="I721" s="3">
        <f t="shared" si="316"/>
        <v>360</v>
      </c>
      <c r="J721" s="14">
        <f t="shared" si="317"/>
        <v>500</v>
      </c>
      <c r="K721" s="3">
        <f t="shared" si="307"/>
        <v>0</v>
      </c>
      <c r="L721" s="3">
        <f t="shared" si="303"/>
        <v>500</v>
      </c>
      <c r="M721" s="15">
        <f t="shared" si="318"/>
        <v>7.0000000000000007E-2</v>
      </c>
      <c r="N721" s="3">
        <f t="shared" si="319"/>
        <v>50.060701128740455</v>
      </c>
      <c r="O721" s="3">
        <f t="shared" si="304"/>
        <v>50.060701128740455</v>
      </c>
      <c r="P721" s="3">
        <f t="shared" si="308"/>
        <v>53.828710891118774</v>
      </c>
      <c r="Q721" s="3">
        <f t="shared" si="309"/>
        <v>11.481752744848309</v>
      </c>
      <c r="R721" s="3">
        <f t="shared" si="310"/>
        <v>32.655231817983541</v>
      </c>
      <c r="S721" s="3">
        <f t="shared" si="305"/>
        <v>1</v>
      </c>
      <c r="T721" s="3">
        <f t="shared" si="311"/>
        <v>21173.479073135233</v>
      </c>
      <c r="U721" s="3">
        <f t="shared" si="312"/>
        <v>0.5</v>
      </c>
      <c r="V721" s="3">
        <f t="shared" si="313"/>
        <v>0</v>
      </c>
      <c r="W721" s="3">
        <f t="shared" si="314"/>
        <v>18021.852406346563</v>
      </c>
      <c r="X721" s="3">
        <f t="shared" si="306"/>
        <v>5740.8763724241544</v>
      </c>
      <c r="AI721" s="3"/>
      <c r="AJ721" s="3"/>
      <c r="AK721" s="15">
        <f t="shared" si="297"/>
        <v>3</v>
      </c>
      <c r="AL721" s="11">
        <f t="shared" si="301"/>
        <v>4272</v>
      </c>
      <c r="AM721" s="11" t="b">
        <f t="shared" si="296"/>
        <v>0</v>
      </c>
      <c r="AN721" s="11">
        <f t="shared" si="298"/>
        <v>36000</v>
      </c>
      <c r="AO721" s="11">
        <f t="shared" si="299"/>
        <v>0</v>
      </c>
      <c r="AP721" s="11">
        <f t="shared" si="300"/>
        <v>0.31068917639824872</v>
      </c>
      <c r="AQ721" s="11">
        <f t="shared" si="302"/>
        <v>0</v>
      </c>
      <c r="AT721" s="3"/>
      <c r="AU721" s="17"/>
      <c r="AV721" s="19"/>
      <c r="AW721" s="17"/>
      <c r="AX721" s="17">
        <f t="shared" si="295"/>
        <v>712</v>
      </c>
      <c r="AY721" s="17">
        <f t="shared" si="294"/>
        <v>71.2</v>
      </c>
      <c r="AZ721" s="17">
        <v>31.068917639824871</v>
      </c>
      <c r="BA721" s="17"/>
      <c r="BB721" s="17">
        <v>36</v>
      </c>
      <c r="BC721" s="17"/>
      <c r="BD721" s="17"/>
      <c r="BE721" s="17"/>
      <c r="BF721" s="17"/>
      <c r="BG721" s="17"/>
      <c r="BH721" s="17"/>
      <c r="BI721" s="17"/>
      <c r="BJ721" s="17"/>
      <c r="BK721" s="17"/>
      <c r="BL721" s="17"/>
      <c r="BM721" s="17"/>
      <c r="BN721" s="17"/>
      <c r="BO721" s="17"/>
      <c r="BP721" s="17"/>
      <c r="BQ721" s="17"/>
      <c r="BR721" s="17"/>
      <c r="BS721" s="17"/>
      <c r="BT721" s="17"/>
      <c r="BU721" s="17"/>
      <c r="BV721" s="17"/>
      <c r="BW721" s="17"/>
      <c r="BX721" s="17"/>
      <c r="BY721" s="17"/>
      <c r="BZ721" s="17"/>
      <c r="CA721" s="17"/>
      <c r="CB721" s="17"/>
      <c r="CC721" s="17"/>
      <c r="CD721" s="17"/>
      <c r="CE721" s="17"/>
      <c r="CF721" s="17"/>
      <c r="CG721" s="17"/>
      <c r="CH721" s="17"/>
    </row>
    <row r="722" spans="8:86" x14ac:dyDescent="0.15">
      <c r="H722" s="3">
        <f t="shared" si="315"/>
        <v>0.71000000000000052</v>
      </c>
      <c r="I722" s="3">
        <f t="shared" si="316"/>
        <v>360</v>
      </c>
      <c r="J722" s="14">
        <f t="shared" si="317"/>
        <v>500</v>
      </c>
      <c r="K722" s="3">
        <f t="shared" si="307"/>
        <v>0</v>
      </c>
      <c r="L722" s="3">
        <f t="shared" si="303"/>
        <v>500</v>
      </c>
      <c r="M722" s="15">
        <f t="shared" si="318"/>
        <v>7.0000000000000007E-2</v>
      </c>
      <c r="N722" s="3">
        <f t="shared" si="319"/>
        <v>50.001885909092856</v>
      </c>
      <c r="O722" s="3">
        <f t="shared" si="304"/>
        <v>50.001885909092856</v>
      </c>
      <c r="P722" s="3">
        <f t="shared" si="308"/>
        <v>53.765468719454688</v>
      </c>
      <c r="Q722" s="3">
        <f t="shared" si="309"/>
        <v>11.439405786702038</v>
      </c>
      <c r="R722" s="3">
        <f t="shared" si="310"/>
        <v>32.602437253078364</v>
      </c>
      <c r="S722" s="3">
        <f t="shared" si="305"/>
        <v>1</v>
      </c>
      <c r="T722" s="3">
        <f t="shared" si="311"/>
        <v>21163.031466376324</v>
      </c>
      <c r="U722" s="3">
        <f t="shared" si="312"/>
        <v>0.5</v>
      </c>
      <c r="V722" s="3">
        <f t="shared" si="313"/>
        <v>0</v>
      </c>
      <c r="W722" s="3">
        <f t="shared" si="314"/>
        <v>18000.678927273428</v>
      </c>
      <c r="X722" s="3">
        <f t="shared" si="306"/>
        <v>5719.7028933510192</v>
      </c>
      <c r="AI722" s="3"/>
      <c r="AJ722" s="3"/>
      <c r="AK722" s="15">
        <f t="shared" si="297"/>
        <v>3</v>
      </c>
      <c r="AL722" s="11">
        <f t="shared" si="301"/>
        <v>4278</v>
      </c>
      <c r="AM722" s="11" t="b">
        <f t="shared" si="296"/>
        <v>0</v>
      </c>
      <c r="AN722" s="11">
        <f t="shared" si="298"/>
        <v>36000</v>
      </c>
      <c r="AO722" s="11">
        <f t="shared" si="299"/>
        <v>0</v>
      </c>
      <c r="AP722" s="11">
        <f t="shared" si="300"/>
        <v>0.31179149121306354</v>
      </c>
      <c r="AQ722" s="11">
        <f t="shared" si="302"/>
        <v>0</v>
      </c>
      <c r="AT722" s="3"/>
      <c r="AU722" s="17"/>
      <c r="AV722" s="19"/>
      <c r="AW722" s="17"/>
      <c r="AX722" s="17">
        <f t="shared" si="295"/>
        <v>713</v>
      </c>
      <c r="AY722" s="17">
        <f t="shared" si="294"/>
        <v>71.3</v>
      </c>
      <c r="AZ722" s="17">
        <v>31.179149121306356</v>
      </c>
      <c r="BA722" s="17"/>
      <c r="BB722" s="17">
        <v>36</v>
      </c>
      <c r="BC722" s="17"/>
      <c r="BD722" s="17"/>
      <c r="BE722" s="17"/>
      <c r="BF722" s="17"/>
      <c r="BG722" s="17"/>
      <c r="BH722" s="17"/>
      <c r="BI722" s="17"/>
      <c r="BJ722" s="17"/>
      <c r="BK722" s="17"/>
      <c r="BL722" s="17"/>
      <c r="BM722" s="17"/>
      <c r="BN722" s="17"/>
      <c r="BO722" s="17"/>
      <c r="BP722" s="17"/>
      <c r="BQ722" s="17"/>
      <c r="BR722" s="17"/>
      <c r="BS722" s="17"/>
      <c r="BT722" s="17"/>
      <c r="BU722" s="17"/>
      <c r="BV722" s="17"/>
      <c r="BW722" s="17"/>
      <c r="BX722" s="17"/>
      <c r="BY722" s="17"/>
      <c r="BZ722" s="17"/>
      <c r="CA722" s="17"/>
      <c r="CB722" s="17"/>
      <c r="CC722" s="17"/>
      <c r="CD722" s="17"/>
      <c r="CE722" s="17"/>
      <c r="CF722" s="17"/>
      <c r="CG722" s="17"/>
      <c r="CH722" s="17"/>
    </row>
    <row r="723" spans="8:86" x14ac:dyDescent="0.15">
      <c r="H723" s="3">
        <f t="shared" si="315"/>
        <v>0.71100000000000052</v>
      </c>
      <c r="I723" s="3">
        <f t="shared" si="316"/>
        <v>360</v>
      </c>
      <c r="J723" s="14">
        <f t="shared" si="317"/>
        <v>500</v>
      </c>
      <c r="K723" s="3">
        <f t="shared" si="307"/>
        <v>0</v>
      </c>
      <c r="L723" s="3">
        <f t="shared" si="303"/>
        <v>500</v>
      </c>
      <c r="M723" s="15">
        <f t="shared" si="318"/>
        <v>7.0000000000000007E-2</v>
      </c>
      <c r="N723" s="3">
        <f t="shared" si="319"/>
        <v>49.94309971057514</v>
      </c>
      <c r="O723" s="3">
        <f t="shared" si="304"/>
        <v>49.94309971057514</v>
      </c>
      <c r="P723" s="3">
        <f t="shared" si="308"/>
        <v>53.702257753306604</v>
      </c>
      <c r="Q723" s="3">
        <f t="shared" si="309"/>
        <v>11.397079723769286</v>
      </c>
      <c r="R723" s="3">
        <f t="shared" si="310"/>
        <v>32.549668738537946</v>
      </c>
      <c r="S723" s="3">
        <f t="shared" si="305"/>
        <v>1</v>
      </c>
      <c r="T723" s="3">
        <f t="shared" si="311"/>
        <v>21152.589014768659</v>
      </c>
      <c r="U723" s="3">
        <f t="shared" si="312"/>
        <v>0.5</v>
      </c>
      <c r="V723" s="3">
        <f t="shared" si="313"/>
        <v>0</v>
      </c>
      <c r="W723" s="3">
        <f t="shared" si="314"/>
        <v>17979.51589580705</v>
      </c>
      <c r="X723" s="3">
        <f t="shared" si="306"/>
        <v>5698.539861884643</v>
      </c>
      <c r="AI723" s="3"/>
      <c r="AJ723" s="3"/>
      <c r="AK723" s="15">
        <f t="shared" si="297"/>
        <v>3</v>
      </c>
      <c r="AL723" s="11">
        <f t="shared" si="301"/>
        <v>4284</v>
      </c>
      <c r="AM723" s="11" t="b">
        <f t="shared" si="296"/>
        <v>0</v>
      </c>
      <c r="AN723" s="11">
        <f t="shared" si="298"/>
        <v>36000</v>
      </c>
      <c r="AO723" s="11">
        <f t="shared" si="299"/>
        <v>0</v>
      </c>
      <c r="AP723" s="11">
        <f t="shared" si="300"/>
        <v>0.31289380602787831</v>
      </c>
      <c r="AQ723" s="11">
        <f t="shared" si="302"/>
        <v>0</v>
      </c>
      <c r="AT723" s="3"/>
      <c r="AU723" s="17"/>
      <c r="AV723" s="19"/>
      <c r="AW723" s="17"/>
      <c r="AX723" s="17">
        <f t="shared" si="295"/>
        <v>714</v>
      </c>
      <c r="AY723" s="17">
        <f t="shared" si="294"/>
        <v>71.400000000000006</v>
      </c>
      <c r="AZ723" s="17">
        <v>31.28938060278783</v>
      </c>
      <c r="BA723" s="17"/>
      <c r="BB723" s="17">
        <v>36</v>
      </c>
      <c r="BC723" s="17"/>
      <c r="BD723" s="17"/>
      <c r="BE723" s="17"/>
      <c r="BF723" s="17"/>
      <c r="BG723" s="17"/>
      <c r="BH723" s="17"/>
      <c r="BI723" s="17"/>
      <c r="BJ723" s="17"/>
      <c r="BK723" s="17"/>
      <c r="BL723" s="17"/>
      <c r="BM723" s="17"/>
      <c r="BN723" s="17"/>
      <c r="BO723" s="17"/>
      <c r="BP723" s="17"/>
      <c r="BQ723" s="17"/>
      <c r="BR723" s="17"/>
      <c r="BS723" s="17"/>
      <c r="BT723" s="17"/>
      <c r="BU723" s="17"/>
      <c r="BV723" s="17"/>
      <c r="BW723" s="17"/>
      <c r="BX723" s="17"/>
      <c r="BY723" s="17"/>
      <c r="BZ723" s="17"/>
      <c r="CA723" s="17"/>
      <c r="CB723" s="17"/>
      <c r="CC723" s="17"/>
      <c r="CD723" s="17"/>
      <c r="CE723" s="17"/>
      <c r="CF723" s="17"/>
      <c r="CG723" s="17"/>
      <c r="CH723" s="17"/>
    </row>
    <row r="724" spans="8:86" x14ac:dyDescent="0.15">
      <c r="H724" s="3">
        <f t="shared" si="315"/>
        <v>0.71200000000000052</v>
      </c>
      <c r="I724" s="3">
        <f t="shared" si="316"/>
        <v>360</v>
      </c>
      <c r="J724" s="14">
        <f t="shared" si="317"/>
        <v>500</v>
      </c>
      <c r="K724" s="3">
        <f t="shared" si="307"/>
        <v>0</v>
      </c>
      <c r="L724" s="3">
        <f t="shared" si="303"/>
        <v>500</v>
      </c>
      <c r="M724" s="15">
        <f t="shared" si="318"/>
        <v>7.0000000000000007E-2</v>
      </c>
      <c r="N724" s="3">
        <f t="shared" si="319"/>
        <v>49.884342518867449</v>
      </c>
      <c r="O724" s="3">
        <f t="shared" si="304"/>
        <v>49.884342518867449</v>
      </c>
      <c r="P724" s="3">
        <f t="shared" si="308"/>
        <v>53.639077977276827</v>
      </c>
      <c r="Q724" s="3">
        <f t="shared" si="309"/>
        <v>11.354774545739749</v>
      </c>
      <c r="R724" s="3">
        <f t="shared" si="310"/>
        <v>32.496926261508285</v>
      </c>
      <c r="S724" s="3">
        <f t="shared" si="305"/>
        <v>1</v>
      </c>
      <c r="T724" s="3">
        <f t="shared" si="311"/>
        <v>21142.151715768538</v>
      </c>
      <c r="U724" s="3">
        <f t="shared" si="312"/>
        <v>0.5</v>
      </c>
      <c r="V724" s="3">
        <f t="shared" si="313"/>
        <v>0</v>
      </c>
      <c r="W724" s="3">
        <f t="shared" si="314"/>
        <v>17958.363306792282</v>
      </c>
      <c r="X724" s="3">
        <f t="shared" si="306"/>
        <v>5677.3872728698743</v>
      </c>
      <c r="AI724" s="3"/>
      <c r="AJ724" s="3"/>
      <c r="AK724" s="15">
        <f t="shared" si="297"/>
        <v>3</v>
      </c>
      <c r="AL724" s="11">
        <f t="shared" si="301"/>
        <v>4290</v>
      </c>
      <c r="AM724" s="11" t="b">
        <f t="shared" si="296"/>
        <v>0</v>
      </c>
      <c r="AN724" s="11">
        <f t="shared" si="298"/>
        <v>36000</v>
      </c>
      <c r="AO724" s="11">
        <f t="shared" si="299"/>
        <v>0</v>
      </c>
      <c r="AP724" s="11">
        <f t="shared" si="300"/>
        <v>0.31399612084269313</v>
      </c>
      <c r="AQ724" s="11">
        <f t="shared" si="302"/>
        <v>0</v>
      </c>
      <c r="AT724" s="3"/>
      <c r="AU724" s="17"/>
      <c r="AV724" s="19"/>
      <c r="AW724" s="17"/>
      <c r="AX724" s="17">
        <f t="shared" si="295"/>
        <v>715</v>
      </c>
      <c r="AY724" s="17">
        <f t="shared" ref="AY724:AY787" si="320">IF(ISNUMBER(AX724),IF(ROUND((AX724)*$AG$15*$AB$15,0) &lt;= 10080, ROUND((AX724)*$AG$15,0)*$AB$15/60, 168),168)</f>
        <v>71.5</v>
      </c>
      <c r="AZ724" s="17">
        <v>31.399612084269314</v>
      </c>
      <c r="BA724" s="17"/>
      <c r="BB724" s="17">
        <v>36</v>
      </c>
      <c r="BC724" s="17"/>
      <c r="BD724" s="17"/>
      <c r="BE724" s="17"/>
      <c r="BF724" s="17"/>
      <c r="BG724" s="17"/>
      <c r="BH724" s="17"/>
      <c r="BI724" s="17"/>
      <c r="BJ724" s="17"/>
      <c r="BK724" s="17"/>
      <c r="BL724" s="17"/>
      <c r="BM724" s="17"/>
      <c r="BN724" s="17"/>
      <c r="BO724" s="17"/>
      <c r="BP724" s="17"/>
      <c r="BQ724" s="17"/>
      <c r="BR724" s="17"/>
      <c r="BS724" s="17"/>
      <c r="BT724" s="17"/>
      <c r="BU724" s="17"/>
      <c r="BV724" s="17"/>
      <c r="BW724" s="17"/>
      <c r="BX724" s="17"/>
      <c r="BY724" s="17"/>
      <c r="BZ724" s="17"/>
      <c r="CA724" s="17"/>
      <c r="CB724" s="17"/>
      <c r="CC724" s="17"/>
      <c r="CD724" s="17"/>
      <c r="CE724" s="17"/>
      <c r="CF724" s="17"/>
      <c r="CG724" s="17"/>
      <c r="CH724" s="17"/>
    </row>
    <row r="725" spans="8:86" x14ac:dyDescent="0.15">
      <c r="H725" s="3">
        <f t="shared" si="315"/>
        <v>0.71300000000000052</v>
      </c>
      <c r="I725" s="3">
        <f t="shared" si="316"/>
        <v>360</v>
      </c>
      <c r="J725" s="14">
        <f t="shared" si="317"/>
        <v>500</v>
      </c>
      <c r="K725" s="3">
        <f t="shared" si="307"/>
        <v>0</v>
      </c>
      <c r="L725" s="3">
        <f t="shared" si="303"/>
        <v>500</v>
      </c>
      <c r="M725" s="15">
        <f t="shared" si="318"/>
        <v>7.0000000000000007E-2</v>
      </c>
      <c r="N725" s="3">
        <f t="shared" si="319"/>
        <v>49.825614319656978</v>
      </c>
      <c r="O725" s="3">
        <f t="shared" si="304"/>
        <v>49.825614319656978</v>
      </c>
      <c r="P725" s="3">
        <f t="shared" si="308"/>
        <v>53.57592937597525</v>
      </c>
      <c r="Q725" s="3">
        <f t="shared" si="309"/>
        <v>11.312490242308211</v>
      </c>
      <c r="R725" s="3">
        <f t="shared" si="310"/>
        <v>32.444209809141732</v>
      </c>
      <c r="S725" s="3">
        <f t="shared" si="305"/>
        <v>1</v>
      </c>
      <c r="T725" s="3">
        <f t="shared" si="311"/>
        <v>21131.719566833519</v>
      </c>
      <c r="U725" s="3">
        <f t="shared" si="312"/>
        <v>0.5</v>
      </c>
      <c r="V725" s="3">
        <f t="shared" si="313"/>
        <v>0</v>
      </c>
      <c r="W725" s="3">
        <f t="shared" si="314"/>
        <v>17937.221155076513</v>
      </c>
      <c r="X725" s="3">
        <f t="shared" si="306"/>
        <v>5656.2451211541056</v>
      </c>
      <c r="AI725" s="3"/>
      <c r="AJ725" s="3"/>
      <c r="AK725" s="15">
        <f t="shared" si="297"/>
        <v>3</v>
      </c>
      <c r="AL725" s="11">
        <f t="shared" si="301"/>
        <v>4296</v>
      </c>
      <c r="AM725" s="11" t="b">
        <f t="shared" si="296"/>
        <v>0</v>
      </c>
      <c r="AN725" s="11">
        <f t="shared" si="298"/>
        <v>36000</v>
      </c>
      <c r="AO725" s="11">
        <f t="shared" si="299"/>
        <v>0</v>
      </c>
      <c r="AP725" s="11">
        <f t="shared" si="300"/>
        <v>0.31509843565750789</v>
      </c>
      <c r="AQ725" s="11">
        <f t="shared" si="302"/>
        <v>0</v>
      </c>
      <c r="AT725" s="3"/>
      <c r="AU725" s="17"/>
      <c r="AV725" s="19"/>
      <c r="AW725" s="17"/>
      <c r="AX725" s="17">
        <f t="shared" si="295"/>
        <v>716</v>
      </c>
      <c r="AY725" s="17">
        <f t="shared" si="320"/>
        <v>71.599999999999994</v>
      </c>
      <c r="AZ725" s="17">
        <v>31.509843565750788</v>
      </c>
      <c r="BA725" s="17"/>
      <c r="BB725" s="17">
        <v>36</v>
      </c>
      <c r="BC725" s="17"/>
      <c r="BD725" s="17"/>
      <c r="BE725" s="17"/>
      <c r="BF725" s="17"/>
      <c r="BG725" s="17"/>
      <c r="BH725" s="17"/>
      <c r="BI725" s="17"/>
      <c r="BJ725" s="17"/>
      <c r="BK725" s="17"/>
      <c r="BL725" s="17"/>
      <c r="BM725" s="17"/>
      <c r="BN725" s="17"/>
      <c r="BO725" s="17"/>
      <c r="BP725" s="17"/>
      <c r="BQ725" s="17"/>
      <c r="BR725" s="17"/>
      <c r="BS725" s="17"/>
      <c r="BT725" s="17"/>
      <c r="BU725" s="17"/>
      <c r="BV725" s="17"/>
      <c r="BW725" s="17"/>
      <c r="BX725" s="17"/>
      <c r="BY725" s="17"/>
      <c r="BZ725" s="17"/>
      <c r="CA725" s="17"/>
      <c r="CB725" s="17"/>
      <c r="CC725" s="17"/>
      <c r="CD725" s="17"/>
      <c r="CE725" s="17"/>
      <c r="CF725" s="17"/>
      <c r="CG725" s="17"/>
      <c r="CH725" s="17"/>
    </row>
    <row r="726" spans="8:86" x14ac:dyDescent="0.15">
      <c r="H726" s="3">
        <f t="shared" si="315"/>
        <v>0.71400000000000052</v>
      </c>
      <c r="I726" s="3">
        <f t="shared" si="316"/>
        <v>360</v>
      </c>
      <c r="J726" s="14">
        <f t="shared" si="317"/>
        <v>500</v>
      </c>
      <c r="K726" s="3">
        <f t="shared" si="307"/>
        <v>0</v>
      </c>
      <c r="L726" s="3">
        <f t="shared" si="303"/>
        <v>500</v>
      </c>
      <c r="M726" s="15">
        <f t="shared" si="318"/>
        <v>7.0000000000000007E-2</v>
      </c>
      <c r="N726" s="3">
        <f t="shared" si="319"/>
        <v>49.766915098637995</v>
      </c>
      <c r="O726" s="3">
        <f t="shared" si="304"/>
        <v>49.766915098637995</v>
      </c>
      <c r="P726" s="3">
        <f t="shared" si="308"/>
        <v>53.512811934019354</v>
      </c>
      <c r="Q726" s="3">
        <f t="shared" si="309"/>
        <v>11.270226803174545</v>
      </c>
      <c r="R726" s="3">
        <f t="shared" si="310"/>
        <v>32.391519368596946</v>
      </c>
      <c r="S726" s="3">
        <f t="shared" si="305"/>
        <v>1</v>
      </c>
      <c r="T726" s="3">
        <f t="shared" si="311"/>
        <v>21121.292565422405</v>
      </c>
      <c r="U726" s="3">
        <f t="shared" si="312"/>
        <v>0.5</v>
      </c>
      <c r="V726" s="3">
        <f t="shared" si="313"/>
        <v>0</v>
      </c>
      <c r="W726" s="3">
        <f t="shared" si="314"/>
        <v>17916.089435509679</v>
      </c>
      <c r="X726" s="3">
        <f t="shared" si="306"/>
        <v>5635.1134015872722</v>
      </c>
      <c r="AI726" s="3"/>
      <c r="AJ726" s="3"/>
      <c r="AK726" s="15">
        <f t="shared" si="297"/>
        <v>3</v>
      </c>
      <c r="AL726" s="11">
        <f t="shared" si="301"/>
        <v>4302</v>
      </c>
      <c r="AM726" s="11" t="b">
        <f t="shared" si="296"/>
        <v>0</v>
      </c>
      <c r="AN726" s="11">
        <f t="shared" si="298"/>
        <v>36000</v>
      </c>
      <c r="AO726" s="11">
        <f t="shared" si="299"/>
        <v>0</v>
      </c>
      <c r="AP726" s="11">
        <f t="shared" si="300"/>
        <v>0.31620075047232271</v>
      </c>
      <c r="AQ726" s="11">
        <f t="shared" si="302"/>
        <v>0</v>
      </c>
      <c r="AT726" s="3"/>
      <c r="AU726" s="17"/>
      <c r="AV726" s="19"/>
      <c r="AW726" s="17"/>
      <c r="AX726" s="17">
        <f t="shared" si="295"/>
        <v>717</v>
      </c>
      <c r="AY726" s="17">
        <f t="shared" si="320"/>
        <v>71.7</v>
      </c>
      <c r="AZ726" s="17">
        <v>31.62007504723227</v>
      </c>
      <c r="BA726" s="17"/>
      <c r="BB726" s="17">
        <v>36</v>
      </c>
      <c r="BC726" s="17"/>
      <c r="BD726" s="17"/>
      <c r="BE726" s="17"/>
      <c r="BF726" s="17"/>
      <c r="BG726" s="17"/>
      <c r="BH726" s="17"/>
      <c r="BI726" s="17"/>
      <c r="BJ726" s="17"/>
      <c r="BK726" s="17"/>
      <c r="BL726" s="17"/>
      <c r="BM726" s="17"/>
      <c r="BN726" s="17"/>
      <c r="BO726" s="17"/>
      <c r="BP726" s="17"/>
      <c r="BQ726" s="17"/>
      <c r="BR726" s="17"/>
      <c r="BS726" s="17"/>
      <c r="BT726" s="17"/>
      <c r="BU726" s="17"/>
      <c r="BV726" s="17"/>
      <c r="BW726" s="17"/>
      <c r="BX726" s="17"/>
      <c r="BY726" s="17"/>
      <c r="BZ726" s="17"/>
      <c r="CA726" s="17"/>
      <c r="CB726" s="17"/>
      <c r="CC726" s="17"/>
      <c r="CD726" s="17"/>
      <c r="CE726" s="17"/>
      <c r="CF726" s="17"/>
      <c r="CG726" s="17"/>
      <c r="CH726" s="17"/>
    </row>
    <row r="727" spans="8:86" x14ac:dyDescent="0.15">
      <c r="H727" s="3">
        <f t="shared" si="315"/>
        <v>0.71500000000000052</v>
      </c>
      <c r="I727" s="3">
        <f t="shared" si="316"/>
        <v>360</v>
      </c>
      <c r="J727" s="14">
        <f t="shared" si="317"/>
        <v>500</v>
      </c>
      <c r="K727" s="3">
        <f t="shared" si="307"/>
        <v>0</v>
      </c>
      <c r="L727" s="3">
        <f t="shared" si="303"/>
        <v>500</v>
      </c>
      <c r="M727" s="15">
        <f t="shared" si="318"/>
        <v>7.0000000000000007E-2</v>
      </c>
      <c r="N727" s="3">
        <f t="shared" si="319"/>
        <v>49.708244841511828</v>
      </c>
      <c r="O727" s="3">
        <f t="shared" si="304"/>
        <v>49.708244841511828</v>
      </c>
      <c r="P727" s="3">
        <f t="shared" si="308"/>
        <v>53.449725636034231</v>
      </c>
      <c r="Q727" s="3">
        <f t="shared" si="309"/>
        <v>11.2279842180437</v>
      </c>
      <c r="R727" s="3">
        <f t="shared" si="310"/>
        <v>32.338854927038966</v>
      </c>
      <c r="S727" s="3">
        <f t="shared" si="305"/>
        <v>1</v>
      </c>
      <c r="T727" s="3">
        <f t="shared" si="311"/>
        <v>21110.870708995266</v>
      </c>
      <c r="U727" s="3">
        <f t="shared" si="312"/>
        <v>0.5</v>
      </c>
      <c r="V727" s="3">
        <f t="shared" si="313"/>
        <v>0</v>
      </c>
      <c r="W727" s="3">
        <f t="shared" si="314"/>
        <v>17894.968142944257</v>
      </c>
      <c r="X727" s="3">
        <f t="shared" si="306"/>
        <v>5613.9921090218495</v>
      </c>
      <c r="AI727" s="3"/>
      <c r="AJ727" s="3"/>
      <c r="AK727" s="15">
        <f t="shared" si="297"/>
        <v>3</v>
      </c>
      <c r="AL727" s="11">
        <f t="shared" si="301"/>
        <v>4308</v>
      </c>
      <c r="AM727" s="11" t="b">
        <f t="shared" si="296"/>
        <v>0</v>
      </c>
      <c r="AN727" s="11">
        <f t="shared" si="298"/>
        <v>36000</v>
      </c>
      <c r="AO727" s="11">
        <f t="shared" si="299"/>
        <v>0</v>
      </c>
      <c r="AP727" s="11">
        <f t="shared" si="300"/>
        <v>0.31730306528713748</v>
      </c>
      <c r="AQ727" s="11">
        <f t="shared" si="302"/>
        <v>0</v>
      </c>
      <c r="AT727" s="3"/>
      <c r="AU727" s="17"/>
      <c r="AV727" s="19"/>
      <c r="AW727" s="17"/>
      <c r="AX727" s="17">
        <f t="shared" si="295"/>
        <v>718</v>
      </c>
      <c r="AY727" s="17">
        <f t="shared" si="320"/>
        <v>71.8</v>
      </c>
      <c r="AZ727" s="17">
        <v>31.730306528713747</v>
      </c>
      <c r="BA727" s="17"/>
      <c r="BB727" s="17">
        <v>36</v>
      </c>
      <c r="BC727" s="17"/>
      <c r="BD727" s="17"/>
      <c r="BE727" s="17"/>
      <c r="BF727" s="17"/>
      <c r="BG727" s="17"/>
      <c r="BH727" s="17"/>
      <c r="BI727" s="17"/>
      <c r="BJ727" s="17"/>
      <c r="BK727" s="17"/>
      <c r="BL727" s="17"/>
      <c r="BM727" s="17"/>
      <c r="BN727" s="17"/>
      <c r="BO727" s="17"/>
      <c r="BP727" s="17"/>
      <c r="BQ727" s="17"/>
      <c r="BR727" s="17"/>
      <c r="BS727" s="17"/>
      <c r="BT727" s="17"/>
      <c r="BU727" s="17"/>
      <c r="BV727" s="17"/>
      <c r="BW727" s="17"/>
      <c r="BX727" s="17"/>
      <c r="BY727" s="17"/>
      <c r="BZ727" s="17"/>
      <c r="CA727" s="17"/>
      <c r="CB727" s="17"/>
      <c r="CC727" s="17"/>
      <c r="CD727" s="17"/>
      <c r="CE727" s="17"/>
      <c r="CF727" s="17"/>
      <c r="CG727" s="17"/>
      <c r="CH727" s="17"/>
    </row>
    <row r="728" spans="8:86" x14ac:dyDescent="0.15">
      <c r="H728" s="3">
        <f t="shared" si="315"/>
        <v>0.71600000000000052</v>
      </c>
      <c r="I728" s="3">
        <f t="shared" si="316"/>
        <v>360</v>
      </c>
      <c r="J728" s="14">
        <f t="shared" si="317"/>
        <v>500</v>
      </c>
      <c r="K728" s="3">
        <f t="shared" si="307"/>
        <v>0</v>
      </c>
      <c r="L728" s="3">
        <f t="shared" si="303"/>
        <v>500</v>
      </c>
      <c r="M728" s="15">
        <f t="shared" si="318"/>
        <v>7.0000000000000007E-2</v>
      </c>
      <c r="N728" s="3">
        <f t="shared" si="319"/>
        <v>49.649603533986841</v>
      </c>
      <c r="O728" s="3">
        <f t="shared" si="304"/>
        <v>49.649603533986841</v>
      </c>
      <c r="P728" s="3">
        <f t="shared" si="308"/>
        <v>53.386670466652518</v>
      </c>
      <c r="Q728" s="3">
        <f t="shared" si="309"/>
        <v>11.185762476625708</v>
      </c>
      <c r="R728" s="3">
        <f t="shared" si="310"/>
        <v>32.286216471639115</v>
      </c>
      <c r="S728" s="3">
        <f t="shared" si="305"/>
        <v>1</v>
      </c>
      <c r="T728" s="3">
        <f t="shared" si="311"/>
        <v>21100.453995013402</v>
      </c>
      <c r="U728" s="3">
        <f t="shared" si="312"/>
        <v>0.5</v>
      </c>
      <c r="V728" s="3">
        <f t="shared" si="313"/>
        <v>0</v>
      </c>
      <c r="W728" s="3">
        <f t="shared" si="314"/>
        <v>17873.857272235262</v>
      </c>
      <c r="X728" s="3">
        <f t="shared" si="306"/>
        <v>5592.8812383128543</v>
      </c>
      <c r="AI728" s="3"/>
      <c r="AJ728" s="3"/>
      <c r="AK728" s="15">
        <f t="shared" si="297"/>
        <v>3</v>
      </c>
      <c r="AL728" s="11">
        <f t="shared" si="301"/>
        <v>4314</v>
      </c>
      <c r="AM728" s="11" t="b">
        <f t="shared" si="296"/>
        <v>0</v>
      </c>
      <c r="AN728" s="11">
        <f t="shared" si="298"/>
        <v>36000</v>
      </c>
      <c r="AO728" s="11">
        <f t="shared" si="299"/>
        <v>0</v>
      </c>
      <c r="AP728" s="11">
        <f t="shared" si="300"/>
        <v>0.3184053801019523</v>
      </c>
      <c r="AQ728" s="11">
        <f t="shared" si="302"/>
        <v>0</v>
      </c>
      <c r="AT728" s="3"/>
      <c r="AU728" s="17"/>
      <c r="AV728" s="19"/>
      <c r="AW728" s="17"/>
      <c r="AX728" s="17">
        <f t="shared" si="295"/>
        <v>719</v>
      </c>
      <c r="AY728" s="17">
        <f t="shared" si="320"/>
        <v>71.900000000000006</v>
      </c>
      <c r="AZ728" s="17">
        <v>31.840538010195228</v>
      </c>
      <c r="BA728" s="17"/>
      <c r="BB728" s="17">
        <v>36</v>
      </c>
      <c r="BC728" s="17"/>
      <c r="BD728" s="17"/>
      <c r="BE728" s="17"/>
      <c r="BF728" s="17"/>
      <c r="BG728" s="17"/>
      <c r="BH728" s="17"/>
      <c r="BI728" s="17"/>
      <c r="BJ728" s="17"/>
      <c r="BK728" s="17"/>
      <c r="BL728" s="17"/>
      <c r="BM728" s="17"/>
      <c r="BN728" s="17"/>
      <c r="BO728" s="17"/>
      <c r="BP728" s="17"/>
      <c r="BQ728" s="17"/>
      <c r="BR728" s="17"/>
      <c r="BS728" s="17"/>
      <c r="BT728" s="17"/>
      <c r="BU728" s="17"/>
      <c r="BV728" s="17"/>
      <c r="BW728" s="17"/>
      <c r="BX728" s="17"/>
      <c r="BY728" s="17"/>
      <c r="BZ728" s="17"/>
      <c r="CA728" s="17"/>
      <c r="CB728" s="17"/>
      <c r="CC728" s="17"/>
      <c r="CD728" s="17"/>
      <c r="CE728" s="17"/>
      <c r="CF728" s="17"/>
      <c r="CG728" s="17"/>
      <c r="CH728" s="17"/>
    </row>
    <row r="729" spans="8:86" x14ac:dyDescent="0.15">
      <c r="H729" s="3">
        <f t="shared" si="315"/>
        <v>0.71700000000000053</v>
      </c>
      <c r="I729" s="3">
        <f t="shared" si="316"/>
        <v>360</v>
      </c>
      <c r="J729" s="14">
        <f t="shared" si="317"/>
        <v>500</v>
      </c>
      <c r="K729" s="3">
        <f t="shared" si="307"/>
        <v>0</v>
      </c>
      <c r="L729" s="3">
        <f t="shared" si="303"/>
        <v>500</v>
      </c>
      <c r="M729" s="15">
        <f t="shared" si="318"/>
        <v>7.0000000000000007E-2</v>
      </c>
      <c r="N729" s="3">
        <f t="shared" si="319"/>
        <v>49.590991161778476</v>
      </c>
      <c r="O729" s="3">
        <f t="shared" si="304"/>
        <v>49.590991161778476</v>
      </c>
      <c r="P729" s="3">
        <f t="shared" si="308"/>
        <v>53.323646410514492</v>
      </c>
      <c r="Q729" s="3">
        <f t="shared" si="309"/>
        <v>11.143561568635681</v>
      </c>
      <c r="R729" s="3">
        <f t="shared" si="310"/>
        <v>32.233603989575087</v>
      </c>
      <c r="S729" s="3">
        <f t="shared" si="305"/>
        <v>1</v>
      </c>
      <c r="T729" s="3">
        <f t="shared" si="311"/>
        <v>21090.042420939404</v>
      </c>
      <c r="U729" s="3">
        <f t="shared" si="312"/>
        <v>0.5</v>
      </c>
      <c r="V729" s="3">
        <f t="shared" si="313"/>
        <v>0</v>
      </c>
      <c r="W729" s="3">
        <f t="shared" si="314"/>
        <v>17852.75681824025</v>
      </c>
      <c r="X729" s="3">
        <f t="shared" si="306"/>
        <v>5571.7807843178407</v>
      </c>
      <c r="AI729" s="3"/>
      <c r="AJ729" s="3"/>
      <c r="AK729" s="15">
        <f t="shared" si="297"/>
        <v>3</v>
      </c>
      <c r="AL729" s="11">
        <f t="shared" si="301"/>
        <v>4320</v>
      </c>
      <c r="AM729" s="11" t="b">
        <f t="shared" si="296"/>
        <v>0</v>
      </c>
      <c r="AN729" s="11">
        <f t="shared" si="298"/>
        <v>36000</v>
      </c>
      <c r="AO729" s="11">
        <f t="shared" si="299"/>
        <v>0</v>
      </c>
      <c r="AP729" s="11">
        <f t="shared" si="300"/>
        <v>0.31950769491676706</v>
      </c>
      <c r="AQ729" s="11">
        <f t="shared" si="302"/>
        <v>0</v>
      </c>
      <c r="AT729" s="3"/>
      <c r="AU729" s="17"/>
      <c r="AV729" s="19"/>
      <c r="AW729" s="17"/>
      <c r="AX729" s="17">
        <f t="shared" si="295"/>
        <v>720</v>
      </c>
      <c r="AY729" s="17">
        <f t="shared" si="320"/>
        <v>72</v>
      </c>
      <c r="AZ729" s="17">
        <v>31.950769491676706</v>
      </c>
      <c r="BA729" s="17"/>
      <c r="BB729" s="17">
        <v>36</v>
      </c>
      <c r="BC729" s="17"/>
      <c r="BD729" s="17"/>
      <c r="BE729" s="17"/>
      <c r="BF729" s="17"/>
      <c r="BG729" s="17"/>
      <c r="BH729" s="17"/>
      <c r="BI729" s="17"/>
      <c r="BJ729" s="17"/>
      <c r="BK729" s="17"/>
      <c r="BL729" s="17"/>
      <c r="BM729" s="17"/>
      <c r="BN729" s="17"/>
      <c r="BO729" s="17"/>
      <c r="BP729" s="17"/>
      <c r="BQ729" s="17"/>
      <c r="BR729" s="17"/>
      <c r="BS729" s="17"/>
      <c r="BT729" s="17"/>
      <c r="BU729" s="17"/>
      <c r="BV729" s="17"/>
      <c r="BW729" s="17"/>
      <c r="BX729" s="17"/>
      <c r="BY729" s="17"/>
      <c r="BZ729" s="17"/>
      <c r="CA729" s="17"/>
      <c r="CB729" s="17"/>
      <c r="CC729" s="17"/>
      <c r="CD729" s="17"/>
      <c r="CE729" s="17"/>
      <c r="CF729" s="17"/>
      <c r="CG729" s="17"/>
      <c r="CH729" s="17"/>
    </row>
    <row r="730" spans="8:86" x14ac:dyDescent="0.15">
      <c r="H730" s="3">
        <f t="shared" si="315"/>
        <v>0.71800000000000053</v>
      </c>
      <c r="I730" s="3">
        <f t="shared" si="316"/>
        <v>360</v>
      </c>
      <c r="J730" s="14">
        <f t="shared" si="317"/>
        <v>500</v>
      </c>
      <c r="K730" s="3">
        <f t="shared" si="307"/>
        <v>0</v>
      </c>
      <c r="L730" s="3">
        <f t="shared" si="303"/>
        <v>500</v>
      </c>
      <c r="M730" s="15">
        <f t="shared" si="318"/>
        <v>7.0000000000000007E-2</v>
      </c>
      <c r="N730" s="3">
        <f t="shared" si="319"/>
        <v>49.532407710609199</v>
      </c>
      <c r="O730" s="3">
        <f t="shared" si="304"/>
        <v>49.532407710609199</v>
      </c>
      <c r="P730" s="3">
        <f t="shared" si="308"/>
        <v>53.26065345226796</v>
      </c>
      <c r="Q730" s="3">
        <f t="shared" si="309"/>
        <v>11.101381483793803</v>
      </c>
      <c r="R730" s="3">
        <f t="shared" si="310"/>
        <v>32.18101746803088</v>
      </c>
      <c r="S730" s="3">
        <f t="shared" si="305"/>
        <v>1</v>
      </c>
      <c r="T730" s="3">
        <f t="shared" si="311"/>
        <v>21079.63598423708</v>
      </c>
      <c r="U730" s="3">
        <f t="shared" si="312"/>
        <v>0.5</v>
      </c>
      <c r="V730" s="3">
        <f t="shared" si="313"/>
        <v>0</v>
      </c>
      <c r="W730" s="3">
        <f t="shared" si="314"/>
        <v>17831.666775819311</v>
      </c>
      <c r="X730" s="3">
        <f t="shared" si="306"/>
        <v>5550.6907418969013</v>
      </c>
      <c r="AI730" s="3"/>
      <c r="AJ730" s="3"/>
      <c r="AK730" s="15">
        <f t="shared" si="297"/>
        <v>3</v>
      </c>
      <c r="AL730" s="11">
        <f t="shared" si="301"/>
        <v>4326</v>
      </c>
      <c r="AM730" s="11" t="b">
        <f t="shared" si="296"/>
        <v>0</v>
      </c>
      <c r="AN730" s="11">
        <f t="shared" si="298"/>
        <v>36000</v>
      </c>
      <c r="AO730" s="11">
        <f t="shared" si="299"/>
        <v>0</v>
      </c>
      <c r="AP730" s="11">
        <f t="shared" si="300"/>
        <v>0.32061000973158188</v>
      </c>
      <c r="AQ730" s="11">
        <f t="shared" si="302"/>
        <v>0</v>
      </c>
      <c r="AT730" s="3"/>
      <c r="AU730" s="17"/>
      <c r="AV730" s="19"/>
      <c r="AW730" s="17"/>
      <c r="AX730" s="17">
        <f t="shared" si="295"/>
        <v>721</v>
      </c>
      <c r="AY730" s="17">
        <f t="shared" si="320"/>
        <v>72.099999999999994</v>
      </c>
      <c r="AZ730" s="17">
        <v>32.061000973158187</v>
      </c>
      <c r="BA730" s="17"/>
      <c r="BB730" s="17">
        <v>36</v>
      </c>
      <c r="BC730" s="17"/>
      <c r="BD730" s="17"/>
      <c r="BE730" s="17"/>
      <c r="BF730" s="17"/>
      <c r="BG730" s="17"/>
      <c r="BH730" s="17"/>
      <c r="BI730" s="17"/>
      <c r="BJ730" s="17"/>
      <c r="BK730" s="17"/>
      <c r="BL730" s="17"/>
      <c r="BM730" s="17"/>
      <c r="BN730" s="17"/>
      <c r="BO730" s="17"/>
      <c r="BP730" s="17"/>
      <c r="BQ730" s="17"/>
      <c r="BR730" s="17"/>
      <c r="BS730" s="17"/>
      <c r="BT730" s="17"/>
      <c r="BU730" s="17"/>
      <c r="BV730" s="17"/>
      <c r="BW730" s="17"/>
      <c r="BX730" s="17"/>
      <c r="BY730" s="17"/>
      <c r="BZ730" s="17"/>
      <c r="CA730" s="17"/>
      <c r="CB730" s="17"/>
      <c r="CC730" s="17"/>
      <c r="CD730" s="17"/>
      <c r="CE730" s="17"/>
      <c r="CF730" s="17"/>
      <c r="CG730" s="17"/>
      <c r="CH730" s="17"/>
    </row>
    <row r="731" spans="8:86" x14ac:dyDescent="0.15">
      <c r="H731" s="3">
        <f t="shared" si="315"/>
        <v>0.71900000000000053</v>
      </c>
      <c r="I731" s="3">
        <f t="shared" si="316"/>
        <v>360</v>
      </c>
      <c r="J731" s="14">
        <f t="shared" si="317"/>
        <v>500</v>
      </c>
      <c r="K731" s="3">
        <f t="shared" si="307"/>
        <v>0</v>
      </c>
      <c r="L731" s="3">
        <f t="shared" si="303"/>
        <v>500</v>
      </c>
      <c r="M731" s="15">
        <f t="shared" si="318"/>
        <v>7.0000000000000007E-2</v>
      </c>
      <c r="N731" s="3">
        <f t="shared" si="319"/>
        <v>49.473853166208535</v>
      </c>
      <c r="O731" s="3">
        <f t="shared" si="304"/>
        <v>49.473853166208535</v>
      </c>
      <c r="P731" s="3">
        <f t="shared" si="308"/>
        <v>53.197691576568317</v>
      </c>
      <c r="Q731" s="3">
        <f t="shared" si="309"/>
        <v>11.059222211825329</v>
      </c>
      <c r="R731" s="3">
        <f t="shared" si="310"/>
        <v>32.128456894196823</v>
      </c>
      <c r="S731" s="3">
        <f t="shared" si="305"/>
        <v>1</v>
      </c>
      <c r="T731" s="3">
        <f t="shared" si="311"/>
        <v>21069.234682371494</v>
      </c>
      <c r="U731" s="3">
        <f t="shared" si="312"/>
        <v>0.5</v>
      </c>
      <c r="V731" s="3">
        <f t="shared" si="313"/>
        <v>0</v>
      </c>
      <c r="W731" s="3">
        <f t="shared" si="314"/>
        <v>17810.587139835072</v>
      </c>
      <c r="X731" s="3">
        <f t="shared" si="306"/>
        <v>5529.6111059126642</v>
      </c>
      <c r="AI731" s="3"/>
      <c r="AJ731" s="3"/>
      <c r="AK731" s="15">
        <f t="shared" si="297"/>
        <v>3</v>
      </c>
      <c r="AL731" s="11">
        <f t="shared" si="301"/>
        <v>4332</v>
      </c>
      <c r="AM731" s="11" t="b">
        <f t="shared" si="296"/>
        <v>0</v>
      </c>
      <c r="AN731" s="11">
        <f t="shared" si="298"/>
        <v>36000</v>
      </c>
      <c r="AO731" s="11">
        <f t="shared" si="299"/>
        <v>0</v>
      </c>
      <c r="AP731" s="11">
        <f t="shared" si="300"/>
        <v>0.32171232454639664</v>
      </c>
      <c r="AQ731" s="11">
        <f t="shared" si="302"/>
        <v>0</v>
      </c>
      <c r="AT731" s="3"/>
      <c r="AU731" s="17"/>
      <c r="AV731" s="19"/>
      <c r="AW731" s="17"/>
      <c r="AX731" s="17">
        <f t="shared" si="295"/>
        <v>722</v>
      </c>
      <c r="AY731" s="17">
        <f t="shared" si="320"/>
        <v>72.2</v>
      </c>
      <c r="AZ731" s="17">
        <v>32.171232454639664</v>
      </c>
      <c r="BA731" s="17"/>
      <c r="BB731" s="17">
        <v>36</v>
      </c>
      <c r="BC731" s="17"/>
      <c r="BD731" s="17"/>
      <c r="BE731" s="17"/>
      <c r="BF731" s="17"/>
      <c r="BG731" s="17"/>
      <c r="BH731" s="17"/>
      <c r="BI731" s="17"/>
      <c r="BJ731" s="17"/>
      <c r="BK731" s="17"/>
      <c r="BL731" s="17"/>
      <c r="BM731" s="17"/>
      <c r="BN731" s="17"/>
      <c r="BO731" s="17"/>
      <c r="BP731" s="17"/>
      <c r="BQ731" s="17"/>
      <c r="BR731" s="17"/>
      <c r="BS731" s="17"/>
      <c r="BT731" s="17"/>
      <c r="BU731" s="17"/>
      <c r="BV731" s="17"/>
      <c r="BW731" s="17"/>
      <c r="BX731" s="17"/>
      <c r="BY731" s="17"/>
      <c r="BZ731" s="17"/>
      <c r="CA731" s="17"/>
      <c r="CB731" s="17"/>
      <c r="CC731" s="17"/>
      <c r="CD731" s="17"/>
      <c r="CE731" s="17"/>
      <c r="CF731" s="17"/>
      <c r="CG731" s="17"/>
      <c r="CH731" s="17"/>
    </row>
    <row r="732" spans="8:86" x14ac:dyDescent="0.15">
      <c r="H732" s="3">
        <f t="shared" si="315"/>
        <v>0.72000000000000053</v>
      </c>
      <c r="I732" s="3">
        <f t="shared" si="316"/>
        <v>360</v>
      </c>
      <c r="J732" s="14">
        <f t="shared" si="317"/>
        <v>500</v>
      </c>
      <c r="K732" s="3">
        <f t="shared" si="307"/>
        <v>0</v>
      </c>
      <c r="L732" s="3">
        <f t="shared" si="303"/>
        <v>500</v>
      </c>
      <c r="M732" s="15">
        <f t="shared" si="318"/>
        <v>7.0000000000000007E-2</v>
      </c>
      <c r="N732" s="3">
        <f t="shared" si="319"/>
        <v>49.415327514313056</v>
      </c>
      <c r="O732" s="3">
        <f t="shared" si="304"/>
        <v>49.415327514313056</v>
      </c>
      <c r="P732" s="3">
        <f t="shared" si="308"/>
        <v>53.134760768078557</v>
      </c>
      <c r="Q732" s="3">
        <f t="shared" si="309"/>
        <v>11.017083742460585</v>
      </c>
      <c r="R732" s="3">
        <f t="shared" si="310"/>
        <v>32.075922255269575</v>
      </c>
      <c r="S732" s="3">
        <f t="shared" si="305"/>
        <v>1</v>
      </c>
      <c r="T732" s="3">
        <f t="shared" si="311"/>
        <v>21058.838512808987</v>
      </c>
      <c r="U732" s="3">
        <f t="shared" si="312"/>
        <v>0.5</v>
      </c>
      <c r="V732" s="3">
        <f t="shared" si="313"/>
        <v>0</v>
      </c>
      <c r="W732" s="3">
        <f t="shared" si="314"/>
        <v>17789.517905152701</v>
      </c>
      <c r="X732" s="3">
        <f t="shared" si="306"/>
        <v>5508.5418712302926</v>
      </c>
      <c r="AI732" s="3"/>
      <c r="AJ732" s="3"/>
      <c r="AK732" s="15">
        <f t="shared" si="297"/>
        <v>3</v>
      </c>
      <c r="AL732" s="11">
        <f t="shared" si="301"/>
        <v>4338</v>
      </c>
      <c r="AM732" s="11" t="b">
        <f t="shared" si="296"/>
        <v>0</v>
      </c>
      <c r="AN732" s="11">
        <f t="shared" si="298"/>
        <v>36000</v>
      </c>
      <c r="AO732" s="11">
        <f t="shared" si="299"/>
        <v>0</v>
      </c>
      <c r="AP732" s="11">
        <f t="shared" si="300"/>
        <v>0.32281463936121146</v>
      </c>
      <c r="AQ732" s="11">
        <f t="shared" si="302"/>
        <v>0</v>
      </c>
      <c r="AT732" s="3"/>
      <c r="AU732" s="17"/>
      <c r="AV732" s="19"/>
      <c r="AW732" s="17"/>
      <c r="AX732" s="17">
        <f t="shared" si="295"/>
        <v>723</v>
      </c>
      <c r="AY732" s="17">
        <f t="shared" si="320"/>
        <v>72.3</v>
      </c>
      <c r="AZ732" s="17">
        <v>32.281463936121149</v>
      </c>
      <c r="BA732" s="17"/>
      <c r="BB732" s="17">
        <v>36</v>
      </c>
      <c r="BC732" s="17"/>
      <c r="BD732" s="17"/>
      <c r="BE732" s="17"/>
      <c r="BF732" s="17"/>
      <c r="BG732" s="17"/>
      <c r="BH732" s="17"/>
      <c r="BI732" s="17"/>
      <c r="BJ732" s="17"/>
      <c r="BK732" s="17"/>
      <c r="BL732" s="17"/>
      <c r="BM732" s="17"/>
      <c r="BN732" s="17"/>
      <c r="BO732" s="17"/>
      <c r="BP732" s="17"/>
      <c r="BQ732" s="17"/>
      <c r="BR732" s="17"/>
      <c r="BS732" s="17"/>
      <c r="BT732" s="17"/>
      <c r="BU732" s="17"/>
      <c r="BV732" s="17"/>
      <c r="BW732" s="17"/>
      <c r="BX732" s="17"/>
      <c r="BY732" s="17"/>
      <c r="BZ732" s="17"/>
      <c r="CA732" s="17"/>
      <c r="CB732" s="17"/>
      <c r="CC732" s="17"/>
      <c r="CD732" s="17"/>
      <c r="CE732" s="17"/>
      <c r="CF732" s="17"/>
      <c r="CG732" s="17"/>
      <c r="CH732" s="17"/>
    </row>
    <row r="733" spans="8:86" x14ac:dyDescent="0.15">
      <c r="H733" s="3">
        <f t="shared" si="315"/>
        <v>0.72100000000000053</v>
      </c>
      <c r="I733" s="3">
        <f t="shared" si="316"/>
        <v>360</v>
      </c>
      <c r="J733" s="14">
        <f t="shared" si="317"/>
        <v>500</v>
      </c>
      <c r="K733" s="3">
        <f t="shared" si="307"/>
        <v>0</v>
      </c>
      <c r="L733" s="3">
        <f t="shared" si="303"/>
        <v>500</v>
      </c>
      <c r="M733" s="15">
        <f t="shared" si="318"/>
        <v>7.0000000000000007E-2</v>
      </c>
      <c r="N733" s="3">
        <f t="shared" si="319"/>
        <v>49.356830740666361</v>
      </c>
      <c r="O733" s="3">
        <f t="shared" si="304"/>
        <v>49.356830740666361</v>
      </c>
      <c r="P733" s="3">
        <f t="shared" si="308"/>
        <v>53.07186101146921</v>
      </c>
      <c r="Q733" s="3">
        <f t="shared" si="309"/>
        <v>10.974966065434966</v>
      </c>
      <c r="R733" s="3">
        <f t="shared" si="310"/>
        <v>32.02341353845209</v>
      </c>
      <c r="S733" s="3">
        <f t="shared" si="305"/>
        <v>1</v>
      </c>
      <c r="T733" s="3">
        <f t="shared" si="311"/>
        <v>21048.447473017121</v>
      </c>
      <c r="U733" s="3">
        <f t="shared" si="312"/>
        <v>0.5</v>
      </c>
      <c r="V733" s="3">
        <f t="shared" si="313"/>
        <v>0</v>
      </c>
      <c r="W733" s="3">
        <f t="shared" si="314"/>
        <v>17768.459066639891</v>
      </c>
      <c r="X733" s="3">
        <f t="shared" si="306"/>
        <v>5487.4830327174832</v>
      </c>
      <c r="AI733" s="3"/>
      <c r="AJ733" s="3"/>
      <c r="AK733" s="15">
        <f t="shared" si="297"/>
        <v>3</v>
      </c>
      <c r="AL733" s="11">
        <f t="shared" si="301"/>
        <v>4344</v>
      </c>
      <c r="AM733" s="11" t="b">
        <f t="shared" si="296"/>
        <v>0</v>
      </c>
      <c r="AN733" s="11">
        <f t="shared" si="298"/>
        <v>36000</v>
      </c>
      <c r="AO733" s="11">
        <f t="shared" si="299"/>
        <v>0</v>
      </c>
      <c r="AP733" s="11">
        <f t="shared" si="300"/>
        <v>0.32391695417602623</v>
      </c>
      <c r="AQ733" s="11">
        <f t="shared" si="302"/>
        <v>0</v>
      </c>
      <c r="AT733" s="3"/>
      <c r="AU733" s="17"/>
      <c r="AV733" s="19"/>
      <c r="AW733" s="17"/>
      <c r="AX733" s="17">
        <f t="shared" si="295"/>
        <v>724</v>
      </c>
      <c r="AY733" s="17">
        <f t="shared" si="320"/>
        <v>72.400000000000006</v>
      </c>
      <c r="AZ733" s="17">
        <v>32.39169541760262</v>
      </c>
      <c r="BA733" s="17"/>
      <c r="BB733" s="17">
        <v>36</v>
      </c>
      <c r="BC733" s="17"/>
      <c r="BD733" s="17"/>
      <c r="BE733" s="17"/>
      <c r="BF733" s="17"/>
      <c r="BG733" s="17"/>
      <c r="BH733" s="17"/>
      <c r="BI733" s="17"/>
      <c r="BJ733" s="17"/>
      <c r="BK733" s="17"/>
      <c r="BL733" s="17"/>
      <c r="BM733" s="17"/>
      <c r="BN733" s="17"/>
      <c r="BO733" s="17"/>
      <c r="BP733" s="17"/>
      <c r="BQ733" s="17"/>
      <c r="BR733" s="17"/>
      <c r="BS733" s="17"/>
      <c r="BT733" s="17"/>
      <c r="BU733" s="17"/>
      <c r="BV733" s="17"/>
      <c r="BW733" s="17"/>
      <c r="BX733" s="17"/>
      <c r="BY733" s="17"/>
      <c r="BZ733" s="17"/>
      <c r="CA733" s="17"/>
      <c r="CB733" s="17"/>
      <c r="CC733" s="17"/>
      <c r="CD733" s="17"/>
      <c r="CE733" s="17"/>
      <c r="CF733" s="17"/>
      <c r="CG733" s="17"/>
      <c r="CH733" s="17"/>
    </row>
    <row r="734" spans="8:86" x14ac:dyDescent="0.15">
      <c r="H734" s="3">
        <f t="shared" si="315"/>
        <v>0.72200000000000053</v>
      </c>
      <c r="I734" s="3">
        <f t="shared" si="316"/>
        <v>360</v>
      </c>
      <c r="J734" s="14">
        <f t="shared" si="317"/>
        <v>500</v>
      </c>
      <c r="K734" s="3">
        <f t="shared" si="307"/>
        <v>0</v>
      </c>
      <c r="L734" s="3">
        <f t="shared" si="303"/>
        <v>500</v>
      </c>
      <c r="M734" s="15">
        <f t="shared" si="318"/>
        <v>7.0000000000000007E-2</v>
      </c>
      <c r="N734" s="3">
        <f t="shared" si="319"/>
        <v>49.298362831019091</v>
      </c>
      <c r="O734" s="3">
        <f t="shared" si="304"/>
        <v>49.298362831019091</v>
      </c>
      <c r="P734" s="3">
        <f t="shared" si="308"/>
        <v>53.00899229141838</v>
      </c>
      <c r="Q734" s="3">
        <f t="shared" si="309"/>
        <v>10.932869170488932</v>
      </c>
      <c r="R734" s="3">
        <f t="shared" si="310"/>
        <v>31.970930730953654</v>
      </c>
      <c r="S734" s="3">
        <f t="shared" si="305"/>
        <v>1</v>
      </c>
      <c r="T734" s="3">
        <f t="shared" si="311"/>
        <v>21038.061560464725</v>
      </c>
      <c r="U734" s="3">
        <f t="shared" si="312"/>
        <v>0.5</v>
      </c>
      <c r="V734" s="3">
        <f t="shared" si="313"/>
        <v>0</v>
      </c>
      <c r="W734" s="3">
        <f t="shared" si="314"/>
        <v>17747.410619166872</v>
      </c>
      <c r="X734" s="3">
        <f t="shared" si="306"/>
        <v>5466.4345852444658</v>
      </c>
      <c r="AI734" s="3"/>
      <c r="AJ734" s="3"/>
      <c r="AK734" s="15">
        <f t="shared" si="297"/>
        <v>3</v>
      </c>
      <c r="AL734" s="11">
        <f t="shared" si="301"/>
        <v>4350</v>
      </c>
      <c r="AM734" s="11" t="b">
        <f t="shared" si="296"/>
        <v>0</v>
      </c>
      <c r="AN734" s="11">
        <f t="shared" si="298"/>
        <v>36000</v>
      </c>
      <c r="AO734" s="11">
        <f t="shared" si="299"/>
        <v>0</v>
      </c>
      <c r="AP734" s="11">
        <f t="shared" si="300"/>
        <v>0.32501926899084105</v>
      </c>
      <c r="AQ734" s="11">
        <f t="shared" si="302"/>
        <v>0</v>
      </c>
      <c r="AT734" s="3"/>
      <c r="AU734" s="17"/>
      <c r="AV734" s="19"/>
      <c r="AW734" s="17"/>
      <c r="AX734" s="17">
        <f t="shared" si="295"/>
        <v>725</v>
      </c>
      <c r="AY734" s="17">
        <f t="shared" si="320"/>
        <v>72.5</v>
      </c>
      <c r="AZ734" s="17">
        <v>32.501926899084104</v>
      </c>
      <c r="BA734" s="17"/>
      <c r="BB734" s="17">
        <v>36</v>
      </c>
      <c r="BC734" s="17"/>
      <c r="BD734" s="17"/>
      <c r="BE734" s="17"/>
      <c r="BF734" s="17"/>
      <c r="BG734" s="17"/>
      <c r="BH734" s="17"/>
      <c r="BI734" s="17"/>
      <c r="BJ734" s="17"/>
      <c r="BK734" s="17"/>
      <c r="BL734" s="17"/>
      <c r="BM734" s="17"/>
      <c r="BN734" s="17"/>
      <c r="BO734" s="17"/>
      <c r="BP734" s="17"/>
      <c r="BQ734" s="17"/>
      <c r="BR734" s="17"/>
      <c r="BS734" s="17"/>
      <c r="BT734" s="17"/>
      <c r="BU734" s="17"/>
      <c r="BV734" s="17"/>
      <c r="BW734" s="17"/>
      <c r="BX734" s="17"/>
      <c r="BY734" s="17"/>
      <c r="BZ734" s="17"/>
      <c r="CA734" s="17"/>
      <c r="CB734" s="17"/>
      <c r="CC734" s="17"/>
      <c r="CD734" s="17"/>
      <c r="CE734" s="17"/>
      <c r="CF734" s="17"/>
      <c r="CG734" s="17"/>
      <c r="CH734" s="17"/>
    </row>
    <row r="735" spans="8:86" x14ac:dyDescent="0.15">
      <c r="H735" s="3">
        <f t="shared" si="315"/>
        <v>0.72300000000000053</v>
      </c>
      <c r="I735" s="3">
        <f t="shared" si="316"/>
        <v>360</v>
      </c>
      <c r="J735" s="14">
        <f t="shared" si="317"/>
        <v>500</v>
      </c>
      <c r="K735" s="3">
        <f t="shared" si="307"/>
        <v>0</v>
      </c>
      <c r="L735" s="3">
        <f t="shared" si="303"/>
        <v>500</v>
      </c>
      <c r="M735" s="15">
        <f t="shared" si="318"/>
        <v>7.0000000000000007E-2</v>
      </c>
      <c r="N735" s="3">
        <f t="shared" si="319"/>
        <v>49.239923771128908</v>
      </c>
      <c r="O735" s="3">
        <f t="shared" si="304"/>
        <v>49.239923771128908</v>
      </c>
      <c r="P735" s="3">
        <f t="shared" si="308"/>
        <v>52.946154592611734</v>
      </c>
      <c r="Q735" s="3">
        <f t="shared" si="309"/>
        <v>10.890793047368003</v>
      </c>
      <c r="R735" s="3">
        <f t="shared" si="310"/>
        <v>31.91847381998987</v>
      </c>
      <c r="S735" s="3">
        <f t="shared" si="305"/>
        <v>1</v>
      </c>
      <c r="T735" s="3">
        <f t="shared" si="311"/>
        <v>21027.680772621865</v>
      </c>
      <c r="U735" s="3">
        <f t="shared" si="312"/>
        <v>0.5</v>
      </c>
      <c r="V735" s="3">
        <f t="shared" si="313"/>
        <v>0</v>
      </c>
      <c r="W735" s="3">
        <f t="shared" si="314"/>
        <v>17726.372557606406</v>
      </c>
      <c r="X735" s="3">
        <f t="shared" si="306"/>
        <v>5445.3965236840013</v>
      </c>
      <c r="AI735" s="3"/>
      <c r="AJ735" s="3"/>
      <c r="AK735" s="15">
        <f t="shared" si="297"/>
        <v>3</v>
      </c>
      <c r="AL735" s="11">
        <f t="shared" si="301"/>
        <v>4356</v>
      </c>
      <c r="AM735" s="11" t="b">
        <f t="shared" si="296"/>
        <v>0</v>
      </c>
      <c r="AN735" s="11">
        <f t="shared" si="298"/>
        <v>36000</v>
      </c>
      <c r="AO735" s="11">
        <f t="shared" si="299"/>
        <v>0</v>
      </c>
      <c r="AP735" s="11">
        <f t="shared" si="300"/>
        <v>0.32612158380565581</v>
      </c>
      <c r="AQ735" s="11">
        <f t="shared" si="302"/>
        <v>0</v>
      </c>
      <c r="AT735" s="3"/>
      <c r="AU735" s="17"/>
      <c r="AV735" s="19"/>
      <c r="AW735" s="17"/>
      <c r="AX735" s="17">
        <f t="shared" si="295"/>
        <v>726</v>
      </c>
      <c r="AY735" s="17">
        <f t="shared" si="320"/>
        <v>72.599999999999994</v>
      </c>
      <c r="AZ735" s="17">
        <v>32.612158380565582</v>
      </c>
      <c r="BA735" s="17"/>
      <c r="BB735" s="17">
        <v>36</v>
      </c>
      <c r="BC735" s="17"/>
      <c r="BD735" s="17"/>
      <c r="BE735" s="17"/>
      <c r="BF735" s="17"/>
      <c r="BG735" s="17"/>
      <c r="BH735" s="17"/>
      <c r="BI735" s="17"/>
      <c r="BJ735" s="17"/>
      <c r="BK735" s="17"/>
      <c r="BL735" s="17"/>
      <c r="BM735" s="17"/>
      <c r="BN735" s="17"/>
      <c r="BO735" s="17"/>
      <c r="BP735" s="17"/>
      <c r="BQ735" s="17"/>
      <c r="BR735" s="17"/>
      <c r="BS735" s="17"/>
      <c r="BT735" s="17"/>
      <c r="BU735" s="17"/>
      <c r="BV735" s="17"/>
      <c r="BW735" s="17"/>
      <c r="BX735" s="17"/>
      <c r="BY735" s="17"/>
      <c r="BZ735" s="17"/>
      <c r="CA735" s="17"/>
      <c r="CB735" s="17"/>
      <c r="CC735" s="17"/>
      <c r="CD735" s="17"/>
      <c r="CE735" s="17"/>
      <c r="CF735" s="17"/>
      <c r="CG735" s="17"/>
      <c r="CH735" s="17"/>
    </row>
    <row r="736" spans="8:86" x14ac:dyDescent="0.15">
      <c r="H736" s="3">
        <f t="shared" si="315"/>
        <v>0.72400000000000053</v>
      </c>
      <c r="I736" s="3">
        <f t="shared" si="316"/>
        <v>360</v>
      </c>
      <c r="J736" s="14">
        <f t="shared" si="317"/>
        <v>500</v>
      </c>
      <c r="K736" s="3">
        <f t="shared" si="307"/>
        <v>0</v>
      </c>
      <c r="L736" s="3">
        <f t="shared" si="303"/>
        <v>500</v>
      </c>
      <c r="M736" s="15">
        <f t="shared" si="318"/>
        <v>7.0000000000000007E-2</v>
      </c>
      <c r="N736" s="3">
        <f t="shared" si="319"/>
        <v>49.181513546760513</v>
      </c>
      <c r="O736" s="3">
        <f t="shared" si="304"/>
        <v>49.181513546760513</v>
      </c>
      <c r="P736" s="3">
        <f t="shared" si="308"/>
        <v>52.883347899742489</v>
      </c>
      <c r="Q736" s="3">
        <f t="shared" si="309"/>
        <v>10.848737685822758</v>
      </c>
      <c r="R736" s="3">
        <f t="shared" si="310"/>
        <v>31.866042792782622</v>
      </c>
      <c r="S736" s="3">
        <f t="shared" si="305"/>
        <v>1</v>
      </c>
      <c r="T736" s="3">
        <f t="shared" si="311"/>
        <v>21017.305106959866</v>
      </c>
      <c r="U736" s="3">
        <f t="shared" si="312"/>
        <v>0.5</v>
      </c>
      <c r="V736" s="3">
        <f t="shared" si="313"/>
        <v>0</v>
      </c>
      <c r="W736" s="3">
        <f t="shared" si="314"/>
        <v>17705.344876833784</v>
      </c>
      <c r="X736" s="3">
        <f t="shared" si="306"/>
        <v>5424.368842911379</v>
      </c>
      <c r="AI736" s="3"/>
      <c r="AJ736" s="3"/>
      <c r="AK736" s="15">
        <f t="shared" si="297"/>
        <v>3</v>
      </c>
      <c r="AL736" s="11">
        <f t="shared" si="301"/>
        <v>4362</v>
      </c>
      <c r="AM736" s="11" t="b">
        <f t="shared" si="296"/>
        <v>0</v>
      </c>
      <c r="AN736" s="11">
        <f t="shared" si="298"/>
        <v>36000</v>
      </c>
      <c r="AO736" s="11">
        <f t="shared" si="299"/>
        <v>0</v>
      </c>
      <c r="AP736" s="11">
        <f t="shared" si="300"/>
        <v>0.32722389862047063</v>
      </c>
      <c r="AQ736" s="11">
        <f t="shared" si="302"/>
        <v>0</v>
      </c>
      <c r="AT736" s="3"/>
      <c r="AU736" s="17"/>
      <c r="AV736" s="19"/>
      <c r="AW736" s="17"/>
      <c r="AX736" s="17">
        <f t="shared" si="295"/>
        <v>727</v>
      </c>
      <c r="AY736" s="17">
        <f t="shared" si="320"/>
        <v>72.7</v>
      </c>
      <c r="AZ736" s="17">
        <v>32.722389862047066</v>
      </c>
      <c r="BA736" s="17"/>
      <c r="BB736" s="17">
        <v>36</v>
      </c>
      <c r="BC736" s="17"/>
      <c r="BD736" s="17"/>
      <c r="BE736" s="17"/>
      <c r="BF736" s="17"/>
      <c r="BG736" s="17"/>
      <c r="BH736" s="17"/>
      <c r="BI736" s="17"/>
      <c r="BJ736" s="17"/>
      <c r="BK736" s="17"/>
      <c r="BL736" s="17"/>
      <c r="BM736" s="17"/>
      <c r="BN736" s="17"/>
      <c r="BO736" s="17"/>
      <c r="BP736" s="17"/>
      <c r="BQ736" s="17"/>
      <c r="BR736" s="17"/>
      <c r="BS736" s="17"/>
      <c r="BT736" s="17"/>
      <c r="BU736" s="17"/>
      <c r="BV736" s="17"/>
      <c r="BW736" s="17"/>
      <c r="BX736" s="17"/>
      <c r="BY736" s="17"/>
      <c r="BZ736" s="17"/>
      <c r="CA736" s="17"/>
      <c r="CB736" s="17"/>
      <c r="CC736" s="17"/>
      <c r="CD736" s="17"/>
      <c r="CE736" s="17"/>
      <c r="CF736" s="17"/>
      <c r="CG736" s="17"/>
      <c r="CH736" s="17"/>
    </row>
    <row r="737" spans="8:86" x14ac:dyDescent="0.15">
      <c r="H737" s="3">
        <f t="shared" si="315"/>
        <v>0.72500000000000053</v>
      </c>
      <c r="I737" s="3">
        <f t="shared" si="316"/>
        <v>360</v>
      </c>
      <c r="J737" s="14">
        <f t="shared" si="317"/>
        <v>500</v>
      </c>
      <c r="K737" s="3">
        <f t="shared" si="307"/>
        <v>0</v>
      </c>
      <c r="L737" s="3">
        <f t="shared" si="303"/>
        <v>500</v>
      </c>
      <c r="M737" s="15">
        <f t="shared" si="318"/>
        <v>7.0000000000000007E-2</v>
      </c>
      <c r="N737" s="3">
        <f t="shared" si="319"/>
        <v>49.123132143685616</v>
      </c>
      <c r="O737" s="3">
        <f t="shared" si="304"/>
        <v>49.123132143685616</v>
      </c>
      <c r="P737" s="3">
        <f t="shared" si="308"/>
        <v>52.820572197511417</v>
      </c>
      <c r="Q737" s="3">
        <f t="shared" si="309"/>
        <v>10.806703075608839</v>
      </c>
      <c r="R737" s="3">
        <f t="shared" si="310"/>
        <v>31.813637636560127</v>
      </c>
      <c r="S737" s="3">
        <f t="shared" si="305"/>
        <v>1</v>
      </c>
      <c r="T737" s="3">
        <f t="shared" si="311"/>
        <v>21006.934560951289</v>
      </c>
      <c r="U737" s="3">
        <f t="shared" si="312"/>
        <v>0.5</v>
      </c>
      <c r="V737" s="3">
        <f t="shared" si="313"/>
        <v>0</v>
      </c>
      <c r="W737" s="3">
        <f t="shared" si="314"/>
        <v>17684.327571726822</v>
      </c>
      <c r="X737" s="3">
        <f t="shared" si="306"/>
        <v>5403.3515378044194</v>
      </c>
      <c r="AI737" s="3"/>
      <c r="AJ737" s="3"/>
      <c r="AK737" s="15">
        <f t="shared" si="297"/>
        <v>3</v>
      </c>
      <c r="AL737" s="11">
        <f t="shared" si="301"/>
        <v>4368</v>
      </c>
      <c r="AM737" s="11" t="b">
        <f t="shared" si="296"/>
        <v>0</v>
      </c>
      <c r="AN737" s="11">
        <f t="shared" si="298"/>
        <v>36000</v>
      </c>
      <c r="AO737" s="11">
        <f t="shared" si="299"/>
        <v>0</v>
      </c>
      <c r="AP737" s="11">
        <f t="shared" si="300"/>
        <v>0.3283262134352854</v>
      </c>
      <c r="AQ737" s="11">
        <f t="shared" si="302"/>
        <v>0</v>
      </c>
      <c r="AT737" s="3"/>
      <c r="AU737" s="17"/>
      <c r="AV737" s="19"/>
      <c r="AW737" s="17"/>
      <c r="AX737" s="17">
        <f t="shared" si="295"/>
        <v>728</v>
      </c>
      <c r="AY737" s="17">
        <f t="shared" si="320"/>
        <v>72.8</v>
      </c>
      <c r="AZ737" s="17">
        <v>32.832621343528537</v>
      </c>
      <c r="BA737" s="17"/>
      <c r="BB737" s="17">
        <v>36</v>
      </c>
      <c r="BC737" s="17"/>
      <c r="BD737" s="17"/>
      <c r="BE737" s="17"/>
      <c r="BF737" s="17"/>
      <c r="BG737" s="17"/>
      <c r="BH737" s="17"/>
      <c r="BI737" s="17"/>
      <c r="BJ737" s="17"/>
      <c r="BK737" s="17"/>
      <c r="BL737" s="17"/>
      <c r="BM737" s="17"/>
      <c r="BN737" s="17"/>
      <c r="BO737" s="17"/>
      <c r="BP737" s="17"/>
      <c r="BQ737" s="17"/>
      <c r="BR737" s="17"/>
      <c r="BS737" s="17"/>
      <c r="BT737" s="17"/>
      <c r="BU737" s="17"/>
      <c r="BV737" s="17"/>
      <c r="BW737" s="17"/>
      <c r="BX737" s="17"/>
      <c r="BY737" s="17"/>
      <c r="BZ737" s="17"/>
      <c r="CA737" s="17"/>
      <c r="CB737" s="17"/>
      <c r="CC737" s="17"/>
      <c r="CD737" s="17"/>
      <c r="CE737" s="17"/>
      <c r="CF737" s="17"/>
      <c r="CG737" s="17"/>
      <c r="CH737" s="17"/>
    </row>
    <row r="738" spans="8:86" x14ac:dyDescent="0.15">
      <c r="H738" s="3">
        <f t="shared" si="315"/>
        <v>0.72600000000000053</v>
      </c>
      <c r="I738" s="3">
        <f t="shared" si="316"/>
        <v>360</v>
      </c>
      <c r="J738" s="14">
        <f t="shared" si="317"/>
        <v>500</v>
      </c>
      <c r="K738" s="3">
        <f t="shared" si="307"/>
        <v>0</v>
      </c>
      <c r="L738" s="3">
        <f t="shared" si="303"/>
        <v>500</v>
      </c>
      <c r="M738" s="15">
        <f t="shared" si="318"/>
        <v>7.0000000000000007E-2</v>
      </c>
      <c r="N738" s="3">
        <f t="shared" si="319"/>
        <v>49.064779547682974</v>
      </c>
      <c r="O738" s="3">
        <f t="shared" si="304"/>
        <v>49.064779547682974</v>
      </c>
      <c r="P738" s="3">
        <f t="shared" si="308"/>
        <v>52.757827470626857</v>
      </c>
      <c r="Q738" s="3">
        <f t="shared" si="309"/>
        <v>10.764689206486937</v>
      </c>
      <c r="R738" s="3">
        <f t="shared" si="310"/>
        <v>31.761258338556896</v>
      </c>
      <c r="S738" s="3">
        <f t="shared" si="305"/>
        <v>1</v>
      </c>
      <c r="T738" s="3">
        <f t="shared" si="311"/>
        <v>20996.569132069963</v>
      </c>
      <c r="U738" s="3">
        <f t="shared" si="312"/>
        <v>0.5</v>
      </c>
      <c r="V738" s="3">
        <f t="shared" si="313"/>
        <v>0</v>
      </c>
      <c r="W738" s="3">
        <f t="shared" si="314"/>
        <v>17663.320637165871</v>
      </c>
      <c r="X738" s="3">
        <f t="shared" si="306"/>
        <v>5382.3446032434686</v>
      </c>
      <c r="AI738" s="3"/>
      <c r="AJ738" s="3"/>
      <c r="AK738" s="15">
        <f t="shared" si="297"/>
        <v>3</v>
      </c>
      <c r="AL738" s="11">
        <f t="shared" si="301"/>
        <v>4374</v>
      </c>
      <c r="AM738" s="11" t="b">
        <f t="shared" si="296"/>
        <v>0</v>
      </c>
      <c r="AN738" s="11">
        <f t="shared" si="298"/>
        <v>36000</v>
      </c>
      <c r="AO738" s="11">
        <f t="shared" si="299"/>
        <v>0</v>
      </c>
      <c r="AP738" s="11">
        <f t="shared" si="300"/>
        <v>0.32942852825010022</v>
      </c>
      <c r="AQ738" s="11">
        <f t="shared" si="302"/>
        <v>0</v>
      </c>
      <c r="AT738" s="3"/>
      <c r="AU738" s="17"/>
      <c r="AV738" s="19"/>
      <c r="AW738" s="17"/>
      <c r="AX738" s="17">
        <f t="shared" si="295"/>
        <v>729</v>
      </c>
      <c r="AY738" s="17">
        <f t="shared" si="320"/>
        <v>72.900000000000006</v>
      </c>
      <c r="AZ738" s="17">
        <v>32.942852825010021</v>
      </c>
      <c r="BA738" s="17"/>
      <c r="BB738" s="17">
        <v>36</v>
      </c>
      <c r="BC738" s="17"/>
      <c r="BD738" s="17"/>
      <c r="BE738" s="17"/>
      <c r="BF738" s="17"/>
      <c r="BG738" s="17"/>
      <c r="BH738" s="17"/>
      <c r="BI738" s="17"/>
      <c r="BJ738" s="17"/>
      <c r="BK738" s="17"/>
      <c r="BL738" s="17"/>
      <c r="BM738" s="17"/>
      <c r="BN738" s="17"/>
      <c r="BO738" s="17"/>
      <c r="BP738" s="17"/>
      <c r="BQ738" s="17"/>
      <c r="BR738" s="17"/>
      <c r="BS738" s="17"/>
      <c r="BT738" s="17"/>
      <c r="BU738" s="17"/>
      <c r="BV738" s="17"/>
      <c r="BW738" s="17"/>
      <c r="BX738" s="17"/>
      <c r="BY738" s="17"/>
      <c r="BZ738" s="17"/>
      <c r="CA738" s="17"/>
      <c r="CB738" s="17"/>
      <c r="CC738" s="17"/>
      <c r="CD738" s="17"/>
      <c r="CE738" s="17"/>
      <c r="CF738" s="17"/>
      <c r="CG738" s="17"/>
      <c r="CH738" s="17"/>
    </row>
    <row r="739" spans="8:86" x14ac:dyDescent="0.15">
      <c r="H739" s="3">
        <f t="shared" si="315"/>
        <v>0.72700000000000053</v>
      </c>
      <c r="I739" s="3">
        <f t="shared" si="316"/>
        <v>360</v>
      </c>
      <c r="J739" s="14">
        <f t="shared" si="317"/>
        <v>500</v>
      </c>
      <c r="K739" s="3">
        <f t="shared" si="307"/>
        <v>0</v>
      </c>
      <c r="L739" s="3">
        <f t="shared" si="303"/>
        <v>500</v>
      </c>
      <c r="M739" s="15">
        <f t="shared" si="318"/>
        <v>7.0000000000000007E-2</v>
      </c>
      <c r="N739" s="3">
        <f t="shared" si="319"/>
        <v>49.006455744538343</v>
      </c>
      <c r="O739" s="3">
        <f t="shared" si="304"/>
        <v>49.006455744538343</v>
      </c>
      <c r="P739" s="3">
        <f t="shared" si="308"/>
        <v>52.695113703804672</v>
      </c>
      <c r="Q739" s="3">
        <f t="shared" si="309"/>
        <v>10.722696068222797</v>
      </c>
      <c r="R739" s="3">
        <f t="shared" si="310"/>
        <v>31.708904886013734</v>
      </c>
      <c r="S739" s="3">
        <f t="shared" si="305"/>
        <v>1</v>
      </c>
      <c r="T739" s="3">
        <f t="shared" si="311"/>
        <v>20986.208817790939</v>
      </c>
      <c r="U739" s="3">
        <f t="shared" si="312"/>
        <v>0.5</v>
      </c>
      <c r="V739" s="3">
        <f t="shared" si="313"/>
        <v>0</v>
      </c>
      <c r="W739" s="3">
        <f t="shared" si="314"/>
        <v>17642.324068033802</v>
      </c>
      <c r="X739" s="3">
        <f t="shared" si="306"/>
        <v>5361.3480341113982</v>
      </c>
      <c r="AI739" s="3"/>
      <c r="AJ739" s="3"/>
      <c r="AK739" s="15">
        <f t="shared" si="297"/>
        <v>3</v>
      </c>
      <c r="AL739" s="11">
        <f t="shared" si="301"/>
        <v>4380</v>
      </c>
      <c r="AM739" s="11" t="b">
        <f t="shared" si="296"/>
        <v>0</v>
      </c>
      <c r="AN739" s="11">
        <f t="shared" si="298"/>
        <v>36000</v>
      </c>
      <c r="AO739" s="11">
        <f t="shared" si="299"/>
        <v>0</v>
      </c>
      <c r="AP739" s="11">
        <f t="shared" si="300"/>
        <v>0.33053084306491498</v>
      </c>
      <c r="AQ739" s="11">
        <f t="shared" si="302"/>
        <v>0</v>
      </c>
      <c r="AT739" s="3"/>
      <c r="AU739" s="17"/>
      <c r="AV739" s="19"/>
      <c r="AW739" s="17"/>
      <c r="AX739" s="17">
        <f t="shared" si="295"/>
        <v>730</v>
      </c>
      <c r="AY739" s="17">
        <f t="shared" si="320"/>
        <v>73</v>
      </c>
      <c r="AZ739" s="17">
        <v>33.053084306491499</v>
      </c>
      <c r="BA739" s="17"/>
      <c r="BB739" s="17">
        <v>36</v>
      </c>
      <c r="BC739" s="17"/>
      <c r="BD739" s="17"/>
      <c r="BE739" s="17"/>
      <c r="BF739" s="17"/>
      <c r="BG739" s="17"/>
      <c r="BH739" s="17"/>
      <c r="BI739" s="17"/>
      <c r="BJ739" s="17"/>
      <c r="BK739" s="17"/>
      <c r="BL739" s="17"/>
      <c r="BM739" s="17"/>
      <c r="BN739" s="17"/>
      <c r="BO739" s="17"/>
      <c r="BP739" s="17"/>
      <c r="BQ739" s="17"/>
      <c r="BR739" s="17"/>
      <c r="BS739" s="17"/>
      <c r="BT739" s="17"/>
      <c r="BU739" s="17"/>
      <c r="BV739" s="17"/>
      <c r="BW739" s="17"/>
      <c r="BX739" s="17"/>
      <c r="BY739" s="17"/>
      <c r="BZ739" s="17"/>
      <c r="CA739" s="17"/>
      <c r="CB739" s="17"/>
      <c r="CC739" s="17"/>
      <c r="CD739" s="17"/>
      <c r="CE739" s="17"/>
      <c r="CF739" s="17"/>
      <c r="CG739" s="17"/>
      <c r="CH739" s="17"/>
    </row>
    <row r="740" spans="8:86" x14ac:dyDescent="0.15">
      <c r="H740" s="3">
        <f t="shared" si="315"/>
        <v>0.72800000000000054</v>
      </c>
      <c r="I740" s="3">
        <f t="shared" si="316"/>
        <v>360</v>
      </c>
      <c r="J740" s="14">
        <f t="shared" si="317"/>
        <v>500</v>
      </c>
      <c r="K740" s="3">
        <f t="shared" si="307"/>
        <v>0</v>
      </c>
      <c r="L740" s="3">
        <f t="shared" si="303"/>
        <v>500</v>
      </c>
      <c r="M740" s="15">
        <f t="shared" si="318"/>
        <v>7.0000000000000007E-2</v>
      </c>
      <c r="N740" s="3">
        <f t="shared" si="319"/>
        <v>48.948160720044477</v>
      </c>
      <c r="O740" s="3">
        <f t="shared" si="304"/>
        <v>48.948160720044477</v>
      </c>
      <c r="P740" s="3">
        <f t="shared" si="308"/>
        <v>52.632430881768258</v>
      </c>
      <c r="Q740" s="3">
        <f t="shared" si="309"/>
        <v>10.680723650587215</v>
      </c>
      <c r="R740" s="3">
        <f t="shared" si="310"/>
        <v>31.656577266177734</v>
      </c>
      <c r="S740" s="3">
        <f t="shared" si="305"/>
        <v>1</v>
      </c>
      <c r="T740" s="3">
        <f t="shared" si="311"/>
        <v>20975.853615590524</v>
      </c>
      <c r="U740" s="3">
        <f t="shared" si="312"/>
        <v>0.5</v>
      </c>
      <c r="V740" s="3">
        <f t="shared" si="313"/>
        <v>0</v>
      </c>
      <c r="W740" s="3">
        <f t="shared" si="314"/>
        <v>17621.337859216012</v>
      </c>
      <c r="X740" s="3">
        <f t="shared" si="306"/>
        <v>5340.3618252936076</v>
      </c>
      <c r="AI740" s="3"/>
      <c r="AJ740" s="3"/>
      <c r="AK740" s="15">
        <f t="shared" si="297"/>
        <v>3</v>
      </c>
      <c r="AL740" s="11">
        <f t="shared" si="301"/>
        <v>4386</v>
      </c>
      <c r="AM740" s="11" t="b">
        <f t="shared" si="296"/>
        <v>0</v>
      </c>
      <c r="AN740" s="11">
        <f t="shared" si="298"/>
        <v>36000</v>
      </c>
      <c r="AO740" s="11">
        <f t="shared" si="299"/>
        <v>0</v>
      </c>
      <c r="AP740" s="11">
        <f t="shared" si="300"/>
        <v>0.3316331578797298</v>
      </c>
      <c r="AQ740" s="11">
        <f t="shared" si="302"/>
        <v>0</v>
      </c>
      <c r="AT740" s="3"/>
      <c r="AU740" s="17"/>
      <c r="AV740" s="19"/>
      <c r="AW740" s="17"/>
      <c r="AX740" s="17">
        <f t="shared" si="295"/>
        <v>731</v>
      </c>
      <c r="AY740" s="17">
        <f t="shared" si="320"/>
        <v>73.099999999999994</v>
      </c>
      <c r="AZ740" s="17">
        <v>33.163315787972977</v>
      </c>
      <c r="BA740" s="17"/>
      <c r="BB740" s="17">
        <v>36</v>
      </c>
      <c r="BC740" s="17"/>
      <c r="BD740" s="17"/>
      <c r="BE740" s="17"/>
      <c r="BF740" s="17"/>
      <c r="BG740" s="17"/>
      <c r="BH740" s="17"/>
      <c r="BI740" s="17"/>
      <c r="BJ740" s="17"/>
      <c r="BK740" s="17"/>
      <c r="BL740" s="17"/>
      <c r="BM740" s="17"/>
      <c r="BN740" s="17"/>
      <c r="BO740" s="17"/>
      <c r="BP740" s="17"/>
      <c r="BQ740" s="17"/>
      <c r="BR740" s="17"/>
      <c r="BS740" s="17"/>
      <c r="BT740" s="17"/>
      <c r="BU740" s="17"/>
      <c r="BV740" s="17"/>
      <c r="BW740" s="17"/>
      <c r="BX740" s="17"/>
      <c r="BY740" s="17"/>
      <c r="BZ740" s="17"/>
      <c r="CA740" s="17"/>
      <c r="CB740" s="17"/>
      <c r="CC740" s="17"/>
      <c r="CD740" s="17"/>
      <c r="CE740" s="17"/>
      <c r="CF740" s="17"/>
      <c r="CG740" s="17"/>
      <c r="CH740" s="17"/>
    </row>
    <row r="741" spans="8:86" x14ac:dyDescent="0.15">
      <c r="H741" s="3">
        <f t="shared" si="315"/>
        <v>0.72900000000000054</v>
      </c>
      <c r="I741" s="3">
        <f t="shared" si="316"/>
        <v>360</v>
      </c>
      <c r="J741" s="14">
        <f t="shared" si="317"/>
        <v>500</v>
      </c>
      <c r="K741" s="3">
        <f t="shared" si="307"/>
        <v>0</v>
      </c>
      <c r="L741" s="3">
        <f t="shared" si="303"/>
        <v>500</v>
      </c>
      <c r="M741" s="15">
        <f t="shared" si="318"/>
        <v>7.0000000000000007E-2</v>
      </c>
      <c r="N741" s="3">
        <f t="shared" si="319"/>
        <v>48.889894460001173</v>
      </c>
      <c r="O741" s="3">
        <f t="shared" si="304"/>
        <v>48.889894460001173</v>
      </c>
      <c r="P741" s="3">
        <f t="shared" si="308"/>
        <v>52.569778989248576</v>
      </c>
      <c r="Q741" s="3">
        <f t="shared" si="309"/>
        <v>10.638771943356033</v>
      </c>
      <c r="R741" s="3">
        <f t="shared" si="310"/>
        <v>31.604275466302305</v>
      </c>
      <c r="S741" s="3">
        <f t="shared" si="305"/>
        <v>1</v>
      </c>
      <c r="T741" s="3">
        <f t="shared" si="311"/>
        <v>20965.50352294627</v>
      </c>
      <c r="U741" s="3">
        <f t="shared" si="312"/>
        <v>0.5</v>
      </c>
      <c r="V741" s="3">
        <f t="shared" si="313"/>
        <v>0</v>
      </c>
      <c r="W741" s="3">
        <f t="shared" si="314"/>
        <v>17600.362005600422</v>
      </c>
      <c r="X741" s="3">
        <f t="shared" si="306"/>
        <v>5319.3859716780171</v>
      </c>
      <c r="AI741" s="3"/>
      <c r="AJ741" s="3"/>
      <c r="AK741" s="15">
        <f t="shared" si="297"/>
        <v>3</v>
      </c>
      <c r="AL741" s="11">
        <f t="shared" si="301"/>
        <v>4392</v>
      </c>
      <c r="AM741" s="11" t="b">
        <f t="shared" si="296"/>
        <v>0</v>
      </c>
      <c r="AN741" s="11">
        <f t="shared" si="298"/>
        <v>36000</v>
      </c>
      <c r="AO741" s="11">
        <f t="shared" si="299"/>
        <v>0</v>
      </c>
      <c r="AP741" s="11">
        <f t="shared" si="300"/>
        <v>0.33273547269454457</v>
      </c>
      <c r="AQ741" s="11">
        <f t="shared" si="302"/>
        <v>0</v>
      </c>
      <c r="AT741" s="3"/>
      <c r="AU741" s="17"/>
      <c r="AV741" s="19"/>
      <c r="AW741" s="17"/>
      <c r="AX741" s="17">
        <f t="shared" si="295"/>
        <v>732</v>
      </c>
      <c r="AY741" s="17">
        <f t="shared" si="320"/>
        <v>73.2</v>
      </c>
      <c r="AZ741" s="17">
        <v>33.273547269454454</v>
      </c>
      <c r="BA741" s="17"/>
      <c r="BB741" s="17">
        <v>36</v>
      </c>
      <c r="BC741" s="17"/>
      <c r="BD741" s="17"/>
      <c r="BE741" s="17"/>
      <c r="BF741" s="17"/>
      <c r="BG741" s="17"/>
      <c r="BH741" s="17"/>
      <c r="BI741" s="17"/>
      <c r="BJ741" s="17"/>
      <c r="BK741" s="17"/>
      <c r="BL741" s="17"/>
      <c r="BM741" s="17"/>
      <c r="BN741" s="17"/>
      <c r="BO741" s="17"/>
      <c r="BP741" s="17"/>
      <c r="BQ741" s="17"/>
      <c r="BR741" s="17"/>
      <c r="BS741" s="17"/>
      <c r="BT741" s="17"/>
      <c r="BU741" s="17"/>
      <c r="BV741" s="17"/>
      <c r="BW741" s="17"/>
      <c r="BX741" s="17"/>
      <c r="BY741" s="17"/>
      <c r="BZ741" s="17"/>
      <c r="CA741" s="17"/>
      <c r="CB741" s="17"/>
      <c r="CC741" s="17"/>
      <c r="CD741" s="17"/>
      <c r="CE741" s="17"/>
      <c r="CF741" s="17"/>
      <c r="CG741" s="17"/>
      <c r="CH741" s="17"/>
    </row>
    <row r="742" spans="8:86" x14ac:dyDescent="0.15">
      <c r="H742" s="3">
        <f t="shared" si="315"/>
        <v>0.73000000000000054</v>
      </c>
      <c r="I742" s="3">
        <f t="shared" si="316"/>
        <v>360</v>
      </c>
      <c r="J742" s="14">
        <f t="shared" si="317"/>
        <v>500</v>
      </c>
      <c r="K742" s="3">
        <f t="shared" si="307"/>
        <v>0</v>
      </c>
      <c r="L742" s="3">
        <f t="shared" si="303"/>
        <v>500</v>
      </c>
      <c r="M742" s="15">
        <f t="shared" si="318"/>
        <v>7.0000000000000007E-2</v>
      </c>
      <c r="N742" s="3">
        <f t="shared" si="319"/>
        <v>48.831656950215205</v>
      </c>
      <c r="O742" s="3">
        <f t="shared" si="304"/>
        <v>48.831656950215205</v>
      </c>
      <c r="P742" s="3">
        <f t="shared" si="308"/>
        <v>52.507158010984092</v>
      </c>
      <c r="Q742" s="3">
        <f t="shared" si="309"/>
        <v>10.596840936310143</v>
      </c>
      <c r="R742" s="3">
        <f t="shared" si="310"/>
        <v>31.551999473647118</v>
      </c>
      <c r="S742" s="3">
        <f t="shared" si="305"/>
        <v>1</v>
      </c>
      <c r="T742" s="3">
        <f t="shared" si="311"/>
        <v>20955.158537336974</v>
      </c>
      <c r="U742" s="3">
        <f t="shared" si="312"/>
        <v>0.5</v>
      </c>
      <c r="V742" s="3">
        <f t="shared" si="313"/>
        <v>0</v>
      </c>
      <c r="W742" s="3">
        <f t="shared" si="314"/>
        <v>17579.396502077474</v>
      </c>
      <c r="X742" s="3">
        <f t="shared" si="306"/>
        <v>5298.4204681550709</v>
      </c>
      <c r="AI742" s="3"/>
      <c r="AJ742" s="3"/>
      <c r="AK742" s="15">
        <f t="shared" si="297"/>
        <v>3</v>
      </c>
      <c r="AL742" s="11">
        <f t="shared" si="301"/>
        <v>4398</v>
      </c>
      <c r="AM742" s="11" t="b">
        <f t="shared" si="296"/>
        <v>0</v>
      </c>
      <c r="AN742" s="11">
        <f t="shared" si="298"/>
        <v>36000</v>
      </c>
      <c r="AO742" s="11">
        <f t="shared" si="299"/>
        <v>0</v>
      </c>
      <c r="AP742" s="11">
        <f t="shared" si="300"/>
        <v>0.33383778750935938</v>
      </c>
      <c r="AQ742" s="11">
        <f t="shared" si="302"/>
        <v>0</v>
      </c>
      <c r="AT742" s="3"/>
      <c r="AU742" s="17"/>
      <c r="AV742" s="19"/>
      <c r="AW742" s="17"/>
      <c r="AX742" s="17">
        <f t="shared" si="295"/>
        <v>733</v>
      </c>
      <c r="AY742" s="17">
        <f t="shared" si="320"/>
        <v>73.3</v>
      </c>
      <c r="AZ742" s="17">
        <v>33.383778750935939</v>
      </c>
      <c r="BA742" s="17"/>
      <c r="BB742" s="17">
        <v>36</v>
      </c>
      <c r="BC742" s="17"/>
      <c r="BD742" s="17"/>
      <c r="BE742" s="17"/>
      <c r="BF742" s="17"/>
      <c r="BG742" s="17"/>
      <c r="BH742" s="17"/>
      <c r="BI742" s="17"/>
      <c r="BJ742" s="17"/>
      <c r="BK742" s="17"/>
      <c r="BL742" s="17"/>
      <c r="BM742" s="17"/>
      <c r="BN742" s="17"/>
      <c r="BO742" s="17"/>
      <c r="BP742" s="17"/>
      <c r="BQ742" s="17"/>
      <c r="BR742" s="17"/>
      <c r="BS742" s="17"/>
      <c r="BT742" s="17"/>
      <c r="BU742" s="17"/>
      <c r="BV742" s="17"/>
      <c r="BW742" s="17"/>
      <c r="BX742" s="17"/>
      <c r="BY742" s="17"/>
      <c r="BZ742" s="17"/>
      <c r="CA742" s="17"/>
      <c r="CB742" s="17"/>
      <c r="CC742" s="17"/>
      <c r="CD742" s="17"/>
      <c r="CE742" s="17"/>
      <c r="CF742" s="17"/>
      <c r="CG742" s="17"/>
      <c r="CH742" s="17"/>
    </row>
    <row r="743" spans="8:86" x14ac:dyDescent="0.15">
      <c r="H743" s="3">
        <f t="shared" si="315"/>
        <v>0.73100000000000054</v>
      </c>
      <c r="I743" s="3">
        <f t="shared" si="316"/>
        <v>360</v>
      </c>
      <c r="J743" s="14">
        <f t="shared" si="317"/>
        <v>500</v>
      </c>
      <c r="K743" s="3">
        <f t="shared" si="307"/>
        <v>0</v>
      </c>
      <c r="L743" s="3">
        <f t="shared" si="303"/>
        <v>500</v>
      </c>
      <c r="M743" s="15">
        <f t="shared" si="318"/>
        <v>7.0000000000000007E-2</v>
      </c>
      <c r="N743" s="3">
        <f t="shared" si="319"/>
        <v>48.773448176500381</v>
      </c>
      <c r="O743" s="3">
        <f t="shared" si="304"/>
        <v>48.773448176500381</v>
      </c>
      <c r="P743" s="3">
        <f t="shared" si="308"/>
        <v>52.44456793172084</v>
      </c>
      <c r="Q743" s="3">
        <f t="shared" si="309"/>
        <v>10.554930619235467</v>
      </c>
      <c r="R743" s="3">
        <f t="shared" si="310"/>
        <v>31.499749275478152</v>
      </c>
      <c r="S743" s="3">
        <f t="shared" si="305"/>
        <v>1</v>
      </c>
      <c r="T743" s="3">
        <f t="shared" si="311"/>
        <v>20944.818656242689</v>
      </c>
      <c r="U743" s="3">
        <f t="shared" si="312"/>
        <v>0.5</v>
      </c>
      <c r="V743" s="3">
        <f t="shared" si="313"/>
        <v>0</v>
      </c>
      <c r="W743" s="3">
        <f t="shared" si="314"/>
        <v>17558.441343540137</v>
      </c>
      <c r="X743" s="3">
        <f t="shared" si="306"/>
        <v>5277.4653096177335</v>
      </c>
      <c r="AI743" s="3"/>
      <c r="AJ743" s="3"/>
      <c r="AK743" s="15">
        <f t="shared" si="297"/>
        <v>3</v>
      </c>
      <c r="AL743" s="11">
        <f t="shared" si="301"/>
        <v>4404</v>
      </c>
      <c r="AM743" s="11" t="b">
        <f t="shared" si="296"/>
        <v>0</v>
      </c>
      <c r="AN743" s="11">
        <f t="shared" si="298"/>
        <v>36000</v>
      </c>
      <c r="AO743" s="11">
        <f t="shared" si="299"/>
        <v>0</v>
      </c>
      <c r="AP743" s="11">
        <f t="shared" si="300"/>
        <v>0.33494010232417415</v>
      </c>
      <c r="AQ743" s="11">
        <f t="shared" si="302"/>
        <v>0</v>
      </c>
      <c r="AT743" s="3"/>
      <c r="AU743" s="17"/>
      <c r="AV743" s="19"/>
      <c r="AW743" s="17"/>
      <c r="AX743" s="17">
        <f t="shared" si="295"/>
        <v>734</v>
      </c>
      <c r="AY743" s="17">
        <f t="shared" si="320"/>
        <v>73.400000000000006</v>
      </c>
      <c r="AZ743" s="17">
        <v>33.494010232417416</v>
      </c>
      <c r="BA743" s="17"/>
      <c r="BB743" s="17">
        <v>36</v>
      </c>
      <c r="BC743" s="17"/>
      <c r="BD743" s="17"/>
      <c r="BE743" s="17"/>
      <c r="BF743" s="17"/>
      <c r="BG743" s="17"/>
      <c r="BH743" s="17"/>
      <c r="BI743" s="17"/>
      <c r="BJ743" s="17"/>
      <c r="BK743" s="17"/>
      <c r="BL743" s="17"/>
      <c r="BM743" s="17"/>
      <c r="BN743" s="17"/>
      <c r="BO743" s="17"/>
      <c r="BP743" s="17"/>
      <c r="BQ743" s="17"/>
      <c r="BR743" s="17"/>
      <c r="BS743" s="17"/>
      <c r="BT743" s="17"/>
      <c r="BU743" s="17"/>
      <c r="BV743" s="17"/>
      <c r="BW743" s="17"/>
      <c r="BX743" s="17"/>
      <c r="BY743" s="17"/>
      <c r="BZ743" s="17"/>
      <c r="CA743" s="17"/>
      <c r="CB743" s="17"/>
      <c r="CC743" s="17"/>
      <c r="CD743" s="17"/>
      <c r="CE743" s="17"/>
      <c r="CF743" s="17"/>
      <c r="CG743" s="17"/>
      <c r="CH743" s="17"/>
    </row>
    <row r="744" spans="8:86" x14ac:dyDescent="0.15">
      <c r="H744" s="3">
        <f t="shared" si="315"/>
        <v>0.73200000000000054</v>
      </c>
      <c r="I744" s="3">
        <f t="shared" si="316"/>
        <v>360</v>
      </c>
      <c r="J744" s="14">
        <f t="shared" si="317"/>
        <v>500</v>
      </c>
      <c r="K744" s="3">
        <f t="shared" si="307"/>
        <v>0</v>
      </c>
      <c r="L744" s="3">
        <f t="shared" si="303"/>
        <v>500</v>
      </c>
      <c r="M744" s="15">
        <f t="shared" si="318"/>
        <v>7.0000000000000007E-2</v>
      </c>
      <c r="N744" s="3">
        <f t="shared" si="319"/>
        <v>48.715268124677479</v>
      </c>
      <c r="O744" s="3">
        <f t="shared" si="304"/>
        <v>48.715268124677479</v>
      </c>
      <c r="P744" s="3">
        <f t="shared" si="308"/>
        <v>52.382008736212349</v>
      </c>
      <c r="Q744" s="3">
        <f t="shared" si="309"/>
        <v>10.51304098192298</v>
      </c>
      <c r="R744" s="3">
        <f t="shared" si="310"/>
        <v>31.447524859067663</v>
      </c>
      <c r="S744" s="3">
        <f t="shared" si="305"/>
        <v>1</v>
      </c>
      <c r="T744" s="3">
        <f t="shared" si="311"/>
        <v>20934.483877144685</v>
      </c>
      <c r="U744" s="3">
        <f t="shared" si="312"/>
        <v>0.5</v>
      </c>
      <c r="V744" s="3">
        <f t="shared" si="313"/>
        <v>0</v>
      </c>
      <c r="W744" s="3">
        <f t="shared" si="314"/>
        <v>17537.496524883893</v>
      </c>
      <c r="X744" s="3">
        <f t="shared" si="306"/>
        <v>5256.5204909614904</v>
      </c>
      <c r="AI744" s="3"/>
      <c r="AJ744" s="3"/>
      <c r="AK744" s="15">
        <f t="shared" si="297"/>
        <v>3</v>
      </c>
      <c r="AL744" s="11">
        <f t="shared" si="301"/>
        <v>4410</v>
      </c>
      <c r="AM744" s="11" t="b">
        <f t="shared" si="296"/>
        <v>0</v>
      </c>
      <c r="AN744" s="11">
        <f t="shared" si="298"/>
        <v>36000</v>
      </c>
      <c r="AO744" s="11">
        <f t="shared" si="299"/>
        <v>0</v>
      </c>
      <c r="AP744" s="11">
        <f t="shared" si="300"/>
        <v>0.33604241713898897</v>
      </c>
      <c r="AQ744" s="11">
        <f t="shared" si="302"/>
        <v>0</v>
      </c>
      <c r="AT744" s="3"/>
      <c r="AU744" s="17"/>
      <c r="AV744" s="19"/>
      <c r="AW744" s="17"/>
      <c r="AX744" s="17">
        <f t="shared" si="295"/>
        <v>735</v>
      </c>
      <c r="AY744" s="17">
        <f t="shared" si="320"/>
        <v>73.5</v>
      </c>
      <c r="AZ744" s="17">
        <v>33.604241713898894</v>
      </c>
      <c r="BA744" s="17"/>
      <c r="BB744" s="17">
        <v>36</v>
      </c>
      <c r="BC744" s="17"/>
      <c r="BD744" s="17"/>
      <c r="BE744" s="17"/>
      <c r="BF744" s="17"/>
      <c r="BG744" s="17"/>
      <c r="BH744" s="17"/>
      <c r="BI744" s="17"/>
      <c r="BJ744" s="17"/>
      <c r="BK744" s="17"/>
      <c r="BL744" s="17"/>
      <c r="BM744" s="17"/>
      <c r="BN744" s="17"/>
      <c r="BO744" s="17"/>
      <c r="BP744" s="17"/>
      <c r="BQ744" s="17"/>
      <c r="BR744" s="17"/>
      <c r="BS744" s="17"/>
      <c r="BT744" s="17"/>
      <c r="BU744" s="17"/>
      <c r="BV744" s="17"/>
      <c r="BW744" s="17"/>
      <c r="BX744" s="17"/>
      <c r="BY744" s="17"/>
      <c r="BZ744" s="17"/>
      <c r="CA744" s="17"/>
      <c r="CB744" s="17"/>
      <c r="CC744" s="17"/>
      <c r="CD744" s="17"/>
      <c r="CE744" s="17"/>
      <c r="CF744" s="17"/>
      <c r="CG744" s="17"/>
      <c r="CH744" s="17"/>
    </row>
    <row r="745" spans="8:86" x14ac:dyDescent="0.15">
      <c r="H745" s="3">
        <f t="shared" si="315"/>
        <v>0.73300000000000054</v>
      </c>
      <c r="I745" s="3">
        <f t="shared" si="316"/>
        <v>360</v>
      </c>
      <c r="J745" s="14">
        <f t="shared" si="317"/>
        <v>500</v>
      </c>
      <c r="K745" s="3">
        <f t="shared" si="307"/>
        <v>0</v>
      </c>
      <c r="L745" s="3">
        <f t="shared" si="303"/>
        <v>500</v>
      </c>
      <c r="M745" s="15">
        <f t="shared" si="318"/>
        <v>7.0000000000000007E-2</v>
      </c>
      <c r="N745" s="3">
        <f t="shared" si="319"/>
        <v>48.657116780574306</v>
      </c>
      <c r="O745" s="3">
        <f t="shared" si="304"/>
        <v>48.657116780574306</v>
      </c>
      <c r="P745" s="3">
        <f t="shared" si="308"/>
        <v>52.319480409219686</v>
      </c>
      <c r="Q745" s="3">
        <f t="shared" si="309"/>
        <v>10.47117201416869</v>
      </c>
      <c r="R745" s="3">
        <f t="shared" si="310"/>
        <v>31.39532621169419</v>
      </c>
      <c r="S745" s="3">
        <f t="shared" si="305"/>
        <v>1</v>
      </c>
      <c r="T745" s="3">
        <f t="shared" si="311"/>
        <v>20924.154197525495</v>
      </c>
      <c r="U745" s="3">
        <f t="shared" si="312"/>
        <v>0.5</v>
      </c>
      <c r="V745" s="3">
        <f t="shared" si="313"/>
        <v>0</v>
      </c>
      <c r="W745" s="3">
        <f t="shared" si="314"/>
        <v>17516.562041006749</v>
      </c>
      <c r="X745" s="3">
        <f t="shared" si="306"/>
        <v>5235.5860070843455</v>
      </c>
      <c r="AI745" s="3"/>
      <c r="AJ745" s="3"/>
      <c r="AK745" s="15">
        <f t="shared" si="297"/>
        <v>3</v>
      </c>
      <c r="AL745" s="11">
        <f t="shared" si="301"/>
        <v>4416</v>
      </c>
      <c r="AM745" s="11" t="b">
        <f t="shared" si="296"/>
        <v>0</v>
      </c>
      <c r="AN745" s="11">
        <f t="shared" si="298"/>
        <v>36000</v>
      </c>
      <c r="AO745" s="11">
        <f t="shared" si="299"/>
        <v>0</v>
      </c>
      <c r="AP745" s="11">
        <f t="shared" si="300"/>
        <v>0.33714473195380379</v>
      </c>
      <c r="AQ745" s="11">
        <f t="shared" si="302"/>
        <v>0</v>
      </c>
      <c r="AT745" s="3"/>
      <c r="AU745" s="17"/>
      <c r="AV745" s="19"/>
      <c r="AW745" s="17"/>
      <c r="AX745" s="17">
        <f t="shared" si="295"/>
        <v>736</v>
      </c>
      <c r="AY745" s="17">
        <f t="shared" si="320"/>
        <v>73.599999999999994</v>
      </c>
      <c r="AZ745" s="17">
        <v>33.714473195380378</v>
      </c>
      <c r="BA745" s="17"/>
      <c r="BB745" s="17">
        <v>36</v>
      </c>
      <c r="BC745" s="17"/>
      <c r="BD745" s="17"/>
      <c r="BE745" s="17"/>
      <c r="BF745" s="17"/>
      <c r="BG745" s="17"/>
      <c r="BH745" s="17"/>
      <c r="BI745" s="17"/>
      <c r="BJ745" s="17"/>
      <c r="BK745" s="17"/>
      <c r="BL745" s="17"/>
      <c r="BM745" s="17"/>
      <c r="BN745" s="17"/>
      <c r="BO745" s="17"/>
      <c r="BP745" s="17"/>
      <c r="BQ745" s="17"/>
      <c r="BR745" s="17"/>
      <c r="BS745" s="17"/>
      <c r="BT745" s="17"/>
      <c r="BU745" s="17"/>
      <c r="BV745" s="17"/>
      <c r="BW745" s="17"/>
      <c r="BX745" s="17"/>
      <c r="BY745" s="17"/>
      <c r="BZ745" s="17"/>
      <c r="CA745" s="17"/>
      <c r="CB745" s="17"/>
      <c r="CC745" s="17"/>
      <c r="CD745" s="17"/>
      <c r="CE745" s="17"/>
      <c r="CF745" s="17"/>
      <c r="CG745" s="17"/>
      <c r="CH745" s="17"/>
    </row>
    <row r="746" spans="8:86" x14ac:dyDescent="0.15">
      <c r="H746" s="3">
        <f t="shared" si="315"/>
        <v>0.73400000000000054</v>
      </c>
      <c r="I746" s="3">
        <f t="shared" si="316"/>
        <v>360</v>
      </c>
      <c r="J746" s="14">
        <f t="shared" si="317"/>
        <v>500</v>
      </c>
      <c r="K746" s="3">
        <f t="shared" si="307"/>
        <v>0</v>
      </c>
      <c r="L746" s="3">
        <f t="shared" si="303"/>
        <v>500</v>
      </c>
      <c r="M746" s="15">
        <f t="shared" si="318"/>
        <v>7.0000000000000007E-2</v>
      </c>
      <c r="N746" s="3">
        <f t="shared" si="319"/>
        <v>48.598994130025623</v>
      </c>
      <c r="O746" s="3">
        <f t="shared" si="304"/>
        <v>48.598994130025623</v>
      </c>
      <c r="P746" s="3">
        <f t="shared" si="308"/>
        <v>52.256982935511424</v>
      </c>
      <c r="Q746" s="3">
        <f t="shared" si="309"/>
        <v>10.429323705773641</v>
      </c>
      <c r="R746" s="3">
        <f t="shared" si="310"/>
        <v>31.343153320642532</v>
      </c>
      <c r="S746" s="3">
        <f t="shared" si="305"/>
        <v>1</v>
      </c>
      <c r="T746" s="3">
        <f t="shared" si="311"/>
        <v>20913.829614868893</v>
      </c>
      <c r="U746" s="3">
        <f t="shared" si="312"/>
        <v>0.5</v>
      </c>
      <c r="V746" s="3">
        <f t="shared" si="313"/>
        <v>0</v>
      </c>
      <c r="W746" s="3">
        <f t="shared" si="314"/>
        <v>17495.637886809225</v>
      </c>
      <c r="X746" s="3">
        <f t="shared" si="306"/>
        <v>5214.6618528868203</v>
      </c>
      <c r="AI746" s="3"/>
      <c r="AJ746" s="3"/>
      <c r="AK746" s="15">
        <f t="shared" si="297"/>
        <v>3</v>
      </c>
      <c r="AL746" s="11">
        <f t="shared" si="301"/>
        <v>4422</v>
      </c>
      <c r="AM746" s="11" t="b">
        <f t="shared" si="296"/>
        <v>0</v>
      </c>
      <c r="AN746" s="11">
        <f t="shared" si="298"/>
        <v>36000</v>
      </c>
      <c r="AO746" s="11">
        <f t="shared" si="299"/>
        <v>0</v>
      </c>
      <c r="AP746" s="11">
        <f t="shared" si="300"/>
        <v>0.33824704676861855</v>
      </c>
      <c r="AQ746" s="11">
        <f t="shared" si="302"/>
        <v>0</v>
      </c>
      <c r="AT746" s="3"/>
      <c r="AU746" s="17"/>
      <c r="AV746" s="19"/>
      <c r="AW746" s="17"/>
      <c r="AX746" s="17">
        <f t="shared" si="295"/>
        <v>737</v>
      </c>
      <c r="AY746" s="17">
        <f t="shared" si="320"/>
        <v>73.7</v>
      </c>
      <c r="AZ746" s="17">
        <v>33.824704676861856</v>
      </c>
      <c r="BA746" s="17"/>
      <c r="BB746" s="17">
        <v>36</v>
      </c>
      <c r="BC746" s="17"/>
      <c r="BD746" s="17"/>
      <c r="BE746" s="17"/>
      <c r="BF746" s="17"/>
      <c r="BG746" s="17"/>
      <c r="BH746" s="17"/>
      <c r="BI746" s="17"/>
      <c r="BJ746" s="17"/>
      <c r="BK746" s="17"/>
      <c r="BL746" s="17"/>
      <c r="BM746" s="17"/>
      <c r="BN746" s="17"/>
      <c r="BO746" s="17"/>
      <c r="BP746" s="17"/>
      <c r="BQ746" s="17"/>
      <c r="BR746" s="17"/>
      <c r="BS746" s="17"/>
      <c r="BT746" s="17"/>
      <c r="BU746" s="17"/>
      <c r="BV746" s="17"/>
      <c r="BW746" s="17"/>
      <c r="BX746" s="17"/>
      <c r="BY746" s="17"/>
      <c r="BZ746" s="17"/>
      <c r="CA746" s="17"/>
      <c r="CB746" s="17"/>
      <c r="CC746" s="17"/>
      <c r="CD746" s="17"/>
      <c r="CE746" s="17"/>
      <c r="CF746" s="17"/>
      <c r="CG746" s="17"/>
      <c r="CH746" s="17"/>
    </row>
    <row r="747" spans="8:86" x14ac:dyDescent="0.15">
      <c r="H747" s="3">
        <f t="shared" si="315"/>
        <v>0.73500000000000054</v>
      </c>
      <c r="I747" s="3">
        <f t="shared" si="316"/>
        <v>360</v>
      </c>
      <c r="J747" s="14">
        <f t="shared" si="317"/>
        <v>500</v>
      </c>
      <c r="K747" s="3">
        <f t="shared" si="307"/>
        <v>0</v>
      </c>
      <c r="L747" s="3">
        <f t="shared" si="303"/>
        <v>500</v>
      </c>
      <c r="M747" s="15">
        <f t="shared" si="318"/>
        <v>7.0000000000000007E-2</v>
      </c>
      <c r="N747" s="3">
        <f t="shared" si="319"/>
        <v>48.540900158873207</v>
      </c>
      <c r="O747" s="3">
        <f t="shared" si="304"/>
        <v>48.540900158873207</v>
      </c>
      <c r="P747" s="3">
        <f t="shared" si="308"/>
        <v>52.194516299863665</v>
      </c>
      <c r="Q747" s="3">
        <f t="shared" si="309"/>
        <v>10.387496046543903</v>
      </c>
      <c r="R747" s="3">
        <f t="shared" si="310"/>
        <v>31.291006173203783</v>
      </c>
      <c r="S747" s="3">
        <f t="shared" si="305"/>
        <v>1</v>
      </c>
      <c r="T747" s="3">
        <f t="shared" si="311"/>
        <v>20903.510126659883</v>
      </c>
      <c r="U747" s="3">
        <f t="shared" si="312"/>
        <v>0.5</v>
      </c>
      <c r="V747" s="3">
        <f t="shared" si="313"/>
        <v>0</v>
      </c>
      <c r="W747" s="3">
        <f t="shared" si="314"/>
        <v>17474.724057194355</v>
      </c>
      <c r="X747" s="3">
        <f t="shared" si="306"/>
        <v>5193.7480232719518</v>
      </c>
      <c r="AI747" s="3"/>
      <c r="AJ747" s="3"/>
      <c r="AK747" s="15">
        <f t="shared" si="297"/>
        <v>3</v>
      </c>
      <c r="AL747" s="11">
        <f t="shared" si="301"/>
        <v>4428</v>
      </c>
      <c r="AM747" s="11" t="b">
        <f t="shared" si="296"/>
        <v>0</v>
      </c>
      <c r="AN747" s="11">
        <f t="shared" si="298"/>
        <v>36000</v>
      </c>
      <c r="AO747" s="11">
        <f t="shared" si="299"/>
        <v>0</v>
      </c>
      <c r="AP747" s="11">
        <f t="shared" si="300"/>
        <v>0.33934936158343337</v>
      </c>
      <c r="AQ747" s="11">
        <f t="shared" si="302"/>
        <v>0</v>
      </c>
      <c r="AT747" s="3"/>
      <c r="AU747" s="17"/>
      <c r="AV747" s="19"/>
      <c r="AW747" s="17"/>
      <c r="AX747" s="17">
        <f t="shared" si="295"/>
        <v>738</v>
      </c>
      <c r="AY747" s="17">
        <f t="shared" si="320"/>
        <v>73.8</v>
      </c>
      <c r="AZ747" s="17">
        <v>33.934936158343341</v>
      </c>
      <c r="BA747" s="17"/>
      <c r="BB747" s="17">
        <v>36</v>
      </c>
      <c r="BC747" s="17"/>
      <c r="BD747" s="17"/>
      <c r="BE747" s="17"/>
      <c r="BF747" s="17"/>
      <c r="BG747" s="17"/>
      <c r="BH747" s="17"/>
      <c r="BI747" s="17"/>
      <c r="BJ747" s="17"/>
      <c r="BK747" s="17"/>
      <c r="BL747" s="17"/>
      <c r="BM747" s="17"/>
      <c r="BN747" s="17"/>
      <c r="BO747" s="17"/>
      <c r="BP747" s="17"/>
      <c r="BQ747" s="17"/>
      <c r="BR747" s="17"/>
      <c r="BS747" s="17"/>
      <c r="BT747" s="17"/>
      <c r="BU747" s="17"/>
      <c r="BV747" s="17"/>
      <c r="BW747" s="17"/>
      <c r="BX747" s="17"/>
      <c r="BY747" s="17"/>
      <c r="BZ747" s="17"/>
      <c r="CA747" s="17"/>
      <c r="CB747" s="17"/>
      <c r="CC747" s="17"/>
      <c r="CD747" s="17"/>
      <c r="CE747" s="17"/>
      <c r="CF747" s="17"/>
      <c r="CG747" s="17"/>
      <c r="CH747" s="17"/>
    </row>
    <row r="748" spans="8:86" x14ac:dyDescent="0.15">
      <c r="H748" s="3">
        <f t="shared" si="315"/>
        <v>0.73600000000000054</v>
      </c>
      <c r="I748" s="3">
        <f t="shared" si="316"/>
        <v>360</v>
      </c>
      <c r="J748" s="14">
        <f t="shared" si="317"/>
        <v>500</v>
      </c>
      <c r="K748" s="3">
        <f t="shared" si="307"/>
        <v>0</v>
      </c>
      <c r="L748" s="3">
        <f t="shared" si="303"/>
        <v>500</v>
      </c>
      <c r="M748" s="15">
        <f t="shared" si="318"/>
        <v>7.0000000000000007E-2</v>
      </c>
      <c r="N748" s="3">
        <f t="shared" si="319"/>
        <v>48.482834852965816</v>
      </c>
      <c r="O748" s="3">
        <f t="shared" si="304"/>
        <v>48.482834852965816</v>
      </c>
      <c r="P748" s="3">
        <f t="shared" si="308"/>
        <v>52.132080487060023</v>
      </c>
      <c r="Q748" s="3">
        <f t="shared" si="309"/>
        <v>10.345689026290584</v>
      </c>
      <c r="R748" s="3">
        <f t="shared" si="310"/>
        <v>31.238884756675304</v>
      </c>
      <c r="S748" s="3">
        <f t="shared" si="305"/>
        <v>1</v>
      </c>
      <c r="T748" s="3">
        <f t="shared" si="311"/>
        <v>20893.195730384719</v>
      </c>
      <c r="U748" s="3">
        <f t="shared" si="312"/>
        <v>0.5</v>
      </c>
      <c r="V748" s="3">
        <f t="shared" si="313"/>
        <v>0</v>
      </c>
      <c r="W748" s="3">
        <f t="shared" si="314"/>
        <v>17453.820547067695</v>
      </c>
      <c r="X748" s="3">
        <f t="shared" si="306"/>
        <v>5172.8445131452918</v>
      </c>
      <c r="AI748" s="3"/>
      <c r="AJ748" s="3"/>
      <c r="AK748" s="15">
        <f t="shared" si="297"/>
        <v>3</v>
      </c>
      <c r="AL748" s="11">
        <f t="shared" si="301"/>
        <v>4434</v>
      </c>
      <c r="AM748" s="11" t="b">
        <f t="shared" si="296"/>
        <v>0</v>
      </c>
      <c r="AN748" s="11">
        <f t="shared" si="298"/>
        <v>36000</v>
      </c>
      <c r="AO748" s="11">
        <f t="shared" si="299"/>
        <v>0</v>
      </c>
      <c r="AP748" s="11">
        <f t="shared" si="300"/>
        <v>0.34045167639824814</v>
      </c>
      <c r="AQ748" s="11">
        <f t="shared" si="302"/>
        <v>0</v>
      </c>
      <c r="AT748" s="3"/>
      <c r="AU748" s="17"/>
      <c r="AV748" s="19"/>
      <c r="AW748" s="17"/>
      <c r="AX748" s="17">
        <f t="shared" si="295"/>
        <v>739</v>
      </c>
      <c r="AY748" s="17">
        <f t="shared" si="320"/>
        <v>73.900000000000006</v>
      </c>
      <c r="AZ748" s="17">
        <v>34.045167639824811</v>
      </c>
      <c r="BA748" s="17"/>
      <c r="BB748" s="17">
        <v>36</v>
      </c>
      <c r="BC748" s="17"/>
      <c r="BD748" s="17"/>
      <c r="BE748" s="17"/>
      <c r="BF748" s="17"/>
      <c r="BG748" s="17"/>
      <c r="BH748" s="17"/>
      <c r="BI748" s="17"/>
      <c r="BJ748" s="17"/>
      <c r="BK748" s="17"/>
      <c r="BL748" s="17"/>
      <c r="BM748" s="17"/>
      <c r="BN748" s="17"/>
      <c r="BO748" s="17"/>
      <c r="BP748" s="17"/>
      <c r="BQ748" s="17"/>
      <c r="BR748" s="17"/>
      <c r="BS748" s="17"/>
      <c r="BT748" s="17"/>
      <c r="BU748" s="17"/>
      <c r="BV748" s="17"/>
      <c r="BW748" s="17"/>
      <c r="BX748" s="17"/>
      <c r="BY748" s="17"/>
      <c r="BZ748" s="17"/>
      <c r="CA748" s="17"/>
      <c r="CB748" s="17"/>
      <c r="CC748" s="17"/>
      <c r="CD748" s="17"/>
      <c r="CE748" s="17"/>
      <c r="CF748" s="17"/>
      <c r="CG748" s="17"/>
      <c r="CH748" s="17"/>
    </row>
    <row r="749" spans="8:86" x14ac:dyDescent="0.15">
      <c r="H749" s="3">
        <f t="shared" si="315"/>
        <v>0.73700000000000054</v>
      </c>
      <c r="I749" s="3">
        <f t="shared" si="316"/>
        <v>360</v>
      </c>
      <c r="J749" s="14">
        <f t="shared" si="317"/>
        <v>500</v>
      </c>
      <c r="K749" s="3">
        <f t="shared" si="307"/>
        <v>0</v>
      </c>
      <c r="L749" s="3">
        <f t="shared" si="303"/>
        <v>500</v>
      </c>
      <c r="M749" s="15">
        <f t="shared" si="318"/>
        <v>7.0000000000000007E-2</v>
      </c>
      <c r="N749" s="3">
        <f t="shared" si="319"/>
        <v>48.424798198159202</v>
      </c>
      <c r="O749" s="3">
        <f t="shared" si="304"/>
        <v>48.424798198159202</v>
      </c>
      <c r="P749" s="3">
        <f t="shared" si="308"/>
        <v>52.069675481891622</v>
      </c>
      <c r="Q749" s="3">
        <f t="shared" si="309"/>
        <v>10.303902634829814</v>
      </c>
      <c r="R749" s="3">
        <f t="shared" si="310"/>
        <v>31.186789058360716</v>
      </c>
      <c r="S749" s="3">
        <f t="shared" si="305"/>
        <v>1</v>
      </c>
      <c r="T749" s="3">
        <f t="shared" si="311"/>
        <v>20882.886423530905</v>
      </c>
      <c r="U749" s="3">
        <f t="shared" si="312"/>
        <v>0.5</v>
      </c>
      <c r="V749" s="3">
        <f t="shared" si="313"/>
        <v>0</v>
      </c>
      <c r="W749" s="3">
        <f t="shared" si="314"/>
        <v>17432.927351337312</v>
      </c>
      <c r="X749" s="3">
        <f t="shared" si="306"/>
        <v>5151.951317414907</v>
      </c>
      <c r="AI749" s="3"/>
      <c r="AJ749" s="3"/>
      <c r="AK749" s="15">
        <f t="shared" si="297"/>
        <v>3</v>
      </c>
      <c r="AL749" s="11">
        <f t="shared" si="301"/>
        <v>4440</v>
      </c>
      <c r="AM749" s="11" t="b">
        <f t="shared" si="296"/>
        <v>0</v>
      </c>
      <c r="AN749" s="11">
        <f t="shared" si="298"/>
        <v>36000</v>
      </c>
      <c r="AO749" s="11">
        <f t="shared" si="299"/>
        <v>0</v>
      </c>
      <c r="AP749" s="11">
        <f t="shared" si="300"/>
        <v>0.34155399121306296</v>
      </c>
      <c r="AQ749" s="11">
        <f t="shared" si="302"/>
        <v>0</v>
      </c>
      <c r="AT749" s="3"/>
      <c r="AU749" s="17"/>
      <c r="AV749" s="19"/>
      <c r="AW749" s="17"/>
      <c r="AX749" s="17">
        <f t="shared" si="295"/>
        <v>740</v>
      </c>
      <c r="AY749" s="17">
        <f t="shared" si="320"/>
        <v>74</v>
      </c>
      <c r="AZ749" s="17">
        <v>34.155399121306296</v>
      </c>
      <c r="BA749" s="17"/>
      <c r="BB749" s="17">
        <v>36</v>
      </c>
      <c r="BC749" s="17"/>
      <c r="BD749" s="17"/>
      <c r="BE749" s="17"/>
      <c r="BF749" s="17"/>
      <c r="BG749" s="17"/>
      <c r="BH749" s="17"/>
      <c r="BI749" s="17"/>
      <c r="BJ749" s="17"/>
      <c r="BK749" s="17"/>
      <c r="BL749" s="17"/>
      <c r="BM749" s="17"/>
      <c r="BN749" s="17"/>
      <c r="BO749" s="17"/>
      <c r="BP749" s="17"/>
      <c r="BQ749" s="17"/>
      <c r="BR749" s="17"/>
      <c r="BS749" s="17"/>
      <c r="BT749" s="17"/>
      <c r="BU749" s="17"/>
      <c r="BV749" s="17"/>
      <c r="BW749" s="17"/>
      <c r="BX749" s="17"/>
      <c r="BY749" s="17"/>
      <c r="BZ749" s="17"/>
      <c r="CA749" s="17"/>
      <c r="CB749" s="17"/>
      <c r="CC749" s="17"/>
      <c r="CD749" s="17"/>
      <c r="CE749" s="17"/>
      <c r="CF749" s="17"/>
      <c r="CG749" s="17"/>
      <c r="CH749" s="17"/>
    </row>
    <row r="750" spans="8:86" x14ac:dyDescent="0.15">
      <c r="H750" s="3">
        <f t="shared" si="315"/>
        <v>0.73800000000000054</v>
      </c>
      <c r="I750" s="3">
        <f t="shared" si="316"/>
        <v>360</v>
      </c>
      <c r="J750" s="14">
        <f t="shared" si="317"/>
        <v>500</v>
      </c>
      <c r="K750" s="3">
        <f t="shared" si="307"/>
        <v>0</v>
      </c>
      <c r="L750" s="3">
        <f t="shared" si="303"/>
        <v>500</v>
      </c>
      <c r="M750" s="15">
        <f t="shared" si="318"/>
        <v>7.0000000000000007E-2</v>
      </c>
      <c r="N750" s="3">
        <f t="shared" si="319"/>
        <v>48.366790180316066</v>
      </c>
      <c r="O750" s="3">
        <f t="shared" si="304"/>
        <v>48.366790180316066</v>
      </c>
      <c r="P750" s="3">
        <f t="shared" si="308"/>
        <v>52.007301269157061</v>
      </c>
      <c r="Q750" s="3">
        <f t="shared" si="309"/>
        <v>10.262136861982752</v>
      </c>
      <c r="R750" s="3">
        <f t="shared" si="310"/>
        <v>31.134719065569907</v>
      </c>
      <c r="S750" s="3">
        <f t="shared" si="305"/>
        <v>1</v>
      </c>
      <c r="T750" s="3">
        <f t="shared" si="311"/>
        <v>20872.582203587153</v>
      </c>
      <c r="U750" s="3">
        <f t="shared" si="312"/>
        <v>0.5</v>
      </c>
      <c r="V750" s="3">
        <f t="shared" si="313"/>
        <v>0</v>
      </c>
      <c r="W750" s="3">
        <f t="shared" si="314"/>
        <v>17412.044464913783</v>
      </c>
      <c r="X750" s="3">
        <f t="shared" si="306"/>
        <v>5131.0684309913759</v>
      </c>
      <c r="AI750" s="3"/>
      <c r="AJ750" s="3"/>
      <c r="AK750" s="15">
        <f t="shared" si="297"/>
        <v>3</v>
      </c>
      <c r="AL750" s="11">
        <f t="shared" si="301"/>
        <v>4446</v>
      </c>
      <c r="AM750" s="11" t="b">
        <f t="shared" si="296"/>
        <v>0</v>
      </c>
      <c r="AN750" s="11">
        <f t="shared" si="298"/>
        <v>36000</v>
      </c>
      <c r="AO750" s="11">
        <f t="shared" si="299"/>
        <v>0</v>
      </c>
      <c r="AP750" s="11">
        <f t="shared" si="300"/>
        <v>0.34265630602787772</v>
      </c>
      <c r="AQ750" s="11">
        <f t="shared" si="302"/>
        <v>0</v>
      </c>
      <c r="AT750" s="3"/>
      <c r="AU750" s="17"/>
      <c r="AV750" s="19"/>
      <c r="AW750" s="17"/>
      <c r="AX750" s="17">
        <f t="shared" ref="AX750:AX813" si="321">IF(AX749&gt;=$AG$14,$AG$14,AX749+1)</f>
        <v>741</v>
      </c>
      <c r="AY750" s="17">
        <f t="shared" si="320"/>
        <v>74.099999999999994</v>
      </c>
      <c r="AZ750" s="17">
        <v>34.265630602787773</v>
      </c>
      <c r="BA750" s="17"/>
      <c r="BB750" s="17">
        <v>36</v>
      </c>
      <c r="BC750" s="17"/>
      <c r="BD750" s="17"/>
      <c r="BE750" s="17"/>
      <c r="BF750" s="17"/>
      <c r="BG750" s="17"/>
      <c r="BH750" s="17"/>
      <c r="BI750" s="17"/>
      <c r="BJ750" s="17"/>
      <c r="BK750" s="17"/>
      <c r="BL750" s="17"/>
      <c r="BM750" s="17"/>
      <c r="BN750" s="17"/>
      <c r="BO750" s="17"/>
      <c r="BP750" s="17"/>
      <c r="BQ750" s="17"/>
      <c r="BR750" s="17"/>
      <c r="BS750" s="17"/>
      <c r="BT750" s="17"/>
      <c r="BU750" s="17"/>
      <c r="BV750" s="17"/>
      <c r="BW750" s="17"/>
      <c r="BX750" s="17"/>
      <c r="BY750" s="17"/>
      <c r="BZ750" s="17"/>
      <c r="CA750" s="17"/>
      <c r="CB750" s="17"/>
      <c r="CC750" s="17"/>
      <c r="CD750" s="17"/>
      <c r="CE750" s="17"/>
      <c r="CF750" s="17"/>
      <c r="CG750" s="17"/>
      <c r="CH750" s="17"/>
    </row>
    <row r="751" spans="8:86" x14ac:dyDescent="0.15">
      <c r="H751" s="3">
        <f t="shared" si="315"/>
        <v>0.73900000000000055</v>
      </c>
      <c r="I751" s="3">
        <f t="shared" si="316"/>
        <v>360</v>
      </c>
      <c r="J751" s="14">
        <f t="shared" si="317"/>
        <v>500</v>
      </c>
      <c r="K751" s="3">
        <f t="shared" si="307"/>
        <v>0</v>
      </c>
      <c r="L751" s="3">
        <f t="shared" si="303"/>
        <v>500</v>
      </c>
      <c r="M751" s="15">
        <f t="shared" si="318"/>
        <v>7.0000000000000007E-2</v>
      </c>
      <c r="N751" s="3">
        <f t="shared" si="319"/>
        <v>48.308810785306093</v>
      </c>
      <c r="O751" s="3">
        <f t="shared" si="304"/>
        <v>48.308810785306093</v>
      </c>
      <c r="P751" s="3">
        <f t="shared" si="308"/>
        <v>51.944957833662471</v>
      </c>
      <c r="Q751" s="3">
        <f t="shared" si="309"/>
        <v>10.220391697575579</v>
      </c>
      <c r="R751" s="3">
        <f t="shared" si="310"/>
        <v>31.082674765619025</v>
      </c>
      <c r="S751" s="3">
        <f t="shared" si="305"/>
        <v>1</v>
      </c>
      <c r="T751" s="3">
        <f t="shared" si="311"/>
        <v>20862.283068043445</v>
      </c>
      <c r="U751" s="3">
        <f t="shared" si="312"/>
        <v>0.5</v>
      </c>
      <c r="V751" s="3">
        <f t="shared" si="313"/>
        <v>0</v>
      </c>
      <c r="W751" s="3">
        <f t="shared" si="314"/>
        <v>17391.171882710194</v>
      </c>
      <c r="X751" s="3">
        <f t="shared" si="306"/>
        <v>5110.1958487877891</v>
      </c>
      <c r="AI751" s="3"/>
      <c r="AJ751" s="3"/>
      <c r="AK751" s="15">
        <f t="shared" si="297"/>
        <v>3</v>
      </c>
      <c r="AL751" s="11">
        <f t="shared" si="301"/>
        <v>4452</v>
      </c>
      <c r="AM751" s="11" t="b">
        <f t="shared" si="296"/>
        <v>0</v>
      </c>
      <c r="AN751" s="11">
        <f t="shared" si="298"/>
        <v>36000</v>
      </c>
      <c r="AO751" s="11">
        <f t="shared" si="299"/>
        <v>0</v>
      </c>
      <c r="AP751" s="11">
        <f t="shared" si="300"/>
        <v>0.34375862084269254</v>
      </c>
      <c r="AQ751" s="11">
        <f t="shared" si="302"/>
        <v>0</v>
      </c>
      <c r="AT751" s="3"/>
      <c r="AU751" s="17"/>
      <c r="AV751" s="19"/>
      <c r="AW751" s="17"/>
      <c r="AX751" s="17">
        <f t="shared" si="321"/>
        <v>742</v>
      </c>
      <c r="AY751" s="17">
        <f t="shared" si="320"/>
        <v>74.2</v>
      </c>
      <c r="AZ751" s="17">
        <v>34.375862084269251</v>
      </c>
      <c r="BA751" s="17"/>
      <c r="BB751" s="17">
        <v>36</v>
      </c>
      <c r="BC751" s="17"/>
      <c r="BD751" s="17"/>
      <c r="BE751" s="17"/>
      <c r="BF751" s="17"/>
      <c r="BG751" s="17"/>
      <c r="BH751" s="17"/>
      <c r="BI751" s="17"/>
      <c r="BJ751" s="17"/>
      <c r="BK751" s="17"/>
      <c r="BL751" s="17"/>
      <c r="BM751" s="17"/>
      <c r="BN751" s="17"/>
      <c r="BO751" s="17"/>
      <c r="BP751" s="17"/>
      <c r="BQ751" s="17"/>
      <c r="BR751" s="17"/>
      <c r="BS751" s="17"/>
      <c r="BT751" s="17"/>
      <c r="BU751" s="17"/>
      <c r="BV751" s="17"/>
      <c r="BW751" s="17"/>
      <c r="BX751" s="17"/>
      <c r="BY751" s="17"/>
      <c r="BZ751" s="17"/>
      <c r="CA751" s="17"/>
      <c r="CB751" s="17"/>
      <c r="CC751" s="17"/>
      <c r="CD751" s="17"/>
      <c r="CE751" s="17"/>
      <c r="CF751" s="17"/>
      <c r="CG751" s="17"/>
      <c r="CH751" s="17"/>
    </row>
    <row r="752" spans="8:86" x14ac:dyDescent="0.15">
      <c r="H752" s="3">
        <f t="shared" si="315"/>
        <v>0.74000000000000055</v>
      </c>
      <c r="I752" s="3">
        <f t="shared" si="316"/>
        <v>360</v>
      </c>
      <c r="J752" s="14">
        <f t="shared" si="317"/>
        <v>500</v>
      </c>
      <c r="K752" s="3">
        <f t="shared" si="307"/>
        <v>0</v>
      </c>
      <c r="L752" s="3">
        <f t="shared" si="303"/>
        <v>500</v>
      </c>
      <c r="M752" s="15">
        <f t="shared" si="318"/>
        <v>7.0000000000000007E-2</v>
      </c>
      <c r="N752" s="3">
        <f t="shared" si="319"/>
        <v>48.250859999005975</v>
      </c>
      <c r="O752" s="3">
        <f t="shared" si="304"/>
        <v>48.250859999005975</v>
      </c>
      <c r="P752" s="3">
        <f t="shared" si="308"/>
        <v>51.882645160221479</v>
      </c>
      <c r="Q752" s="3">
        <f t="shared" si="309"/>
        <v>10.178667131439491</v>
      </c>
      <c r="R752" s="3">
        <f t="shared" si="310"/>
        <v>31.030656145830484</v>
      </c>
      <c r="S752" s="3">
        <f t="shared" si="305"/>
        <v>1</v>
      </c>
      <c r="T752" s="3">
        <f t="shared" si="311"/>
        <v>20851.989014390994</v>
      </c>
      <c r="U752" s="3">
        <f t="shared" si="312"/>
        <v>0.5</v>
      </c>
      <c r="V752" s="3">
        <f t="shared" si="313"/>
        <v>0</v>
      </c>
      <c r="W752" s="3">
        <f t="shared" si="314"/>
        <v>17370.309599642151</v>
      </c>
      <c r="X752" s="3">
        <f t="shared" si="306"/>
        <v>5089.3335657197458</v>
      </c>
      <c r="AI752" s="3"/>
      <c r="AJ752" s="3"/>
      <c r="AK752" s="15">
        <f t="shared" si="297"/>
        <v>3</v>
      </c>
      <c r="AL752" s="11">
        <f t="shared" si="301"/>
        <v>4458</v>
      </c>
      <c r="AM752" s="11" t="b">
        <f t="shared" si="296"/>
        <v>0</v>
      </c>
      <c r="AN752" s="11">
        <f t="shared" si="298"/>
        <v>36000</v>
      </c>
      <c r="AO752" s="11">
        <f t="shared" si="299"/>
        <v>0</v>
      </c>
      <c r="AP752" s="11">
        <f t="shared" si="300"/>
        <v>0.34486093565750731</v>
      </c>
      <c r="AQ752" s="11">
        <f t="shared" si="302"/>
        <v>0</v>
      </c>
      <c r="AT752" s="3"/>
      <c r="AU752" s="17"/>
      <c r="AV752" s="19"/>
      <c r="AW752" s="17"/>
      <c r="AX752" s="17">
        <f t="shared" si="321"/>
        <v>743</v>
      </c>
      <c r="AY752" s="17">
        <f t="shared" si="320"/>
        <v>74.3</v>
      </c>
      <c r="AZ752" s="17">
        <v>34.486093565750728</v>
      </c>
      <c r="BA752" s="17"/>
      <c r="BB752" s="17">
        <v>36</v>
      </c>
      <c r="BC752" s="17"/>
      <c r="BD752" s="17"/>
      <c r="BE752" s="17"/>
      <c r="BF752" s="17"/>
      <c r="BG752" s="17"/>
      <c r="BH752" s="17"/>
      <c r="BI752" s="17"/>
      <c r="BJ752" s="17"/>
      <c r="BK752" s="17"/>
      <c r="BL752" s="17"/>
      <c r="BM752" s="17"/>
      <c r="BN752" s="17"/>
      <c r="BO752" s="17"/>
      <c r="BP752" s="17"/>
      <c r="BQ752" s="17"/>
      <c r="BR752" s="17"/>
      <c r="BS752" s="17"/>
      <c r="BT752" s="17"/>
      <c r="BU752" s="17"/>
      <c r="BV752" s="17"/>
      <c r="BW752" s="17"/>
      <c r="BX752" s="17"/>
      <c r="BY752" s="17"/>
      <c r="BZ752" s="17"/>
      <c r="CA752" s="17"/>
      <c r="CB752" s="17"/>
      <c r="CC752" s="17"/>
      <c r="CD752" s="17"/>
      <c r="CE752" s="17"/>
      <c r="CF752" s="17"/>
      <c r="CG752" s="17"/>
      <c r="CH752" s="17"/>
    </row>
    <row r="753" spans="8:86" x14ac:dyDescent="0.15">
      <c r="H753" s="3">
        <f t="shared" si="315"/>
        <v>0.74100000000000055</v>
      </c>
      <c r="I753" s="3">
        <f t="shared" si="316"/>
        <v>360</v>
      </c>
      <c r="J753" s="14">
        <f t="shared" si="317"/>
        <v>500</v>
      </c>
      <c r="K753" s="3">
        <f t="shared" si="307"/>
        <v>0</v>
      </c>
      <c r="L753" s="3">
        <f t="shared" si="303"/>
        <v>500</v>
      </c>
      <c r="M753" s="15">
        <f t="shared" si="318"/>
        <v>7.0000000000000007E-2</v>
      </c>
      <c r="N753" s="3">
        <f t="shared" si="319"/>
        <v>48.19293780729933</v>
      </c>
      <c r="O753" s="3">
        <f t="shared" si="304"/>
        <v>48.19293780729933</v>
      </c>
      <c r="P753" s="3">
        <f t="shared" si="308"/>
        <v>51.8203632336552</v>
      </c>
      <c r="Q753" s="3">
        <f t="shared" si="309"/>
        <v>10.13696315341071</v>
      </c>
      <c r="R753" s="3">
        <f t="shared" si="310"/>
        <v>30.978663193532956</v>
      </c>
      <c r="S753" s="3">
        <f t="shared" si="305"/>
        <v>1</v>
      </c>
      <c r="T753" s="3">
        <f t="shared" si="311"/>
        <v>20841.700040122243</v>
      </c>
      <c r="U753" s="3">
        <f t="shared" si="312"/>
        <v>0.5</v>
      </c>
      <c r="V753" s="3">
        <f t="shared" si="313"/>
        <v>0</v>
      </c>
      <c r="W753" s="3">
        <f t="shared" si="314"/>
        <v>17349.45761062776</v>
      </c>
      <c r="X753" s="3">
        <f t="shared" si="306"/>
        <v>5068.4815767053551</v>
      </c>
      <c r="AI753" s="3"/>
      <c r="AJ753" s="3"/>
      <c r="AK753" s="15">
        <f t="shared" si="297"/>
        <v>3</v>
      </c>
      <c r="AL753" s="11">
        <f t="shared" si="301"/>
        <v>4464</v>
      </c>
      <c r="AM753" s="11" t="b">
        <f t="shared" si="296"/>
        <v>0</v>
      </c>
      <c r="AN753" s="11">
        <f t="shared" si="298"/>
        <v>36000</v>
      </c>
      <c r="AO753" s="11">
        <f t="shared" si="299"/>
        <v>0</v>
      </c>
      <c r="AP753" s="11">
        <f t="shared" si="300"/>
        <v>0.34596325047232213</v>
      </c>
      <c r="AQ753" s="11">
        <f t="shared" si="302"/>
        <v>0</v>
      </c>
      <c r="AT753" s="3"/>
      <c r="AU753" s="17"/>
      <c r="AV753" s="19"/>
      <c r="AW753" s="17"/>
      <c r="AX753" s="17">
        <f t="shared" si="321"/>
        <v>744</v>
      </c>
      <c r="AY753" s="17">
        <f t="shared" si="320"/>
        <v>74.400000000000006</v>
      </c>
      <c r="AZ753" s="17">
        <v>34.596325047232213</v>
      </c>
      <c r="BA753" s="17"/>
      <c r="BB753" s="17">
        <v>36</v>
      </c>
      <c r="BC753" s="17"/>
      <c r="BD753" s="17"/>
      <c r="BE753" s="17"/>
      <c r="BF753" s="17"/>
      <c r="BG753" s="17"/>
      <c r="BH753" s="17"/>
      <c r="BI753" s="17"/>
      <c r="BJ753" s="17"/>
      <c r="BK753" s="17"/>
      <c r="BL753" s="17"/>
      <c r="BM753" s="17"/>
      <c r="BN753" s="17"/>
      <c r="BO753" s="17"/>
      <c r="BP753" s="17"/>
      <c r="BQ753" s="17"/>
      <c r="BR753" s="17"/>
      <c r="BS753" s="17"/>
      <c r="BT753" s="17"/>
      <c r="BU753" s="17"/>
      <c r="BV753" s="17"/>
      <c r="BW753" s="17"/>
      <c r="BX753" s="17"/>
      <c r="BY753" s="17"/>
      <c r="BZ753" s="17"/>
      <c r="CA753" s="17"/>
      <c r="CB753" s="17"/>
      <c r="CC753" s="17"/>
      <c r="CD753" s="17"/>
      <c r="CE753" s="17"/>
      <c r="CF753" s="17"/>
      <c r="CG753" s="17"/>
      <c r="CH753" s="17"/>
    </row>
    <row r="754" spans="8:86" x14ac:dyDescent="0.15">
      <c r="H754" s="3">
        <f t="shared" si="315"/>
        <v>0.74200000000000055</v>
      </c>
      <c r="I754" s="3">
        <f t="shared" si="316"/>
        <v>360</v>
      </c>
      <c r="J754" s="14">
        <f t="shared" si="317"/>
        <v>500</v>
      </c>
      <c r="K754" s="3">
        <f t="shared" si="307"/>
        <v>0</v>
      </c>
      <c r="L754" s="3">
        <f t="shared" si="303"/>
        <v>500</v>
      </c>
      <c r="M754" s="15">
        <f t="shared" si="318"/>
        <v>7.0000000000000007E-2</v>
      </c>
      <c r="N754" s="3">
        <f t="shared" si="319"/>
        <v>48.135044196076777</v>
      </c>
      <c r="O754" s="3">
        <f t="shared" si="304"/>
        <v>48.135044196076777</v>
      </c>
      <c r="P754" s="3">
        <f t="shared" si="308"/>
        <v>51.758112038792234</v>
      </c>
      <c r="Q754" s="3">
        <f t="shared" si="309"/>
        <v>10.095279753330466</v>
      </c>
      <c r="R754" s="3">
        <f t="shared" si="310"/>
        <v>30.92669589606135</v>
      </c>
      <c r="S754" s="3">
        <f t="shared" si="305"/>
        <v>1</v>
      </c>
      <c r="T754" s="3">
        <f t="shared" si="311"/>
        <v>20831.416142730883</v>
      </c>
      <c r="U754" s="3">
        <f t="shared" si="312"/>
        <v>0.5</v>
      </c>
      <c r="V754" s="3">
        <f t="shared" si="313"/>
        <v>0</v>
      </c>
      <c r="W754" s="3">
        <f t="shared" si="314"/>
        <v>17328.61591058764</v>
      </c>
      <c r="X754" s="3">
        <f t="shared" si="306"/>
        <v>5047.6398766652328</v>
      </c>
      <c r="AI754" s="3"/>
      <c r="AJ754" s="3"/>
      <c r="AK754" s="15">
        <f t="shared" si="297"/>
        <v>3</v>
      </c>
      <c r="AL754" s="11">
        <f t="shared" si="301"/>
        <v>4470</v>
      </c>
      <c r="AM754" s="11" t="b">
        <f t="shared" si="296"/>
        <v>0</v>
      </c>
      <c r="AN754" s="11">
        <f t="shared" si="298"/>
        <v>36000</v>
      </c>
      <c r="AO754" s="11">
        <f t="shared" si="299"/>
        <v>0</v>
      </c>
      <c r="AP754" s="11">
        <f t="shared" si="300"/>
        <v>0.34706556528713689</v>
      </c>
      <c r="AQ754" s="11">
        <f t="shared" si="302"/>
        <v>0</v>
      </c>
      <c r="AT754" s="3"/>
      <c r="AU754" s="17"/>
      <c r="AV754" s="19"/>
      <c r="AW754" s="17"/>
      <c r="AX754" s="17">
        <f t="shared" si="321"/>
        <v>745</v>
      </c>
      <c r="AY754" s="17">
        <f t="shared" si="320"/>
        <v>74.5</v>
      </c>
      <c r="AZ754" s="17">
        <v>34.706556528713691</v>
      </c>
      <c r="BA754" s="17"/>
      <c r="BB754" s="17">
        <v>36</v>
      </c>
      <c r="BC754" s="17"/>
      <c r="BD754" s="17"/>
      <c r="BE754" s="17"/>
      <c r="BF754" s="17"/>
      <c r="BG754" s="17"/>
      <c r="BH754" s="17"/>
      <c r="BI754" s="17"/>
      <c r="BJ754" s="17"/>
      <c r="BK754" s="17"/>
      <c r="BL754" s="17"/>
      <c r="BM754" s="17"/>
      <c r="BN754" s="17"/>
      <c r="BO754" s="17"/>
      <c r="BP754" s="17"/>
      <c r="BQ754" s="17"/>
      <c r="BR754" s="17"/>
      <c r="BS754" s="17"/>
      <c r="BT754" s="17"/>
      <c r="BU754" s="17"/>
      <c r="BV754" s="17"/>
      <c r="BW754" s="17"/>
      <c r="BX754" s="17"/>
      <c r="BY754" s="17"/>
      <c r="BZ754" s="17"/>
      <c r="CA754" s="17"/>
      <c r="CB754" s="17"/>
      <c r="CC754" s="17"/>
      <c r="CD754" s="17"/>
      <c r="CE754" s="17"/>
      <c r="CF754" s="17"/>
      <c r="CG754" s="17"/>
      <c r="CH754" s="17"/>
    </row>
    <row r="755" spans="8:86" x14ac:dyDescent="0.15">
      <c r="H755" s="3">
        <f t="shared" si="315"/>
        <v>0.74300000000000055</v>
      </c>
      <c r="I755" s="3">
        <f t="shared" si="316"/>
        <v>360</v>
      </c>
      <c r="J755" s="14">
        <f t="shared" si="317"/>
        <v>500</v>
      </c>
      <c r="K755" s="3">
        <f t="shared" si="307"/>
        <v>0</v>
      </c>
      <c r="L755" s="3">
        <f t="shared" si="303"/>
        <v>500</v>
      </c>
      <c r="M755" s="15">
        <f t="shared" si="318"/>
        <v>7.0000000000000007E-2</v>
      </c>
      <c r="N755" s="3">
        <f t="shared" si="319"/>
        <v>48.07717915123586</v>
      </c>
      <c r="O755" s="3">
        <f t="shared" si="304"/>
        <v>48.07717915123586</v>
      </c>
      <c r="P755" s="3">
        <f t="shared" si="308"/>
        <v>51.695891560468674</v>
      </c>
      <c r="Q755" s="3">
        <f t="shared" si="309"/>
        <v>10.053616921045004</v>
      </c>
      <c r="R755" s="3">
        <f t="shared" si="310"/>
        <v>30.87475424075684</v>
      </c>
      <c r="S755" s="3">
        <f t="shared" si="305"/>
        <v>1</v>
      </c>
      <c r="T755" s="3">
        <f t="shared" si="311"/>
        <v>20821.137319711834</v>
      </c>
      <c r="U755" s="3">
        <f t="shared" si="312"/>
        <v>0.5</v>
      </c>
      <c r="V755" s="3">
        <f t="shared" si="313"/>
        <v>0</v>
      </c>
      <c r="W755" s="3">
        <f t="shared" si="314"/>
        <v>17307.78449444491</v>
      </c>
      <c r="X755" s="3">
        <f t="shared" si="306"/>
        <v>5026.8084605225022</v>
      </c>
      <c r="AI755" s="3"/>
      <c r="AJ755" s="3"/>
      <c r="AK755" s="15">
        <f t="shared" si="297"/>
        <v>3</v>
      </c>
      <c r="AL755" s="11">
        <f t="shared" si="301"/>
        <v>4476</v>
      </c>
      <c r="AM755" s="11" t="b">
        <f t="shared" si="296"/>
        <v>0</v>
      </c>
      <c r="AN755" s="11">
        <f t="shared" si="298"/>
        <v>36000</v>
      </c>
      <c r="AO755" s="11">
        <f t="shared" si="299"/>
        <v>0</v>
      </c>
      <c r="AP755" s="11">
        <f t="shared" si="300"/>
        <v>0.34816788010195171</v>
      </c>
      <c r="AQ755" s="11">
        <f t="shared" si="302"/>
        <v>0</v>
      </c>
      <c r="AT755" s="3"/>
      <c r="AU755" s="17"/>
      <c r="AV755" s="19"/>
      <c r="AW755" s="17"/>
      <c r="AX755" s="17">
        <f t="shared" si="321"/>
        <v>746</v>
      </c>
      <c r="AY755" s="17">
        <f t="shared" si="320"/>
        <v>74.599999999999994</v>
      </c>
      <c r="AZ755" s="17">
        <v>34.816788010195168</v>
      </c>
      <c r="BA755" s="17"/>
      <c r="BB755" s="17">
        <v>36</v>
      </c>
      <c r="BC755" s="17"/>
      <c r="BD755" s="17"/>
      <c r="BE755" s="17"/>
      <c r="BF755" s="17"/>
      <c r="BG755" s="17"/>
      <c r="BH755" s="17"/>
      <c r="BI755" s="17"/>
      <c r="BJ755" s="17"/>
      <c r="BK755" s="17"/>
      <c r="BL755" s="17"/>
      <c r="BM755" s="17"/>
      <c r="BN755" s="17"/>
      <c r="BO755" s="17"/>
      <c r="BP755" s="17"/>
      <c r="BQ755" s="17"/>
      <c r="BR755" s="17"/>
      <c r="BS755" s="17"/>
      <c r="BT755" s="17"/>
      <c r="BU755" s="17"/>
      <c r="BV755" s="17"/>
      <c r="BW755" s="17"/>
      <c r="BX755" s="17"/>
      <c r="BY755" s="17"/>
      <c r="BZ755" s="17"/>
      <c r="CA755" s="17"/>
      <c r="CB755" s="17"/>
      <c r="CC755" s="17"/>
      <c r="CD755" s="17"/>
      <c r="CE755" s="17"/>
      <c r="CF755" s="17"/>
      <c r="CG755" s="17"/>
      <c r="CH755" s="17"/>
    </row>
    <row r="756" spans="8:86" x14ac:dyDescent="0.15">
      <c r="H756" s="3">
        <f t="shared" si="315"/>
        <v>0.74400000000000055</v>
      </c>
      <c r="I756" s="3">
        <f t="shared" si="316"/>
        <v>360</v>
      </c>
      <c r="J756" s="14">
        <f t="shared" si="317"/>
        <v>500</v>
      </c>
      <c r="K756" s="3">
        <f t="shared" si="307"/>
        <v>0</v>
      </c>
      <c r="L756" s="3">
        <f t="shared" si="303"/>
        <v>500</v>
      </c>
      <c r="M756" s="15">
        <f t="shared" si="318"/>
        <v>7.0000000000000007E-2</v>
      </c>
      <c r="N756" s="3">
        <f t="shared" si="319"/>
        <v>48.019342658681104</v>
      </c>
      <c r="O756" s="3">
        <f t="shared" si="304"/>
        <v>48.019342658681104</v>
      </c>
      <c r="P756" s="3">
        <f t="shared" si="308"/>
        <v>51.633701783528075</v>
      </c>
      <c r="Q756" s="3">
        <f t="shared" si="309"/>
        <v>10.01197464640558</v>
      </c>
      <c r="R756" s="3">
        <f t="shared" si="310"/>
        <v>30.822838214966829</v>
      </c>
      <c r="S756" s="3">
        <f t="shared" si="305"/>
        <v>1</v>
      </c>
      <c r="T756" s="3">
        <f t="shared" si="311"/>
        <v>20810.863568561246</v>
      </c>
      <c r="U756" s="3">
        <f t="shared" si="312"/>
        <v>0.5</v>
      </c>
      <c r="V756" s="3">
        <f t="shared" si="313"/>
        <v>0</v>
      </c>
      <c r="W756" s="3">
        <f t="shared" si="314"/>
        <v>17286.963357125198</v>
      </c>
      <c r="X756" s="3">
        <f t="shared" si="306"/>
        <v>5005.9873232027903</v>
      </c>
      <c r="AI756" s="3"/>
      <c r="AJ756" s="3"/>
      <c r="AK756" s="15">
        <f t="shared" si="297"/>
        <v>3</v>
      </c>
      <c r="AL756" s="11">
        <f t="shared" si="301"/>
        <v>4482</v>
      </c>
      <c r="AM756" s="11" t="b">
        <f t="shared" si="296"/>
        <v>0</v>
      </c>
      <c r="AN756" s="11">
        <f t="shared" si="298"/>
        <v>36000</v>
      </c>
      <c r="AO756" s="11">
        <f t="shared" si="299"/>
        <v>0</v>
      </c>
      <c r="AP756" s="11">
        <f t="shared" si="300"/>
        <v>0.34927019491676647</v>
      </c>
      <c r="AQ756" s="11">
        <f t="shared" si="302"/>
        <v>0</v>
      </c>
      <c r="AT756" s="3"/>
      <c r="AU756" s="17"/>
      <c r="AV756" s="19"/>
      <c r="AW756" s="17"/>
      <c r="AX756" s="17">
        <f t="shared" si="321"/>
        <v>747</v>
      </c>
      <c r="AY756" s="17">
        <f t="shared" si="320"/>
        <v>74.7</v>
      </c>
      <c r="AZ756" s="17">
        <v>34.927019491676646</v>
      </c>
      <c r="BA756" s="17"/>
      <c r="BB756" s="17">
        <v>36</v>
      </c>
      <c r="BC756" s="17"/>
      <c r="BD756" s="17"/>
      <c r="BE756" s="17"/>
      <c r="BF756" s="17"/>
      <c r="BG756" s="17"/>
      <c r="BH756" s="17"/>
      <c r="BI756" s="17"/>
      <c r="BJ756" s="17"/>
      <c r="BK756" s="17"/>
      <c r="BL756" s="17"/>
      <c r="BM756" s="17"/>
      <c r="BN756" s="17"/>
      <c r="BO756" s="17"/>
      <c r="BP756" s="17"/>
      <c r="BQ756" s="17"/>
      <c r="BR756" s="17"/>
      <c r="BS756" s="17"/>
      <c r="BT756" s="17"/>
      <c r="BU756" s="17"/>
      <c r="BV756" s="17"/>
      <c r="BW756" s="17"/>
      <c r="BX756" s="17"/>
      <c r="BY756" s="17"/>
      <c r="BZ756" s="17"/>
      <c r="CA756" s="17"/>
      <c r="CB756" s="17"/>
      <c r="CC756" s="17"/>
      <c r="CD756" s="17"/>
      <c r="CE756" s="17"/>
      <c r="CF756" s="17"/>
      <c r="CG756" s="17"/>
      <c r="CH756" s="17"/>
    </row>
    <row r="757" spans="8:86" x14ac:dyDescent="0.15">
      <c r="H757" s="3">
        <f t="shared" si="315"/>
        <v>0.74500000000000055</v>
      </c>
      <c r="I757" s="3">
        <f t="shared" si="316"/>
        <v>360</v>
      </c>
      <c r="J757" s="14">
        <f t="shared" si="317"/>
        <v>500</v>
      </c>
      <c r="K757" s="3">
        <f t="shared" si="307"/>
        <v>0</v>
      </c>
      <c r="L757" s="3">
        <f t="shared" si="303"/>
        <v>500</v>
      </c>
      <c r="M757" s="15">
        <f t="shared" si="318"/>
        <v>7.0000000000000007E-2</v>
      </c>
      <c r="N757" s="3">
        <f t="shared" si="319"/>
        <v>47.961534704323995</v>
      </c>
      <c r="O757" s="3">
        <f t="shared" si="304"/>
        <v>47.961534704323995</v>
      </c>
      <c r="P757" s="3">
        <f t="shared" si="308"/>
        <v>51.571542692821502</v>
      </c>
      <c r="Q757" s="3">
        <f t="shared" si="309"/>
        <v>9.9703529192684588</v>
      </c>
      <c r="R757" s="3">
        <f t="shared" si="310"/>
        <v>30.77094780604498</v>
      </c>
      <c r="S757" s="3">
        <f t="shared" si="305"/>
        <v>1</v>
      </c>
      <c r="T757" s="3">
        <f t="shared" si="311"/>
        <v>20800.594886776522</v>
      </c>
      <c r="U757" s="3">
        <f t="shared" si="312"/>
        <v>0.5</v>
      </c>
      <c r="V757" s="3">
        <f t="shared" si="313"/>
        <v>0</v>
      </c>
      <c r="W757" s="3">
        <f t="shared" si="314"/>
        <v>17266.152493556638</v>
      </c>
      <c r="X757" s="3">
        <f t="shared" si="306"/>
        <v>4985.1764596342291</v>
      </c>
      <c r="AI757" s="3"/>
      <c r="AJ757" s="3"/>
      <c r="AK757" s="15">
        <f t="shared" si="297"/>
        <v>3</v>
      </c>
      <c r="AL757" s="11">
        <f t="shared" si="301"/>
        <v>4488</v>
      </c>
      <c r="AM757" s="11" t="b">
        <f t="shared" si="296"/>
        <v>0</v>
      </c>
      <c r="AN757" s="11">
        <f t="shared" si="298"/>
        <v>36000</v>
      </c>
      <c r="AO757" s="11">
        <f t="shared" si="299"/>
        <v>0</v>
      </c>
      <c r="AP757" s="11">
        <f t="shared" si="300"/>
        <v>0.35037250973158129</v>
      </c>
      <c r="AQ757" s="11">
        <f t="shared" si="302"/>
        <v>0</v>
      </c>
      <c r="AT757" s="3"/>
      <c r="AU757" s="17"/>
      <c r="AV757" s="19"/>
      <c r="AW757" s="17"/>
      <c r="AX757" s="17">
        <f t="shared" si="321"/>
        <v>748</v>
      </c>
      <c r="AY757" s="17">
        <f t="shared" si="320"/>
        <v>74.8</v>
      </c>
      <c r="AZ757" s="17">
        <v>35.03725097315813</v>
      </c>
      <c r="BA757" s="17"/>
      <c r="BB757" s="17">
        <v>36</v>
      </c>
      <c r="BC757" s="17"/>
      <c r="BD757" s="17"/>
      <c r="BE757" s="17"/>
      <c r="BF757" s="17"/>
      <c r="BG757" s="17"/>
      <c r="BH757" s="17"/>
      <c r="BI757" s="17"/>
      <c r="BJ757" s="17"/>
      <c r="BK757" s="17"/>
      <c r="BL757" s="17"/>
      <c r="BM757" s="17"/>
      <c r="BN757" s="17"/>
      <c r="BO757" s="17"/>
      <c r="BP757" s="17"/>
      <c r="BQ757" s="17"/>
      <c r="BR757" s="17"/>
      <c r="BS757" s="17"/>
      <c r="BT757" s="17"/>
      <c r="BU757" s="17"/>
      <c r="BV757" s="17"/>
      <c r="BW757" s="17"/>
      <c r="BX757" s="17"/>
      <c r="BY757" s="17"/>
      <c r="BZ757" s="17"/>
      <c r="CA757" s="17"/>
      <c r="CB757" s="17"/>
      <c r="CC757" s="17"/>
      <c r="CD757" s="17"/>
      <c r="CE757" s="17"/>
      <c r="CF757" s="17"/>
      <c r="CG757" s="17"/>
      <c r="CH757" s="17"/>
    </row>
    <row r="758" spans="8:86" x14ac:dyDescent="0.15">
      <c r="H758" s="3">
        <f t="shared" si="315"/>
        <v>0.74600000000000055</v>
      </c>
      <c r="I758" s="3">
        <f t="shared" si="316"/>
        <v>360</v>
      </c>
      <c r="J758" s="14">
        <f t="shared" si="317"/>
        <v>500</v>
      </c>
      <c r="K758" s="3">
        <f t="shared" si="307"/>
        <v>0</v>
      </c>
      <c r="L758" s="3">
        <f t="shared" si="303"/>
        <v>500</v>
      </c>
      <c r="M758" s="15">
        <f t="shared" si="318"/>
        <v>7.0000000000000007E-2</v>
      </c>
      <c r="N758" s="3">
        <f t="shared" si="319"/>
        <v>47.903755274082947</v>
      </c>
      <c r="O758" s="3">
        <f t="shared" si="304"/>
        <v>47.903755274082947</v>
      </c>
      <c r="P758" s="3">
        <f t="shared" si="308"/>
        <v>51.509414273207476</v>
      </c>
      <c r="Q758" s="3">
        <f t="shared" si="309"/>
        <v>9.9287517294949055</v>
      </c>
      <c r="R758" s="3">
        <f t="shared" si="310"/>
        <v>30.719083001351191</v>
      </c>
      <c r="S758" s="3">
        <f t="shared" si="305"/>
        <v>1</v>
      </c>
      <c r="T758" s="3">
        <f t="shared" si="311"/>
        <v>20790.331271856285</v>
      </c>
      <c r="U758" s="3">
        <f t="shared" si="312"/>
        <v>0.5</v>
      </c>
      <c r="V758" s="3">
        <f t="shared" si="313"/>
        <v>0</v>
      </c>
      <c r="W758" s="3">
        <f t="shared" si="314"/>
        <v>17245.351898669862</v>
      </c>
      <c r="X758" s="3">
        <f t="shared" si="306"/>
        <v>4964.3758647474524</v>
      </c>
      <c r="AI758" s="3"/>
      <c r="AJ758" s="3"/>
      <c r="AK758" s="15">
        <f t="shared" si="297"/>
        <v>3</v>
      </c>
      <c r="AL758" s="11">
        <f t="shared" si="301"/>
        <v>4494</v>
      </c>
      <c r="AM758" s="11" t="b">
        <f t="shared" si="296"/>
        <v>0</v>
      </c>
      <c r="AN758" s="11">
        <f t="shared" si="298"/>
        <v>36000</v>
      </c>
      <c r="AO758" s="11">
        <f t="shared" si="299"/>
        <v>0</v>
      </c>
      <c r="AP758" s="11">
        <f t="shared" si="300"/>
        <v>0.35147482454639606</v>
      </c>
      <c r="AQ758" s="11">
        <f t="shared" si="302"/>
        <v>0</v>
      </c>
      <c r="AT758" s="3"/>
      <c r="AU758" s="17"/>
      <c r="AV758" s="19"/>
      <c r="AW758" s="17"/>
      <c r="AX758" s="17">
        <f t="shared" si="321"/>
        <v>749</v>
      </c>
      <c r="AY758" s="17">
        <f t="shared" si="320"/>
        <v>74.900000000000006</v>
      </c>
      <c r="AZ758" s="17">
        <v>35.147482454639608</v>
      </c>
      <c r="BA758" s="17"/>
      <c r="BB758" s="17">
        <v>36</v>
      </c>
      <c r="BC758" s="17"/>
      <c r="BD758" s="17"/>
      <c r="BE758" s="17"/>
      <c r="BF758" s="17"/>
      <c r="BG758" s="17"/>
      <c r="BH758" s="17"/>
      <c r="BI758" s="17"/>
      <c r="BJ758" s="17"/>
      <c r="BK758" s="17"/>
      <c r="BL758" s="17"/>
      <c r="BM758" s="17"/>
      <c r="BN758" s="17"/>
      <c r="BO758" s="17"/>
      <c r="BP758" s="17"/>
      <c r="BQ758" s="17"/>
      <c r="BR758" s="17"/>
      <c r="BS758" s="17"/>
      <c r="BT758" s="17"/>
      <c r="BU758" s="17"/>
      <c r="BV758" s="17"/>
      <c r="BW758" s="17"/>
      <c r="BX758" s="17"/>
      <c r="BY758" s="17"/>
      <c r="BZ758" s="17"/>
      <c r="CA758" s="17"/>
      <c r="CB758" s="17"/>
      <c r="CC758" s="17"/>
      <c r="CD758" s="17"/>
      <c r="CE758" s="17"/>
      <c r="CF758" s="17"/>
      <c r="CG758" s="17"/>
      <c r="CH758" s="17"/>
    </row>
    <row r="759" spans="8:86" x14ac:dyDescent="0.15">
      <c r="H759" s="3">
        <f t="shared" si="315"/>
        <v>0.74700000000000055</v>
      </c>
      <c r="I759" s="3">
        <f t="shared" si="316"/>
        <v>360</v>
      </c>
      <c r="J759" s="14">
        <f t="shared" si="317"/>
        <v>500</v>
      </c>
      <c r="K759" s="3">
        <f t="shared" si="307"/>
        <v>0</v>
      </c>
      <c r="L759" s="3">
        <f t="shared" si="303"/>
        <v>500</v>
      </c>
      <c r="M759" s="15">
        <f t="shared" si="318"/>
        <v>7.0000000000000007E-2</v>
      </c>
      <c r="N759" s="3">
        <f t="shared" si="319"/>
        <v>47.846004353883352</v>
      </c>
      <c r="O759" s="3">
        <f t="shared" si="304"/>
        <v>47.846004353883352</v>
      </c>
      <c r="P759" s="3">
        <f t="shared" si="308"/>
        <v>51.447316509551996</v>
      </c>
      <c r="Q759" s="3">
        <f t="shared" si="309"/>
        <v>9.8871710669511916</v>
      </c>
      <c r="R759" s="3">
        <f t="shared" si="310"/>
        <v>30.667243788251593</v>
      </c>
      <c r="S759" s="3">
        <f t="shared" si="305"/>
        <v>1</v>
      </c>
      <c r="T759" s="3">
        <f t="shared" si="311"/>
        <v>20780.072721300403</v>
      </c>
      <c r="U759" s="3">
        <f t="shared" si="312"/>
        <v>0.5</v>
      </c>
      <c r="V759" s="3">
        <f t="shared" si="313"/>
        <v>0</v>
      </c>
      <c r="W759" s="3">
        <f t="shared" si="314"/>
        <v>17224.561567398006</v>
      </c>
      <c r="X759" s="3">
        <f t="shared" si="306"/>
        <v>4943.5855334755961</v>
      </c>
      <c r="AI759" s="3"/>
      <c r="AJ759" s="3"/>
      <c r="AK759" s="15">
        <f t="shared" si="297"/>
        <v>3</v>
      </c>
      <c r="AL759" s="11">
        <f t="shared" si="301"/>
        <v>4500</v>
      </c>
      <c r="AM759" s="11" t="b">
        <f t="shared" si="296"/>
        <v>0</v>
      </c>
      <c r="AN759" s="11">
        <f t="shared" si="298"/>
        <v>36000</v>
      </c>
      <c r="AO759" s="11">
        <f t="shared" si="299"/>
        <v>0</v>
      </c>
      <c r="AP759" s="11">
        <f t="shared" si="300"/>
        <v>0.35257713936121088</v>
      </c>
      <c r="AQ759" s="11">
        <f t="shared" si="302"/>
        <v>0</v>
      </c>
      <c r="AT759" s="3"/>
      <c r="AU759" s="17"/>
      <c r="AV759" s="19"/>
      <c r="AW759" s="17"/>
      <c r="AX759" s="17">
        <f t="shared" si="321"/>
        <v>750</v>
      </c>
      <c r="AY759" s="17">
        <f t="shared" si="320"/>
        <v>75</v>
      </c>
      <c r="AZ759" s="17">
        <v>35.257713936121085</v>
      </c>
      <c r="BA759" s="17"/>
      <c r="BB759" s="17">
        <v>36</v>
      </c>
      <c r="BC759" s="17"/>
      <c r="BD759" s="17"/>
      <c r="BE759" s="17"/>
      <c r="BF759" s="17"/>
      <c r="BG759" s="17"/>
      <c r="BH759" s="17"/>
      <c r="BI759" s="17"/>
      <c r="BJ759" s="17"/>
      <c r="BK759" s="17"/>
      <c r="BL759" s="17"/>
      <c r="BM759" s="17"/>
      <c r="BN759" s="17"/>
      <c r="BO759" s="17"/>
      <c r="BP759" s="17"/>
      <c r="BQ759" s="17"/>
      <c r="BR759" s="17"/>
      <c r="BS759" s="17"/>
      <c r="BT759" s="17"/>
      <c r="BU759" s="17"/>
      <c r="BV759" s="17"/>
      <c r="BW759" s="17"/>
      <c r="BX759" s="17"/>
      <c r="BY759" s="17"/>
      <c r="BZ759" s="17"/>
      <c r="CA759" s="17"/>
      <c r="CB759" s="17"/>
      <c r="CC759" s="17"/>
      <c r="CD759" s="17"/>
      <c r="CE759" s="17"/>
      <c r="CF759" s="17"/>
      <c r="CG759" s="17"/>
      <c r="CH759" s="17"/>
    </row>
    <row r="760" spans="8:86" x14ac:dyDescent="0.15">
      <c r="H760" s="3">
        <f t="shared" si="315"/>
        <v>0.74800000000000055</v>
      </c>
      <c r="I760" s="3">
        <f t="shared" si="316"/>
        <v>360</v>
      </c>
      <c r="J760" s="14">
        <f t="shared" si="317"/>
        <v>500</v>
      </c>
      <c r="K760" s="3">
        <f t="shared" si="307"/>
        <v>0</v>
      </c>
      <c r="L760" s="3">
        <f t="shared" si="303"/>
        <v>500</v>
      </c>
      <c r="M760" s="15">
        <f t="shared" si="318"/>
        <v>7.0000000000000007E-2</v>
      </c>
      <c r="N760" s="3">
        <f t="shared" si="319"/>
        <v>47.788281929657515</v>
      </c>
      <c r="O760" s="3">
        <f t="shared" si="304"/>
        <v>47.788281929657515</v>
      </c>
      <c r="P760" s="3">
        <f t="shared" si="308"/>
        <v>51.385249386728518</v>
      </c>
      <c r="Q760" s="3">
        <f t="shared" si="309"/>
        <v>9.845610921508591</v>
      </c>
      <c r="R760" s="3">
        <f t="shared" si="310"/>
        <v>30.615430154118556</v>
      </c>
      <c r="S760" s="3">
        <f t="shared" si="305"/>
        <v>1</v>
      </c>
      <c r="T760" s="3">
        <f t="shared" si="311"/>
        <v>20769.81923260996</v>
      </c>
      <c r="U760" s="3">
        <f t="shared" si="312"/>
        <v>0.5</v>
      </c>
      <c r="V760" s="3">
        <f t="shared" si="313"/>
        <v>0</v>
      </c>
      <c r="W760" s="3">
        <f t="shared" si="314"/>
        <v>17203.781494676707</v>
      </c>
      <c r="X760" s="3">
        <f t="shared" si="306"/>
        <v>4922.8054607542954</v>
      </c>
      <c r="AI760" s="3"/>
      <c r="AJ760" s="3"/>
      <c r="AK760" s="15">
        <f t="shared" si="297"/>
        <v>3</v>
      </c>
      <c r="AL760" s="11">
        <f t="shared" si="301"/>
        <v>4506</v>
      </c>
      <c r="AM760" s="11" t="b">
        <f t="shared" si="296"/>
        <v>0</v>
      </c>
      <c r="AN760" s="11">
        <f t="shared" si="298"/>
        <v>36000</v>
      </c>
      <c r="AO760" s="11">
        <f t="shared" si="299"/>
        <v>0</v>
      </c>
      <c r="AP760" s="11">
        <f t="shared" si="300"/>
        <v>0.35367945417602564</v>
      </c>
      <c r="AQ760" s="11">
        <f t="shared" si="302"/>
        <v>0</v>
      </c>
      <c r="AT760" s="3"/>
      <c r="AU760" s="17"/>
      <c r="AV760" s="19"/>
      <c r="AW760" s="17"/>
      <c r="AX760" s="17">
        <f t="shared" si="321"/>
        <v>751</v>
      </c>
      <c r="AY760" s="17">
        <f t="shared" si="320"/>
        <v>75.099999999999994</v>
      </c>
      <c r="AZ760" s="17">
        <v>35.367945417602563</v>
      </c>
      <c r="BA760" s="17"/>
      <c r="BB760" s="17">
        <v>36</v>
      </c>
      <c r="BC760" s="17"/>
      <c r="BD760" s="17"/>
      <c r="BE760" s="17"/>
      <c r="BF760" s="17"/>
      <c r="BG760" s="17"/>
      <c r="BH760" s="17"/>
      <c r="BI760" s="17"/>
      <c r="BJ760" s="17"/>
      <c r="BK760" s="17"/>
      <c r="BL760" s="17"/>
      <c r="BM760" s="17"/>
      <c r="BN760" s="17"/>
      <c r="BO760" s="17"/>
      <c r="BP760" s="17"/>
      <c r="BQ760" s="17"/>
      <c r="BR760" s="17"/>
      <c r="BS760" s="17"/>
      <c r="BT760" s="17"/>
      <c r="BU760" s="17"/>
      <c r="BV760" s="17"/>
      <c r="BW760" s="17"/>
      <c r="BX760" s="17"/>
      <c r="BY760" s="17"/>
      <c r="BZ760" s="17"/>
      <c r="CA760" s="17"/>
      <c r="CB760" s="17"/>
      <c r="CC760" s="17"/>
      <c r="CD760" s="17"/>
      <c r="CE760" s="17"/>
      <c r="CF760" s="17"/>
      <c r="CG760" s="17"/>
      <c r="CH760" s="17"/>
    </row>
    <row r="761" spans="8:86" x14ac:dyDescent="0.15">
      <c r="H761" s="3">
        <f t="shared" si="315"/>
        <v>0.74900000000000055</v>
      </c>
      <c r="I761" s="3">
        <f t="shared" si="316"/>
        <v>360</v>
      </c>
      <c r="J761" s="14">
        <f t="shared" si="317"/>
        <v>500</v>
      </c>
      <c r="K761" s="3">
        <f t="shared" si="307"/>
        <v>0</v>
      </c>
      <c r="L761" s="3">
        <f t="shared" si="303"/>
        <v>500</v>
      </c>
      <c r="M761" s="15">
        <f t="shared" si="318"/>
        <v>7.0000000000000007E-2</v>
      </c>
      <c r="N761" s="3">
        <f t="shared" si="319"/>
        <v>47.730587987344713</v>
      </c>
      <c r="O761" s="3">
        <f t="shared" si="304"/>
        <v>47.730587987344713</v>
      </c>
      <c r="P761" s="3">
        <f t="shared" si="308"/>
        <v>51.323212889617977</v>
      </c>
      <c r="Q761" s="3">
        <f t="shared" si="309"/>
        <v>9.8040712830433705</v>
      </c>
      <c r="R761" s="3">
        <f t="shared" si="310"/>
        <v>30.563642086330674</v>
      </c>
      <c r="S761" s="3">
        <f t="shared" si="305"/>
        <v>1</v>
      </c>
      <c r="T761" s="3">
        <f t="shared" si="311"/>
        <v>20759.570803287304</v>
      </c>
      <c r="U761" s="3">
        <f t="shared" si="312"/>
        <v>0.5</v>
      </c>
      <c r="V761" s="3">
        <f t="shared" si="313"/>
        <v>0</v>
      </c>
      <c r="W761" s="3">
        <f t="shared" si="314"/>
        <v>17183.011675444097</v>
      </c>
      <c r="X761" s="3">
        <f t="shared" si="306"/>
        <v>4902.0356415216856</v>
      </c>
      <c r="AI761" s="3"/>
      <c r="AJ761" s="3"/>
      <c r="AK761" s="15">
        <f t="shared" si="297"/>
        <v>3</v>
      </c>
      <c r="AL761" s="11">
        <f t="shared" si="301"/>
        <v>4512</v>
      </c>
      <c r="AM761" s="11" t="b">
        <f t="shared" si="296"/>
        <v>0</v>
      </c>
      <c r="AN761" s="11">
        <f t="shared" si="298"/>
        <v>36000</v>
      </c>
      <c r="AO761" s="11">
        <f t="shared" si="299"/>
        <v>0</v>
      </c>
      <c r="AP761" s="11">
        <f t="shared" si="300"/>
        <v>0.35478176899084046</v>
      </c>
      <c r="AQ761" s="11">
        <f t="shared" si="302"/>
        <v>0</v>
      </c>
      <c r="AT761" s="3"/>
      <c r="AU761" s="17"/>
      <c r="AV761" s="19"/>
      <c r="AW761" s="17"/>
      <c r="AX761" s="17">
        <f t="shared" si="321"/>
        <v>752</v>
      </c>
      <c r="AY761" s="17">
        <f t="shared" si="320"/>
        <v>75.2</v>
      </c>
      <c r="AZ761" s="17">
        <v>35.478176899084048</v>
      </c>
      <c r="BA761" s="17"/>
      <c r="BB761" s="17">
        <v>36</v>
      </c>
      <c r="BC761" s="17"/>
      <c r="BD761" s="17"/>
      <c r="BE761" s="17"/>
      <c r="BF761" s="17"/>
      <c r="BG761" s="17"/>
      <c r="BH761" s="17"/>
      <c r="BI761" s="17"/>
      <c r="BJ761" s="17"/>
      <c r="BK761" s="17"/>
      <c r="BL761" s="17"/>
      <c r="BM761" s="17"/>
      <c r="BN761" s="17"/>
      <c r="BO761" s="17"/>
      <c r="BP761" s="17"/>
      <c r="BQ761" s="17"/>
      <c r="BR761" s="17"/>
      <c r="BS761" s="17"/>
      <c r="BT761" s="17"/>
      <c r="BU761" s="17"/>
      <c r="BV761" s="17"/>
      <c r="BW761" s="17"/>
      <c r="BX761" s="17"/>
      <c r="BY761" s="17"/>
      <c r="BZ761" s="17"/>
      <c r="CA761" s="17"/>
      <c r="CB761" s="17"/>
      <c r="CC761" s="17"/>
      <c r="CD761" s="17"/>
      <c r="CE761" s="17"/>
      <c r="CF761" s="17"/>
      <c r="CG761" s="17"/>
      <c r="CH761" s="17"/>
    </row>
    <row r="762" spans="8:86" x14ac:dyDescent="0.15">
      <c r="H762" s="3">
        <f t="shared" si="315"/>
        <v>0.75000000000000056</v>
      </c>
      <c r="I762" s="3">
        <f t="shared" si="316"/>
        <v>360</v>
      </c>
      <c r="J762" s="14">
        <f t="shared" si="317"/>
        <v>500</v>
      </c>
      <c r="K762" s="3">
        <f t="shared" si="307"/>
        <v>0</v>
      </c>
      <c r="L762" s="3">
        <f t="shared" si="303"/>
        <v>500</v>
      </c>
      <c r="M762" s="15">
        <f t="shared" si="318"/>
        <v>7.0000000000000007E-2</v>
      </c>
      <c r="N762" s="3">
        <f t="shared" si="319"/>
        <v>47.672922512891141</v>
      </c>
      <c r="O762" s="3">
        <f t="shared" si="304"/>
        <v>47.672922512891141</v>
      </c>
      <c r="P762" s="3">
        <f t="shared" si="308"/>
        <v>51.261207003108758</v>
      </c>
      <c r="Q762" s="3">
        <f t="shared" si="309"/>
        <v>9.7625521414367959</v>
      </c>
      <c r="R762" s="3">
        <f t="shared" si="310"/>
        <v>30.511879572272775</v>
      </c>
      <c r="S762" s="3">
        <f t="shared" si="305"/>
        <v>1</v>
      </c>
      <c r="T762" s="3">
        <f t="shared" si="311"/>
        <v>20749.327430835983</v>
      </c>
      <c r="U762" s="3">
        <f t="shared" si="312"/>
        <v>0.5</v>
      </c>
      <c r="V762" s="3">
        <f t="shared" si="313"/>
        <v>0</v>
      </c>
      <c r="W762" s="3">
        <f t="shared" si="314"/>
        <v>17162.252104640811</v>
      </c>
      <c r="X762" s="3">
        <f t="shared" si="306"/>
        <v>4881.2760707183979</v>
      </c>
      <c r="AI762" s="3"/>
      <c r="AJ762" s="3"/>
      <c r="AK762" s="15">
        <f t="shared" si="297"/>
        <v>3</v>
      </c>
      <c r="AL762" s="11">
        <f t="shared" si="301"/>
        <v>4518</v>
      </c>
      <c r="AM762" s="11" t="b">
        <f t="shared" si="296"/>
        <v>0</v>
      </c>
      <c r="AN762" s="11">
        <f t="shared" si="298"/>
        <v>36000</v>
      </c>
      <c r="AO762" s="11">
        <f t="shared" si="299"/>
        <v>0</v>
      </c>
      <c r="AP762" s="11">
        <f t="shared" si="300"/>
        <v>0.35588408380565523</v>
      </c>
      <c r="AQ762" s="11">
        <f t="shared" si="302"/>
        <v>0</v>
      </c>
      <c r="AT762" s="3"/>
      <c r="AU762" s="17"/>
      <c r="AV762" s="19"/>
      <c r="AW762" s="17"/>
      <c r="AX762" s="17">
        <f t="shared" si="321"/>
        <v>753</v>
      </c>
      <c r="AY762" s="17">
        <f t="shared" si="320"/>
        <v>75.3</v>
      </c>
      <c r="AZ762" s="17">
        <v>35.588408380565525</v>
      </c>
      <c r="BA762" s="17"/>
      <c r="BB762" s="17">
        <v>36</v>
      </c>
      <c r="BC762" s="17"/>
      <c r="BD762" s="17"/>
      <c r="BE762" s="17"/>
      <c r="BF762" s="17"/>
      <c r="BG762" s="17"/>
      <c r="BH762" s="17"/>
      <c r="BI762" s="17"/>
      <c r="BJ762" s="17"/>
      <c r="BK762" s="17"/>
      <c r="BL762" s="17"/>
      <c r="BM762" s="17"/>
      <c r="BN762" s="17"/>
      <c r="BO762" s="17"/>
      <c r="BP762" s="17"/>
      <c r="BQ762" s="17"/>
      <c r="BR762" s="17"/>
      <c r="BS762" s="17"/>
      <c r="BT762" s="17"/>
      <c r="BU762" s="17"/>
      <c r="BV762" s="17"/>
      <c r="BW762" s="17"/>
      <c r="BX762" s="17"/>
      <c r="BY762" s="17"/>
      <c r="BZ762" s="17"/>
      <c r="CA762" s="17"/>
      <c r="CB762" s="17"/>
      <c r="CC762" s="17"/>
      <c r="CD762" s="17"/>
      <c r="CE762" s="17"/>
      <c r="CF762" s="17"/>
      <c r="CG762" s="17"/>
      <c r="CH762" s="17"/>
    </row>
    <row r="763" spans="8:86" x14ac:dyDescent="0.15">
      <c r="H763" s="3">
        <f t="shared" si="315"/>
        <v>0.75100000000000056</v>
      </c>
      <c r="I763" s="3">
        <f t="shared" si="316"/>
        <v>360</v>
      </c>
      <c r="J763" s="14">
        <f t="shared" si="317"/>
        <v>500</v>
      </c>
      <c r="K763" s="3">
        <f t="shared" si="307"/>
        <v>0</v>
      </c>
      <c r="L763" s="3">
        <f t="shared" si="303"/>
        <v>500</v>
      </c>
      <c r="M763" s="15">
        <f t="shared" si="318"/>
        <v>7.0000000000000007E-2</v>
      </c>
      <c r="N763" s="3">
        <f t="shared" si="319"/>
        <v>47.615285492249932</v>
      </c>
      <c r="O763" s="3">
        <f t="shared" si="304"/>
        <v>47.615285492249932</v>
      </c>
      <c r="P763" s="3">
        <f t="shared" si="308"/>
        <v>51.199231712096704</v>
      </c>
      <c r="Q763" s="3">
        <f t="shared" si="309"/>
        <v>9.7210534865751228</v>
      </c>
      <c r="R763" s="3">
        <f t="shared" si="310"/>
        <v>30.460142599335914</v>
      </c>
      <c r="S763" s="3">
        <f t="shared" si="305"/>
        <v>1</v>
      </c>
      <c r="T763" s="3">
        <f t="shared" si="311"/>
        <v>20739.08911276079</v>
      </c>
      <c r="U763" s="3">
        <f t="shared" si="312"/>
        <v>0.5</v>
      </c>
      <c r="V763" s="3">
        <f t="shared" si="313"/>
        <v>0</v>
      </c>
      <c r="W763" s="3">
        <f t="shared" si="314"/>
        <v>17141.502777209975</v>
      </c>
      <c r="X763" s="3">
        <f t="shared" si="306"/>
        <v>4860.5267432875617</v>
      </c>
      <c r="AI763" s="3"/>
      <c r="AJ763" s="3"/>
      <c r="AK763" s="15">
        <f t="shared" si="297"/>
        <v>3</v>
      </c>
      <c r="AL763" s="11">
        <f t="shared" si="301"/>
        <v>4524</v>
      </c>
      <c r="AM763" s="11" t="b">
        <f t="shared" si="296"/>
        <v>0</v>
      </c>
      <c r="AN763" s="11">
        <f t="shared" si="298"/>
        <v>36000</v>
      </c>
      <c r="AO763" s="11">
        <f t="shared" si="299"/>
        <v>0</v>
      </c>
      <c r="AP763" s="11">
        <f t="shared" si="300"/>
        <v>0.35698639862047005</v>
      </c>
      <c r="AQ763" s="11">
        <f t="shared" si="302"/>
        <v>0</v>
      </c>
      <c r="AT763" s="3"/>
      <c r="AU763" s="17"/>
      <c r="AV763" s="19"/>
      <c r="AW763" s="17"/>
      <c r="AX763" s="17">
        <f t="shared" si="321"/>
        <v>754</v>
      </c>
      <c r="AY763" s="17">
        <f t="shared" si="320"/>
        <v>75.400000000000006</v>
      </c>
      <c r="AZ763" s="17">
        <v>35.698639862047003</v>
      </c>
      <c r="BA763" s="17"/>
      <c r="BB763" s="17">
        <v>36</v>
      </c>
      <c r="BC763" s="17"/>
      <c r="BD763" s="17"/>
      <c r="BE763" s="17"/>
      <c r="BF763" s="17"/>
      <c r="BG763" s="17"/>
      <c r="BH763" s="17"/>
      <c r="BI763" s="17"/>
      <c r="BJ763" s="17"/>
      <c r="BK763" s="17"/>
      <c r="BL763" s="17"/>
      <c r="BM763" s="17"/>
      <c r="BN763" s="17"/>
      <c r="BO763" s="17"/>
      <c r="BP763" s="17"/>
      <c r="BQ763" s="17"/>
      <c r="BR763" s="17"/>
      <c r="BS763" s="17"/>
      <c r="BT763" s="17"/>
      <c r="BU763" s="17"/>
      <c r="BV763" s="17"/>
      <c r="BW763" s="17"/>
      <c r="BX763" s="17"/>
      <c r="BY763" s="17"/>
      <c r="BZ763" s="17"/>
      <c r="CA763" s="17"/>
      <c r="CB763" s="17"/>
      <c r="CC763" s="17"/>
      <c r="CD763" s="17"/>
      <c r="CE763" s="17"/>
      <c r="CF763" s="17"/>
      <c r="CG763" s="17"/>
      <c r="CH763" s="17"/>
    </row>
    <row r="764" spans="8:86" x14ac:dyDescent="0.15">
      <c r="H764" s="3">
        <f t="shared" si="315"/>
        <v>0.75200000000000056</v>
      </c>
      <c r="I764" s="3">
        <f t="shared" si="316"/>
        <v>360</v>
      </c>
      <c r="J764" s="14">
        <f t="shared" si="317"/>
        <v>500</v>
      </c>
      <c r="K764" s="3">
        <f t="shared" si="307"/>
        <v>0</v>
      </c>
      <c r="L764" s="3">
        <f t="shared" si="303"/>
        <v>500</v>
      </c>
      <c r="M764" s="15">
        <f t="shared" si="318"/>
        <v>7.0000000000000007E-2</v>
      </c>
      <c r="N764" s="3">
        <f t="shared" si="319"/>
        <v>47.557676911381151</v>
      </c>
      <c r="O764" s="3">
        <f t="shared" si="304"/>
        <v>47.557676911381151</v>
      </c>
      <c r="P764" s="3">
        <f t="shared" si="308"/>
        <v>51.137287001485113</v>
      </c>
      <c r="Q764" s="3">
        <f t="shared" si="309"/>
        <v>9.6795753083496017</v>
      </c>
      <c r="R764" s="3">
        <f t="shared" si="310"/>
        <v>30.408431154917359</v>
      </c>
      <c r="S764" s="3">
        <f t="shared" si="305"/>
        <v>1</v>
      </c>
      <c r="T764" s="3">
        <f t="shared" si="311"/>
        <v>20728.855846567752</v>
      </c>
      <c r="U764" s="3">
        <f t="shared" si="312"/>
        <v>0.5</v>
      </c>
      <c r="V764" s="3">
        <f t="shared" si="313"/>
        <v>0</v>
      </c>
      <c r="W764" s="3">
        <f t="shared" si="314"/>
        <v>17120.763688097213</v>
      </c>
      <c r="X764" s="3">
        <f t="shared" si="306"/>
        <v>4839.787654174801</v>
      </c>
      <c r="AI764" s="3"/>
      <c r="AJ764" s="3"/>
      <c r="AK764" s="15">
        <f t="shared" si="297"/>
        <v>3</v>
      </c>
      <c r="AL764" s="11">
        <f t="shared" si="301"/>
        <v>4530</v>
      </c>
      <c r="AM764" s="11" t="b">
        <f t="shared" si="296"/>
        <v>0</v>
      </c>
      <c r="AN764" s="11">
        <f t="shared" si="298"/>
        <v>36000</v>
      </c>
      <c r="AO764" s="11">
        <f t="shared" si="299"/>
        <v>0</v>
      </c>
      <c r="AP764" s="11">
        <f t="shared" si="300"/>
        <v>0.35808871343528481</v>
      </c>
      <c r="AQ764" s="11">
        <f t="shared" si="302"/>
        <v>0</v>
      </c>
      <c r="AT764" s="3"/>
      <c r="AU764" s="17"/>
      <c r="AV764" s="19"/>
      <c r="AW764" s="17"/>
      <c r="AX764" s="17">
        <f t="shared" si="321"/>
        <v>755</v>
      </c>
      <c r="AY764" s="17">
        <f t="shared" si="320"/>
        <v>75.5</v>
      </c>
      <c r="AZ764" s="17">
        <v>35.80887134352848</v>
      </c>
      <c r="BA764" s="17"/>
      <c r="BB764" s="17">
        <v>36</v>
      </c>
      <c r="BC764" s="17"/>
      <c r="BD764" s="17"/>
      <c r="BE764" s="17"/>
      <c r="BF764" s="17"/>
      <c r="BG764" s="17"/>
      <c r="BH764" s="17"/>
      <c r="BI764" s="17"/>
      <c r="BJ764" s="17"/>
      <c r="BK764" s="17"/>
      <c r="BL764" s="17"/>
      <c r="BM764" s="17"/>
      <c r="BN764" s="17"/>
      <c r="BO764" s="17"/>
      <c r="BP764" s="17"/>
      <c r="BQ764" s="17"/>
      <c r="BR764" s="17"/>
      <c r="BS764" s="17"/>
      <c r="BT764" s="17"/>
      <c r="BU764" s="17"/>
      <c r="BV764" s="17"/>
      <c r="BW764" s="17"/>
      <c r="BX764" s="17"/>
      <c r="BY764" s="17"/>
      <c r="BZ764" s="17"/>
      <c r="CA764" s="17"/>
      <c r="CB764" s="17"/>
      <c r="CC764" s="17"/>
      <c r="CD764" s="17"/>
      <c r="CE764" s="17"/>
      <c r="CF764" s="17"/>
      <c r="CG764" s="17"/>
      <c r="CH764" s="17"/>
    </row>
    <row r="765" spans="8:86" x14ac:dyDescent="0.15">
      <c r="H765" s="3">
        <f t="shared" si="315"/>
        <v>0.75300000000000056</v>
      </c>
      <c r="I765" s="3">
        <f t="shared" si="316"/>
        <v>360</v>
      </c>
      <c r="J765" s="14">
        <f t="shared" si="317"/>
        <v>500</v>
      </c>
      <c r="K765" s="3">
        <f t="shared" si="307"/>
        <v>0</v>
      </c>
      <c r="L765" s="3">
        <f t="shared" si="303"/>
        <v>500</v>
      </c>
      <c r="M765" s="15">
        <f t="shared" si="318"/>
        <v>7.0000000000000007E-2</v>
      </c>
      <c r="N765" s="3">
        <f t="shared" si="319"/>
        <v>47.5000967562518</v>
      </c>
      <c r="O765" s="3">
        <f t="shared" si="304"/>
        <v>47.5000967562518</v>
      </c>
      <c r="P765" s="3">
        <f t="shared" si="308"/>
        <v>51.075372856184735</v>
      </c>
      <c r="Q765" s="3">
        <f t="shared" si="309"/>
        <v>9.6381175966564658</v>
      </c>
      <c r="R765" s="3">
        <f t="shared" si="310"/>
        <v>30.3567452264206</v>
      </c>
      <c r="S765" s="3">
        <f t="shared" si="305"/>
        <v>1</v>
      </c>
      <c r="T765" s="3">
        <f t="shared" si="311"/>
        <v>20718.627629764134</v>
      </c>
      <c r="U765" s="3">
        <f t="shared" si="312"/>
        <v>0.5</v>
      </c>
      <c r="V765" s="3">
        <f t="shared" si="313"/>
        <v>0</v>
      </c>
      <c r="W765" s="3">
        <f t="shared" si="314"/>
        <v>17100.034832250647</v>
      </c>
      <c r="X765" s="3">
        <f t="shared" si="306"/>
        <v>4819.058798328233</v>
      </c>
      <c r="AI765" s="3"/>
      <c r="AJ765" s="3"/>
      <c r="AK765" s="15">
        <f t="shared" si="297"/>
        <v>3</v>
      </c>
      <c r="AL765" s="11">
        <f t="shared" si="301"/>
        <v>4536</v>
      </c>
      <c r="AM765" s="11" t="b">
        <f t="shared" si="296"/>
        <v>0</v>
      </c>
      <c r="AN765" s="11">
        <f t="shared" si="298"/>
        <v>36000</v>
      </c>
      <c r="AO765" s="11">
        <f t="shared" si="299"/>
        <v>0</v>
      </c>
      <c r="AP765" s="11">
        <f t="shared" si="300"/>
        <v>0.35919102825009963</v>
      </c>
      <c r="AQ765" s="11">
        <f t="shared" si="302"/>
        <v>0</v>
      </c>
      <c r="AT765" s="3"/>
      <c r="AU765" s="17"/>
      <c r="AV765" s="19"/>
      <c r="AW765" s="17"/>
      <c r="AX765" s="17">
        <f t="shared" si="321"/>
        <v>756</v>
      </c>
      <c r="AY765" s="17">
        <f t="shared" si="320"/>
        <v>75.599999999999994</v>
      </c>
      <c r="AZ765" s="17">
        <v>35.919102825009965</v>
      </c>
      <c r="BA765" s="17"/>
      <c r="BB765" s="17">
        <v>36</v>
      </c>
      <c r="BC765" s="17"/>
      <c r="BD765" s="17"/>
      <c r="BE765" s="17"/>
      <c r="BF765" s="17"/>
      <c r="BG765" s="17"/>
      <c r="BH765" s="17"/>
      <c r="BI765" s="17"/>
      <c r="BJ765" s="17"/>
      <c r="BK765" s="17"/>
      <c r="BL765" s="17"/>
      <c r="BM765" s="17"/>
      <c r="BN765" s="17"/>
      <c r="BO765" s="17"/>
      <c r="BP765" s="17"/>
      <c r="BQ765" s="17"/>
      <c r="BR765" s="17"/>
      <c r="BS765" s="17"/>
      <c r="BT765" s="17"/>
      <c r="BU765" s="17"/>
      <c r="BV765" s="17"/>
      <c r="BW765" s="17"/>
      <c r="BX765" s="17"/>
      <c r="BY765" s="17"/>
      <c r="BZ765" s="17"/>
      <c r="CA765" s="17"/>
      <c r="CB765" s="17"/>
      <c r="CC765" s="17"/>
      <c r="CD765" s="17"/>
      <c r="CE765" s="17"/>
      <c r="CF765" s="17"/>
      <c r="CG765" s="17"/>
      <c r="CH765" s="17"/>
    </row>
    <row r="766" spans="8:86" x14ac:dyDescent="0.15">
      <c r="H766" s="3">
        <f t="shared" si="315"/>
        <v>0.75400000000000056</v>
      </c>
      <c r="I766" s="3">
        <f t="shared" si="316"/>
        <v>360</v>
      </c>
      <c r="J766" s="14">
        <f t="shared" si="317"/>
        <v>500</v>
      </c>
      <c r="K766" s="3">
        <f t="shared" si="307"/>
        <v>0</v>
      </c>
      <c r="L766" s="3">
        <f t="shared" si="303"/>
        <v>500</v>
      </c>
      <c r="M766" s="15">
        <f t="shared" si="318"/>
        <v>7.0000000000000007E-2</v>
      </c>
      <c r="N766" s="3">
        <f t="shared" si="319"/>
        <v>47.44254501283578</v>
      </c>
      <c r="O766" s="3">
        <f t="shared" si="304"/>
        <v>47.44254501283578</v>
      </c>
      <c r="P766" s="3">
        <f t="shared" si="308"/>
        <v>51.013489261113747</v>
      </c>
      <c r="Q766" s="3">
        <f t="shared" si="309"/>
        <v>9.5966803413969366</v>
      </c>
      <c r="R766" s="3">
        <f t="shared" si="310"/>
        <v>30.30508480125534</v>
      </c>
      <c r="S766" s="3">
        <f t="shared" si="305"/>
        <v>1</v>
      </c>
      <c r="T766" s="3">
        <f t="shared" si="311"/>
        <v>20708.404459858408</v>
      </c>
      <c r="U766" s="3">
        <f t="shared" si="312"/>
        <v>0.5</v>
      </c>
      <c r="V766" s="3">
        <f t="shared" si="313"/>
        <v>0</v>
      </c>
      <c r="W766" s="3">
        <f t="shared" si="314"/>
        <v>17079.316204620882</v>
      </c>
      <c r="X766" s="3">
        <f t="shared" si="306"/>
        <v>4798.3401706984687</v>
      </c>
      <c r="AI766" s="3"/>
      <c r="AJ766" s="3"/>
      <c r="AK766" s="15">
        <f t="shared" si="297"/>
        <v>3</v>
      </c>
      <c r="AL766" s="11">
        <f t="shared" si="301"/>
        <v>4542</v>
      </c>
      <c r="AM766" s="11" t="b">
        <f t="shared" si="296"/>
        <v>0</v>
      </c>
      <c r="AN766" s="11">
        <f t="shared" si="298"/>
        <v>36000</v>
      </c>
      <c r="AO766" s="11">
        <f t="shared" si="299"/>
        <v>0</v>
      </c>
      <c r="AP766" s="11">
        <f t="shared" si="300"/>
        <v>0.3602933430649144</v>
      </c>
      <c r="AQ766" s="11">
        <f t="shared" si="302"/>
        <v>0</v>
      </c>
      <c r="AT766" s="3"/>
      <c r="AU766" s="17"/>
      <c r="AV766" s="19"/>
      <c r="AW766" s="17"/>
      <c r="AX766" s="17">
        <f t="shared" si="321"/>
        <v>757</v>
      </c>
      <c r="AY766" s="17">
        <f t="shared" si="320"/>
        <v>75.7</v>
      </c>
      <c r="AZ766" s="17">
        <v>36.029334306491442</v>
      </c>
      <c r="BA766" s="17"/>
      <c r="BB766" s="17">
        <v>36</v>
      </c>
      <c r="BC766" s="17"/>
      <c r="BD766" s="17"/>
      <c r="BE766" s="17"/>
      <c r="BF766" s="17"/>
      <c r="BG766" s="17"/>
      <c r="BH766" s="17"/>
      <c r="BI766" s="17"/>
      <c r="BJ766" s="17"/>
      <c r="BK766" s="17"/>
      <c r="BL766" s="17"/>
      <c r="BM766" s="17"/>
      <c r="BN766" s="17"/>
      <c r="BO766" s="17"/>
      <c r="BP766" s="17"/>
      <c r="BQ766" s="17"/>
      <c r="BR766" s="17"/>
      <c r="BS766" s="17"/>
      <c r="BT766" s="17"/>
      <c r="BU766" s="17"/>
      <c r="BV766" s="17"/>
      <c r="BW766" s="17"/>
      <c r="BX766" s="17"/>
      <c r="BY766" s="17"/>
      <c r="BZ766" s="17"/>
      <c r="CA766" s="17"/>
      <c r="CB766" s="17"/>
      <c r="CC766" s="17"/>
      <c r="CD766" s="17"/>
      <c r="CE766" s="17"/>
      <c r="CF766" s="17"/>
      <c r="CG766" s="17"/>
      <c r="CH766" s="17"/>
    </row>
    <row r="767" spans="8:86" x14ac:dyDescent="0.15">
      <c r="H767" s="3">
        <f t="shared" si="315"/>
        <v>0.75500000000000056</v>
      </c>
      <c r="I767" s="3">
        <f t="shared" si="316"/>
        <v>360</v>
      </c>
      <c r="J767" s="14">
        <f t="shared" si="317"/>
        <v>500</v>
      </c>
      <c r="K767" s="3">
        <f t="shared" si="307"/>
        <v>0</v>
      </c>
      <c r="L767" s="3">
        <f t="shared" si="303"/>
        <v>500</v>
      </c>
      <c r="M767" s="15">
        <f t="shared" si="318"/>
        <v>7.0000000000000007E-2</v>
      </c>
      <c r="N767" s="3">
        <f t="shared" si="319"/>
        <v>47.385021667113953</v>
      </c>
      <c r="O767" s="3">
        <f t="shared" si="304"/>
        <v>47.385021667113953</v>
      </c>
      <c r="P767" s="3">
        <f t="shared" si="308"/>
        <v>50.9516362011978</v>
      </c>
      <c r="Q767" s="3">
        <f t="shared" si="309"/>
        <v>9.5552635324772197</v>
      </c>
      <c r="R767" s="3">
        <f t="shared" si="310"/>
        <v>30.25344986683751</v>
      </c>
      <c r="S767" s="3">
        <f t="shared" si="305"/>
        <v>1</v>
      </c>
      <c r="T767" s="3">
        <f t="shared" si="311"/>
        <v>20698.186334360289</v>
      </c>
      <c r="U767" s="3">
        <f t="shared" si="312"/>
        <v>0.5</v>
      </c>
      <c r="V767" s="3">
        <f t="shared" si="313"/>
        <v>0</v>
      </c>
      <c r="W767" s="3">
        <f t="shared" si="314"/>
        <v>17058.607800161022</v>
      </c>
      <c r="X767" s="3">
        <f t="shared" si="306"/>
        <v>4777.63176623861</v>
      </c>
      <c r="AI767" s="3"/>
      <c r="AJ767" s="3"/>
      <c r="AK767" s="15">
        <f t="shared" si="297"/>
        <v>3</v>
      </c>
      <c r="AL767" s="11">
        <f t="shared" si="301"/>
        <v>4548</v>
      </c>
      <c r="AM767" s="11" t="b">
        <f t="shared" si="296"/>
        <v>0</v>
      </c>
      <c r="AN767" s="11">
        <f t="shared" si="298"/>
        <v>36000</v>
      </c>
      <c r="AO767" s="11">
        <f t="shared" si="299"/>
        <v>0</v>
      </c>
      <c r="AP767" s="11">
        <f t="shared" si="300"/>
        <v>0.36139565787972922</v>
      </c>
      <c r="AQ767" s="11">
        <f t="shared" si="302"/>
        <v>0</v>
      </c>
      <c r="AT767" s="3"/>
      <c r="AU767" s="17"/>
      <c r="AV767" s="19"/>
      <c r="AW767" s="17"/>
      <c r="AX767" s="17">
        <f t="shared" si="321"/>
        <v>758</v>
      </c>
      <c r="AY767" s="17">
        <f t="shared" si="320"/>
        <v>75.8</v>
      </c>
      <c r="AZ767" s="17">
        <v>36.13956578797292</v>
      </c>
      <c r="BA767" s="17"/>
      <c r="BB767" s="17">
        <v>36</v>
      </c>
      <c r="BC767" s="17"/>
      <c r="BD767" s="17"/>
      <c r="BE767" s="17"/>
      <c r="BF767" s="17"/>
      <c r="BG767" s="17"/>
      <c r="BH767" s="17"/>
      <c r="BI767" s="17"/>
      <c r="BJ767" s="17"/>
      <c r="BK767" s="17"/>
      <c r="BL767" s="17"/>
      <c r="BM767" s="17"/>
      <c r="BN767" s="17"/>
      <c r="BO767" s="17"/>
      <c r="BP767" s="17"/>
      <c r="BQ767" s="17"/>
      <c r="BR767" s="17"/>
      <c r="BS767" s="17"/>
      <c r="BT767" s="17"/>
      <c r="BU767" s="17"/>
      <c r="BV767" s="17"/>
      <c r="BW767" s="17"/>
      <c r="BX767" s="17"/>
      <c r="BY767" s="17"/>
      <c r="BZ767" s="17"/>
      <c r="CA767" s="17"/>
      <c r="CB767" s="17"/>
      <c r="CC767" s="17"/>
      <c r="CD767" s="17"/>
      <c r="CE767" s="17"/>
      <c r="CF767" s="17"/>
      <c r="CG767" s="17"/>
      <c r="CH767" s="17"/>
    </row>
    <row r="768" spans="8:86" x14ac:dyDescent="0.15">
      <c r="H768" s="3">
        <f t="shared" si="315"/>
        <v>0.75600000000000056</v>
      </c>
      <c r="I768" s="3">
        <f t="shared" si="316"/>
        <v>360</v>
      </c>
      <c r="J768" s="14">
        <f t="shared" si="317"/>
        <v>500</v>
      </c>
      <c r="K768" s="3">
        <f t="shared" si="307"/>
        <v>0</v>
      </c>
      <c r="L768" s="3">
        <f t="shared" si="303"/>
        <v>500</v>
      </c>
      <c r="M768" s="15">
        <f t="shared" si="318"/>
        <v>7.0000000000000007E-2</v>
      </c>
      <c r="N768" s="3">
        <f t="shared" si="319"/>
        <v>47.327526705074057</v>
      </c>
      <c r="O768" s="3">
        <f t="shared" si="304"/>
        <v>47.327526705074057</v>
      </c>
      <c r="P768" s="3">
        <f t="shared" si="308"/>
        <v>50.889813661369956</v>
      </c>
      <c r="Q768" s="3">
        <f t="shared" si="309"/>
        <v>9.5138671598085001</v>
      </c>
      <c r="R768" s="3">
        <f t="shared" si="310"/>
        <v>30.201840410589227</v>
      </c>
      <c r="S768" s="3">
        <f t="shared" si="305"/>
        <v>1</v>
      </c>
      <c r="T768" s="3">
        <f t="shared" si="311"/>
        <v>20687.973250780728</v>
      </c>
      <c r="U768" s="3">
        <f t="shared" si="312"/>
        <v>0.5</v>
      </c>
      <c r="V768" s="3">
        <f t="shared" si="313"/>
        <v>0</v>
      </c>
      <c r="W768" s="3">
        <f t="shared" si="314"/>
        <v>17037.909613826661</v>
      </c>
      <c r="X768" s="3">
        <f t="shared" si="306"/>
        <v>4756.9335799042501</v>
      </c>
      <c r="AI768" s="3"/>
      <c r="AJ768" s="3"/>
      <c r="AK768" s="15">
        <f t="shared" si="297"/>
        <v>3</v>
      </c>
      <c r="AL768" s="11">
        <f t="shared" si="301"/>
        <v>4554</v>
      </c>
      <c r="AM768" s="11" t="b">
        <f t="shared" si="296"/>
        <v>0</v>
      </c>
      <c r="AN768" s="11">
        <f t="shared" si="298"/>
        <v>36000</v>
      </c>
      <c r="AO768" s="11">
        <f t="shared" si="299"/>
        <v>0</v>
      </c>
      <c r="AP768" s="11">
        <f t="shared" si="300"/>
        <v>0.36249797269454398</v>
      </c>
      <c r="AQ768" s="11">
        <f t="shared" si="302"/>
        <v>0</v>
      </c>
      <c r="AT768" s="3"/>
      <c r="AU768" s="17"/>
      <c r="AV768" s="19"/>
      <c r="AW768" s="17"/>
      <c r="AX768" s="17">
        <f t="shared" si="321"/>
        <v>759</v>
      </c>
      <c r="AY768" s="17">
        <f t="shared" si="320"/>
        <v>75.900000000000006</v>
      </c>
      <c r="AZ768" s="17">
        <v>36.249797269454398</v>
      </c>
      <c r="BA768" s="17"/>
      <c r="BB768" s="17">
        <v>36</v>
      </c>
      <c r="BC768" s="17"/>
      <c r="BD768" s="17"/>
      <c r="BE768" s="17"/>
      <c r="BF768" s="17"/>
      <c r="BG768" s="17"/>
      <c r="BH768" s="17"/>
      <c r="BI768" s="17"/>
      <c r="BJ768" s="17"/>
      <c r="BK768" s="17"/>
      <c r="BL768" s="17"/>
      <c r="BM768" s="17"/>
      <c r="BN768" s="17"/>
      <c r="BO768" s="17"/>
      <c r="BP768" s="17"/>
      <c r="BQ768" s="17"/>
      <c r="BR768" s="17"/>
      <c r="BS768" s="17"/>
      <c r="BT768" s="17"/>
      <c r="BU768" s="17"/>
      <c r="BV768" s="17"/>
      <c r="BW768" s="17"/>
      <c r="BX768" s="17"/>
      <c r="BY768" s="17"/>
      <c r="BZ768" s="17"/>
      <c r="CA768" s="17"/>
      <c r="CB768" s="17"/>
      <c r="CC768" s="17"/>
      <c r="CD768" s="17"/>
      <c r="CE768" s="17"/>
      <c r="CF768" s="17"/>
      <c r="CG768" s="17"/>
      <c r="CH768" s="17"/>
    </row>
    <row r="769" spans="8:86" x14ac:dyDescent="0.15">
      <c r="H769" s="3">
        <f t="shared" si="315"/>
        <v>0.75700000000000056</v>
      </c>
      <c r="I769" s="3">
        <f t="shared" si="316"/>
        <v>360</v>
      </c>
      <c r="J769" s="14">
        <f t="shared" si="317"/>
        <v>500</v>
      </c>
      <c r="K769" s="3">
        <f t="shared" si="307"/>
        <v>0</v>
      </c>
      <c r="L769" s="3">
        <f t="shared" si="303"/>
        <v>500</v>
      </c>
      <c r="M769" s="15">
        <f t="shared" si="318"/>
        <v>7.0000000000000007E-2</v>
      </c>
      <c r="N769" s="3">
        <f t="shared" si="319"/>
        <v>47.27006011271078</v>
      </c>
      <c r="O769" s="3">
        <f t="shared" si="304"/>
        <v>47.27006011271078</v>
      </c>
      <c r="P769" s="3">
        <f t="shared" si="308"/>
        <v>50.828021626570738</v>
      </c>
      <c r="Q769" s="3">
        <f t="shared" si="309"/>
        <v>9.4724912133069399</v>
      </c>
      <c r="R769" s="3">
        <f t="shared" si="310"/>
        <v>30.150256419938838</v>
      </c>
      <c r="S769" s="3">
        <f t="shared" si="305"/>
        <v>1</v>
      </c>
      <c r="T769" s="3">
        <f t="shared" si="311"/>
        <v>20677.765206631899</v>
      </c>
      <c r="U769" s="3">
        <f t="shared" si="312"/>
        <v>0.5</v>
      </c>
      <c r="V769" s="3">
        <f t="shared" si="313"/>
        <v>0</v>
      </c>
      <c r="W769" s="3">
        <f t="shared" si="314"/>
        <v>17017.221640575881</v>
      </c>
      <c r="X769" s="3">
        <f t="shared" si="306"/>
        <v>4736.2456066534696</v>
      </c>
      <c r="AI769" s="3"/>
      <c r="AJ769" s="3"/>
      <c r="AK769" s="15">
        <f t="shared" si="297"/>
        <v>3</v>
      </c>
      <c r="AL769" s="11">
        <f t="shared" si="301"/>
        <v>4560</v>
      </c>
      <c r="AM769" s="11" t="b">
        <f t="shared" si="296"/>
        <v>0</v>
      </c>
      <c r="AN769" s="11">
        <f t="shared" si="298"/>
        <v>36000</v>
      </c>
      <c r="AO769" s="11">
        <f t="shared" si="299"/>
        <v>0</v>
      </c>
      <c r="AP769" s="11">
        <f t="shared" si="300"/>
        <v>0.3636002875093588</v>
      </c>
      <c r="AQ769" s="11">
        <f t="shared" si="302"/>
        <v>0</v>
      </c>
      <c r="AT769" s="3"/>
      <c r="AU769" s="17"/>
      <c r="AV769" s="19"/>
      <c r="AW769" s="17"/>
      <c r="AX769" s="17">
        <f t="shared" si="321"/>
        <v>760</v>
      </c>
      <c r="AY769" s="17">
        <f t="shared" si="320"/>
        <v>76</v>
      </c>
      <c r="AZ769" s="17">
        <v>36.360028750935882</v>
      </c>
      <c r="BA769" s="17"/>
      <c r="BB769" s="17">
        <v>36</v>
      </c>
      <c r="BC769" s="17"/>
      <c r="BD769" s="17"/>
      <c r="BE769" s="17"/>
      <c r="BF769" s="17"/>
      <c r="BG769" s="17"/>
      <c r="BH769" s="17"/>
      <c r="BI769" s="17"/>
      <c r="BJ769" s="17"/>
      <c r="BK769" s="17"/>
      <c r="BL769" s="17"/>
      <c r="BM769" s="17"/>
      <c r="BN769" s="17"/>
      <c r="BO769" s="17"/>
      <c r="BP769" s="17"/>
      <c r="BQ769" s="17"/>
      <c r="BR769" s="17"/>
      <c r="BS769" s="17"/>
      <c r="BT769" s="17"/>
      <c r="BU769" s="17"/>
      <c r="BV769" s="17"/>
      <c r="BW769" s="17"/>
      <c r="BX769" s="17"/>
      <c r="BY769" s="17"/>
      <c r="BZ769" s="17"/>
      <c r="CA769" s="17"/>
      <c r="CB769" s="17"/>
      <c r="CC769" s="17"/>
      <c r="CD769" s="17"/>
      <c r="CE769" s="17"/>
      <c r="CF769" s="17"/>
      <c r="CG769" s="17"/>
      <c r="CH769" s="17"/>
    </row>
    <row r="770" spans="8:86" x14ac:dyDescent="0.15">
      <c r="H770" s="3">
        <f t="shared" si="315"/>
        <v>0.75800000000000056</v>
      </c>
      <c r="I770" s="3">
        <f t="shared" si="316"/>
        <v>360</v>
      </c>
      <c r="J770" s="14">
        <f t="shared" si="317"/>
        <v>500</v>
      </c>
      <c r="K770" s="3">
        <f t="shared" si="307"/>
        <v>0</v>
      </c>
      <c r="L770" s="3">
        <f t="shared" si="303"/>
        <v>500</v>
      </c>
      <c r="M770" s="15">
        <f t="shared" si="318"/>
        <v>7.0000000000000007E-2</v>
      </c>
      <c r="N770" s="3">
        <f t="shared" si="319"/>
        <v>47.212621876025693</v>
      </c>
      <c r="O770" s="3">
        <f t="shared" si="304"/>
        <v>47.212621876025693</v>
      </c>
      <c r="P770" s="3">
        <f t="shared" si="308"/>
        <v>50.766260081748058</v>
      </c>
      <c r="Q770" s="3">
        <f t="shared" si="309"/>
        <v>9.4311356828936752</v>
      </c>
      <c r="R770" s="3">
        <f t="shared" si="310"/>
        <v>30.098697882320867</v>
      </c>
      <c r="S770" s="3">
        <f t="shared" si="305"/>
        <v>1</v>
      </c>
      <c r="T770" s="3">
        <f t="shared" si="311"/>
        <v>20667.56219942719</v>
      </c>
      <c r="U770" s="3">
        <f t="shared" si="312"/>
        <v>0.5</v>
      </c>
      <c r="V770" s="3">
        <f t="shared" si="313"/>
        <v>0</v>
      </c>
      <c r="W770" s="3">
        <f t="shared" si="314"/>
        <v>16996.543875369251</v>
      </c>
      <c r="X770" s="3">
        <f t="shared" si="306"/>
        <v>4715.5678414468375</v>
      </c>
      <c r="AI770" s="3"/>
      <c r="AJ770" s="3"/>
      <c r="AK770" s="15">
        <f t="shared" si="297"/>
        <v>3</v>
      </c>
      <c r="AL770" s="11">
        <f t="shared" si="301"/>
        <v>4566</v>
      </c>
      <c r="AM770" s="11" t="b">
        <f t="shared" si="296"/>
        <v>0</v>
      </c>
      <c r="AN770" s="11">
        <f t="shared" si="298"/>
        <v>36000</v>
      </c>
      <c r="AO770" s="11">
        <f t="shared" si="299"/>
        <v>0</v>
      </c>
      <c r="AP770" s="11">
        <f t="shared" si="300"/>
        <v>0.36470260232417356</v>
      </c>
      <c r="AQ770" s="11">
        <f t="shared" si="302"/>
        <v>0</v>
      </c>
      <c r="AT770" s="3"/>
      <c r="AU770" s="17"/>
      <c r="AV770" s="19"/>
      <c r="AW770" s="17"/>
      <c r="AX770" s="17">
        <f t="shared" si="321"/>
        <v>761</v>
      </c>
      <c r="AY770" s="17">
        <f t="shared" si="320"/>
        <v>76.099999999999994</v>
      </c>
      <c r="AZ770" s="17">
        <v>36.47026023241736</v>
      </c>
      <c r="BA770" s="17"/>
      <c r="BB770" s="17">
        <v>36</v>
      </c>
      <c r="BC770" s="17"/>
      <c r="BD770" s="17"/>
      <c r="BE770" s="17"/>
      <c r="BF770" s="17"/>
      <c r="BG770" s="17"/>
      <c r="BH770" s="17"/>
      <c r="BI770" s="17"/>
      <c r="BJ770" s="17"/>
      <c r="BK770" s="17"/>
      <c r="BL770" s="17"/>
      <c r="BM770" s="17"/>
      <c r="BN770" s="17"/>
      <c r="BO770" s="17"/>
      <c r="BP770" s="17"/>
      <c r="BQ770" s="17"/>
      <c r="BR770" s="17"/>
      <c r="BS770" s="17"/>
      <c r="BT770" s="17"/>
      <c r="BU770" s="17"/>
      <c r="BV770" s="17"/>
      <c r="BW770" s="17"/>
      <c r="BX770" s="17"/>
      <c r="BY770" s="17"/>
      <c r="BZ770" s="17"/>
      <c r="CA770" s="17"/>
      <c r="CB770" s="17"/>
      <c r="CC770" s="17"/>
      <c r="CD770" s="17"/>
      <c r="CE770" s="17"/>
      <c r="CF770" s="17"/>
      <c r="CG770" s="17"/>
      <c r="CH770" s="17"/>
    </row>
    <row r="771" spans="8:86" x14ac:dyDescent="0.15">
      <c r="H771" s="3">
        <f t="shared" si="315"/>
        <v>0.75900000000000056</v>
      </c>
      <c r="I771" s="3">
        <f t="shared" si="316"/>
        <v>360</v>
      </c>
      <c r="J771" s="14">
        <f t="shared" si="317"/>
        <v>500</v>
      </c>
      <c r="K771" s="3">
        <f t="shared" si="307"/>
        <v>0</v>
      </c>
      <c r="L771" s="3">
        <f t="shared" si="303"/>
        <v>500</v>
      </c>
      <c r="M771" s="15">
        <f t="shared" si="318"/>
        <v>7.0000000000000007E-2</v>
      </c>
      <c r="N771" s="3">
        <f t="shared" si="319"/>
        <v>47.155211981027293</v>
      </c>
      <c r="O771" s="3">
        <f t="shared" si="304"/>
        <v>47.155211981027293</v>
      </c>
      <c r="P771" s="3">
        <f t="shared" si="308"/>
        <v>50.704529011857311</v>
      </c>
      <c r="Q771" s="3">
        <f t="shared" si="309"/>
        <v>9.3898005584948212</v>
      </c>
      <c r="R771" s="3">
        <f t="shared" si="310"/>
        <v>30.047164785176065</v>
      </c>
      <c r="S771" s="3">
        <f t="shared" si="305"/>
        <v>1</v>
      </c>
      <c r="T771" s="3">
        <f t="shared" si="311"/>
        <v>20657.364226681246</v>
      </c>
      <c r="U771" s="3">
        <f t="shared" si="312"/>
        <v>0.5</v>
      </c>
      <c r="V771" s="3">
        <f t="shared" si="313"/>
        <v>0</v>
      </c>
      <c r="W771" s="3">
        <f t="shared" si="314"/>
        <v>16975.876313169825</v>
      </c>
      <c r="X771" s="3">
        <f t="shared" si="306"/>
        <v>4694.9002792474103</v>
      </c>
      <c r="AI771" s="3"/>
      <c r="AJ771" s="3"/>
      <c r="AK771" s="15">
        <f t="shared" si="297"/>
        <v>3</v>
      </c>
      <c r="AL771" s="11">
        <f t="shared" si="301"/>
        <v>4572</v>
      </c>
      <c r="AM771" s="11" t="b">
        <f t="shared" si="296"/>
        <v>0</v>
      </c>
      <c r="AN771" s="11">
        <f t="shared" si="298"/>
        <v>36000</v>
      </c>
      <c r="AO771" s="11">
        <f t="shared" si="299"/>
        <v>0</v>
      </c>
      <c r="AP771" s="11">
        <f t="shared" si="300"/>
        <v>0.36580491713898838</v>
      </c>
      <c r="AQ771" s="11">
        <f t="shared" si="302"/>
        <v>0</v>
      </c>
      <c r="AT771" s="3"/>
      <c r="AU771" s="17"/>
      <c r="AV771" s="19"/>
      <c r="AW771" s="17"/>
      <c r="AX771" s="17">
        <f t="shared" si="321"/>
        <v>762</v>
      </c>
      <c r="AY771" s="17">
        <f t="shared" si="320"/>
        <v>76.2</v>
      </c>
      <c r="AZ771" s="17">
        <v>36.580491713898837</v>
      </c>
      <c r="BA771" s="17"/>
      <c r="BB771" s="17">
        <v>36</v>
      </c>
      <c r="BC771" s="17"/>
      <c r="BD771" s="17"/>
      <c r="BE771" s="17"/>
      <c r="BF771" s="17"/>
      <c r="BG771" s="17"/>
      <c r="BH771" s="17"/>
      <c r="BI771" s="17"/>
      <c r="BJ771" s="17"/>
      <c r="BK771" s="17"/>
      <c r="BL771" s="17"/>
      <c r="BM771" s="17"/>
      <c r="BN771" s="17"/>
      <c r="BO771" s="17"/>
      <c r="BP771" s="17"/>
      <c r="BQ771" s="17"/>
      <c r="BR771" s="17"/>
      <c r="BS771" s="17"/>
      <c r="BT771" s="17"/>
      <c r="BU771" s="17"/>
      <c r="BV771" s="17"/>
      <c r="BW771" s="17"/>
      <c r="BX771" s="17"/>
      <c r="BY771" s="17"/>
      <c r="BZ771" s="17"/>
      <c r="CA771" s="17"/>
      <c r="CB771" s="17"/>
      <c r="CC771" s="17"/>
      <c r="CD771" s="17"/>
      <c r="CE771" s="17"/>
      <c r="CF771" s="17"/>
      <c r="CG771" s="17"/>
      <c r="CH771" s="17"/>
    </row>
    <row r="772" spans="8:86" x14ac:dyDescent="0.15">
      <c r="H772" s="3">
        <f t="shared" si="315"/>
        <v>0.76000000000000056</v>
      </c>
      <c r="I772" s="3">
        <f t="shared" si="316"/>
        <v>360</v>
      </c>
      <c r="J772" s="14">
        <f t="shared" si="317"/>
        <v>500</v>
      </c>
      <c r="K772" s="3">
        <f t="shared" si="307"/>
        <v>0</v>
      </c>
      <c r="L772" s="3">
        <f t="shared" si="303"/>
        <v>500</v>
      </c>
      <c r="M772" s="15">
        <f t="shared" si="318"/>
        <v>7.0000000000000007E-2</v>
      </c>
      <c r="N772" s="3">
        <f t="shared" si="319"/>
        <v>47.097830413730954</v>
      </c>
      <c r="O772" s="3">
        <f t="shared" si="304"/>
        <v>47.097830413730954</v>
      </c>
      <c r="P772" s="3">
        <f t="shared" si="308"/>
        <v>50.642828401861244</v>
      </c>
      <c r="Q772" s="3">
        <f t="shared" si="309"/>
        <v>9.3484858300414579</v>
      </c>
      <c r="R772" s="3">
        <f t="shared" si="310"/>
        <v>29.995657115951353</v>
      </c>
      <c r="S772" s="3">
        <f t="shared" si="305"/>
        <v>1</v>
      </c>
      <c r="T772" s="3">
        <f t="shared" si="311"/>
        <v>20647.171285909892</v>
      </c>
      <c r="U772" s="3">
        <f t="shared" si="312"/>
        <v>0.5</v>
      </c>
      <c r="V772" s="3">
        <f t="shared" si="313"/>
        <v>0</v>
      </c>
      <c r="W772" s="3">
        <f t="shared" si="314"/>
        <v>16955.218948943144</v>
      </c>
      <c r="X772" s="3">
        <f t="shared" si="306"/>
        <v>4674.242915020729</v>
      </c>
      <c r="AI772" s="3"/>
      <c r="AJ772" s="3"/>
      <c r="AK772" s="15">
        <f t="shared" si="297"/>
        <v>3</v>
      </c>
      <c r="AL772" s="11">
        <f t="shared" si="301"/>
        <v>4578</v>
      </c>
      <c r="AM772" s="11" t="b">
        <f t="shared" si="296"/>
        <v>0</v>
      </c>
      <c r="AN772" s="11">
        <f t="shared" si="298"/>
        <v>36000</v>
      </c>
      <c r="AO772" s="11">
        <f t="shared" si="299"/>
        <v>0</v>
      </c>
      <c r="AP772" s="11">
        <f t="shared" si="300"/>
        <v>0.3669072319538032</v>
      </c>
      <c r="AQ772" s="11">
        <f t="shared" si="302"/>
        <v>0</v>
      </c>
      <c r="AT772" s="3"/>
      <c r="AU772" s="17"/>
      <c r="AV772" s="19"/>
      <c r="AW772" s="17"/>
      <c r="AX772" s="17">
        <f t="shared" si="321"/>
        <v>763</v>
      </c>
      <c r="AY772" s="17">
        <f t="shared" si="320"/>
        <v>76.3</v>
      </c>
      <c r="AZ772" s="17">
        <v>36.690723195380322</v>
      </c>
      <c r="BA772" s="17"/>
      <c r="BB772" s="17">
        <v>36</v>
      </c>
      <c r="BC772" s="17"/>
      <c r="BD772" s="17"/>
      <c r="BE772" s="17"/>
      <c r="BF772" s="17"/>
      <c r="BG772" s="17"/>
      <c r="BH772" s="17"/>
      <c r="BI772" s="17"/>
      <c r="BJ772" s="17"/>
      <c r="BK772" s="17"/>
      <c r="BL772" s="17"/>
      <c r="BM772" s="17"/>
      <c r="BN772" s="17"/>
      <c r="BO772" s="17"/>
      <c r="BP772" s="17"/>
      <c r="BQ772" s="17"/>
      <c r="BR772" s="17"/>
      <c r="BS772" s="17"/>
      <c r="BT772" s="17"/>
      <c r="BU772" s="17"/>
      <c r="BV772" s="17"/>
      <c r="BW772" s="17"/>
      <c r="BX772" s="17"/>
      <c r="BY772" s="17"/>
      <c r="BZ772" s="17"/>
      <c r="CA772" s="17"/>
      <c r="CB772" s="17"/>
      <c r="CC772" s="17"/>
      <c r="CD772" s="17"/>
      <c r="CE772" s="17"/>
      <c r="CF772" s="17"/>
      <c r="CG772" s="17"/>
      <c r="CH772" s="17"/>
    </row>
    <row r="773" spans="8:86" x14ac:dyDescent="0.15">
      <c r="H773" s="3">
        <f t="shared" si="315"/>
        <v>0.76100000000000056</v>
      </c>
      <c r="I773" s="3">
        <f t="shared" si="316"/>
        <v>360</v>
      </c>
      <c r="J773" s="14">
        <f t="shared" si="317"/>
        <v>500</v>
      </c>
      <c r="K773" s="3">
        <f t="shared" si="307"/>
        <v>0</v>
      </c>
      <c r="L773" s="3">
        <f t="shared" si="303"/>
        <v>500</v>
      </c>
      <c r="M773" s="15">
        <f t="shared" si="318"/>
        <v>7.0000000000000007E-2</v>
      </c>
      <c r="N773" s="3">
        <f t="shared" si="319"/>
        <v>47.040477160158986</v>
      </c>
      <c r="O773" s="3">
        <f t="shared" si="304"/>
        <v>47.040477160158986</v>
      </c>
      <c r="P773" s="3">
        <f t="shared" si="308"/>
        <v>50.581158236730097</v>
      </c>
      <c r="Q773" s="3">
        <f t="shared" si="309"/>
        <v>9.3071914874696375</v>
      </c>
      <c r="R773" s="3">
        <f t="shared" si="310"/>
        <v>29.944174862099867</v>
      </c>
      <c r="S773" s="3">
        <f t="shared" si="305"/>
        <v>1</v>
      </c>
      <c r="T773" s="3">
        <f t="shared" si="311"/>
        <v>20636.983374630228</v>
      </c>
      <c r="U773" s="3">
        <f t="shared" si="312"/>
        <v>0.5</v>
      </c>
      <c r="V773" s="3">
        <f t="shared" si="313"/>
        <v>0</v>
      </c>
      <c r="W773" s="3">
        <f t="shared" si="314"/>
        <v>16934.571777657235</v>
      </c>
      <c r="X773" s="3">
        <f t="shared" si="306"/>
        <v>4653.5957437348188</v>
      </c>
      <c r="AI773" s="3"/>
      <c r="AJ773" s="3"/>
      <c r="AK773" s="15">
        <f t="shared" si="297"/>
        <v>3</v>
      </c>
      <c r="AL773" s="11">
        <f t="shared" si="301"/>
        <v>4584</v>
      </c>
      <c r="AM773" s="11" t="b">
        <f t="shared" si="296"/>
        <v>0</v>
      </c>
      <c r="AN773" s="11">
        <f t="shared" si="298"/>
        <v>36000</v>
      </c>
      <c r="AO773" s="11">
        <f t="shared" si="299"/>
        <v>0</v>
      </c>
      <c r="AP773" s="11">
        <f t="shared" si="300"/>
        <v>0.36800954676861797</v>
      </c>
      <c r="AQ773" s="11">
        <f t="shared" si="302"/>
        <v>0</v>
      </c>
      <c r="AT773" s="3"/>
      <c r="AU773" s="17"/>
      <c r="AV773" s="19"/>
      <c r="AW773" s="17"/>
      <c r="AX773" s="17">
        <f t="shared" si="321"/>
        <v>764</v>
      </c>
      <c r="AY773" s="17">
        <f t="shared" si="320"/>
        <v>76.400000000000006</v>
      </c>
      <c r="AZ773" s="17">
        <v>36.800954676861799</v>
      </c>
      <c r="BA773" s="17"/>
      <c r="BB773" s="17">
        <v>36</v>
      </c>
      <c r="BC773" s="17"/>
      <c r="BD773" s="17"/>
      <c r="BE773" s="17"/>
      <c r="BF773" s="17"/>
      <c r="BG773" s="17"/>
      <c r="BH773" s="17"/>
      <c r="BI773" s="17"/>
      <c r="BJ773" s="17"/>
      <c r="BK773" s="17"/>
      <c r="BL773" s="17"/>
      <c r="BM773" s="17"/>
      <c r="BN773" s="17"/>
      <c r="BO773" s="17"/>
      <c r="BP773" s="17"/>
      <c r="BQ773" s="17"/>
      <c r="BR773" s="17"/>
      <c r="BS773" s="17"/>
      <c r="BT773" s="17"/>
      <c r="BU773" s="17"/>
      <c r="BV773" s="17"/>
      <c r="BW773" s="17"/>
      <c r="BX773" s="17"/>
      <c r="BY773" s="17"/>
      <c r="BZ773" s="17"/>
      <c r="CA773" s="17"/>
      <c r="CB773" s="17"/>
      <c r="CC773" s="17"/>
      <c r="CD773" s="17"/>
      <c r="CE773" s="17"/>
      <c r="CF773" s="17"/>
      <c r="CG773" s="17"/>
      <c r="CH773" s="17"/>
    </row>
    <row r="774" spans="8:86" x14ac:dyDescent="0.15">
      <c r="H774" s="3">
        <f t="shared" si="315"/>
        <v>0.76200000000000057</v>
      </c>
      <c r="I774" s="3">
        <f t="shared" si="316"/>
        <v>360</v>
      </c>
      <c r="J774" s="14">
        <f t="shared" si="317"/>
        <v>500</v>
      </c>
      <c r="K774" s="3">
        <f t="shared" si="307"/>
        <v>0</v>
      </c>
      <c r="L774" s="3">
        <f t="shared" si="303"/>
        <v>500</v>
      </c>
      <c r="M774" s="15">
        <f t="shared" si="318"/>
        <v>7.0000000000000007E-2</v>
      </c>
      <c r="N774" s="3">
        <f t="shared" si="319"/>
        <v>46.98315220634057</v>
      </c>
      <c r="O774" s="3">
        <f t="shared" si="304"/>
        <v>46.98315220634057</v>
      </c>
      <c r="P774" s="3">
        <f t="shared" si="308"/>
        <v>50.519518501441475</v>
      </c>
      <c r="Q774" s="3">
        <f t="shared" si="309"/>
        <v>9.265917520720377</v>
      </c>
      <c r="R774" s="3">
        <f t="shared" si="310"/>
        <v>29.892718011080927</v>
      </c>
      <c r="S774" s="3">
        <f t="shared" si="305"/>
        <v>1</v>
      </c>
      <c r="T774" s="3">
        <f t="shared" si="311"/>
        <v>20626.800490360547</v>
      </c>
      <c r="U774" s="3">
        <f t="shared" si="312"/>
        <v>0.5</v>
      </c>
      <c r="V774" s="3">
        <f t="shared" si="313"/>
        <v>0</v>
      </c>
      <c r="W774" s="3">
        <f t="shared" si="314"/>
        <v>16913.934794282606</v>
      </c>
      <c r="X774" s="3">
        <f t="shared" si="306"/>
        <v>4632.9587603601885</v>
      </c>
      <c r="AI774" s="3"/>
      <c r="AJ774" s="3"/>
      <c r="AK774" s="15">
        <f t="shared" si="297"/>
        <v>3</v>
      </c>
      <c r="AL774" s="11">
        <f t="shared" si="301"/>
        <v>4590</v>
      </c>
      <c r="AM774" s="11" t="b">
        <f t="shared" si="296"/>
        <v>0</v>
      </c>
      <c r="AN774" s="11">
        <f t="shared" si="298"/>
        <v>36000</v>
      </c>
      <c r="AO774" s="11">
        <f t="shared" si="299"/>
        <v>0</v>
      </c>
      <c r="AP774" s="11">
        <f t="shared" si="300"/>
        <v>0.36911186158343279</v>
      </c>
      <c r="AQ774" s="11">
        <f t="shared" si="302"/>
        <v>0</v>
      </c>
      <c r="AT774" s="3"/>
      <c r="AU774" s="17"/>
      <c r="AV774" s="19"/>
      <c r="AW774" s="17"/>
      <c r="AX774" s="17">
        <f t="shared" si="321"/>
        <v>765</v>
      </c>
      <c r="AY774" s="17">
        <f t="shared" si="320"/>
        <v>76.5</v>
      </c>
      <c r="AZ774" s="17">
        <v>36.911186158343277</v>
      </c>
      <c r="BA774" s="17"/>
      <c r="BB774" s="17">
        <v>36</v>
      </c>
      <c r="BC774" s="17"/>
      <c r="BD774" s="17"/>
      <c r="BE774" s="17"/>
      <c r="BF774" s="17"/>
      <c r="BG774" s="17"/>
      <c r="BH774" s="17"/>
      <c r="BI774" s="17"/>
      <c r="BJ774" s="17"/>
      <c r="BK774" s="17"/>
      <c r="BL774" s="17"/>
      <c r="BM774" s="17"/>
      <c r="BN774" s="17"/>
      <c r="BO774" s="17"/>
      <c r="BP774" s="17"/>
      <c r="BQ774" s="17"/>
      <c r="BR774" s="17"/>
      <c r="BS774" s="17"/>
      <c r="BT774" s="17"/>
      <c r="BU774" s="17"/>
      <c r="BV774" s="17"/>
      <c r="BW774" s="17"/>
      <c r="BX774" s="17"/>
      <c r="BY774" s="17"/>
      <c r="BZ774" s="17"/>
      <c r="CA774" s="17"/>
      <c r="CB774" s="17"/>
      <c r="CC774" s="17"/>
      <c r="CD774" s="17"/>
      <c r="CE774" s="17"/>
      <c r="CF774" s="17"/>
      <c r="CG774" s="17"/>
      <c r="CH774" s="17"/>
    </row>
    <row r="775" spans="8:86" x14ac:dyDescent="0.15">
      <c r="H775" s="3">
        <f t="shared" si="315"/>
        <v>0.76300000000000057</v>
      </c>
      <c r="I775" s="3">
        <f t="shared" si="316"/>
        <v>360</v>
      </c>
      <c r="J775" s="14">
        <f t="shared" si="317"/>
        <v>500</v>
      </c>
      <c r="K775" s="3">
        <f t="shared" si="307"/>
        <v>0</v>
      </c>
      <c r="L775" s="3">
        <f t="shared" si="303"/>
        <v>500</v>
      </c>
      <c r="M775" s="15">
        <f t="shared" si="318"/>
        <v>7.0000000000000007E-2</v>
      </c>
      <c r="N775" s="3">
        <f t="shared" si="319"/>
        <v>46.925855538311794</v>
      </c>
      <c r="O775" s="3">
        <f t="shared" si="304"/>
        <v>46.925855538311794</v>
      </c>
      <c r="P775" s="3">
        <f t="shared" si="308"/>
        <v>50.45790918098043</v>
      </c>
      <c r="Q775" s="3">
        <f t="shared" si="309"/>
        <v>9.2246639197396565</v>
      </c>
      <c r="R775" s="3">
        <f t="shared" si="310"/>
        <v>29.841286550360042</v>
      </c>
      <c r="S775" s="3">
        <f t="shared" si="305"/>
        <v>1</v>
      </c>
      <c r="T775" s="3">
        <f t="shared" si="311"/>
        <v>20616.622630620386</v>
      </c>
      <c r="U775" s="3">
        <f t="shared" si="312"/>
        <v>0.5</v>
      </c>
      <c r="V775" s="3">
        <f t="shared" si="313"/>
        <v>0</v>
      </c>
      <c r="W775" s="3">
        <f t="shared" si="314"/>
        <v>16893.307993792245</v>
      </c>
      <c r="X775" s="3">
        <f t="shared" si="306"/>
        <v>4612.3319598698281</v>
      </c>
      <c r="AI775" s="3"/>
      <c r="AJ775" s="3"/>
      <c r="AK775" s="15">
        <f t="shared" si="297"/>
        <v>3</v>
      </c>
      <c r="AL775" s="11">
        <f t="shared" si="301"/>
        <v>4596</v>
      </c>
      <c r="AM775" s="11" t="b">
        <f t="shared" si="296"/>
        <v>0</v>
      </c>
      <c r="AN775" s="11">
        <f t="shared" si="298"/>
        <v>36000</v>
      </c>
      <c r="AO775" s="11">
        <f t="shared" si="299"/>
        <v>0</v>
      </c>
      <c r="AP775" s="11">
        <f t="shared" si="300"/>
        <v>0.37021417639824755</v>
      </c>
      <c r="AQ775" s="11">
        <f t="shared" si="302"/>
        <v>0</v>
      </c>
      <c r="AT775" s="3"/>
      <c r="AU775" s="17"/>
      <c r="AV775" s="19"/>
      <c r="AW775" s="17"/>
      <c r="AX775" s="17">
        <f t="shared" si="321"/>
        <v>766</v>
      </c>
      <c r="AY775" s="17">
        <f t="shared" si="320"/>
        <v>76.599999999999994</v>
      </c>
      <c r="AZ775" s="17">
        <v>37.021417639824755</v>
      </c>
      <c r="BA775" s="17"/>
      <c r="BB775" s="17">
        <v>36</v>
      </c>
      <c r="BC775" s="17"/>
      <c r="BD775" s="17"/>
      <c r="BE775" s="17"/>
      <c r="BF775" s="17"/>
      <c r="BG775" s="17"/>
      <c r="BH775" s="17"/>
      <c r="BI775" s="17"/>
      <c r="BJ775" s="17"/>
      <c r="BK775" s="17"/>
      <c r="BL775" s="17"/>
      <c r="BM775" s="17"/>
      <c r="BN775" s="17"/>
      <c r="BO775" s="17"/>
      <c r="BP775" s="17"/>
      <c r="BQ775" s="17"/>
      <c r="BR775" s="17"/>
      <c r="BS775" s="17"/>
      <c r="BT775" s="17"/>
      <c r="BU775" s="17"/>
      <c r="BV775" s="17"/>
      <c r="BW775" s="17"/>
      <c r="BX775" s="17"/>
      <c r="BY775" s="17"/>
      <c r="BZ775" s="17"/>
      <c r="CA775" s="17"/>
      <c r="CB775" s="17"/>
      <c r="CC775" s="17"/>
      <c r="CD775" s="17"/>
      <c r="CE775" s="17"/>
      <c r="CF775" s="17"/>
      <c r="CG775" s="17"/>
      <c r="CH775" s="17"/>
    </row>
    <row r="776" spans="8:86" x14ac:dyDescent="0.15">
      <c r="H776" s="3">
        <f t="shared" si="315"/>
        <v>0.76400000000000057</v>
      </c>
      <c r="I776" s="3">
        <f t="shared" si="316"/>
        <v>360</v>
      </c>
      <c r="J776" s="14">
        <f t="shared" si="317"/>
        <v>500</v>
      </c>
      <c r="K776" s="3">
        <f t="shared" si="307"/>
        <v>0</v>
      </c>
      <c r="L776" s="3">
        <f t="shared" si="303"/>
        <v>500</v>
      </c>
      <c r="M776" s="15">
        <f t="shared" si="318"/>
        <v>7.0000000000000007E-2</v>
      </c>
      <c r="N776" s="3">
        <f t="shared" si="319"/>
        <v>46.868587142115629</v>
      </c>
      <c r="O776" s="3">
        <f t="shared" si="304"/>
        <v>46.868587142115629</v>
      </c>
      <c r="P776" s="3">
        <f t="shared" si="308"/>
        <v>50.39633026033939</v>
      </c>
      <c r="Q776" s="3">
        <f t="shared" si="309"/>
        <v>9.1834306744784158</v>
      </c>
      <c r="R776" s="3">
        <f t="shared" si="310"/>
        <v>29.789880467408903</v>
      </c>
      <c r="S776" s="3">
        <f t="shared" si="305"/>
        <v>1</v>
      </c>
      <c r="T776" s="3">
        <f t="shared" si="311"/>
        <v>20606.449792930485</v>
      </c>
      <c r="U776" s="3">
        <f t="shared" si="312"/>
        <v>0.5</v>
      </c>
      <c r="V776" s="3">
        <f t="shared" si="313"/>
        <v>0</v>
      </c>
      <c r="W776" s="3">
        <f t="shared" si="314"/>
        <v>16872.691371161625</v>
      </c>
      <c r="X776" s="3">
        <f t="shared" si="306"/>
        <v>4591.7153372392077</v>
      </c>
      <c r="AI776" s="3"/>
      <c r="AJ776" s="3"/>
      <c r="AK776" s="15">
        <f t="shared" si="297"/>
        <v>3</v>
      </c>
      <c r="AL776" s="11">
        <f t="shared" si="301"/>
        <v>4602</v>
      </c>
      <c r="AM776" s="11" t="b">
        <f t="shared" si="296"/>
        <v>0</v>
      </c>
      <c r="AN776" s="11">
        <f t="shared" si="298"/>
        <v>36000</v>
      </c>
      <c r="AO776" s="11">
        <f t="shared" si="299"/>
        <v>0</v>
      </c>
      <c r="AP776" s="11">
        <f t="shared" si="300"/>
        <v>0.37131649121306237</v>
      </c>
      <c r="AQ776" s="11">
        <f t="shared" si="302"/>
        <v>0</v>
      </c>
      <c r="AT776" s="3"/>
      <c r="AU776" s="17"/>
      <c r="AV776" s="19"/>
      <c r="AW776" s="17"/>
      <c r="AX776" s="17">
        <f t="shared" si="321"/>
        <v>767</v>
      </c>
      <c r="AY776" s="17">
        <f t="shared" si="320"/>
        <v>76.7</v>
      </c>
      <c r="AZ776" s="17">
        <v>37.131649121306239</v>
      </c>
      <c r="BA776" s="17"/>
      <c r="BB776" s="17">
        <v>36</v>
      </c>
      <c r="BC776" s="17"/>
      <c r="BD776" s="17"/>
      <c r="BE776" s="17"/>
      <c r="BF776" s="17"/>
      <c r="BG776" s="17"/>
      <c r="BH776" s="17"/>
      <c r="BI776" s="17"/>
      <c r="BJ776" s="17"/>
      <c r="BK776" s="17"/>
      <c r="BL776" s="17"/>
      <c r="BM776" s="17"/>
      <c r="BN776" s="17"/>
      <c r="BO776" s="17"/>
      <c r="BP776" s="17"/>
      <c r="BQ776" s="17"/>
      <c r="BR776" s="17"/>
      <c r="BS776" s="17"/>
      <c r="BT776" s="17"/>
      <c r="BU776" s="17"/>
      <c r="BV776" s="17"/>
      <c r="BW776" s="17"/>
      <c r="BX776" s="17"/>
      <c r="BY776" s="17"/>
      <c r="BZ776" s="17"/>
      <c r="CA776" s="17"/>
      <c r="CB776" s="17"/>
      <c r="CC776" s="17"/>
      <c r="CD776" s="17"/>
      <c r="CE776" s="17"/>
      <c r="CF776" s="17"/>
      <c r="CG776" s="17"/>
      <c r="CH776" s="17"/>
    </row>
    <row r="777" spans="8:86" x14ac:dyDescent="0.15">
      <c r="H777" s="3">
        <f t="shared" si="315"/>
        <v>0.76500000000000057</v>
      </c>
      <c r="I777" s="3">
        <f t="shared" si="316"/>
        <v>360</v>
      </c>
      <c r="J777" s="14">
        <f t="shared" si="317"/>
        <v>500</v>
      </c>
      <c r="K777" s="3">
        <f t="shared" si="307"/>
        <v>0</v>
      </c>
      <c r="L777" s="3">
        <f t="shared" si="303"/>
        <v>500</v>
      </c>
      <c r="M777" s="15">
        <f t="shared" si="318"/>
        <v>7.0000000000000007E-2</v>
      </c>
      <c r="N777" s="3">
        <f t="shared" si="319"/>
        <v>46.811347003801934</v>
      </c>
      <c r="O777" s="3">
        <f t="shared" si="304"/>
        <v>46.811347003801934</v>
      </c>
      <c r="P777" s="3">
        <f t="shared" si="308"/>
        <v>50.334781724518216</v>
      </c>
      <c r="Q777" s="3">
        <f t="shared" si="309"/>
        <v>9.1422177748925559</v>
      </c>
      <c r="R777" s="3">
        <f t="shared" si="310"/>
        <v>29.738499749705387</v>
      </c>
      <c r="S777" s="3">
        <f t="shared" si="305"/>
        <v>1</v>
      </c>
      <c r="T777" s="3">
        <f t="shared" si="311"/>
        <v>20596.281974812828</v>
      </c>
      <c r="U777" s="3">
        <f t="shared" si="312"/>
        <v>0.5</v>
      </c>
      <c r="V777" s="3">
        <f t="shared" si="313"/>
        <v>0</v>
      </c>
      <c r="W777" s="3">
        <f t="shared" si="314"/>
        <v>16852.084921368696</v>
      </c>
      <c r="X777" s="3">
        <f t="shared" si="306"/>
        <v>4571.1088874462775</v>
      </c>
      <c r="AI777" s="3"/>
      <c r="AJ777" s="3"/>
      <c r="AK777" s="15">
        <f t="shared" si="297"/>
        <v>3</v>
      </c>
      <c r="AL777" s="11">
        <f t="shared" si="301"/>
        <v>4608</v>
      </c>
      <c r="AM777" s="11" t="b">
        <f t="shared" ref="AM777:AM840" si="322">OR(AND(AL777&gt;=$AC$5,AL777&lt;=$AD$5),AND(AL777&gt;=$AC$6,AL777&lt;=$AD$6),AND(AL777&gt;=$AC$7,AL777&lt;=$AD$7),AND(AL777&gt;=$AC$8,AL777&lt;=$AD$8),AND(AL777&gt;=$AC$9,AL777&lt;=$AD$9),AND(AL777&gt;=$AC$10,AL777&lt;=$AD$10),AND(AL777&gt;=$AC$11,AL777&lt;=$AD$11),AND($AD$11&lt;$AC$11,OR(AL777&lt;$AD$11,AL777&gt;$AC$11)))</f>
        <v>0</v>
      </c>
      <c r="AN777" s="11">
        <f t="shared" si="298"/>
        <v>36000</v>
      </c>
      <c r="AO777" s="11">
        <f t="shared" si="299"/>
        <v>0</v>
      </c>
      <c r="AP777" s="11">
        <f t="shared" si="300"/>
        <v>0.37241880602787714</v>
      </c>
      <c r="AQ777" s="11">
        <f t="shared" si="302"/>
        <v>0</v>
      </c>
      <c r="AT777" s="3"/>
      <c r="AU777" s="17"/>
      <c r="AV777" s="19"/>
      <c r="AW777" s="17"/>
      <c r="AX777" s="17">
        <f t="shared" si="321"/>
        <v>768</v>
      </c>
      <c r="AY777" s="17">
        <f t="shared" si="320"/>
        <v>76.8</v>
      </c>
      <c r="AZ777" s="17">
        <v>37.241880602787717</v>
      </c>
      <c r="BA777" s="17"/>
      <c r="BB777" s="17">
        <v>36</v>
      </c>
      <c r="BC777" s="17"/>
      <c r="BD777" s="17"/>
      <c r="BE777" s="17"/>
      <c r="BF777" s="17"/>
      <c r="BG777" s="17"/>
      <c r="BH777" s="17"/>
      <c r="BI777" s="17"/>
      <c r="BJ777" s="17"/>
      <c r="BK777" s="17"/>
      <c r="BL777" s="17"/>
      <c r="BM777" s="17"/>
      <c r="BN777" s="17"/>
      <c r="BO777" s="17"/>
      <c r="BP777" s="17"/>
      <c r="BQ777" s="17"/>
      <c r="BR777" s="17"/>
      <c r="BS777" s="17"/>
      <c r="BT777" s="17"/>
      <c r="BU777" s="17"/>
      <c r="BV777" s="17"/>
      <c r="BW777" s="17"/>
      <c r="BX777" s="17"/>
      <c r="BY777" s="17"/>
      <c r="BZ777" s="17"/>
      <c r="CA777" s="17"/>
      <c r="CB777" s="17"/>
      <c r="CC777" s="17"/>
      <c r="CD777" s="17"/>
      <c r="CE777" s="17"/>
      <c r="CF777" s="17"/>
      <c r="CG777" s="17"/>
      <c r="CH777" s="17"/>
    </row>
    <row r="778" spans="8:86" x14ac:dyDescent="0.15">
      <c r="H778" s="3">
        <f t="shared" si="315"/>
        <v>0.76600000000000057</v>
      </c>
      <c r="I778" s="3">
        <f t="shared" si="316"/>
        <v>360</v>
      </c>
      <c r="J778" s="14">
        <f t="shared" si="317"/>
        <v>500</v>
      </c>
      <c r="K778" s="3">
        <f t="shared" si="307"/>
        <v>0</v>
      </c>
      <c r="L778" s="3">
        <f t="shared" si="303"/>
        <v>500</v>
      </c>
      <c r="M778" s="15">
        <f t="shared" si="318"/>
        <v>7.0000000000000007E-2</v>
      </c>
      <c r="N778" s="3">
        <f t="shared" si="319"/>
        <v>46.754135109427452</v>
      </c>
      <c r="O778" s="3">
        <f t="shared" si="304"/>
        <v>46.754135109427452</v>
      </c>
      <c r="P778" s="3">
        <f t="shared" si="308"/>
        <v>50.273263558524143</v>
      </c>
      <c r="Q778" s="3">
        <f t="shared" si="309"/>
        <v>9.1010252109429288</v>
      </c>
      <c r="R778" s="3">
        <f t="shared" si="310"/>
        <v>29.687144384733536</v>
      </c>
      <c r="S778" s="3">
        <f t="shared" si="305"/>
        <v>1</v>
      </c>
      <c r="T778" s="3">
        <f t="shared" si="311"/>
        <v>20586.119173790608</v>
      </c>
      <c r="U778" s="3">
        <f t="shared" si="312"/>
        <v>0.5</v>
      </c>
      <c r="V778" s="3">
        <f t="shared" si="313"/>
        <v>0</v>
      </c>
      <c r="W778" s="3">
        <f t="shared" si="314"/>
        <v>16831.488639393883</v>
      </c>
      <c r="X778" s="3">
        <f t="shared" si="306"/>
        <v>4550.5126054714647</v>
      </c>
      <c r="AI778" s="3"/>
      <c r="AJ778" s="3"/>
      <c r="AK778" s="15">
        <f t="shared" ref="AK778:AK841" si="323">1+INT(MOD(AL778/60/24-0.5,7))</f>
        <v>3</v>
      </c>
      <c r="AL778" s="11">
        <f t="shared" si="301"/>
        <v>4614</v>
      </c>
      <c r="AM778" s="11" t="b">
        <f t="shared" si="322"/>
        <v>0</v>
      </c>
      <c r="AN778" s="11">
        <f t="shared" ref="AN778:AN841" si="324">IF(AND(AM778,NOT(AM779)),$AB$26,AN777+($AB$28-IF(AND(AM777,AM778),CHOOSE(AK778,$AG$5,$AG$6,$AG$7,$AG$8,$AG$9,$AG$10,$AG$11)*$AA$22/$AA$24,0))*$AB$15)</f>
        <v>36000</v>
      </c>
      <c r="AO778" s="11">
        <f t="shared" ref="AO778:AO841" si="325">IF(AND(AM778,NOT(AM779)),$AB$27,AO777+($AB$29-IF(AND(AM777,AM778),CHOOSE(AK778,$AG$5,$AG$6,$AG$7,$AG$8,$AG$9,$AG$10,$AG$11)*$AA$23/$AA$24,0))*$AB$15)</f>
        <v>0</v>
      </c>
      <c r="AP778" s="11">
        <f t="shared" ref="AP778:AP841" si="326">IF(AN777&lt;=0,0,(AP777*AN777-(IF(AND(AM777,AM778),CHOOSE(AK778,$AI$5,$AI$6,$AI$7,$AI$8,$AI$9,$AI$10,$AI$11),$AA$37))*AP777*$AB$15+$AA$34*(AQ777-AP777)*$AB$15+$AA$33*$AB$15)/AN777)</f>
        <v>0.37352112084269196</v>
      </c>
      <c r="AQ778" s="11">
        <f t="shared" si="302"/>
        <v>0</v>
      </c>
      <c r="AT778" s="3"/>
      <c r="AU778" s="17"/>
      <c r="AV778" s="19"/>
      <c r="AW778" s="17"/>
      <c r="AX778" s="17">
        <f t="shared" si="321"/>
        <v>769</v>
      </c>
      <c r="AY778" s="17">
        <f t="shared" si="320"/>
        <v>76.900000000000006</v>
      </c>
      <c r="AZ778" s="17">
        <v>37.352112084269194</v>
      </c>
      <c r="BA778" s="17"/>
      <c r="BB778" s="17">
        <v>36</v>
      </c>
      <c r="BC778" s="17"/>
      <c r="BD778" s="17"/>
      <c r="BE778" s="17"/>
      <c r="BF778" s="17"/>
      <c r="BG778" s="17"/>
      <c r="BH778" s="17"/>
      <c r="BI778" s="17"/>
      <c r="BJ778" s="17"/>
      <c r="BK778" s="17"/>
      <c r="BL778" s="17"/>
      <c r="BM778" s="17"/>
      <c r="BN778" s="17"/>
      <c r="BO778" s="17"/>
      <c r="BP778" s="17"/>
      <c r="BQ778" s="17"/>
      <c r="BR778" s="17"/>
      <c r="BS778" s="17"/>
      <c r="BT778" s="17"/>
      <c r="BU778" s="17"/>
      <c r="BV778" s="17"/>
      <c r="BW778" s="17"/>
      <c r="BX778" s="17"/>
      <c r="BY778" s="17"/>
      <c r="BZ778" s="17"/>
      <c r="CA778" s="17"/>
      <c r="CB778" s="17"/>
      <c r="CC778" s="17"/>
      <c r="CD778" s="17"/>
      <c r="CE778" s="17"/>
      <c r="CF778" s="17"/>
      <c r="CG778" s="17"/>
      <c r="CH778" s="17"/>
    </row>
    <row r="779" spans="8:86" x14ac:dyDescent="0.15">
      <c r="H779" s="3">
        <f t="shared" si="315"/>
        <v>0.76700000000000057</v>
      </c>
      <c r="I779" s="3">
        <f t="shared" si="316"/>
        <v>360</v>
      </c>
      <c r="J779" s="14">
        <f t="shared" si="317"/>
        <v>500</v>
      </c>
      <c r="K779" s="3">
        <f t="shared" si="307"/>
        <v>0</v>
      </c>
      <c r="L779" s="3">
        <f t="shared" si="303"/>
        <v>500</v>
      </c>
      <c r="M779" s="15">
        <f t="shared" si="318"/>
        <v>7.0000000000000007E-2</v>
      </c>
      <c r="N779" s="3">
        <f t="shared" si="319"/>
        <v>46.696951445055817</v>
      </c>
      <c r="O779" s="3">
        <f t="shared" si="304"/>
        <v>46.696951445055817</v>
      </c>
      <c r="P779" s="3">
        <f t="shared" si="308"/>
        <v>50.211775747371846</v>
      </c>
      <c r="Q779" s="3">
        <f t="shared" si="309"/>
        <v>9.0598529725953494</v>
      </c>
      <c r="R779" s="3">
        <f t="shared" si="310"/>
        <v>29.635814359983598</v>
      </c>
      <c r="S779" s="3">
        <f t="shared" si="305"/>
        <v>1</v>
      </c>
      <c r="T779" s="3">
        <f t="shared" si="311"/>
        <v>20575.961387388248</v>
      </c>
      <c r="U779" s="3">
        <f t="shared" si="312"/>
        <v>0.5</v>
      </c>
      <c r="V779" s="3">
        <f t="shared" si="313"/>
        <v>0</v>
      </c>
      <c r="W779" s="3">
        <f t="shared" si="314"/>
        <v>16810.902520220094</v>
      </c>
      <c r="X779" s="3">
        <f t="shared" si="306"/>
        <v>4529.9264862976743</v>
      </c>
      <c r="AI779" s="3"/>
      <c r="AJ779" s="3"/>
      <c r="AK779" s="15">
        <f t="shared" si="323"/>
        <v>3</v>
      </c>
      <c r="AL779" s="11">
        <f t="shared" ref="AL779:AL842" si="327">AL778+$AB$15</f>
        <v>4620</v>
      </c>
      <c r="AM779" s="11" t="b">
        <f t="shared" si="322"/>
        <v>0</v>
      </c>
      <c r="AN779" s="11">
        <f t="shared" si="324"/>
        <v>36000</v>
      </c>
      <c r="AO779" s="11">
        <f t="shared" si="325"/>
        <v>0</v>
      </c>
      <c r="AP779" s="11">
        <f t="shared" si="326"/>
        <v>0.37462343565750672</v>
      </c>
      <c r="AQ779" s="11">
        <f t="shared" ref="AQ779:AQ842" si="328">IF(AO778&lt;=0,0,(AQ778*AO778-$AA$34*(AQ778-AP778)*$AB$15)/AO778)</f>
        <v>0</v>
      </c>
      <c r="AT779" s="3"/>
      <c r="AU779" s="17"/>
      <c r="AV779" s="19"/>
      <c r="AW779" s="17"/>
      <c r="AX779" s="17">
        <f t="shared" si="321"/>
        <v>770</v>
      </c>
      <c r="AY779" s="17">
        <f t="shared" si="320"/>
        <v>77</v>
      </c>
      <c r="AZ779" s="17">
        <v>37.462343565750672</v>
      </c>
      <c r="BA779" s="17"/>
      <c r="BB779" s="17">
        <v>36</v>
      </c>
      <c r="BC779" s="17"/>
      <c r="BD779" s="17"/>
      <c r="BE779" s="17"/>
      <c r="BF779" s="17"/>
      <c r="BG779" s="17"/>
      <c r="BH779" s="17"/>
      <c r="BI779" s="17"/>
      <c r="BJ779" s="17"/>
      <c r="BK779" s="17"/>
      <c r="BL779" s="17"/>
      <c r="BM779" s="17"/>
      <c r="BN779" s="17"/>
      <c r="BO779" s="17"/>
      <c r="BP779" s="17"/>
      <c r="BQ779" s="17"/>
      <c r="BR779" s="17"/>
      <c r="BS779" s="17"/>
      <c r="BT779" s="17"/>
      <c r="BU779" s="17"/>
      <c r="BV779" s="17"/>
      <c r="BW779" s="17"/>
      <c r="BX779" s="17"/>
      <c r="BY779" s="17"/>
      <c r="BZ779" s="17"/>
      <c r="CA779" s="17"/>
      <c r="CB779" s="17"/>
      <c r="CC779" s="17"/>
      <c r="CD779" s="17"/>
      <c r="CE779" s="17"/>
      <c r="CF779" s="17"/>
      <c r="CG779" s="17"/>
      <c r="CH779" s="17"/>
    </row>
    <row r="780" spans="8:86" x14ac:dyDescent="0.15">
      <c r="H780" s="3">
        <f t="shared" si="315"/>
        <v>0.76800000000000057</v>
      </c>
      <c r="I780" s="3">
        <f t="shared" si="316"/>
        <v>360</v>
      </c>
      <c r="J780" s="14">
        <f t="shared" si="317"/>
        <v>500</v>
      </c>
      <c r="K780" s="3">
        <f t="shared" si="307"/>
        <v>0</v>
      </c>
      <c r="L780" s="3">
        <f t="shared" ref="L780:L843" si="329">$L$8*$L$6/I780</f>
        <v>500</v>
      </c>
      <c r="M780" s="15">
        <f t="shared" si="318"/>
        <v>7.0000000000000007E-2</v>
      </c>
      <c r="N780" s="3">
        <f t="shared" si="319"/>
        <v>46.639795996757513</v>
      </c>
      <c r="O780" s="3">
        <f t="shared" ref="O780:O843" si="330">N780*S780</f>
        <v>46.639795996757513</v>
      </c>
      <c r="P780" s="3">
        <f t="shared" si="308"/>
        <v>50.150318276083354</v>
      </c>
      <c r="Q780" s="3">
        <f t="shared" si="309"/>
        <v>9.0187010498205726</v>
      </c>
      <c r="R780" s="3">
        <f t="shared" si="310"/>
        <v>29.584509662951962</v>
      </c>
      <c r="S780" s="3">
        <f t="shared" ref="S780:S843" si="331">IF($F$10=0,0,IF($F$10=1,1,(N780-L780-1/$I$5+((L780-N780+1/$I$5)^2+4*N780/$I$5)^0.5)/2/N780))</f>
        <v>1</v>
      </c>
      <c r="T780" s="3">
        <f t="shared" si="311"/>
        <v>20565.80861313139</v>
      </c>
      <c r="U780" s="3">
        <f t="shared" si="312"/>
        <v>0.5</v>
      </c>
      <c r="V780" s="3">
        <f t="shared" si="313"/>
        <v>0</v>
      </c>
      <c r="W780" s="3">
        <f t="shared" si="314"/>
        <v>16790.326558832705</v>
      </c>
      <c r="X780" s="3">
        <f t="shared" ref="X780:X843" si="332">IF($F$19,W780-W781+X781,J780*Q780)</f>
        <v>4509.3505249102864</v>
      </c>
      <c r="AI780" s="3"/>
      <c r="AJ780" s="3"/>
      <c r="AK780" s="15">
        <f t="shared" si="323"/>
        <v>3</v>
      </c>
      <c r="AL780" s="11">
        <f t="shared" si="327"/>
        <v>4626</v>
      </c>
      <c r="AM780" s="11" t="b">
        <f t="shared" si="322"/>
        <v>0</v>
      </c>
      <c r="AN780" s="11">
        <f t="shared" si="324"/>
        <v>36000</v>
      </c>
      <c r="AO780" s="11">
        <f t="shared" si="325"/>
        <v>0</v>
      </c>
      <c r="AP780" s="11">
        <f t="shared" si="326"/>
        <v>0.37572575047232154</v>
      </c>
      <c r="AQ780" s="11">
        <f t="shared" si="328"/>
        <v>0</v>
      </c>
      <c r="AT780" s="3"/>
      <c r="AU780" s="17"/>
      <c r="AV780" s="19"/>
      <c r="AW780" s="17"/>
      <c r="AX780" s="17">
        <f t="shared" si="321"/>
        <v>771</v>
      </c>
      <c r="AY780" s="17">
        <f t="shared" si="320"/>
        <v>77.099999999999994</v>
      </c>
      <c r="AZ780" s="17">
        <v>37.572575047232156</v>
      </c>
      <c r="BA780" s="17"/>
      <c r="BB780" s="17">
        <v>36</v>
      </c>
      <c r="BC780" s="17"/>
      <c r="BD780" s="17"/>
      <c r="BE780" s="17"/>
      <c r="BF780" s="17"/>
      <c r="BG780" s="17"/>
      <c r="BH780" s="17"/>
      <c r="BI780" s="17"/>
      <c r="BJ780" s="17"/>
      <c r="BK780" s="17"/>
      <c r="BL780" s="17"/>
      <c r="BM780" s="17"/>
      <c r="BN780" s="17"/>
      <c r="BO780" s="17"/>
      <c r="BP780" s="17"/>
      <c r="BQ780" s="17"/>
      <c r="BR780" s="17"/>
      <c r="BS780" s="17"/>
      <c r="BT780" s="17"/>
      <c r="BU780" s="17"/>
      <c r="BV780" s="17"/>
      <c r="BW780" s="17"/>
      <c r="BX780" s="17"/>
      <c r="BY780" s="17"/>
      <c r="BZ780" s="17"/>
      <c r="CA780" s="17"/>
      <c r="CB780" s="17"/>
      <c r="CC780" s="17"/>
      <c r="CD780" s="17"/>
      <c r="CE780" s="17"/>
      <c r="CF780" s="17"/>
      <c r="CG780" s="17"/>
      <c r="CH780" s="17"/>
    </row>
    <row r="781" spans="8:86" x14ac:dyDescent="0.15">
      <c r="H781" s="3">
        <f t="shared" si="315"/>
        <v>0.76900000000000057</v>
      </c>
      <c r="I781" s="3">
        <f t="shared" si="316"/>
        <v>360</v>
      </c>
      <c r="J781" s="14">
        <f t="shared" si="317"/>
        <v>500</v>
      </c>
      <c r="K781" s="3">
        <f t="shared" ref="K781:K844" si="333">2*$F$6*$I$6*H781+$F$6*$I$7</f>
        <v>0</v>
      </c>
      <c r="L781" s="3">
        <f t="shared" si="329"/>
        <v>500</v>
      </c>
      <c r="M781" s="15">
        <f t="shared" si="318"/>
        <v>7.0000000000000007E-2</v>
      </c>
      <c r="N781" s="3">
        <f t="shared" si="319"/>
        <v>46.582668750609933</v>
      </c>
      <c r="O781" s="3">
        <f t="shared" si="330"/>
        <v>46.582668750609933</v>
      </c>
      <c r="P781" s="3">
        <f t="shared" ref="P781:P844" si="334">O781/(1-M781)</f>
        <v>50.088891129688101</v>
      </c>
      <c r="Q781" s="3">
        <f t="shared" ref="Q781:Q844" si="335">IF($F$19,IF($F$20,0,X781/J781),(Q780*J780-T780*$I$4)/J781)</f>
        <v>8.9775694325943096</v>
      </c>
      <c r="R781" s="3">
        <f t="shared" ref="R781:R844" si="336">IF($F$19,P781,(1-U781)*P781+U781*Q781)</f>
        <v>29.533230281141204</v>
      </c>
      <c r="S781" s="3">
        <f t="shared" si="331"/>
        <v>1</v>
      </c>
      <c r="T781" s="3">
        <f t="shared" ref="T781:T844" si="337">IF($F$19,0,$F$8*(P781-Q781))+R781*K781*(1-$F$11)</f>
        <v>20555.660848546897</v>
      </c>
      <c r="U781" s="3">
        <f t="shared" ref="U781:U844" si="338">IF($F$8=0,0,IF(V781=0,0.5,IF(ISERROR(EXP(V781)),0,1/V781-1/(EXP(V781)-1))))</f>
        <v>0.5</v>
      </c>
      <c r="V781" s="3">
        <f t="shared" ref="V781:V844" si="339">K781*(1-$F$11)/$F$8</f>
        <v>0</v>
      </c>
      <c r="W781" s="3">
        <f t="shared" ref="W781:W844" si="340">(I781+$L$5)*N781</f>
        <v>16769.760750219575</v>
      </c>
      <c r="X781" s="3">
        <f t="shared" si="332"/>
        <v>4488.7847162971548</v>
      </c>
      <c r="AI781" s="3"/>
      <c r="AJ781" s="3"/>
      <c r="AK781" s="15">
        <f t="shared" si="323"/>
        <v>3</v>
      </c>
      <c r="AL781" s="11">
        <f t="shared" si="327"/>
        <v>4632</v>
      </c>
      <c r="AM781" s="11" t="b">
        <f t="shared" si="322"/>
        <v>0</v>
      </c>
      <c r="AN781" s="11">
        <f t="shared" si="324"/>
        <v>36000</v>
      </c>
      <c r="AO781" s="11">
        <f t="shared" si="325"/>
        <v>0</v>
      </c>
      <c r="AP781" s="11">
        <f t="shared" si="326"/>
        <v>0.3768280652871363</v>
      </c>
      <c r="AQ781" s="11">
        <f t="shared" si="328"/>
        <v>0</v>
      </c>
      <c r="AT781" s="3"/>
      <c r="AU781" s="17"/>
      <c r="AV781" s="19"/>
      <c r="AW781" s="17"/>
      <c r="AX781" s="17">
        <f t="shared" si="321"/>
        <v>772</v>
      </c>
      <c r="AY781" s="17">
        <f t="shared" si="320"/>
        <v>77.2</v>
      </c>
      <c r="AZ781" s="17">
        <v>37.682806528713627</v>
      </c>
      <c r="BA781" s="17"/>
      <c r="BB781" s="17">
        <v>36</v>
      </c>
      <c r="BC781" s="17"/>
      <c r="BD781" s="17"/>
      <c r="BE781" s="17"/>
      <c r="BF781" s="17"/>
      <c r="BG781" s="17"/>
      <c r="BH781" s="17"/>
      <c r="BI781" s="17"/>
      <c r="BJ781" s="17"/>
      <c r="BK781" s="17"/>
      <c r="BL781" s="17"/>
      <c r="BM781" s="17"/>
      <c r="BN781" s="17"/>
      <c r="BO781" s="17"/>
      <c r="BP781" s="17"/>
      <c r="BQ781" s="17"/>
      <c r="BR781" s="17"/>
      <c r="BS781" s="17"/>
      <c r="BT781" s="17"/>
      <c r="BU781" s="17"/>
      <c r="BV781" s="17"/>
      <c r="BW781" s="17"/>
      <c r="BX781" s="17"/>
      <c r="BY781" s="17"/>
      <c r="BZ781" s="17"/>
      <c r="CA781" s="17"/>
      <c r="CB781" s="17"/>
      <c r="CC781" s="17"/>
      <c r="CD781" s="17"/>
      <c r="CE781" s="17"/>
      <c r="CF781" s="17"/>
      <c r="CG781" s="17"/>
      <c r="CH781" s="17"/>
    </row>
    <row r="782" spans="8:86" x14ac:dyDescent="0.15">
      <c r="H782" s="3">
        <f t="shared" ref="H782:H845" si="341">H781+$I$4</f>
        <v>0.77000000000000057</v>
      </c>
      <c r="I782" s="3">
        <f t="shared" ref="I782:I845" si="342">$I$12-$F$6*($I$6*H782^2+$I$7*H782)</f>
        <v>360</v>
      </c>
      <c r="J782" s="14">
        <f t="shared" ref="J782:J845" si="343">$J$12-$F$6*($I$6*H782^2+$I$7*H782)</f>
        <v>500</v>
      </c>
      <c r="K782" s="3">
        <f t="shared" si="333"/>
        <v>0</v>
      </c>
      <c r="L782" s="3">
        <f t="shared" si="329"/>
        <v>500</v>
      </c>
      <c r="M782" s="15">
        <f t="shared" ref="M782:M845" si="344">$M$12*L782/$L$12</f>
        <v>7.0000000000000007E-2</v>
      </c>
      <c r="N782" s="3">
        <f t="shared" ref="N782:N845" si="345">(N781*I781+P781*$L$5-T781*$I$4)/(I782+$L$5/(1-M782))</f>
        <v>46.525569692697303</v>
      </c>
      <c r="O782" s="3">
        <f t="shared" si="330"/>
        <v>46.525569692697303</v>
      </c>
      <c r="P782" s="3">
        <f t="shared" si="334"/>
        <v>50.027494293222908</v>
      </c>
      <c r="Q782" s="3">
        <f t="shared" si="335"/>
        <v>8.9364581108972168</v>
      </c>
      <c r="R782" s="3">
        <f t="shared" si="336"/>
        <v>29.481976202060061</v>
      </c>
      <c r="S782" s="3">
        <f t="shared" si="331"/>
        <v>1</v>
      </c>
      <c r="T782" s="3">
        <f t="shared" si="337"/>
        <v>20545.518091162849</v>
      </c>
      <c r="U782" s="3">
        <f t="shared" si="338"/>
        <v>0.5</v>
      </c>
      <c r="V782" s="3">
        <f t="shared" si="339"/>
        <v>0</v>
      </c>
      <c r="W782" s="3">
        <f t="shared" si="340"/>
        <v>16749.205089371029</v>
      </c>
      <c r="X782" s="3">
        <f t="shared" si="332"/>
        <v>4468.2290554486081</v>
      </c>
      <c r="AI782" s="3"/>
      <c r="AJ782" s="3"/>
      <c r="AK782" s="15">
        <f t="shared" si="323"/>
        <v>3</v>
      </c>
      <c r="AL782" s="11">
        <f t="shared" si="327"/>
        <v>4638</v>
      </c>
      <c r="AM782" s="11" t="b">
        <f t="shared" si="322"/>
        <v>0</v>
      </c>
      <c r="AN782" s="11">
        <f t="shared" si="324"/>
        <v>36000</v>
      </c>
      <c r="AO782" s="11">
        <f t="shared" si="325"/>
        <v>0</v>
      </c>
      <c r="AP782" s="11">
        <f t="shared" si="326"/>
        <v>0.37793038010195112</v>
      </c>
      <c r="AQ782" s="11">
        <f t="shared" si="328"/>
        <v>0</v>
      </c>
      <c r="AT782" s="3"/>
      <c r="AU782" s="17"/>
      <c r="AV782" s="19"/>
      <c r="AW782" s="17"/>
      <c r="AX782" s="17">
        <f t="shared" si="321"/>
        <v>773</v>
      </c>
      <c r="AY782" s="17">
        <f t="shared" si="320"/>
        <v>77.3</v>
      </c>
      <c r="AZ782" s="17">
        <v>37.793038010195112</v>
      </c>
      <c r="BA782" s="17"/>
      <c r="BB782" s="17">
        <v>36</v>
      </c>
      <c r="BC782" s="17"/>
      <c r="BD782" s="17"/>
      <c r="BE782" s="17"/>
      <c r="BF782" s="17"/>
      <c r="BG782" s="17"/>
      <c r="BH782" s="17"/>
      <c r="BI782" s="17"/>
      <c r="BJ782" s="17"/>
      <c r="BK782" s="17"/>
      <c r="BL782" s="17"/>
      <c r="BM782" s="17"/>
      <c r="BN782" s="17"/>
      <c r="BO782" s="17"/>
      <c r="BP782" s="17"/>
      <c r="BQ782" s="17"/>
      <c r="BR782" s="17"/>
      <c r="BS782" s="17"/>
      <c r="BT782" s="17"/>
      <c r="BU782" s="17"/>
      <c r="BV782" s="17"/>
      <c r="BW782" s="17"/>
      <c r="BX782" s="17"/>
      <c r="BY782" s="17"/>
      <c r="BZ782" s="17"/>
      <c r="CA782" s="17"/>
      <c r="CB782" s="17"/>
      <c r="CC782" s="17"/>
      <c r="CD782" s="17"/>
      <c r="CE782" s="17"/>
      <c r="CF782" s="17"/>
      <c r="CG782" s="17"/>
      <c r="CH782" s="17"/>
    </row>
    <row r="783" spans="8:86" x14ac:dyDescent="0.15">
      <c r="H783" s="3">
        <f t="shared" si="341"/>
        <v>0.77100000000000057</v>
      </c>
      <c r="I783" s="3">
        <f t="shared" si="342"/>
        <v>360</v>
      </c>
      <c r="J783" s="14">
        <f t="shared" si="343"/>
        <v>500</v>
      </c>
      <c r="K783" s="3">
        <f t="shared" si="333"/>
        <v>0</v>
      </c>
      <c r="L783" s="3">
        <f t="shared" si="329"/>
        <v>500</v>
      </c>
      <c r="M783" s="15">
        <f t="shared" si="344"/>
        <v>7.0000000000000007E-2</v>
      </c>
      <c r="N783" s="3">
        <f t="shared" si="345"/>
        <v>46.468498809110741</v>
      </c>
      <c r="O783" s="3">
        <f t="shared" si="330"/>
        <v>46.468498809110741</v>
      </c>
      <c r="P783" s="3">
        <f t="shared" si="334"/>
        <v>49.966127751731982</v>
      </c>
      <c r="Q783" s="3">
        <f t="shared" si="335"/>
        <v>8.8953670747148905</v>
      </c>
      <c r="R783" s="3">
        <f t="shared" si="336"/>
        <v>29.430747413223436</v>
      </c>
      <c r="S783" s="3">
        <f t="shared" si="331"/>
        <v>1</v>
      </c>
      <c r="T783" s="3">
        <f t="shared" si="337"/>
        <v>20535.380338508545</v>
      </c>
      <c r="U783" s="3">
        <f t="shared" si="338"/>
        <v>0.5</v>
      </c>
      <c r="V783" s="3">
        <f t="shared" si="339"/>
        <v>0</v>
      </c>
      <c r="W783" s="3">
        <f t="shared" si="340"/>
        <v>16728.659571279866</v>
      </c>
      <c r="X783" s="3">
        <f t="shared" si="332"/>
        <v>4447.6835373574449</v>
      </c>
      <c r="AI783" s="3"/>
      <c r="AJ783" s="3"/>
      <c r="AK783" s="15">
        <f t="shared" si="323"/>
        <v>3</v>
      </c>
      <c r="AL783" s="11">
        <f t="shared" si="327"/>
        <v>4644</v>
      </c>
      <c r="AM783" s="11" t="b">
        <f t="shared" si="322"/>
        <v>0</v>
      </c>
      <c r="AN783" s="11">
        <f t="shared" si="324"/>
        <v>36000</v>
      </c>
      <c r="AO783" s="11">
        <f t="shared" si="325"/>
        <v>0</v>
      </c>
      <c r="AP783" s="11">
        <f t="shared" si="326"/>
        <v>0.37903269491676589</v>
      </c>
      <c r="AQ783" s="11">
        <f t="shared" si="328"/>
        <v>0</v>
      </c>
      <c r="AT783" s="3"/>
      <c r="AU783" s="17"/>
      <c r="AV783" s="19"/>
      <c r="AW783" s="17"/>
      <c r="AX783" s="17">
        <f t="shared" si="321"/>
        <v>774</v>
      </c>
      <c r="AY783" s="17">
        <f t="shared" si="320"/>
        <v>77.400000000000006</v>
      </c>
      <c r="AZ783" s="17">
        <v>37.903269491676589</v>
      </c>
      <c r="BA783" s="17"/>
      <c r="BB783" s="17">
        <v>36</v>
      </c>
      <c r="BC783" s="17"/>
      <c r="BD783" s="17"/>
      <c r="BE783" s="17"/>
      <c r="BF783" s="17"/>
      <c r="BG783" s="17"/>
      <c r="BH783" s="17"/>
      <c r="BI783" s="17"/>
      <c r="BJ783" s="17"/>
      <c r="BK783" s="17"/>
      <c r="BL783" s="17"/>
      <c r="BM783" s="17"/>
      <c r="BN783" s="17"/>
      <c r="BO783" s="17"/>
      <c r="BP783" s="17"/>
      <c r="BQ783" s="17"/>
      <c r="BR783" s="17"/>
      <c r="BS783" s="17"/>
      <c r="BT783" s="17"/>
      <c r="BU783" s="17"/>
      <c r="BV783" s="17"/>
      <c r="BW783" s="17"/>
      <c r="BX783" s="17"/>
      <c r="BY783" s="17"/>
      <c r="BZ783" s="17"/>
      <c r="CA783" s="17"/>
      <c r="CB783" s="17"/>
      <c r="CC783" s="17"/>
      <c r="CD783" s="17"/>
      <c r="CE783" s="17"/>
      <c r="CF783" s="17"/>
      <c r="CG783" s="17"/>
      <c r="CH783" s="17"/>
    </row>
    <row r="784" spans="8:86" x14ac:dyDescent="0.15">
      <c r="H784" s="3">
        <f t="shared" si="341"/>
        <v>0.77200000000000057</v>
      </c>
      <c r="I784" s="3">
        <f t="shared" si="342"/>
        <v>360</v>
      </c>
      <c r="J784" s="14">
        <f t="shared" si="343"/>
        <v>500</v>
      </c>
      <c r="K784" s="3">
        <f t="shared" si="333"/>
        <v>0</v>
      </c>
      <c r="L784" s="3">
        <f t="shared" si="329"/>
        <v>500</v>
      </c>
      <c r="M784" s="15">
        <f t="shared" si="344"/>
        <v>7.0000000000000007E-2</v>
      </c>
      <c r="N784" s="3">
        <f t="shared" si="345"/>
        <v>46.411456085948217</v>
      </c>
      <c r="O784" s="3">
        <f t="shared" si="330"/>
        <v>46.411456085948217</v>
      </c>
      <c r="P784" s="3">
        <f t="shared" si="334"/>
        <v>49.904791490266902</v>
      </c>
      <c r="Q784" s="3">
        <f t="shared" si="335"/>
        <v>8.8542963140378728</v>
      </c>
      <c r="R784" s="3">
        <f t="shared" si="336"/>
        <v>29.379543902152388</v>
      </c>
      <c r="S784" s="3">
        <f t="shared" si="331"/>
        <v>1</v>
      </c>
      <c r="T784" s="3">
        <f t="shared" si="337"/>
        <v>20525.247588114515</v>
      </c>
      <c r="U784" s="3">
        <f t="shared" si="338"/>
        <v>0.5</v>
      </c>
      <c r="V784" s="3">
        <f t="shared" si="339"/>
        <v>0</v>
      </c>
      <c r="W784" s="3">
        <f t="shared" si="340"/>
        <v>16708.124190941358</v>
      </c>
      <c r="X784" s="3">
        <f t="shared" si="332"/>
        <v>4427.1481570189362</v>
      </c>
      <c r="AI784" s="3"/>
      <c r="AJ784" s="3"/>
      <c r="AK784" s="15">
        <f t="shared" si="323"/>
        <v>3</v>
      </c>
      <c r="AL784" s="11">
        <f t="shared" si="327"/>
        <v>4650</v>
      </c>
      <c r="AM784" s="11" t="b">
        <f t="shared" si="322"/>
        <v>0</v>
      </c>
      <c r="AN784" s="11">
        <f t="shared" si="324"/>
        <v>36000</v>
      </c>
      <c r="AO784" s="11">
        <f t="shared" si="325"/>
        <v>0</v>
      </c>
      <c r="AP784" s="11">
        <f t="shared" si="326"/>
        <v>0.38013500973158071</v>
      </c>
      <c r="AQ784" s="11">
        <f t="shared" si="328"/>
        <v>0</v>
      </c>
      <c r="AT784" s="3"/>
      <c r="AU784" s="17"/>
      <c r="AV784" s="19"/>
      <c r="AW784" s="17"/>
      <c r="AX784" s="17">
        <f t="shared" si="321"/>
        <v>775</v>
      </c>
      <c r="AY784" s="17">
        <f t="shared" si="320"/>
        <v>77.5</v>
      </c>
      <c r="AZ784" s="17">
        <v>38.013500973158074</v>
      </c>
      <c r="BA784" s="17"/>
      <c r="BB784" s="17">
        <v>36</v>
      </c>
      <c r="BC784" s="17"/>
      <c r="BD784" s="17"/>
      <c r="BE784" s="17"/>
      <c r="BF784" s="17"/>
      <c r="BG784" s="17"/>
      <c r="BH784" s="17"/>
      <c r="BI784" s="17"/>
      <c r="BJ784" s="17"/>
      <c r="BK784" s="17"/>
      <c r="BL784" s="17"/>
      <c r="BM784" s="17"/>
      <c r="BN784" s="17"/>
      <c r="BO784" s="17"/>
      <c r="BP784" s="17"/>
      <c r="BQ784" s="17"/>
      <c r="BR784" s="17"/>
      <c r="BS784" s="17"/>
      <c r="BT784" s="17"/>
      <c r="BU784" s="17"/>
      <c r="BV784" s="17"/>
      <c r="BW784" s="17"/>
      <c r="BX784" s="17"/>
      <c r="BY784" s="17"/>
      <c r="BZ784" s="17"/>
      <c r="CA784" s="17"/>
      <c r="CB784" s="17"/>
      <c r="CC784" s="17"/>
      <c r="CD784" s="17"/>
      <c r="CE784" s="17"/>
      <c r="CF784" s="17"/>
      <c r="CG784" s="17"/>
      <c r="CH784" s="17"/>
    </row>
    <row r="785" spans="8:86" x14ac:dyDescent="0.15">
      <c r="H785" s="3">
        <f t="shared" si="341"/>
        <v>0.77300000000000058</v>
      </c>
      <c r="I785" s="3">
        <f t="shared" si="342"/>
        <v>360</v>
      </c>
      <c r="J785" s="14">
        <f t="shared" si="343"/>
        <v>500</v>
      </c>
      <c r="K785" s="3">
        <f t="shared" si="333"/>
        <v>0</v>
      </c>
      <c r="L785" s="3">
        <f t="shared" si="329"/>
        <v>500</v>
      </c>
      <c r="M785" s="15">
        <f t="shared" si="344"/>
        <v>7.0000000000000007E-2</v>
      </c>
      <c r="N785" s="3">
        <f t="shared" si="345"/>
        <v>46.354441509314569</v>
      </c>
      <c r="O785" s="3">
        <f t="shared" si="330"/>
        <v>46.354441509314569</v>
      </c>
      <c r="P785" s="3">
        <f t="shared" si="334"/>
        <v>49.843485493886639</v>
      </c>
      <c r="Q785" s="3">
        <f t="shared" si="335"/>
        <v>8.8132458188616436</v>
      </c>
      <c r="R785" s="3">
        <f t="shared" si="336"/>
        <v>29.328365656374142</v>
      </c>
      <c r="S785" s="3">
        <f t="shared" si="331"/>
        <v>1</v>
      </c>
      <c r="T785" s="3">
        <f t="shared" si="337"/>
        <v>20515.119837512499</v>
      </c>
      <c r="U785" s="3">
        <f t="shared" si="338"/>
        <v>0.5</v>
      </c>
      <c r="V785" s="3">
        <f t="shared" si="339"/>
        <v>0</v>
      </c>
      <c r="W785" s="3">
        <f t="shared" si="340"/>
        <v>16687.598943353245</v>
      </c>
      <c r="X785" s="3">
        <f t="shared" si="332"/>
        <v>4406.6229094308219</v>
      </c>
      <c r="AI785" s="3"/>
      <c r="AJ785" s="3"/>
      <c r="AK785" s="15">
        <f t="shared" si="323"/>
        <v>3</v>
      </c>
      <c r="AL785" s="11">
        <f t="shared" si="327"/>
        <v>4656</v>
      </c>
      <c r="AM785" s="11" t="b">
        <f t="shared" si="322"/>
        <v>0</v>
      </c>
      <c r="AN785" s="11">
        <f t="shared" si="324"/>
        <v>36000</v>
      </c>
      <c r="AO785" s="11">
        <f t="shared" si="325"/>
        <v>0</v>
      </c>
      <c r="AP785" s="11">
        <f t="shared" si="326"/>
        <v>0.38123732454639547</v>
      </c>
      <c r="AQ785" s="11">
        <f t="shared" si="328"/>
        <v>0</v>
      </c>
      <c r="AT785" s="3"/>
      <c r="AU785" s="17"/>
      <c r="AV785" s="19"/>
      <c r="AW785" s="17"/>
      <c r="AX785" s="17">
        <f t="shared" si="321"/>
        <v>776</v>
      </c>
      <c r="AY785" s="17">
        <f t="shared" si="320"/>
        <v>77.599999999999994</v>
      </c>
      <c r="AZ785" s="17">
        <v>38.123732454639544</v>
      </c>
      <c r="BA785" s="17"/>
      <c r="BB785" s="17">
        <v>36</v>
      </c>
      <c r="BC785" s="17"/>
      <c r="BD785" s="17"/>
      <c r="BE785" s="17"/>
      <c r="BF785" s="17"/>
      <c r="BG785" s="17"/>
      <c r="BH785" s="17"/>
      <c r="BI785" s="17"/>
      <c r="BJ785" s="17"/>
      <c r="BK785" s="17"/>
      <c r="BL785" s="17"/>
      <c r="BM785" s="17"/>
      <c r="BN785" s="17"/>
      <c r="BO785" s="17"/>
      <c r="BP785" s="17"/>
      <c r="BQ785" s="17"/>
      <c r="BR785" s="17"/>
      <c r="BS785" s="17"/>
      <c r="BT785" s="17"/>
      <c r="BU785" s="17"/>
      <c r="BV785" s="17"/>
      <c r="BW785" s="17"/>
      <c r="BX785" s="17"/>
      <c r="BY785" s="17"/>
      <c r="BZ785" s="17"/>
      <c r="CA785" s="17"/>
      <c r="CB785" s="17"/>
      <c r="CC785" s="17"/>
      <c r="CD785" s="17"/>
      <c r="CE785" s="17"/>
      <c r="CF785" s="17"/>
      <c r="CG785" s="17"/>
      <c r="CH785" s="17"/>
    </row>
    <row r="786" spans="8:86" x14ac:dyDescent="0.15">
      <c r="H786" s="3">
        <f t="shared" si="341"/>
        <v>0.77400000000000058</v>
      </c>
      <c r="I786" s="3">
        <f t="shared" si="342"/>
        <v>360</v>
      </c>
      <c r="J786" s="14">
        <f t="shared" si="343"/>
        <v>500</v>
      </c>
      <c r="K786" s="3">
        <f t="shared" si="333"/>
        <v>0</v>
      </c>
      <c r="L786" s="3">
        <f t="shared" si="329"/>
        <v>500</v>
      </c>
      <c r="M786" s="15">
        <f t="shared" si="344"/>
        <v>7.0000000000000007E-2</v>
      </c>
      <c r="N786" s="3">
        <f t="shared" si="345"/>
        <v>46.297455065321479</v>
      </c>
      <c r="O786" s="3">
        <f t="shared" si="330"/>
        <v>46.297455065321479</v>
      </c>
      <c r="P786" s="3">
        <f t="shared" si="334"/>
        <v>49.782209747657511</v>
      </c>
      <c r="Q786" s="3">
        <f t="shared" si="335"/>
        <v>8.7722155791866196</v>
      </c>
      <c r="R786" s="3">
        <f t="shared" si="336"/>
        <v>29.277212663422066</v>
      </c>
      <c r="S786" s="3">
        <f t="shared" si="331"/>
        <v>1</v>
      </c>
      <c r="T786" s="3">
        <f t="shared" si="337"/>
        <v>20504.997084235445</v>
      </c>
      <c r="U786" s="3">
        <f t="shared" si="338"/>
        <v>0.5</v>
      </c>
      <c r="V786" s="3">
        <f t="shared" si="339"/>
        <v>0</v>
      </c>
      <c r="W786" s="3">
        <f t="shared" si="340"/>
        <v>16667.083823515732</v>
      </c>
      <c r="X786" s="3">
        <f t="shared" si="332"/>
        <v>4386.1077895933095</v>
      </c>
      <c r="AI786" s="3"/>
      <c r="AJ786" s="3"/>
      <c r="AK786" s="15">
        <f t="shared" si="323"/>
        <v>3</v>
      </c>
      <c r="AL786" s="11">
        <f t="shared" si="327"/>
        <v>4662</v>
      </c>
      <c r="AM786" s="11" t="b">
        <f t="shared" si="322"/>
        <v>0</v>
      </c>
      <c r="AN786" s="11">
        <f t="shared" si="324"/>
        <v>36000</v>
      </c>
      <c r="AO786" s="11">
        <f t="shared" si="325"/>
        <v>0</v>
      </c>
      <c r="AP786" s="11">
        <f t="shared" si="326"/>
        <v>0.38233963936121029</v>
      </c>
      <c r="AQ786" s="11">
        <f t="shared" si="328"/>
        <v>0</v>
      </c>
      <c r="AT786" s="3"/>
      <c r="AU786" s="17"/>
      <c r="AV786" s="19"/>
      <c r="AW786" s="17"/>
      <c r="AX786" s="17">
        <f t="shared" si="321"/>
        <v>777</v>
      </c>
      <c r="AY786" s="17">
        <f t="shared" si="320"/>
        <v>77.7</v>
      </c>
      <c r="AZ786" s="17">
        <v>38.233963936121029</v>
      </c>
      <c r="BA786" s="17"/>
      <c r="BB786" s="17">
        <v>36</v>
      </c>
      <c r="BC786" s="17"/>
      <c r="BD786" s="17"/>
      <c r="BE786" s="17"/>
      <c r="BF786" s="17"/>
      <c r="BG786" s="17"/>
      <c r="BH786" s="17"/>
      <c r="BI786" s="17"/>
      <c r="BJ786" s="17"/>
      <c r="BK786" s="17"/>
      <c r="BL786" s="17"/>
      <c r="BM786" s="17"/>
      <c r="BN786" s="17"/>
      <c r="BO786" s="17"/>
      <c r="BP786" s="17"/>
      <c r="BQ786" s="17"/>
      <c r="BR786" s="17"/>
      <c r="BS786" s="17"/>
      <c r="BT786" s="17"/>
      <c r="BU786" s="17"/>
      <c r="BV786" s="17"/>
      <c r="BW786" s="17"/>
      <c r="BX786" s="17"/>
      <c r="BY786" s="17"/>
      <c r="BZ786" s="17"/>
      <c r="CA786" s="17"/>
      <c r="CB786" s="17"/>
      <c r="CC786" s="17"/>
      <c r="CD786" s="17"/>
      <c r="CE786" s="17"/>
      <c r="CF786" s="17"/>
      <c r="CG786" s="17"/>
      <c r="CH786" s="17"/>
    </row>
    <row r="787" spans="8:86" x14ac:dyDescent="0.15">
      <c r="H787" s="3">
        <f t="shared" si="341"/>
        <v>0.77500000000000058</v>
      </c>
      <c r="I787" s="3">
        <f t="shared" si="342"/>
        <v>360</v>
      </c>
      <c r="J787" s="14">
        <f t="shared" si="343"/>
        <v>500</v>
      </c>
      <c r="K787" s="3">
        <f t="shared" si="333"/>
        <v>0</v>
      </c>
      <c r="L787" s="3">
        <f t="shared" si="329"/>
        <v>500</v>
      </c>
      <c r="M787" s="15">
        <f t="shared" si="344"/>
        <v>7.0000000000000007E-2</v>
      </c>
      <c r="N787" s="3">
        <f t="shared" si="345"/>
        <v>46.240496740087494</v>
      </c>
      <c r="O787" s="3">
        <f t="shared" si="330"/>
        <v>46.240496740087494</v>
      </c>
      <c r="P787" s="3">
        <f t="shared" si="334"/>
        <v>49.720964236653224</v>
      </c>
      <c r="Q787" s="3">
        <f t="shared" si="335"/>
        <v>8.7312055850181469</v>
      </c>
      <c r="R787" s="3">
        <f t="shared" si="336"/>
        <v>29.226084910835684</v>
      </c>
      <c r="S787" s="3">
        <f t="shared" si="331"/>
        <v>1</v>
      </c>
      <c r="T787" s="3">
        <f t="shared" si="337"/>
        <v>20494.879325817539</v>
      </c>
      <c r="U787" s="3">
        <f t="shared" si="338"/>
        <v>0.5</v>
      </c>
      <c r="V787" s="3">
        <f t="shared" si="339"/>
        <v>0</v>
      </c>
      <c r="W787" s="3">
        <f t="shared" si="340"/>
        <v>16646.578826431498</v>
      </c>
      <c r="X787" s="3">
        <f t="shared" si="332"/>
        <v>4365.6027925090739</v>
      </c>
      <c r="AI787" s="3"/>
      <c r="AJ787" s="3"/>
      <c r="AK787" s="15">
        <f t="shared" si="323"/>
        <v>3</v>
      </c>
      <c r="AL787" s="11">
        <f t="shared" si="327"/>
        <v>4668</v>
      </c>
      <c r="AM787" s="11" t="b">
        <f t="shared" si="322"/>
        <v>0</v>
      </c>
      <c r="AN787" s="11">
        <f t="shared" si="324"/>
        <v>36000</v>
      </c>
      <c r="AO787" s="11">
        <f t="shared" si="325"/>
        <v>0</v>
      </c>
      <c r="AP787" s="11">
        <f t="shared" si="326"/>
        <v>0.38344195417602506</v>
      </c>
      <c r="AQ787" s="11">
        <f t="shared" si="328"/>
        <v>0</v>
      </c>
      <c r="AT787" s="3"/>
      <c r="AU787" s="17"/>
      <c r="AV787" s="19"/>
      <c r="AW787" s="17"/>
      <c r="AX787" s="17">
        <f t="shared" si="321"/>
        <v>778</v>
      </c>
      <c r="AY787" s="17">
        <f t="shared" si="320"/>
        <v>77.8</v>
      </c>
      <c r="AZ787" s="17">
        <v>38.344195417602506</v>
      </c>
      <c r="BA787" s="17"/>
      <c r="BB787" s="17">
        <v>36</v>
      </c>
      <c r="BC787" s="17"/>
      <c r="BD787" s="17"/>
      <c r="BE787" s="17"/>
      <c r="BF787" s="17"/>
      <c r="BG787" s="17"/>
      <c r="BH787" s="17"/>
      <c r="BI787" s="17"/>
      <c r="BJ787" s="17"/>
      <c r="BK787" s="17"/>
      <c r="BL787" s="17"/>
      <c r="BM787" s="17"/>
      <c r="BN787" s="17"/>
      <c r="BO787" s="17"/>
      <c r="BP787" s="17"/>
      <c r="BQ787" s="17"/>
      <c r="BR787" s="17"/>
      <c r="BS787" s="17"/>
      <c r="BT787" s="17"/>
      <c r="BU787" s="17"/>
      <c r="BV787" s="17"/>
      <c r="BW787" s="17"/>
      <c r="BX787" s="17"/>
      <c r="BY787" s="17"/>
      <c r="BZ787" s="17"/>
      <c r="CA787" s="17"/>
      <c r="CB787" s="17"/>
      <c r="CC787" s="17"/>
      <c r="CD787" s="17"/>
      <c r="CE787" s="17"/>
      <c r="CF787" s="17"/>
      <c r="CG787" s="17"/>
      <c r="CH787" s="17"/>
    </row>
    <row r="788" spans="8:86" x14ac:dyDescent="0.15">
      <c r="H788" s="3">
        <f t="shared" si="341"/>
        <v>0.77600000000000058</v>
      </c>
      <c r="I788" s="3">
        <f t="shared" si="342"/>
        <v>360</v>
      </c>
      <c r="J788" s="14">
        <f t="shared" si="343"/>
        <v>500</v>
      </c>
      <c r="K788" s="3">
        <f t="shared" si="333"/>
        <v>0</v>
      </c>
      <c r="L788" s="3">
        <f t="shared" si="329"/>
        <v>500</v>
      </c>
      <c r="M788" s="15">
        <f t="shared" si="344"/>
        <v>7.0000000000000007E-2</v>
      </c>
      <c r="N788" s="3">
        <f t="shared" si="345"/>
        <v>46.183566519737994</v>
      </c>
      <c r="O788" s="3">
        <f t="shared" si="330"/>
        <v>46.183566519737994</v>
      </c>
      <c r="P788" s="3">
        <f t="shared" si="334"/>
        <v>49.659748945954838</v>
      </c>
      <c r="Q788" s="3">
        <f t="shared" si="335"/>
        <v>8.6902158263665132</v>
      </c>
      <c r="R788" s="3">
        <f t="shared" si="336"/>
        <v>29.174982386160675</v>
      </c>
      <c r="S788" s="3">
        <f t="shared" si="331"/>
        <v>1</v>
      </c>
      <c r="T788" s="3">
        <f t="shared" si="337"/>
        <v>20484.766559794163</v>
      </c>
      <c r="U788" s="3">
        <f t="shared" si="338"/>
        <v>0.5</v>
      </c>
      <c r="V788" s="3">
        <f t="shared" si="339"/>
        <v>0</v>
      </c>
      <c r="W788" s="3">
        <f t="shared" si="340"/>
        <v>16626.083947105679</v>
      </c>
      <c r="X788" s="3">
        <f t="shared" si="332"/>
        <v>4345.1079131832566</v>
      </c>
      <c r="AI788" s="3"/>
      <c r="AJ788" s="3"/>
      <c r="AK788" s="15">
        <f t="shared" si="323"/>
        <v>3</v>
      </c>
      <c r="AL788" s="11">
        <f t="shared" si="327"/>
        <v>4674</v>
      </c>
      <c r="AM788" s="11" t="b">
        <f t="shared" si="322"/>
        <v>0</v>
      </c>
      <c r="AN788" s="11">
        <f t="shared" si="324"/>
        <v>36000</v>
      </c>
      <c r="AO788" s="11">
        <f t="shared" si="325"/>
        <v>0</v>
      </c>
      <c r="AP788" s="11">
        <f t="shared" si="326"/>
        <v>0.38454426899083988</v>
      </c>
      <c r="AQ788" s="11">
        <f t="shared" si="328"/>
        <v>0</v>
      </c>
      <c r="AT788" s="3"/>
      <c r="AU788" s="17"/>
      <c r="AV788" s="19"/>
      <c r="AW788" s="17"/>
      <c r="AX788" s="17">
        <f t="shared" si="321"/>
        <v>779</v>
      </c>
      <c r="AY788" s="17">
        <f t="shared" ref="AY788:AY851" si="346">IF(ISNUMBER(AX788),IF(ROUND((AX788)*$AG$15*$AB$15,0) &lt;= 10080, ROUND((AX788)*$AG$15,0)*$AB$15/60, 168),168)</f>
        <v>77.900000000000006</v>
      </c>
      <c r="AZ788" s="17">
        <v>38.454426899083991</v>
      </c>
      <c r="BA788" s="17"/>
      <c r="BB788" s="17">
        <v>36</v>
      </c>
      <c r="BC788" s="17"/>
      <c r="BD788" s="17"/>
      <c r="BE788" s="17"/>
      <c r="BF788" s="17"/>
      <c r="BG788" s="17"/>
      <c r="BH788" s="17"/>
      <c r="BI788" s="17"/>
      <c r="BJ788" s="17"/>
      <c r="BK788" s="17"/>
      <c r="BL788" s="17"/>
      <c r="BM788" s="17"/>
      <c r="BN788" s="17"/>
      <c r="BO788" s="17"/>
      <c r="BP788" s="17"/>
      <c r="BQ788" s="17"/>
      <c r="BR788" s="17"/>
      <c r="BS788" s="17"/>
      <c r="BT788" s="17"/>
      <c r="BU788" s="17"/>
      <c r="BV788" s="17"/>
      <c r="BW788" s="17"/>
      <c r="BX788" s="17"/>
      <c r="BY788" s="17"/>
      <c r="BZ788" s="17"/>
      <c r="CA788" s="17"/>
      <c r="CB788" s="17"/>
      <c r="CC788" s="17"/>
      <c r="CD788" s="17"/>
      <c r="CE788" s="17"/>
      <c r="CF788" s="17"/>
      <c r="CG788" s="17"/>
      <c r="CH788" s="17"/>
    </row>
    <row r="789" spans="8:86" x14ac:dyDescent="0.15">
      <c r="H789" s="3">
        <f t="shared" si="341"/>
        <v>0.77700000000000058</v>
      </c>
      <c r="I789" s="3">
        <f t="shared" si="342"/>
        <v>360</v>
      </c>
      <c r="J789" s="14">
        <f t="shared" si="343"/>
        <v>500</v>
      </c>
      <c r="K789" s="3">
        <f t="shared" si="333"/>
        <v>0</v>
      </c>
      <c r="L789" s="3">
        <f t="shared" si="329"/>
        <v>500</v>
      </c>
      <c r="M789" s="15">
        <f t="shared" si="344"/>
        <v>7.0000000000000007E-2</v>
      </c>
      <c r="N789" s="3">
        <f t="shared" si="345"/>
        <v>46.126664390405232</v>
      </c>
      <c r="O789" s="3">
        <f t="shared" si="330"/>
        <v>46.126664390405232</v>
      </c>
      <c r="P789" s="3">
        <f t="shared" si="334"/>
        <v>49.598563860650792</v>
      </c>
      <c r="Q789" s="3">
        <f t="shared" si="335"/>
        <v>8.6492462932469252</v>
      </c>
      <c r="R789" s="3">
        <f t="shared" si="336"/>
        <v>29.123905076948859</v>
      </c>
      <c r="S789" s="3">
        <f t="shared" si="331"/>
        <v>1</v>
      </c>
      <c r="T789" s="3">
        <f t="shared" si="337"/>
        <v>20474.658783701932</v>
      </c>
      <c r="U789" s="3">
        <f t="shared" si="338"/>
        <v>0.5</v>
      </c>
      <c r="V789" s="3">
        <f t="shared" si="339"/>
        <v>0</v>
      </c>
      <c r="W789" s="3">
        <f t="shared" si="340"/>
        <v>16605.599180545883</v>
      </c>
      <c r="X789" s="3">
        <f t="shared" si="332"/>
        <v>4324.6231466234622</v>
      </c>
      <c r="AI789" s="3"/>
      <c r="AJ789" s="3"/>
      <c r="AK789" s="15">
        <f t="shared" si="323"/>
        <v>3</v>
      </c>
      <c r="AL789" s="11">
        <f t="shared" si="327"/>
        <v>4680</v>
      </c>
      <c r="AM789" s="11" t="b">
        <f t="shared" si="322"/>
        <v>0</v>
      </c>
      <c r="AN789" s="11">
        <f t="shared" si="324"/>
        <v>36000</v>
      </c>
      <c r="AO789" s="11">
        <f t="shared" si="325"/>
        <v>0</v>
      </c>
      <c r="AP789" s="11">
        <f t="shared" si="326"/>
        <v>0.38564658380565464</v>
      </c>
      <c r="AQ789" s="11">
        <f t="shared" si="328"/>
        <v>0</v>
      </c>
      <c r="AT789" s="3"/>
      <c r="AU789" s="17"/>
      <c r="AV789" s="19"/>
      <c r="AW789" s="17"/>
      <c r="AX789" s="17">
        <f t="shared" si="321"/>
        <v>780</v>
      </c>
      <c r="AY789" s="17">
        <f t="shared" si="346"/>
        <v>78</v>
      </c>
      <c r="AZ789" s="17">
        <v>38.564658380565461</v>
      </c>
      <c r="BA789" s="17"/>
      <c r="BB789" s="17">
        <v>36</v>
      </c>
      <c r="BC789" s="17"/>
      <c r="BD789" s="17"/>
      <c r="BE789" s="17"/>
      <c r="BF789" s="17"/>
      <c r="BG789" s="17"/>
      <c r="BH789" s="17"/>
      <c r="BI789" s="17"/>
      <c r="BJ789" s="17"/>
      <c r="BK789" s="17"/>
      <c r="BL789" s="17"/>
      <c r="BM789" s="17"/>
      <c r="BN789" s="17"/>
      <c r="BO789" s="17"/>
      <c r="BP789" s="17"/>
      <c r="BQ789" s="17"/>
      <c r="BR789" s="17"/>
      <c r="BS789" s="17"/>
      <c r="BT789" s="17"/>
      <c r="BU789" s="17"/>
      <c r="BV789" s="17"/>
      <c r="BW789" s="17"/>
      <c r="BX789" s="17"/>
      <c r="BY789" s="17"/>
      <c r="BZ789" s="17"/>
      <c r="CA789" s="17"/>
      <c r="CB789" s="17"/>
      <c r="CC789" s="17"/>
      <c r="CD789" s="17"/>
      <c r="CE789" s="17"/>
      <c r="CF789" s="17"/>
      <c r="CG789" s="17"/>
      <c r="CH789" s="17"/>
    </row>
    <row r="790" spans="8:86" x14ac:dyDescent="0.15">
      <c r="H790" s="3">
        <f t="shared" si="341"/>
        <v>0.77800000000000058</v>
      </c>
      <c r="I790" s="3">
        <f t="shared" si="342"/>
        <v>360</v>
      </c>
      <c r="J790" s="14">
        <f t="shared" si="343"/>
        <v>500</v>
      </c>
      <c r="K790" s="3">
        <f t="shared" si="333"/>
        <v>0</v>
      </c>
      <c r="L790" s="3">
        <f t="shared" si="329"/>
        <v>500</v>
      </c>
      <c r="M790" s="15">
        <f t="shared" si="344"/>
        <v>7.0000000000000007E-2</v>
      </c>
      <c r="N790" s="3">
        <f t="shared" si="345"/>
        <v>46.06979033822828</v>
      </c>
      <c r="O790" s="3">
        <f t="shared" si="330"/>
        <v>46.06979033822828</v>
      </c>
      <c r="P790" s="3">
        <f t="shared" si="334"/>
        <v>49.53740896583686</v>
      </c>
      <c r="Q790" s="3">
        <f t="shared" si="335"/>
        <v>8.6082969756795205</v>
      </c>
      <c r="R790" s="3">
        <f t="shared" si="336"/>
        <v>29.072852970758191</v>
      </c>
      <c r="S790" s="3">
        <f t="shared" si="331"/>
        <v>1</v>
      </c>
      <c r="T790" s="3">
        <f t="shared" si="337"/>
        <v>20464.55599507867</v>
      </c>
      <c r="U790" s="3">
        <f t="shared" si="338"/>
        <v>0.5</v>
      </c>
      <c r="V790" s="3">
        <f t="shared" si="339"/>
        <v>0</v>
      </c>
      <c r="W790" s="3">
        <f t="shared" si="340"/>
        <v>16585.12452176218</v>
      </c>
      <c r="X790" s="3">
        <f t="shared" si="332"/>
        <v>4304.1484878397605</v>
      </c>
      <c r="AI790" s="3"/>
      <c r="AJ790" s="3"/>
      <c r="AK790" s="15">
        <f t="shared" si="323"/>
        <v>3</v>
      </c>
      <c r="AL790" s="11">
        <f t="shared" si="327"/>
        <v>4686</v>
      </c>
      <c r="AM790" s="11" t="b">
        <f t="shared" si="322"/>
        <v>0</v>
      </c>
      <c r="AN790" s="11">
        <f t="shared" si="324"/>
        <v>36000</v>
      </c>
      <c r="AO790" s="11">
        <f t="shared" si="325"/>
        <v>0</v>
      </c>
      <c r="AP790" s="11">
        <f t="shared" si="326"/>
        <v>0.38674889862046946</v>
      </c>
      <c r="AQ790" s="11">
        <f t="shared" si="328"/>
        <v>0</v>
      </c>
      <c r="AT790" s="3"/>
      <c r="AU790" s="17"/>
      <c r="AV790" s="19"/>
      <c r="AW790" s="17"/>
      <c r="AX790" s="17">
        <f t="shared" si="321"/>
        <v>781</v>
      </c>
      <c r="AY790" s="17">
        <f t="shared" si="346"/>
        <v>78.099999999999994</v>
      </c>
      <c r="AZ790" s="17">
        <v>38.674889862046946</v>
      </c>
      <c r="BA790" s="17"/>
      <c r="BB790" s="17">
        <v>36</v>
      </c>
      <c r="BC790" s="17"/>
      <c r="BD790" s="17"/>
      <c r="BE790" s="17"/>
      <c r="BF790" s="17"/>
      <c r="BG790" s="17"/>
      <c r="BH790" s="17"/>
      <c r="BI790" s="17"/>
      <c r="BJ790" s="17"/>
      <c r="BK790" s="17"/>
      <c r="BL790" s="17"/>
      <c r="BM790" s="17"/>
      <c r="BN790" s="17"/>
      <c r="BO790" s="17"/>
      <c r="BP790" s="17"/>
      <c r="BQ790" s="17"/>
      <c r="BR790" s="17"/>
      <c r="BS790" s="17"/>
      <c r="BT790" s="17"/>
      <c r="BU790" s="17"/>
      <c r="BV790" s="17"/>
      <c r="BW790" s="17"/>
      <c r="BX790" s="17"/>
      <c r="BY790" s="17"/>
      <c r="BZ790" s="17"/>
      <c r="CA790" s="17"/>
      <c r="CB790" s="17"/>
      <c r="CC790" s="17"/>
      <c r="CD790" s="17"/>
      <c r="CE790" s="17"/>
      <c r="CF790" s="17"/>
      <c r="CG790" s="17"/>
      <c r="CH790" s="17"/>
    </row>
    <row r="791" spans="8:86" x14ac:dyDescent="0.15">
      <c r="H791" s="3">
        <f t="shared" si="341"/>
        <v>0.77900000000000058</v>
      </c>
      <c r="I791" s="3">
        <f t="shared" si="342"/>
        <v>360</v>
      </c>
      <c r="J791" s="14">
        <f t="shared" si="343"/>
        <v>500</v>
      </c>
      <c r="K791" s="3">
        <f t="shared" si="333"/>
        <v>0</v>
      </c>
      <c r="L791" s="3">
        <f t="shared" si="329"/>
        <v>500</v>
      </c>
      <c r="M791" s="15">
        <f t="shared" si="344"/>
        <v>7.0000000000000007E-2</v>
      </c>
      <c r="N791" s="3">
        <f t="shared" si="345"/>
        <v>46.012944349353056</v>
      </c>
      <c r="O791" s="3">
        <f t="shared" si="330"/>
        <v>46.012944349353056</v>
      </c>
      <c r="P791" s="3">
        <f t="shared" si="334"/>
        <v>49.476284246616196</v>
      </c>
      <c r="Q791" s="3">
        <f t="shared" si="335"/>
        <v>8.5673678636893644</v>
      </c>
      <c r="R791" s="3">
        <f t="shared" si="336"/>
        <v>29.021826055152779</v>
      </c>
      <c r="S791" s="3">
        <f t="shared" si="331"/>
        <v>1</v>
      </c>
      <c r="T791" s="3">
        <f t="shared" si="337"/>
        <v>20454.458191463418</v>
      </c>
      <c r="U791" s="3">
        <f t="shared" si="338"/>
        <v>0.5</v>
      </c>
      <c r="V791" s="3">
        <f t="shared" si="339"/>
        <v>0</v>
      </c>
      <c r="W791" s="3">
        <f t="shared" si="340"/>
        <v>16564.659965767099</v>
      </c>
      <c r="X791" s="3">
        <f t="shared" si="332"/>
        <v>4283.6839318446819</v>
      </c>
      <c r="AI791" s="3"/>
      <c r="AJ791" s="3"/>
      <c r="AK791" s="15">
        <f t="shared" si="323"/>
        <v>3</v>
      </c>
      <c r="AL791" s="11">
        <f t="shared" si="327"/>
        <v>4692</v>
      </c>
      <c r="AM791" s="11" t="b">
        <f t="shared" si="322"/>
        <v>0</v>
      </c>
      <c r="AN791" s="11">
        <f t="shared" si="324"/>
        <v>36000</v>
      </c>
      <c r="AO791" s="11">
        <f t="shared" si="325"/>
        <v>0</v>
      </c>
      <c r="AP791" s="11">
        <f t="shared" si="326"/>
        <v>0.38785121343528423</v>
      </c>
      <c r="AQ791" s="11">
        <f t="shared" si="328"/>
        <v>0</v>
      </c>
      <c r="AT791" s="3"/>
      <c r="AU791" s="17"/>
      <c r="AV791" s="19"/>
      <c r="AW791" s="17"/>
      <c r="AX791" s="17">
        <f t="shared" si="321"/>
        <v>782</v>
      </c>
      <c r="AY791" s="17">
        <f t="shared" si="346"/>
        <v>78.2</v>
      </c>
      <c r="AZ791" s="17">
        <v>38.785121343528424</v>
      </c>
      <c r="BA791" s="17"/>
      <c r="BB791" s="17">
        <v>36</v>
      </c>
      <c r="BC791" s="17"/>
      <c r="BD791" s="17"/>
      <c r="BE791" s="17"/>
      <c r="BF791" s="17"/>
      <c r="BG791" s="17"/>
      <c r="BH791" s="17"/>
      <c r="BI791" s="17"/>
      <c r="BJ791" s="17"/>
      <c r="BK791" s="17"/>
      <c r="BL791" s="17"/>
      <c r="BM791" s="17"/>
      <c r="BN791" s="17"/>
      <c r="BO791" s="17"/>
      <c r="BP791" s="17"/>
      <c r="BQ791" s="17"/>
      <c r="BR791" s="17"/>
      <c r="BS791" s="17"/>
      <c r="BT791" s="17"/>
      <c r="BU791" s="17"/>
      <c r="BV791" s="17"/>
      <c r="BW791" s="17"/>
      <c r="BX791" s="17"/>
      <c r="BY791" s="17"/>
      <c r="BZ791" s="17"/>
      <c r="CA791" s="17"/>
      <c r="CB791" s="17"/>
      <c r="CC791" s="17"/>
      <c r="CD791" s="17"/>
      <c r="CE791" s="17"/>
      <c r="CF791" s="17"/>
      <c r="CG791" s="17"/>
      <c r="CH791" s="17"/>
    </row>
    <row r="792" spans="8:86" x14ac:dyDescent="0.15">
      <c r="H792" s="3">
        <f t="shared" si="341"/>
        <v>0.78000000000000058</v>
      </c>
      <c r="I792" s="3">
        <f t="shared" si="342"/>
        <v>360</v>
      </c>
      <c r="J792" s="14">
        <f t="shared" si="343"/>
        <v>500</v>
      </c>
      <c r="K792" s="3">
        <f t="shared" si="333"/>
        <v>0</v>
      </c>
      <c r="L792" s="3">
        <f t="shared" si="329"/>
        <v>500</v>
      </c>
      <c r="M792" s="15">
        <f t="shared" si="344"/>
        <v>7.0000000000000007E-2</v>
      </c>
      <c r="N792" s="3">
        <f t="shared" si="345"/>
        <v>45.956126409932324</v>
      </c>
      <c r="O792" s="3">
        <f t="shared" si="330"/>
        <v>45.956126409932324</v>
      </c>
      <c r="P792" s="3">
        <f t="shared" si="334"/>
        <v>49.415189688099275</v>
      </c>
      <c r="Q792" s="3">
        <f t="shared" si="335"/>
        <v>8.5264589473064376</v>
      </c>
      <c r="R792" s="3">
        <f t="shared" si="336"/>
        <v>28.970824317702856</v>
      </c>
      <c r="S792" s="3">
        <f t="shared" si="331"/>
        <v>1</v>
      </c>
      <c r="T792" s="3">
        <f t="shared" si="337"/>
        <v>20444.365370396419</v>
      </c>
      <c r="U792" s="3">
        <f t="shared" si="338"/>
        <v>0.5</v>
      </c>
      <c r="V792" s="3">
        <f t="shared" si="339"/>
        <v>0</v>
      </c>
      <c r="W792" s="3">
        <f t="shared" si="340"/>
        <v>16544.205507575636</v>
      </c>
      <c r="X792" s="3">
        <f t="shared" si="332"/>
        <v>4263.2294736532185</v>
      </c>
      <c r="AI792" s="3"/>
      <c r="AJ792" s="3"/>
      <c r="AK792" s="15">
        <f t="shared" si="323"/>
        <v>3</v>
      </c>
      <c r="AL792" s="11">
        <f t="shared" si="327"/>
        <v>4698</v>
      </c>
      <c r="AM792" s="11" t="b">
        <f t="shared" si="322"/>
        <v>0</v>
      </c>
      <c r="AN792" s="11">
        <f t="shared" si="324"/>
        <v>36000</v>
      </c>
      <c r="AO792" s="11">
        <f t="shared" si="325"/>
        <v>0</v>
      </c>
      <c r="AP792" s="11">
        <f t="shared" si="326"/>
        <v>0.38895352825009905</v>
      </c>
      <c r="AQ792" s="11">
        <f t="shared" si="328"/>
        <v>0</v>
      </c>
      <c r="AT792" s="3"/>
      <c r="AU792" s="17"/>
      <c r="AV792" s="19"/>
      <c r="AW792" s="17"/>
      <c r="AX792" s="17">
        <f t="shared" si="321"/>
        <v>783</v>
      </c>
      <c r="AY792" s="17">
        <f t="shared" si="346"/>
        <v>78.3</v>
      </c>
      <c r="AZ792" s="17">
        <v>38.895352825009901</v>
      </c>
      <c r="BA792" s="17"/>
      <c r="BB792" s="17">
        <v>36</v>
      </c>
      <c r="BC792" s="17"/>
      <c r="BD792" s="17"/>
      <c r="BE792" s="17"/>
      <c r="BF792" s="17"/>
      <c r="BG792" s="17"/>
      <c r="BH792" s="17"/>
      <c r="BI792" s="17"/>
      <c r="BJ792" s="17"/>
      <c r="BK792" s="17"/>
      <c r="BL792" s="17"/>
      <c r="BM792" s="17"/>
      <c r="BN792" s="17"/>
      <c r="BO792" s="17"/>
      <c r="BP792" s="17"/>
      <c r="BQ792" s="17"/>
      <c r="BR792" s="17"/>
      <c r="BS792" s="17"/>
      <c r="BT792" s="17"/>
      <c r="BU792" s="17"/>
      <c r="BV792" s="17"/>
      <c r="BW792" s="17"/>
      <c r="BX792" s="17"/>
      <c r="BY792" s="17"/>
      <c r="BZ792" s="17"/>
      <c r="CA792" s="17"/>
      <c r="CB792" s="17"/>
      <c r="CC792" s="17"/>
      <c r="CD792" s="17"/>
      <c r="CE792" s="17"/>
      <c r="CF792" s="17"/>
      <c r="CG792" s="17"/>
      <c r="CH792" s="17"/>
    </row>
    <row r="793" spans="8:86" x14ac:dyDescent="0.15">
      <c r="H793" s="3">
        <f t="shared" si="341"/>
        <v>0.78100000000000058</v>
      </c>
      <c r="I793" s="3">
        <f t="shared" si="342"/>
        <v>360</v>
      </c>
      <c r="J793" s="14">
        <f t="shared" si="343"/>
        <v>500</v>
      </c>
      <c r="K793" s="3">
        <f t="shared" si="333"/>
        <v>0</v>
      </c>
      <c r="L793" s="3">
        <f t="shared" si="329"/>
        <v>500</v>
      </c>
      <c r="M793" s="15">
        <f t="shared" si="344"/>
        <v>7.0000000000000007E-2</v>
      </c>
      <c r="N793" s="3">
        <f t="shared" si="345"/>
        <v>45.899336506125664</v>
      </c>
      <c r="O793" s="3">
        <f t="shared" si="330"/>
        <v>45.899336506125664</v>
      </c>
      <c r="P793" s="3">
        <f t="shared" si="334"/>
        <v>49.354125275403945</v>
      </c>
      <c r="Q793" s="3">
        <f t="shared" si="335"/>
        <v>8.4855702165656446</v>
      </c>
      <c r="R793" s="3">
        <f t="shared" si="336"/>
        <v>28.919847745984796</v>
      </c>
      <c r="S793" s="3">
        <f t="shared" si="331"/>
        <v>1</v>
      </c>
      <c r="T793" s="3">
        <f t="shared" si="337"/>
        <v>20434.277529419149</v>
      </c>
      <c r="U793" s="3">
        <f t="shared" si="338"/>
        <v>0.5</v>
      </c>
      <c r="V793" s="3">
        <f t="shared" si="339"/>
        <v>0</v>
      </c>
      <c r="W793" s="3">
        <f t="shared" si="340"/>
        <v>16523.76114220524</v>
      </c>
      <c r="X793" s="3">
        <f t="shared" si="332"/>
        <v>4242.785108282822</v>
      </c>
      <c r="AI793" s="3"/>
      <c r="AJ793" s="3"/>
      <c r="AK793" s="15">
        <f t="shared" si="323"/>
        <v>3</v>
      </c>
      <c r="AL793" s="11">
        <f t="shared" si="327"/>
        <v>4704</v>
      </c>
      <c r="AM793" s="11" t="b">
        <f t="shared" si="322"/>
        <v>0</v>
      </c>
      <c r="AN793" s="11">
        <f t="shared" si="324"/>
        <v>36000</v>
      </c>
      <c r="AO793" s="11">
        <f t="shared" si="325"/>
        <v>0</v>
      </c>
      <c r="AP793" s="11">
        <f t="shared" si="326"/>
        <v>0.39005584306491381</v>
      </c>
      <c r="AQ793" s="11">
        <f t="shared" si="328"/>
        <v>0</v>
      </c>
      <c r="AT793" s="3"/>
      <c r="AU793" s="17"/>
      <c r="AV793" s="19"/>
      <c r="AW793" s="17"/>
      <c r="AX793" s="17">
        <f t="shared" si="321"/>
        <v>784</v>
      </c>
      <c r="AY793" s="17">
        <f t="shared" si="346"/>
        <v>78.400000000000006</v>
      </c>
      <c r="AZ793" s="17">
        <v>39.005584306491379</v>
      </c>
      <c r="BA793" s="17"/>
      <c r="BB793" s="17">
        <v>36</v>
      </c>
      <c r="BC793" s="17"/>
      <c r="BD793" s="17"/>
      <c r="BE793" s="17"/>
      <c r="BF793" s="17"/>
      <c r="BG793" s="17"/>
      <c r="BH793" s="17"/>
      <c r="BI793" s="17"/>
      <c r="BJ793" s="17"/>
      <c r="BK793" s="17"/>
      <c r="BL793" s="17"/>
      <c r="BM793" s="17"/>
      <c r="BN793" s="17"/>
      <c r="BO793" s="17"/>
      <c r="BP793" s="17"/>
      <c r="BQ793" s="17"/>
      <c r="BR793" s="17"/>
      <c r="BS793" s="17"/>
      <c r="BT793" s="17"/>
      <c r="BU793" s="17"/>
      <c r="BV793" s="17"/>
      <c r="BW793" s="17"/>
      <c r="BX793" s="17"/>
      <c r="BY793" s="17"/>
      <c r="BZ793" s="17"/>
      <c r="CA793" s="17"/>
      <c r="CB793" s="17"/>
      <c r="CC793" s="17"/>
      <c r="CD793" s="17"/>
      <c r="CE793" s="17"/>
      <c r="CF793" s="17"/>
      <c r="CG793" s="17"/>
      <c r="CH793" s="17"/>
    </row>
    <row r="794" spans="8:86" x14ac:dyDescent="0.15">
      <c r="H794" s="3">
        <f t="shared" si="341"/>
        <v>0.78200000000000058</v>
      </c>
      <c r="I794" s="3">
        <f t="shared" si="342"/>
        <v>360</v>
      </c>
      <c r="J794" s="14">
        <f t="shared" si="343"/>
        <v>500</v>
      </c>
      <c r="K794" s="3">
        <f t="shared" si="333"/>
        <v>0</v>
      </c>
      <c r="L794" s="3">
        <f t="shared" si="329"/>
        <v>500</v>
      </c>
      <c r="M794" s="15">
        <f t="shared" si="344"/>
        <v>7.0000000000000007E-2</v>
      </c>
      <c r="N794" s="3">
        <f t="shared" si="345"/>
        <v>45.842574624099498</v>
      </c>
      <c r="O794" s="3">
        <f t="shared" si="330"/>
        <v>45.842574624099498</v>
      </c>
      <c r="P794" s="3">
        <f t="shared" si="334"/>
        <v>49.293090993655376</v>
      </c>
      <c r="Q794" s="3">
        <f t="shared" si="335"/>
        <v>8.4447016615068051</v>
      </c>
      <c r="R794" s="3">
        <f t="shared" si="336"/>
        <v>28.868896327581091</v>
      </c>
      <c r="S794" s="3">
        <f t="shared" si="331"/>
        <v>1</v>
      </c>
      <c r="T794" s="3">
        <f t="shared" si="337"/>
        <v>20424.194666074287</v>
      </c>
      <c r="U794" s="3">
        <f t="shared" si="338"/>
        <v>0.5</v>
      </c>
      <c r="V794" s="3">
        <f t="shared" si="339"/>
        <v>0</v>
      </c>
      <c r="W794" s="3">
        <f t="shared" si="340"/>
        <v>16503.326864675819</v>
      </c>
      <c r="X794" s="3">
        <f t="shared" si="332"/>
        <v>4222.350830753403</v>
      </c>
      <c r="AI794" s="3"/>
      <c r="AJ794" s="3"/>
      <c r="AK794" s="15">
        <f t="shared" si="323"/>
        <v>3</v>
      </c>
      <c r="AL794" s="11">
        <f t="shared" si="327"/>
        <v>4710</v>
      </c>
      <c r="AM794" s="11" t="b">
        <f t="shared" si="322"/>
        <v>0</v>
      </c>
      <c r="AN794" s="11">
        <f t="shared" si="324"/>
        <v>36000</v>
      </c>
      <c r="AO794" s="11">
        <f t="shared" si="325"/>
        <v>0</v>
      </c>
      <c r="AP794" s="11">
        <f t="shared" si="326"/>
        <v>0.39115815787972863</v>
      </c>
      <c r="AQ794" s="11">
        <f t="shared" si="328"/>
        <v>0</v>
      </c>
      <c r="AT794" s="3"/>
      <c r="AU794" s="17"/>
      <c r="AV794" s="19"/>
      <c r="AW794" s="17"/>
      <c r="AX794" s="17">
        <f t="shared" si="321"/>
        <v>785</v>
      </c>
      <c r="AY794" s="17">
        <f t="shared" si="346"/>
        <v>78.5</v>
      </c>
      <c r="AZ794" s="17">
        <v>39.115815787972863</v>
      </c>
      <c r="BA794" s="17"/>
      <c r="BB794" s="17">
        <v>36</v>
      </c>
      <c r="BC794" s="17"/>
      <c r="BD794" s="17"/>
      <c r="BE794" s="17"/>
      <c r="BF794" s="17"/>
      <c r="BG794" s="17"/>
      <c r="BH794" s="17"/>
      <c r="BI794" s="17"/>
      <c r="BJ794" s="17"/>
      <c r="BK794" s="17"/>
      <c r="BL794" s="17"/>
      <c r="BM794" s="17"/>
      <c r="BN794" s="17"/>
      <c r="BO794" s="17"/>
      <c r="BP794" s="17"/>
      <c r="BQ794" s="17"/>
      <c r="BR794" s="17"/>
      <c r="BS794" s="17"/>
      <c r="BT794" s="17"/>
      <c r="BU794" s="17"/>
      <c r="BV794" s="17"/>
      <c r="BW794" s="17"/>
      <c r="BX794" s="17"/>
      <c r="BY794" s="17"/>
      <c r="BZ794" s="17"/>
      <c r="CA794" s="17"/>
      <c r="CB794" s="17"/>
      <c r="CC794" s="17"/>
      <c r="CD794" s="17"/>
      <c r="CE794" s="17"/>
      <c r="CF794" s="17"/>
      <c r="CG794" s="17"/>
      <c r="CH794" s="17"/>
    </row>
    <row r="795" spans="8:86" x14ac:dyDescent="0.15">
      <c r="H795" s="3">
        <f t="shared" si="341"/>
        <v>0.78300000000000058</v>
      </c>
      <c r="I795" s="3">
        <f t="shared" si="342"/>
        <v>360</v>
      </c>
      <c r="J795" s="14">
        <f t="shared" si="343"/>
        <v>500</v>
      </c>
      <c r="K795" s="3">
        <f t="shared" si="333"/>
        <v>0</v>
      </c>
      <c r="L795" s="3">
        <f t="shared" si="329"/>
        <v>500</v>
      </c>
      <c r="M795" s="15">
        <f t="shared" si="344"/>
        <v>7.0000000000000007E-2</v>
      </c>
      <c r="N795" s="3">
        <f t="shared" si="345"/>
        <v>45.78584075002707</v>
      </c>
      <c r="O795" s="3">
        <f t="shared" si="330"/>
        <v>45.78584075002707</v>
      </c>
      <c r="P795" s="3">
        <f t="shared" si="334"/>
        <v>49.232086827986102</v>
      </c>
      <c r="Q795" s="3">
        <f t="shared" si="335"/>
        <v>8.4038532721746577</v>
      </c>
      <c r="R795" s="3">
        <f t="shared" si="336"/>
        <v>28.81797005008038</v>
      </c>
      <c r="S795" s="3">
        <f t="shared" si="331"/>
        <v>1</v>
      </c>
      <c r="T795" s="3">
        <f t="shared" si="337"/>
        <v>20414.116777905721</v>
      </c>
      <c r="U795" s="3">
        <f t="shared" si="338"/>
        <v>0.5</v>
      </c>
      <c r="V795" s="3">
        <f t="shared" si="339"/>
        <v>0</v>
      </c>
      <c r="W795" s="3">
        <f t="shared" si="340"/>
        <v>16482.902670009746</v>
      </c>
      <c r="X795" s="3">
        <f t="shared" si="332"/>
        <v>4201.9266360873289</v>
      </c>
      <c r="AI795" s="3"/>
      <c r="AJ795" s="3"/>
      <c r="AK795" s="15">
        <f t="shared" si="323"/>
        <v>3</v>
      </c>
      <c r="AL795" s="11">
        <f t="shared" si="327"/>
        <v>4716</v>
      </c>
      <c r="AM795" s="11" t="b">
        <f t="shared" si="322"/>
        <v>0</v>
      </c>
      <c r="AN795" s="11">
        <f t="shared" si="324"/>
        <v>36000</v>
      </c>
      <c r="AO795" s="11">
        <f t="shared" si="325"/>
        <v>0</v>
      </c>
      <c r="AP795" s="11">
        <f t="shared" si="326"/>
        <v>0.39226047269454339</v>
      </c>
      <c r="AQ795" s="11">
        <f t="shared" si="328"/>
        <v>0</v>
      </c>
      <c r="AT795" s="3"/>
      <c r="AU795" s="17"/>
      <c r="AV795" s="19"/>
      <c r="AW795" s="17"/>
      <c r="AX795" s="17">
        <f t="shared" si="321"/>
        <v>786</v>
      </c>
      <c r="AY795" s="17">
        <f t="shared" si="346"/>
        <v>78.599999999999994</v>
      </c>
      <c r="AZ795" s="17">
        <v>39.226047269454341</v>
      </c>
      <c r="BA795" s="17"/>
      <c r="BB795" s="17">
        <v>36</v>
      </c>
      <c r="BC795" s="17"/>
      <c r="BD795" s="17"/>
      <c r="BE795" s="17"/>
      <c r="BF795" s="17"/>
      <c r="BG795" s="17"/>
      <c r="BH795" s="17"/>
      <c r="BI795" s="17"/>
      <c r="BJ795" s="17"/>
      <c r="BK795" s="17"/>
      <c r="BL795" s="17"/>
      <c r="BM795" s="17"/>
      <c r="BN795" s="17"/>
      <c r="BO795" s="17"/>
      <c r="BP795" s="17"/>
      <c r="BQ795" s="17"/>
      <c r="BR795" s="17"/>
      <c r="BS795" s="17"/>
      <c r="BT795" s="17"/>
      <c r="BU795" s="17"/>
      <c r="BV795" s="17"/>
      <c r="BW795" s="17"/>
      <c r="BX795" s="17"/>
      <c r="BY795" s="17"/>
      <c r="BZ795" s="17"/>
      <c r="CA795" s="17"/>
      <c r="CB795" s="17"/>
      <c r="CC795" s="17"/>
      <c r="CD795" s="17"/>
      <c r="CE795" s="17"/>
      <c r="CF795" s="17"/>
      <c r="CG795" s="17"/>
      <c r="CH795" s="17"/>
    </row>
    <row r="796" spans="8:86" x14ac:dyDescent="0.15">
      <c r="H796" s="3">
        <f t="shared" si="341"/>
        <v>0.78400000000000059</v>
      </c>
      <c r="I796" s="3">
        <f t="shared" si="342"/>
        <v>360</v>
      </c>
      <c r="J796" s="14">
        <f t="shared" si="343"/>
        <v>500</v>
      </c>
      <c r="K796" s="3">
        <f t="shared" si="333"/>
        <v>0</v>
      </c>
      <c r="L796" s="3">
        <f t="shared" si="329"/>
        <v>500</v>
      </c>
      <c r="M796" s="15">
        <f t="shared" si="344"/>
        <v>7.0000000000000007E-2</v>
      </c>
      <c r="N796" s="3">
        <f t="shared" si="345"/>
        <v>45.729134870088444</v>
      </c>
      <c r="O796" s="3">
        <f t="shared" si="330"/>
        <v>45.729134870088444</v>
      </c>
      <c r="P796" s="3">
        <f t="shared" si="334"/>
        <v>49.171112763535966</v>
      </c>
      <c r="Q796" s="3">
        <f t="shared" si="335"/>
        <v>8.3630250386188472</v>
      </c>
      <c r="R796" s="3">
        <f t="shared" si="336"/>
        <v>28.767068901077408</v>
      </c>
      <c r="S796" s="3">
        <f t="shared" si="331"/>
        <v>1</v>
      </c>
      <c r="T796" s="3">
        <f t="shared" si="337"/>
        <v>20404.043862458559</v>
      </c>
      <c r="U796" s="3">
        <f t="shared" si="338"/>
        <v>0.5</v>
      </c>
      <c r="V796" s="3">
        <f t="shared" si="339"/>
        <v>0</v>
      </c>
      <c r="W796" s="3">
        <f t="shared" si="340"/>
        <v>16462.48855323184</v>
      </c>
      <c r="X796" s="3">
        <f t="shared" si="332"/>
        <v>4181.5125193094236</v>
      </c>
      <c r="AI796" s="3"/>
      <c r="AJ796" s="3"/>
      <c r="AK796" s="15">
        <f t="shared" si="323"/>
        <v>3</v>
      </c>
      <c r="AL796" s="11">
        <f t="shared" si="327"/>
        <v>4722</v>
      </c>
      <c r="AM796" s="11" t="b">
        <f t="shared" si="322"/>
        <v>0</v>
      </c>
      <c r="AN796" s="11">
        <f t="shared" si="324"/>
        <v>36000</v>
      </c>
      <c r="AO796" s="11">
        <f t="shared" si="325"/>
        <v>0</v>
      </c>
      <c r="AP796" s="11">
        <f t="shared" si="326"/>
        <v>0.39336278750935821</v>
      </c>
      <c r="AQ796" s="11">
        <f t="shared" si="328"/>
        <v>0</v>
      </c>
      <c r="AT796" s="3"/>
      <c r="AU796" s="17"/>
      <c r="AV796" s="19"/>
      <c r="AW796" s="17"/>
      <c r="AX796" s="17">
        <f t="shared" si="321"/>
        <v>787</v>
      </c>
      <c r="AY796" s="17">
        <f t="shared" si="346"/>
        <v>78.7</v>
      </c>
      <c r="AZ796" s="17">
        <v>39.336278750935818</v>
      </c>
      <c r="BA796" s="17"/>
      <c r="BB796" s="17">
        <v>36</v>
      </c>
      <c r="BC796" s="17"/>
      <c r="BD796" s="17"/>
      <c r="BE796" s="17"/>
      <c r="BF796" s="17"/>
      <c r="BG796" s="17"/>
      <c r="BH796" s="17"/>
      <c r="BI796" s="17"/>
      <c r="BJ796" s="17"/>
      <c r="BK796" s="17"/>
      <c r="BL796" s="17"/>
      <c r="BM796" s="17"/>
      <c r="BN796" s="17"/>
      <c r="BO796" s="17"/>
      <c r="BP796" s="17"/>
      <c r="BQ796" s="17"/>
      <c r="BR796" s="17"/>
      <c r="BS796" s="17"/>
      <c r="BT796" s="17"/>
      <c r="BU796" s="17"/>
      <c r="BV796" s="17"/>
      <c r="BW796" s="17"/>
      <c r="BX796" s="17"/>
      <c r="BY796" s="17"/>
      <c r="BZ796" s="17"/>
      <c r="CA796" s="17"/>
      <c r="CB796" s="17"/>
      <c r="CC796" s="17"/>
      <c r="CD796" s="17"/>
      <c r="CE796" s="17"/>
      <c r="CF796" s="17"/>
      <c r="CG796" s="17"/>
      <c r="CH796" s="17"/>
    </row>
    <row r="797" spans="8:86" x14ac:dyDescent="0.15">
      <c r="H797" s="3">
        <f t="shared" si="341"/>
        <v>0.78500000000000059</v>
      </c>
      <c r="I797" s="3">
        <f t="shared" si="342"/>
        <v>360</v>
      </c>
      <c r="J797" s="14">
        <f t="shared" si="343"/>
        <v>500</v>
      </c>
      <c r="K797" s="3">
        <f t="shared" si="333"/>
        <v>0</v>
      </c>
      <c r="L797" s="3">
        <f t="shared" si="329"/>
        <v>500</v>
      </c>
      <c r="M797" s="15">
        <f t="shared" si="344"/>
        <v>7.0000000000000007E-2</v>
      </c>
      <c r="N797" s="3">
        <f t="shared" si="345"/>
        <v>45.672456970470506</v>
      </c>
      <c r="O797" s="3">
        <f t="shared" si="330"/>
        <v>45.672456970470506</v>
      </c>
      <c r="P797" s="3">
        <f t="shared" si="334"/>
        <v>49.11016878545216</v>
      </c>
      <c r="Q797" s="3">
        <f t="shared" si="335"/>
        <v>8.3222169508939299</v>
      </c>
      <c r="R797" s="3">
        <f t="shared" si="336"/>
        <v>28.716192868173046</v>
      </c>
      <c r="S797" s="3">
        <f t="shared" si="331"/>
        <v>1</v>
      </c>
      <c r="T797" s="3">
        <f t="shared" si="337"/>
        <v>20393.975917279113</v>
      </c>
      <c r="U797" s="3">
        <f t="shared" si="338"/>
        <v>0.5</v>
      </c>
      <c r="V797" s="3">
        <f t="shared" si="339"/>
        <v>0</v>
      </c>
      <c r="W797" s="3">
        <f t="shared" si="340"/>
        <v>16442.084509369382</v>
      </c>
      <c r="X797" s="3">
        <f t="shared" si="332"/>
        <v>4161.1084754469648</v>
      </c>
      <c r="AI797" s="3"/>
      <c r="AJ797" s="3"/>
      <c r="AK797" s="15">
        <f t="shared" si="323"/>
        <v>3</v>
      </c>
      <c r="AL797" s="11">
        <f t="shared" si="327"/>
        <v>4728</v>
      </c>
      <c r="AM797" s="11" t="b">
        <f t="shared" si="322"/>
        <v>0</v>
      </c>
      <c r="AN797" s="11">
        <f t="shared" si="324"/>
        <v>36000</v>
      </c>
      <c r="AO797" s="11">
        <f t="shared" si="325"/>
        <v>0</v>
      </c>
      <c r="AP797" s="11">
        <f t="shared" si="326"/>
        <v>0.39446510232417303</v>
      </c>
      <c r="AQ797" s="11">
        <f t="shared" si="328"/>
        <v>0</v>
      </c>
      <c r="AT797" s="3"/>
      <c r="AU797" s="17"/>
      <c r="AV797" s="19"/>
      <c r="AW797" s="17"/>
      <c r="AX797" s="17">
        <f t="shared" si="321"/>
        <v>788</v>
      </c>
      <c r="AY797" s="17">
        <f t="shared" si="346"/>
        <v>78.8</v>
      </c>
      <c r="AZ797" s="17">
        <v>39.446510232417303</v>
      </c>
      <c r="BA797" s="17"/>
      <c r="BB797" s="17">
        <v>36</v>
      </c>
      <c r="BC797" s="17"/>
      <c r="BD797" s="17"/>
      <c r="BE797" s="17"/>
      <c r="BF797" s="17"/>
      <c r="BG797" s="17"/>
      <c r="BH797" s="17"/>
      <c r="BI797" s="17"/>
      <c r="BJ797" s="17"/>
      <c r="BK797" s="17"/>
      <c r="BL797" s="17"/>
      <c r="BM797" s="17"/>
      <c r="BN797" s="17"/>
      <c r="BO797" s="17"/>
      <c r="BP797" s="17"/>
      <c r="BQ797" s="17"/>
      <c r="BR797" s="17"/>
      <c r="BS797" s="17"/>
      <c r="BT797" s="17"/>
      <c r="BU797" s="17"/>
      <c r="BV797" s="17"/>
      <c r="BW797" s="17"/>
      <c r="BX797" s="17"/>
      <c r="BY797" s="17"/>
      <c r="BZ797" s="17"/>
      <c r="CA797" s="17"/>
      <c r="CB797" s="17"/>
      <c r="CC797" s="17"/>
      <c r="CD797" s="17"/>
      <c r="CE797" s="17"/>
      <c r="CF797" s="17"/>
      <c r="CG797" s="17"/>
      <c r="CH797" s="17"/>
    </row>
    <row r="798" spans="8:86" x14ac:dyDescent="0.15">
      <c r="H798" s="3">
        <f t="shared" si="341"/>
        <v>0.78600000000000059</v>
      </c>
      <c r="I798" s="3">
        <f t="shared" si="342"/>
        <v>360</v>
      </c>
      <c r="J798" s="14">
        <f t="shared" si="343"/>
        <v>500</v>
      </c>
      <c r="K798" s="3">
        <f t="shared" si="333"/>
        <v>0</v>
      </c>
      <c r="L798" s="3">
        <f t="shared" si="329"/>
        <v>500</v>
      </c>
      <c r="M798" s="15">
        <f t="shared" si="344"/>
        <v>7.0000000000000007E-2</v>
      </c>
      <c r="N798" s="3">
        <f t="shared" si="345"/>
        <v>45.615807037366956</v>
      </c>
      <c r="O798" s="3">
        <f t="shared" si="330"/>
        <v>45.615807037366956</v>
      </c>
      <c r="P798" s="3">
        <f t="shared" si="334"/>
        <v>49.049254878889201</v>
      </c>
      <c r="Q798" s="3">
        <f t="shared" si="335"/>
        <v>8.2814289990593721</v>
      </c>
      <c r="R798" s="3">
        <f t="shared" si="336"/>
        <v>28.665341938974287</v>
      </c>
      <c r="S798" s="3">
        <f t="shared" si="331"/>
        <v>1</v>
      </c>
      <c r="T798" s="3">
        <f t="shared" si="337"/>
        <v>20383.912939914913</v>
      </c>
      <c r="U798" s="3">
        <f t="shared" si="338"/>
        <v>0.5</v>
      </c>
      <c r="V798" s="3">
        <f t="shared" si="339"/>
        <v>0</v>
      </c>
      <c r="W798" s="3">
        <f t="shared" si="340"/>
        <v>16421.690533452103</v>
      </c>
      <c r="X798" s="3">
        <f t="shared" si="332"/>
        <v>4140.7144995296858</v>
      </c>
      <c r="AI798" s="3"/>
      <c r="AJ798" s="3"/>
      <c r="AK798" s="15">
        <f t="shared" si="323"/>
        <v>3</v>
      </c>
      <c r="AL798" s="11">
        <f t="shared" si="327"/>
        <v>4734</v>
      </c>
      <c r="AM798" s="11" t="b">
        <f t="shared" si="322"/>
        <v>0</v>
      </c>
      <c r="AN798" s="11">
        <f t="shared" si="324"/>
        <v>36000</v>
      </c>
      <c r="AO798" s="11">
        <f t="shared" si="325"/>
        <v>0</v>
      </c>
      <c r="AP798" s="11">
        <f t="shared" si="326"/>
        <v>0.3955674171389878</v>
      </c>
      <c r="AQ798" s="11">
        <f t="shared" si="328"/>
        <v>0</v>
      </c>
      <c r="AT798" s="3"/>
      <c r="AU798" s="17"/>
      <c r="AV798" s="19"/>
      <c r="AW798" s="17"/>
      <c r="AX798" s="17">
        <f t="shared" si="321"/>
        <v>789</v>
      </c>
      <c r="AY798" s="17">
        <f t="shared" si="346"/>
        <v>78.900000000000006</v>
      </c>
      <c r="AZ798" s="17">
        <v>39.556741713898781</v>
      </c>
      <c r="BA798" s="17"/>
      <c r="BB798" s="17">
        <v>36</v>
      </c>
      <c r="BC798" s="17"/>
      <c r="BD798" s="17"/>
      <c r="BE798" s="17"/>
      <c r="BF798" s="17"/>
      <c r="BG798" s="17"/>
      <c r="BH798" s="17"/>
      <c r="BI798" s="17"/>
      <c r="BJ798" s="17"/>
      <c r="BK798" s="17"/>
      <c r="BL798" s="17"/>
      <c r="BM798" s="17"/>
      <c r="BN798" s="17"/>
      <c r="BO798" s="17"/>
      <c r="BP798" s="17"/>
      <c r="BQ798" s="17"/>
      <c r="BR798" s="17"/>
      <c r="BS798" s="17"/>
      <c r="BT798" s="17"/>
      <c r="BU798" s="17"/>
      <c r="BV798" s="17"/>
      <c r="BW798" s="17"/>
      <c r="BX798" s="17"/>
      <c r="BY798" s="17"/>
      <c r="BZ798" s="17"/>
      <c r="CA798" s="17"/>
      <c r="CB798" s="17"/>
      <c r="CC798" s="17"/>
      <c r="CD798" s="17"/>
      <c r="CE798" s="17"/>
      <c r="CF798" s="17"/>
      <c r="CG798" s="17"/>
      <c r="CH798" s="17"/>
    </row>
    <row r="799" spans="8:86" x14ac:dyDescent="0.15">
      <c r="H799" s="3">
        <f t="shared" si="341"/>
        <v>0.78700000000000059</v>
      </c>
      <c r="I799" s="3">
        <f t="shared" si="342"/>
        <v>360</v>
      </c>
      <c r="J799" s="14">
        <f t="shared" si="343"/>
        <v>500</v>
      </c>
      <c r="K799" s="3">
        <f t="shared" si="333"/>
        <v>0</v>
      </c>
      <c r="L799" s="3">
        <f t="shared" si="329"/>
        <v>500</v>
      </c>
      <c r="M799" s="15">
        <f t="shared" si="344"/>
        <v>7.0000000000000007E-2</v>
      </c>
      <c r="N799" s="3">
        <f t="shared" si="345"/>
        <v>45.559185056978293</v>
      </c>
      <c r="O799" s="3">
        <f t="shared" si="330"/>
        <v>45.559185056978293</v>
      </c>
      <c r="P799" s="3">
        <f t="shared" si="334"/>
        <v>48.988371029008924</v>
      </c>
      <c r="Q799" s="3">
        <f t="shared" si="335"/>
        <v>8.2406611731795412</v>
      </c>
      <c r="R799" s="3">
        <f t="shared" si="336"/>
        <v>28.614516101094232</v>
      </c>
      <c r="S799" s="3">
        <f t="shared" si="331"/>
        <v>1</v>
      </c>
      <c r="T799" s="3">
        <f t="shared" si="337"/>
        <v>20373.854927914694</v>
      </c>
      <c r="U799" s="3">
        <f t="shared" si="338"/>
        <v>0.5</v>
      </c>
      <c r="V799" s="3">
        <f t="shared" si="339"/>
        <v>0</v>
      </c>
      <c r="W799" s="3">
        <f t="shared" si="340"/>
        <v>16401.306620512187</v>
      </c>
      <c r="X799" s="3">
        <f t="shared" si="332"/>
        <v>4120.330586589771</v>
      </c>
      <c r="AI799" s="3"/>
      <c r="AJ799" s="3"/>
      <c r="AK799" s="15">
        <f t="shared" si="323"/>
        <v>3</v>
      </c>
      <c r="AL799" s="11">
        <f t="shared" si="327"/>
        <v>4740</v>
      </c>
      <c r="AM799" s="11" t="b">
        <f t="shared" si="322"/>
        <v>0</v>
      </c>
      <c r="AN799" s="11">
        <f t="shared" si="324"/>
        <v>36000</v>
      </c>
      <c r="AO799" s="11">
        <f t="shared" si="325"/>
        <v>0</v>
      </c>
      <c r="AP799" s="11">
        <f t="shared" si="326"/>
        <v>0.39666973195380262</v>
      </c>
      <c r="AQ799" s="11">
        <f t="shared" si="328"/>
        <v>0</v>
      </c>
      <c r="AT799" s="3"/>
      <c r="AU799" s="17"/>
      <c r="AV799" s="19"/>
      <c r="AW799" s="17"/>
      <c r="AX799" s="17">
        <f t="shared" si="321"/>
        <v>790</v>
      </c>
      <c r="AY799" s="17">
        <f t="shared" si="346"/>
        <v>79</v>
      </c>
      <c r="AZ799" s="17">
        <v>39.666973195380265</v>
      </c>
      <c r="BA799" s="17"/>
      <c r="BB799" s="17">
        <v>36</v>
      </c>
      <c r="BC799" s="17"/>
      <c r="BD799" s="17"/>
      <c r="BE799" s="17"/>
      <c r="BF799" s="17"/>
      <c r="BG799" s="17"/>
      <c r="BH799" s="17"/>
      <c r="BI799" s="17"/>
      <c r="BJ799" s="17"/>
      <c r="BK799" s="17"/>
      <c r="BL799" s="17"/>
      <c r="BM799" s="17"/>
      <c r="BN799" s="17"/>
      <c r="BO799" s="17"/>
      <c r="BP799" s="17"/>
      <c r="BQ799" s="17"/>
      <c r="BR799" s="17"/>
      <c r="BS799" s="17"/>
      <c r="BT799" s="17"/>
      <c r="BU799" s="17"/>
      <c r="BV799" s="17"/>
      <c r="BW799" s="17"/>
      <c r="BX799" s="17"/>
      <c r="BY799" s="17"/>
      <c r="BZ799" s="17"/>
      <c r="CA799" s="17"/>
      <c r="CB799" s="17"/>
      <c r="CC799" s="17"/>
      <c r="CD799" s="17"/>
      <c r="CE799" s="17"/>
      <c r="CF799" s="17"/>
      <c r="CG799" s="17"/>
      <c r="CH799" s="17"/>
    </row>
    <row r="800" spans="8:86" x14ac:dyDescent="0.15">
      <c r="H800" s="3">
        <f t="shared" si="341"/>
        <v>0.78800000000000059</v>
      </c>
      <c r="I800" s="3">
        <f t="shared" si="342"/>
        <v>360</v>
      </c>
      <c r="J800" s="14">
        <f t="shared" si="343"/>
        <v>500</v>
      </c>
      <c r="K800" s="3">
        <f t="shared" si="333"/>
        <v>0</v>
      </c>
      <c r="L800" s="3">
        <f t="shared" si="329"/>
        <v>500</v>
      </c>
      <c r="M800" s="15">
        <f t="shared" si="344"/>
        <v>7.0000000000000007E-2</v>
      </c>
      <c r="N800" s="3">
        <f t="shared" si="345"/>
        <v>45.502591015511868</v>
      </c>
      <c r="O800" s="3">
        <f t="shared" si="330"/>
        <v>45.502591015511868</v>
      </c>
      <c r="P800" s="3">
        <f t="shared" si="334"/>
        <v>48.927517220980505</v>
      </c>
      <c r="Q800" s="3">
        <f t="shared" si="335"/>
        <v>8.1999134633237123</v>
      </c>
      <c r="R800" s="3">
        <f t="shared" si="336"/>
        <v>28.563715342152108</v>
      </c>
      <c r="S800" s="3">
        <f t="shared" si="331"/>
        <v>1</v>
      </c>
      <c r="T800" s="3">
        <f t="shared" si="337"/>
        <v>20363.801878828399</v>
      </c>
      <c r="U800" s="3">
        <f t="shared" si="338"/>
        <v>0.5</v>
      </c>
      <c r="V800" s="3">
        <f t="shared" si="339"/>
        <v>0</v>
      </c>
      <c r="W800" s="3">
        <f t="shared" si="340"/>
        <v>16380.932765584272</v>
      </c>
      <c r="X800" s="3">
        <f t="shared" si="332"/>
        <v>4099.9567316618559</v>
      </c>
      <c r="AI800" s="3"/>
      <c r="AJ800" s="3"/>
      <c r="AK800" s="15">
        <f t="shared" si="323"/>
        <v>3</v>
      </c>
      <c r="AL800" s="11">
        <f t="shared" si="327"/>
        <v>4746</v>
      </c>
      <c r="AM800" s="11" t="b">
        <f t="shared" si="322"/>
        <v>0</v>
      </c>
      <c r="AN800" s="11">
        <f t="shared" si="324"/>
        <v>36000</v>
      </c>
      <c r="AO800" s="11">
        <f t="shared" si="325"/>
        <v>0</v>
      </c>
      <c r="AP800" s="11">
        <f t="shared" si="326"/>
        <v>0.39777204676861738</v>
      </c>
      <c r="AQ800" s="11">
        <f t="shared" si="328"/>
        <v>0</v>
      </c>
      <c r="AT800" s="3"/>
      <c r="AU800" s="17"/>
      <c r="AV800" s="19"/>
      <c r="AW800" s="17"/>
      <c r="AX800" s="17">
        <f t="shared" si="321"/>
        <v>791</v>
      </c>
      <c r="AY800" s="17">
        <f t="shared" si="346"/>
        <v>79.099999999999994</v>
      </c>
      <c r="AZ800" s="17">
        <v>39.777204676861736</v>
      </c>
      <c r="BA800" s="17"/>
      <c r="BB800" s="17">
        <v>36</v>
      </c>
      <c r="BC800" s="17"/>
      <c r="BD800" s="17"/>
      <c r="BE800" s="17"/>
      <c r="BF800" s="17"/>
      <c r="BG800" s="17"/>
      <c r="BH800" s="17"/>
      <c r="BI800" s="17"/>
      <c r="BJ800" s="17"/>
      <c r="BK800" s="17"/>
      <c r="BL800" s="17"/>
      <c r="BM800" s="17"/>
      <c r="BN800" s="17"/>
      <c r="BO800" s="17"/>
      <c r="BP800" s="17"/>
      <c r="BQ800" s="17"/>
      <c r="BR800" s="17"/>
      <c r="BS800" s="17"/>
      <c r="BT800" s="17"/>
      <c r="BU800" s="17"/>
      <c r="BV800" s="17"/>
      <c r="BW800" s="17"/>
      <c r="BX800" s="17"/>
      <c r="BY800" s="17"/>
      <c r="BZ800" s="17"/>
      <c r="CA800" s="17"/>
      <c r="CB800" s="17"/>
      <c r="CC800" s="17"/>
      <c r="CD800" s="17"/>
      <c r="CE800" s="17"/>
      <c r="CF800" s="17"/>
      <c r="CG800" s="17"/>
      <c r="CH800" s="17"/>
    </row>
    <row r="801" spans="8:86" x14ac:dyDescent="0.15">
      <c r="H801" s="3">
        <f t="shared" si="341"/>
        <v>0.78900000000000059</v>
      </c>
      <c r="I801" s="3">
        <f t="shared" si="342"/>
        <v>360</v>
      </c>
      <c r="J801" s="14">
        <f t="shared" si="343"/>
        <v>500</v>
      </c>
      <c r="K801" s="3">
        <f t="shared" si="333"/>
        <v>0</v>
      </c>
      <c r="L801" s="3">
        <f t="shared" si="329"/>
        <v>500</v>
      </c>
      <c r="M801" s="15">
        <f t="shared" si="344"/>
        <v>7.0000000000000007E-2</v>
      </c>
      <c r="N801" s="3">
        <f t="shared" si="345"/>
        <v>45.446024899181786</v>
      </c>
      <c r="O801" s="3">
        <f t="shared" si="330"/>
        <v>45.446024899181786</v>
      </c>
      <c r="P801" s="3">
        <f t="shared" si="334"/>
        <v>48.866693439980416</v>
      </c>
      <c r="Q801" s="3">
        <f t="shared" si="335"/>
        <v>8.1591858595660547</v>
      </c>
      <c r="R801" s="3">
        <f t="shared" si="336"/>
        <v>28.512939649773237</v>
      </c>
      <c r="S801" s="3">
        <f t="shared" si="331"/>
        <v>1</v>
      </c>
      <c r="T801" s="3">
        <f t="shared" si="337"/>
        <v>20353.753790207178</v>
      </c>
      <c r="U801" s="3">
        <f t="shared" si="338"/>
        <v>0.5</v>
      </c>
      <c r="V801" s="3">
        <f t="shared" si="339"/>
        <v>0</v>
      </c>
      <c r="W801" s="3">
        <f t="shared" si="340"/>
        <v>16360.568963705444</v>
      </c>
      <c r="X801" s="3">
        <f t="shared" si="332"/>
        <v>4079.5929297830276</v>
      </c>
      <c r="AI801" s="3"/>
      <c r="AJ801" s="3"/>
      <c r="AK801" s="15">
        <f t="shared" si="323"/>
        <v>3</v>
      </c>
      <c r="AL801" s="11">
        <f t="shared" si="327"/>
        <v>4752</v>
      </c>
      <c r="AM801" s="11" t="b">
        <f t="shared" si="322"/>
        <v>0</v>
      </c>
      <c r="AN801" s="11">
        <f t="shared" si="324"/>
        <v>36000</v>
      </c>
      <c r="AO801" s="11">
        <f t="shared" si="325"/>
        <v>0</v>
      </c>
      <c r="AP801" s="11">
        <f t="shared" si="326"/>
        <v>0.3988743615834322</v>
      </c>
      <c r="AQ801" s="11">
        <f t="shared" si="328"/>
        <v>0</v>
      </c>
      <c r="AT801" s="3"/>
      <c r="AU801" s="17"/>
      <c r="AV801" s="19"/>
      <c r="AW801" s="17"/>
      <c r="AX801" s="17">
        <f t="shared" si="321"/>
        <v>792</v>
      </c>
      <c r="AY801" s="17">
        <f t="shared" si="346"/>
        <v>79.2</v>
      </c>
      <c r="AZ801" s="17">
        <v>39.88743615834322</v>
      </c>
      <c r="BA801" s="17"/>
      <c r="BB801" s="17">
        <v>36</v>
      </c>
      <c r="BC801" s="17"/>
      <c r="BD801" s="17"/>
      <c r="BE801" s="17"/>
      <c r="BF801" s="17"/>
      <c r="BG801" s="17"/>
      <c r="BH801" s="17"/>
      <c r="BI801" s="17"/>
      <c r="BJ801" s="17"/>
      <c r="BK801" s="17"/>
      <c r="BL801" s="17"/>
      <c r="BM801" s="17"/>
      <c r="BN801" s="17"/>
      <c r="BO801" s="17"/>
      <c r="BP801" s="17"/>
      <c r="BQ801" s="17"/>
      <c r="BR801" s="17"/>
      <c r="BS801" s="17"/>
      <c r="BT801" s="17"/>
      <c r="BU801" s="17"/>
      <c r="BV801" s="17"/>
      <c r="BW801" s="17"/>
      <c r="BX801" s="17"/>
      <c r="BY801" s="17"/>
      <c r="BZ801" s="17"/>
      <c r="CA801" s="17"/>
      <c r="CB801" s="17"/>
      <c r="CC801" s="17"/>
      <c r="CD801" s="17"/>
      <c r="CE801" s="17"/>
      <c r="CF801" s="17"/>
      <c r="CG801" s="17"/>
      <c r="CH801" s="17"/>
    </row>
    <row r="802" spans="8:86" x14ac:dyDescent="0.15">
      <c r="H802" s="3">
        <f t="shared" si="341"/>
        <v>0.79000000000000059</v>
      </c>
      <c r="I802" s="3">
        <f t="shared" si="342"/>
        <v>360</v>
      </c>
      <c r="J802" s="14">
        <f t="shared" si="343"/>
        <v>500</v>
      </c>
      <c r="K802" s="3">
        <f t="shared" si="333"/>
        <v>0</v>
      </c>
      <c r="L802" s="3">
        <f t="shared" si="329"/>
        <v>500</v>
      </c>
      <c r="M802" s="15">
        <f t="shared" si="344"/>
        <v>7.0000000000000007E-2</v>
      </c>
      <c r="N802" s="3">
        <f t="shared" si="345"/>
        <v>45.389486694208991</v>
      </c>
      <c r="O802" s="3">
        <f t="shared" si="330"/>
        <v>45.389486694208991</v>
      </c>
      <c r="P802" s="3">
        <f t="shared" si="334"/>
        <v>48.805899671192464</v>
      </c>
      <c r="Q802" s="3">
        <f t="shared" si="335"/>
        <v>8.1184783519856403</v>
      </c>
      <c r="R802" s="3">
        <f t="shared" si="336"/>
        <v>28.462189011589054</v>
      </c>
      <c r="S802" s="3">
        <f t="shared" si="331"/>
        <v>1</v>
      </c>
      <c r="T802" s="3">
        <f t="shared" si="337"/>
        <v>20343.71065960341</v>
      </c>
      <c r="U802" s="3">
        <f t="shared" si="338"/>
        <v>0.5</v>
      </c>
      <c r="V802" s="3">
        <f t="shared" si="339"/>
        <v>0</v>
      </c>
      <c r="W802" s="3">
        <f t="shared" si="340"/>
        <v>16340.215209915237</v>
      </c>
      <c r="X802" s="3">
        <f t="shared" si="332"/>
        <v>4059.23917599282</v>
      </c>
      <c r="AI802" s="3"/>
      <c r="AJ802" s="3"/>
      <c r="AK802" s="15">
        <f t="shared" si="323"/>
        <v>3</v>
      </c>
      <c r="AL802" s="11">
        <f t="shared" si="327"/>
        <v>4758</v>
      </c>
      <c r="AM802" s="11" t="b">
        <f t="shared" si="322"/>
        <v>0</v>
      </c>
      <c r="AN802" s="11">
        <f t="shared" si="324"/>
        <v>36000</v>
      </c>
      <c r="AO802" s="11">
        <f t="shared" si="325"/>
        <v>0</v>
      </c>
      <c r="AP802" s="11">
        <f t="shared" si="326"/>
        <v>0.39997667639824697</v>
      </c>
      <c r="AQ802" s="11">
        <f t="shared" si="328"/>
        <v>0</v>
      </c>
      <c r="AT802" s="3"/>
      <c r="AU802" s="17"/>
      <c r="AV802" s="19"/>
      <c r="AW802" s="17"/>
      <c r="AX802" s="17">
        <f t="shared" si="321"/>
        <v>793</v>
      </c>
      <c r="AY802" s="17">
        <f t="shared" si="346"/>
        <v>79.3</v>
      </c>
      <c r="AZ802" s="17">
        <v>39.997667639824698</v>
      </c>
      <c r="BA802" s="17"/>
      <c r="BB802" s="17">
        <v>36</v>
      </c>
      <c r="BC802" s="17"/>
      <c r="BD802" s="17"/>
      <c r="BE802" s="17"/>
      <c r="BF802" s="17"/>
      <c r="BG802" s="17"/>
      <c r="BH802" s="17"/>
      <c r="BI802" s="17"/>
      <c r="BJ802" s="17"/>
      <c r="BK802" s="17"/>
      <c r="BL802" s="17"/>
      <c r="BM802" s="17"/>
      <c r="BN802" s="17"/>
      <c r="BO802" s="17"/>
      <c r="BP802" s="17"/>
      <c r="BQ802" s="17"/>
      <c r="BR802" s="17"/>
      <c r="BS802" s="17"/>
      <c r="BT802" s="17"/>
      <c r="BU802" s="17"/>
      <c r="BV802" s="17"/>
      <c r="BW802" s="17"/>
      <c r="BX802" s="17"/>
      <c r="BY802" s="17"/>
      <c r="BZ802" s="17"/>
      <c r="CA802" s="17"/>
      <c r="CB802" s="17"/>
      <c r="CC802" s="17"/>
      <c r="CD802" s="17"/>
      <c r="CE802" s="17"/>
      <c r="CF802" s="17"/>
      <c r="CG802" s="17"/>
      <c r="CH802" s="17"/>
    </row>
    <row r="803" spans="8:86" x14ac:dyDescent="0.15">
      <c r="H803" s="3">
        <f t="shared" si="341"/>
        <v>0.79100000000000059</v>
      </c>
      <c r="I803" s="3">
        <f t="shared" si="342"/>
        <v>360</v>
      </c>
      <c r="J803" s="14">
        <f t="shared" si="343"/>
        <v>500</v>
      </c>
      <c r="K803" s="3">
        <f t="shared" si="333"/>
        <v>0</v>
      </c>
      <c r="L803" s="3">
        <f t="shared" si="329"/>
        <v>500</v>
      </c>
      <c r="M803" s="15">
        <f t="shared" si="344"/>
        <v>7.0000000000000007E-2</v>
      </c>
      <c r="N803" s="3">
        <f t="shared" si="345"/>
        <v>45.332976386821208</v>
      </c>
      <c r="O803" s="3">
        <f t="shared" si="330"/>
        <v>45.332976386821208</v>
      </c>
      <c r="P803" s="3">
        <f t="shared" si="334"/>
        <v>48.745135899807757</v>
      </c>
      <c r="Q803" s="3">
        <f t="shared" si="335"/>
        <v>8.0777909306664331</v>
      </c>
      <c r="R803" s="3">
        <f t="shared" si="336"/>
        <v>28.411463415237094</v>
      </c>
      <c r="S803" s="3">
        <f t="shared" si="331"/>
        <v>1</v>
      </c>
      <c r="T803" s="3">
        <f t="shared" si="337"/>
        <v>20333.672484570663</v>
      </c>
      <c r="U803" s="3">
        <f t="shared" si="338"/>
        <v>0.5</v>
      </c>
      <c r="V803" s="3">
        <f t="shared" si="339"/>
        <v>0</v>
      </c>
      <c r="W803" s="3">
        <f t="shared" si="340"/>
        <v>16319.871499255634</v>
      </c>
      <c r="X803" s="3">
        <f t="shared" si="332"/>
        <v>4038.8954653332166</v>
      </c>
      <c r="AI803" s="3"/>
      <c r="AJ803" s="3"/>
      <c r="AK803" s="15">
        <f t="shared" si="323"/>
        <v>3</v>
      </c>
      <c r="AL803" s="11">
        <f t="shared" si="327"/>
        <v>4764</v>
      </c>
      <c r="AM803" s="11" t="b">
        <f t="shared" si="322"/>
        <v>0</v>
      </c>
      <c r="AN803" s="11">
        <f t="shared" si="324"/>
        <v>36000</v>
      </c>
      <c r="AO803" s="11">
        <f t="shared" si="325"/>
        <v>0</v>
      </c>
      <c r="AP803" s="11">
        <f t="shared" si="326"/>
        <v>0.40107899121306179</v>
      </c>
      <c r="AQ803" s="11">
        <f t="shared" si="328"/>
        <v>0</v>
      </c>
      <c r="AT803" s="3"/>
      <c r="AU803" s="17"/>
      <c r="AV803" s="19"/>
      <c r="AW803" s="17"/>
      <c r="AX803" s="17">
        <f t="shared" si="321"/>
        <v>794</v>
      </c>
      <c r="AY803" s="17">
        <f t="shared" si="346"/>
        <v>79.400000000000006</v>
      </c>
      <c r="AZ803" s="17">
        <v>40.107899121306176</v>
      </c>
      <c r="BA803" s="17"/>
      <c r="BB803" s="17">
        <v>36</v>
      </c>
      <c r="BC803" s="17"/>
      <c r="BD803" s="17"/>
      <c r="BE803" s="17"/>
      <c r="BF803" s="17"/>
      <c r="BG803" s="17"/>
      <c r="BH803" s="17"/>
      <c r="BI803" s="17"/>
      <c r="BJ803" s="17"/>
      <c r="BK803" s="17"/>
      <c r="BL803" s="17"/>
      <c r="BM803" s="17"/>
      <c r="BN803" s="17"/>
      <c r="BO803" s="17"/>
      <c r="BP803" s="17"/>
      <c r="BQ803" s="17"/>
      <c r="BR803" s="17"/>
      <c r="BS803" s="17"/>
      <c r="BT803" s="17"/>
      <c r="BU803" s="17"/>
      <c r="BV803" s="17"/>
      <c r="BW803" s="17"/>
      <c r="BX803" s="17"/>
      <c r="BY803" s="17"/>
      <c r="BZ803" s="17"/>
      <c r="CA803" s="17"/>
      <c r="CB803" s="17"/>
      <c r="CC803" s="17"/>
      <c r="CD803" s="17"/>
      <c r="CE803" s="17"/>
      <c r="CF803" s="17"/>
      <c r="CG803" s="17"/>
      <c r="CH803" s="17"/>
    </row>
    <row r="804" spans="8:86" x14ac:dyDescent="0.15">
      <c r="H804" s="3">
        <f t="shared" si="341"/>
        <v>0.79200000000000059</v>
      </c>
      <c r="I804" s="3">
        <f t="shared" si="342"/>
        <v>360</v>
      </c>
      <c r="J804" s="14">
        <f t="shared" si="343"/>
        <v>500</v>
      </c>
      <c r="K804" s="3">
        <f t="shared" si="333"/>
        <v>0</v>
      </c>
      <c r="L804" s="3">
        <f t="shared" si="329"/>
        <v>500</v>
      </c>
      <c r="M804" s="15">
        <f t="shared" si="344"/>
        <v>7.0000000000000007E-2</v>
      </c>
      <c r="N804" s="3">
        <f t="shared" si="345"/>
        <v>45.276493963252953</v>
      </c>
      <c r="O804" s="3">
        <f t="shared" si="330"/>
        <v>45.276493963252953</v>
      </c>
      <c r="P804" s="3">
        <f t="shared" si="334"/>
        <v>48.684402111024681</v>
      </c>
      <c r="Q804" s="3">
        <f t="shared" si="335"/>
        <v>8.0371235856972909</v>
      </c>
      <c r="R804" s="3">
        <f t="shared" si="336"/>
        <v>28.360762848360984</v>
      </c>
      <c r="S804" s="3">
        <f t="shared" si="331"/>
        <v>1</v>
      </c>
      <c r="T804" s="3">
        <f t="shared" si="337"/>
        <v>20323.639262663695</v>
      </c>
      <c r="U804" s="3">
        <f t="shared" si="338"/>
        <v>0.5</v>
      </c>
      <c r="V804" s="3">
        <f t="shared" si="339"/>
        <v>0</v>
      </c>
      <c r="W804" s="3">
        <f t="shared" si="340"/>
        <v>16299.537826771064</v>
      </c>
      <c r="X804" s="3">
        <f t="shared" si="332"/>
        <v>4018.5617928486454</v>
      </c>
      <c r="AI804" s="3"/>
      <c r="AJ804" s="3"/>
      <c r="AK804" s="15">
        <f t="shared" si="323"/>
        <v>3</v>
      </c>
      <c r="AL804" s="11">
        <f t="shared" si="327"/>
        <v>4770</v>
      </c>
      <c r="AM804" s="11" t="b">
        <f t="shared" si="322"/>
        <v>0</v>
      </c>
      <c r="AN804" s="11">
        <f t="shared" si="324"/>
        <v>36000</v>
      </c>
      <c r="AO804" s="11">
        <f t="shared" si="325"/>
        <v>0</v>
      </c>
      <c r="AP804" s="11">
        <f t="shared" si="326"/>
        <v>0.40218130602787655</v>
      </c>
      <c r="AQ804" s="11">
        <f t="shared" si="328"/>
        <v>0</v>
      </c>
      <c r="AT804" s="3"/>
      <c r="AU804" s="17"/>
      <c r="AV804" s="19"/>
      <c r="AW804" s="17"/>
      <c r="AX804" s="17">
        <f t="shared" si="321"/>
        <v>795</v>
      </c>
      <c r="AY804" s="17">
        <f t="shared" si="346"/>
        <v>79.5</v>
      </c>
      <c r="AZ804" s="17">
        <v>40.218130602787653</v>
      </c>
      <c r="BA804" s="17"/>
      <c r="BB804" s="17">
        <v>36</v>
      </c>
      <c r="BC804" s="17"/>
      <c r="BD804" s="17"/>
      <c r="BE804" s="17"/>
      <c r="BF804" s="17"/>
      <c r="BG804" s="17"/>
      <c r="BH804" s="17"/>
      <c r="BI804" s="17"/>
      <c r="BJ804" s="17"/>
      <c r="BK804" s="17"/>
      <c r="BL804" s="17"/>
      <c r="BM804" s="17"/>
      <c r="BN804" s="17"/>
      <c r="BO804" s="17"/>
      <c r="BP804" s="17"/>
      <c r="BQ804" s="17"/>
      <c r="BR804" s="17"/>
      <c r="BS804" s="17"/>
      <c r="BT804" s="17"/>
      <c r="BU804" s="17"/>
      <c r="BV804" s="17"/>
      <c r="BW804" s="17"/>
      <c r="BX804" s="17"/>
      <c r="BY804" s="17"/>
      <c r="BZ804" s="17"/>
      <c r="CA804" s="17"/>
      <c r="CB804" s="17"/>
      <c r="CC804" s="17"/>
      <c r="CD804" s="17"/>
      <c r="CE804" s="17"/>
      <c r="CF804" s="17"/>
      <c r="CG804" s="17"/>
      <c r="CH804" s="17"/>
    </row>
    <row r="805" spans="8:86" x14ac:dyDescent="0.15">
      <c r="H805" s="3">
        <f t="shared" si="341"/>
        <v>0.79300000000000059</v>
      </c>
      <c r="I805" s="3">
        <f t="shared" si="342"/>
        <v>360</v>
      </c>
      <c r="J805" s="14">
        <f t="shared" si="343"/>
        <v>500</v>
      </c>
      <c r="K805" s="3">
        <f t="shared" si="333"/>
        <v>0</v>
      </c>
      <c r="L805" s="3">
        <f t="shared" si="329"/>
        <v>500</v>
      </c>
      <c r="M805" s="15">
        <f t="shared" si="344"/>
        <v>7.0000000000000007E-2</v>
      </c>
      <c r="N805" s="3">
        <f t="shared" si="345"/>
        <v>45.220039409745553</v>
      </c>
      <c r="O805" s="3">
        <f t="shared" si="330"/>
        <v>45.220039409745553</v>
      </c>
      <c r="P805" s="3">
        <f t="shared" si="334"/>
        <v>48.623698290048985</v>
      </c>
      <c r="Q805" s="3">
        <f t="shared" si="335"/>
        <v>7.9964763071719638</v>
      </c>
      <c r="R805" s="3">
        <f t="shared" si="336"/>
        <v>28.310087298610476</v>
      </c>
      <c r="S805" s="3">
        <f t="shared" si="331"/>
        <v>1</v>
      </c>
      <c r="T805" s="3">
        <f t="shared" si="337"/>
        <v>20313.610991438509</v>
      </c>
      <c r="U805" s="3">
        <f t="shared" si="338"/>
        <v>0.5</v>
      </c>
      <c r="V805" s="3">
        <f t="shared" si="339"/>
        <v>0</v>
      </c>
      <c r="W805" s="3">
        <f t="shared" si="340"/>
        <v>16279.2141875084</v>
      </c>
      <c r="X805" s="3">
        <f t="shared" si="332"/>
        <v>3998.2381535859818</v>
      </c>
      <c r="AI805" s="3"/>
      <c r="AJ805" s="3"/>
      <c r="AK805" s="15">
        <f t="shared" si="323"/>
        <v>3</v>
      </c>
      <c r="AL805" s="11">
        <f t="shared" si="327"/>
        <v>4776</v>
      </c>
      <c r="AM805" s="11" t="b">
        <f t="shared" si="322"/>
        <v>0</v>
      </c>
      <c r="AN805" s="11">
        <f t="shared" si="324"/>
        <v>36000</v>
      </c>
      <c r="AO805" s="11">
        <f t="shared" si="325"/>
        <v>0</v>
      </c>
      <c r="AP805" s="11">
        <f t="shared" si="326"/>
        <v>0.40328362084269137</v>
      </c>
      <c r="AQ805" s="11">
        <f t="shared" si="328"/>
        <v>0</v>
      </c>
      <c r="AT805" s="3"/>
      <c r="AU805" s="17"/>
      <c r="AV805" s="19"/>
      <c r="AW805" s="17"/>
      <c r="AX805" s="17">
        <f t="shared" si="321"/>
        <v>796</v>
      </c>
      <c r="AY805" s="17">
        <f t="shared" si="346"/>
        <v>79.599999999999994</v>
      </c>
      <c r="AZ805" s="17">
        <v>40.328362084269138</v>
      </c>
      <c r="BA805" s="17"/>
      <c r="BB805" s="17">
        <v>36</v>
      </c>
      <c r="BC805" s="17"/>
      <c r="BD805" s="17"/>
      <c r="BE805" s="17"/>
      <c r="BF805" s="17"/>
      <c r="BG805" s="17"/>
      <c r="BH805" s="17"/>
      <c r="BI805" s="17"/>
      <c r="BJ805" s="17"/>
      <c r="BK805" s="17"/>
      <c r="BL805" s="17"/>
      <c r="BM805" s="17"/>
      <c r="BN805" s="17"/>
      <c r="BO805" s="17"/>
      <c r="BP805" s="17"/>
      <c r="BQ805" s="17"/>
      <c r="BR805" s="17"/>
      <c r="BS805" s="17"/>
      <c r="BT805" s="17"/>
      <c r="BU805" s="17"/>
      <c r="BV805" s="17"/>
      <c r="BW805" s="17"/>
      <c r="BX805" s="17"/>
      <c r="BY805" s="17"/>
      <c r="BZ805" s="17"/>
      <c r="CA805" s="17"/>
      <c r="CB805" s="17"/>
      <c r="CC805" s="17"/>
      <c r="CD805" s="17"/>
      <c r="CE805" s="17"/>
      <c r="CF805" s="17"/>
      <c r="CG805" s="17"/>
      <c r="CH805" s="17"/>
    </row>
    <row r="806" spans="8:86" x14ac:dyDescent="0.15">
      <c r="H806" s="3">
        <f t="shared" si="341"/>
        <v>0.79400000000000059</v>
      </c>
      <c r="I806" s="3">
        <f t="shared" si="342"/>
        <v>360</v>
      </c>
      <c r="J806" s="14">
        <f t="shared" si="343"/>
        <v>500</v>
      </c>
      <c r="K806" s="3">
        <f t="shared" si="333"/>
        <v>0</v>
      </c>
      <c r="L806" s="3">
        <f t="shared" si="329"/>
        <v>500</v>
      </c>
      <c r="M806" s="15">
        <f t="shared" si="344"/>
        <v>7.0000000000000007E-2</v>
      </c>
      <c r="N806" s="3">
        <f t="shared" si="345"/>
        <v>45.163612712547113</v>
      </c>
      <c r="O806" s="3">
        <f t="shared" si="330"/>
        <v>45.163612712547113</v>
      </c>
      <c r="P806" s="3">
        <f t="shared" si="334"/>
        <v>48.563024422093676</v>
      </c>
      <c r="Q806" s="3">
        <f t="shared" si="335"/>
        <v>7.9558490851890866</v>
      </c>
      <c r="R806" s="3">
        <f t="shared" si="336"/>
        <v>28.259436753641381</v>
      </c>
      <c r="S806" s="3">
        <f t="shared" si="331"/>
        <v>1</v>
      </c>
      <c r="T806" s="3">
        <f t="shared" si="337"/>
        <v>20303.587668452295</v>
      </c>
      <c r="U806" s="3">
        <f t="shared" si="338"/>
        <v>0.5</v>
      </c>
      <c r="V806" s="3">
        <f t="shared" si="339"/>
        <v>0</v>
      </c>
      <c r="W806" s="3">
        <f t="shared" si="340"/>
        <v>16258.90057651696</v>
      </c>
      <c r="X806" s="3">
        <f t="shared" si="332"/>
        <v>3977.9245425945433</v>
      </c>
      <c r="AI806" s="3"/>
      <c r="AJ806" s="3"/>
      <c r="AK806" s="15">
        <f t="shared" si="323"/>
        <v>3</v>
      </c>
      <c r="AL806" s="11">
        <f t="shared" si="327"/>
        <v>4782</v>
      </c>
      <c r="AM806" s="11" t="b">
        <f t="shared" si="322"/>
        <v>0</v>
      </c>
      <c r="AN806" s="11">
        <f t="shared" si="324"/>
        <v>36000</v>
      </c>
      <c r="AO806" s="11">
        <f t="shared" si="325"/>
        <v>0</v>
      </c>
      <c r="AP806" s="11">
        <f t="shared" si="326"/>
        <v>0.40438593565750613</v>
      </c>
      <c r="AQ806" s="11">
        <f t="shared" si="328"/>
        <v>0</v>
      </c>
      <c r="AT806" s="3"/>
      <c r="AU806" s="17"/>
      <c r="AV806" s="19"/>
      <c r="AW806" s="17"/>
      <c r="AX806" s="17">
        <f t="shared" si="321"/>
        <v>797</v>
      </c>
      <c r="AY806" s="17">
        <f t="shared" si="346"/>
        <v>79.7</v>
      </c>
      <c r="AZ806" s="17">
        <v>40.438593565750615</v>
      </c>
      <c r="BA806" s="17"/>
      <c r="BB806" s="17">
        <v>36</v>
      </c>
      <c r="BC806" s="17"/>
      <c r="BD806" s="17"/>
      <c r="BE806" s="17"/>
      <c r="BF806" s="17"/>
      <c r="BG806" s="17"/>
      <c r="BH806" s="17"/>
      <c r="BI806" s="17"/>
      <c r="BJ806" s="17"/>
      <c r="BK806" s="17"/>
      <c r="BL806" s="17"/>
      <c r="BM806" s="17"/>
      <c r="BN806" s="17"/>
      <c r="BO806" s="17"/>
      <c r="BP806" s="17"/>
      <c r="BQ806" s="17"/>
      <c r="BR806" s="17"/>
      <c r="BS806" s="17"/>
      <c r="BT806" s="17"/>
      <c r="BU806" s="17"/>
      <c r="BV806" s="17"/>
      <c r="BW806" s="17"/>
      <c r="BX806" s="17"/>
      <c r="BY806" s="17"/>
      <c r="BZ806" s="17"/>
      <c r="CA806" s="17"/>
      <c r="CB806" s="17"/>
      <c r="CC806" s="17"/>
      <c r="CD806" s="17"/>
      <c r="CE806" s="17"/>
      <c r="CF806" s="17"/>
      <c r="CG806" s="17"/>
      <c r="CH806" s="17"/>
    </row>
    <row r="807" spans="8:86" x14ac:dyDescent="0.15">
      <c r="H807" s="3">
        <f t="shared" si="341"/>
        <v>0.7950000000000006</v>
      </c>
      <c r="I807" s="3">
        <f t="shared" si="342"/>
        <v>360</v>
      </c>
      <c r="J807" s="14">
        <f t="shared" si="343"/>
        <v>500</v>
      </c>
      <c r="K807" s="3">
        <f t="shared" si="333"/>
        <v>0</v>
      </c>
      <c r="L807" s="3">
        <f t="shared" si="329"/>
        <v>500</v>
      </c>
      <c r="M807" s="15">
        <f t="shared" si="344"/>
        <v>7.0000000000000007E-2</v>
      </c>
      <c r="N807" s="3">
        <f t="shared" si="345"/>
        <v>45.107213857912527</v>
      </c>
      <c r="O807" s="3">
        <f t="shared" si="330"/>
        <v>45.107213857912527</v>
      </c>
      <c r="P807" s="3">
        <f t="shared" si="334"/>
        <v>48.502380492379061</v>
      </c>
      <c r="Q807" s="3">
        <f t="shared" si="335"/>
        <v>7.915241909852182</v>
      </c>
      <c r="R807" s="3">
        <f t="shared" si="336"/>
        <v>28.208811201115623</v>
      </c>
      <c r="S807" s="3">
        <f t="shared" si="331"/>
        <v>1</v>
      </c>
      <c r="T807" s="3">
        <f t="shared" si="337"/>
        <v>20293.569291263437</v>
      </c>
      <c r="U807" s="3">
        <f t="shared" si="338"/>
        <v>0.5</v>
      </c>
      <c r="V807" s="3">
        <f t="shared" si="339"/>
        <v>0</v>
      </c>
      <c r="W807" s="3">
        <f t="shared" si="340"/>
        <v>16238.596988848509</v>
      </c>
      <c r="X807" s="3">
        <f t="shared" si="332"/>
        <v>3957.6209549260911</v>
      </c>
      <c r="AI807" s="3"/>
      <c r="AJ807" s="3"/>
      <c r="AK807" s="15">
        <f t="shared" si="323"/>
        <v>3</v>
      </c>
      <c r="AL807" s="11">
        <f t="shared" si="327"/>
        <v>4788</v>
      </c>
      <c r="AM807" s="11" t="b">
        <f t="shared" si="322"/>
        <v>0</v>
      </c>
      <c r="AN807" s="11">
        <f t="shared" si="324"/>
        <v>36000</v>
      </c>
      <c r="AO807" s="11">
        <f t="shared" si="325"/>
        <v>0</v>
      </c>
      <c r="AP807" s="11">
        <f t="shared" si="326"/>
        <v>0.40548825047232095</v>
      </c>
      <c r="AQ807" s="11">
        <f t="shared" si="328"/>
        <v>0</v>
      </c>
      <c r="AT807" s="3"/>
      <c r="AU807" s="17"/>
      <c r="AV807" s="19"/>
      <c r="AW807" s="17"/>
      <c r="AX807" s="17">
        <f t="shared" si="321"/>
        <v>798</v>
      </c>
      <c r="AY807" s="17">
        <f t="shared" si="346"/>
        <v>79.8</v>
      </c>
      <c r="AZ807" s="17">
        <v>40.548825047232093</v>
      </c>
      <c r="BA807" s="17"/>
      <c r="BB807" s="17">
        <v>36</v>
      </c>
      <c r="BC807" s="17"/>
      <c r="BD807" s="17"/>
      <c r="BE807" s="17"/>
      <c r="BF807" s="17"/>
      <c r="BG807" s="17"/>
      <c r="BH807" s="17"/>
      <c r="BI807" s="17"/>
      <c r="BJ807" s="17"/>
      <c r="BK807" s="17"/>
      <c r="BL807" s="17"/>
      <c r="BM807" s="17"/>
      <c r="BN807" s="17"/>
      <c r="BO807" s="17"/>
      <c r="BP807" s="17"/>
      <c r="BQ807" s="17"/>
      <c r="BR807" s="17"/>
      <c r="BS807" s="17"/>
      <c r="BT807" s="17"/>
      <c r="BU807" s="17"/>
      <c r="BV807" s="17"/>
      <c r="BW807" s="17"/>
      <c r="BX807" s="17"/>
      <c r="BY807" s="17"/>
      <c r="BZ807" s="17"/>
      <c r="CA807" s="17"/>
      <c r="CB807" s="17"/>
      <c r="CC807" s="17"/>
      <c r="CD807" s="17"/>
      <c r="CE807" s="17"/>
      <c r="CF807" s="17"/>
      <c r="CG807" s="17"/>
      <c r="CH807" s="17"/>
    </row>
    <row r="808" spans="8:86" x14ac:dyDescent="0.15">
      <c r="H808" s="3">
        <f t="shared" si="341"/>
        <v>0.7960000000000006</v>
      </c>
      <c r="I808" s="3">
        <f t="shared" si="342"/>
        <v>360</v>
      </c>
      <c r="J808" s="14">
        <f t="shared" si="343"/>
        <v>500</v>
      </c>
      <c r="K808" s="3">
        <f t="shared" si="333"/>
        <v>0</v>
      </c>
      <c r="L808" s="3">
        <f t="shared" si="329"/>
        <v>500</v>
      </c>
      <c r="M808" s="15">
        <f t="shared" si="344"/>
        <v>7.0000000000000007E-2</v>
      </c>
      <c r="N808" s="3">
        <f t="shared" si="345"/>
        <v>45.050842832103463</v>
      </c>
      <c r="O808" s="3">
        <f t="shared" si="330"/>
        <v>45.050842832103463</v>
      </c>
      <c r="P808" s="3">
        <f t="shared" si="334"/>
        <v>48.441766486132757</v>
      </c>
      <c r="Q808" s="3">
        <f t="shared" si="335"/>
        <v>7.8746547712696557</v>
      </c>
      <c r="R808" s="3">
        <f t="shared" si="336"/>
        <v>28.158210628701205</v>
      </c>
      <c r="S808" s="3">
        <f t="shared" si="331"/>
        <v>1</v>
      </c>
      <c r="T808" s="3">
        <f t="shared" si="337"/>
        <v>20283.555857431551</v>
      </c>
      <c r="U808" s="3">
        <f t="shared" si="338"/>
        <v>0.5</v>
      </c>
      <c r="V808" s="3">
        <f t="shared" si="339"/>
        <v>0</v>
      </c>
      <c r="W808" s="3">
        <f t="shared" si="340"/>
        <v>16218.303419557247</v>
      </c>
      <c r="X808" s="3">
        <f t="shared" si="332"/>
        <v>3937.3273856348278</v>
      </c>
      <c r="AI808" s="3"/>
      <c r="AJ808" s="3"/>
      <c r="AK808" s="15">
        <f t="shared" si="323"/>
        <v>3</v>
      </c>
      <c r="AL808" s="11">
        <f t="shared" si="327"/>
        <v>4794</v>
      </c>
      <c r="AM808" s="11" t="b">
        <f t="shared" si="322"/>
        <v>0</v>
      </c>
      <c r="AN808" s="11">
        <f t="shared" si="324"/>
        <v>36000</v>
      </c>
      <c r="AO808" s="11">
        <f t="shared" si="325"/>
        <v>0</v>
      </c>
      <c r="AP808" s="11">
        <f t="shared" si="326"/>
        <v>0.40659056528713572</v>
      </c>
      <c r="AQ808" s="11">
        <f t="shared" si="328"/>
        <v>0</v>
      </c>
      <c r="AT808" s="3"/>
      <c r="AU808" s="17"/>
      <c r="AV808" s="19"/>
      <c r="AW808" s="17"/>
      <c r="AX808" s="17">
        <f t="shared" si="321"/>
        <v>799</v>
      </c>
      <c r="AY808" s="17">
        <f t="shared" si="346"/>
        <v>79.900000000000006</v>
      </c>
      <c r="AZ808" s="17">
        <v>40.65905652871357</v>
      </c>
      <c r="BA808" s="17"/>
      <c r="BB808" s="17">
        <v>36</v>
      </c>
      <c r="BC808" s="17"/>
      <c r="BD808" s="17"/>
      <c r="BE808" s="17"/>
      <c r="BF808" s="17"/>
      <c r="BG808" s="17"/>
      <c r="BH808" s="17"/>
      <c r="BI808" s="17"/>
      <c r="BJ808" s="17"/>
      <c r="BK808" s="17"/>
      <c r="BL808" s="17"/>
      <c r="BM808" s="17"/>
      <c r="BN808" s="17"/>
      <c r="BO808" s="17"/>
      <c r="BP808" s="17"/>
      <c r="BQ808" s="17"/>
      <c r="BR808" s="17"/>
      <c r="BS808" s="17"/>
      <c r="BT808" s="17"/>
      <c r="BU808" s="17"/>
      <c r="BV808" s="17"/>
      <c r="BW808" s="17"/>
      <c r="BX808" s="17"/>
      <c r="BY808" s="17"/>
      <c r="BZ808" s="17"/>
      <c r="CA808" s="17"/>
      <c r="CB808" s="17"/>
      <c r="CC808" s="17"/>
      <c r="CD808" s="17"/>
      <c r="CE808" s="17"/>
      <c r="CF808" s="17"/>
      <c r="CG808" s="17"/>
      <c r="CH808" s="17"/>
    </row>
    <row r="809" spans="8:86" x14ac:dyDescent="0.15">
      <c r="H809" s="3">
        <f t="shared" si="341"/>
        <v>0.7970000000000006</v>
      </c>
      <c r="I809" s="3">
        <f t="shared" si="342"/>
        <v>360</v>
      </c>
      <c r="J809" s="14">
        <f t="shared" si="343"/>
        <v>500</v>
      </c>
      <c r="K809" s="3">
        <f t="shared" si="333"/>
        <v>0</v>
      </c>
      <c r="L809" s="3">
        <f t="shared" si="329"/>
        <v>500</v>
      </c>
      <c r="M809" s="15">
        <f t="shared" si="344"/>
        <v>7.0000000000000007E-2</v>
      </c>
      <c r="N809" s="3">
        <f t="shared" si="345"/>
        <v>44.994499621388378</v>
      </c>
      <c r="O809" s="3">
        <f t="shared" si="330"/>
        <v>44.994499621388378</v>
      </c>
      <c r="P809" s="3">
        <f t="shared" si="334"/>
        <v>48.381182388589657</v>
      </c>
      <c r="Q809" s="3">
        <f t="shared" si="335"/>
        <v>7.8340876595547924</v>
      </c>
      <c r="R809" s="3">
        <f t="shared" si="336"/>
        <v>28.107635024072223</v>
      </c>
      <c r="S809" s="3">
        <f t="shared" si="331"/>
        <v>1</v>
      </c>
      <c r="T809" s="3">
        <f t="shared" si="337"/>
        <v>20273.547364517435</v>
      </c>
      <c r="U809" s="3">
        <f t="shared" si="338"/>
        <v>0.5</v>
      </c>
      <c r="V809" s="3">
        <f t="shared" si="339"/>
        <v>0</v>
      </c>
      <c r="W809" s="3">
        <f t="shared" si="340"/>
        <v>16198.019863699816</v>
      </c>
      <c r="X809" s="3">
        <f t="shared" si="332"/>
        <v>3917.0438297773962</v>
      </c>
      <c r="AI809" s="3"/>
      <c r="AJ809" s="3"/>
      <c r="AK809" s="15">
        <f t="shared" si="323"/>
        <v>3</v>
      </c>
      <c r="AL809" s="11">
        <f t="shared" si="327"/>
        <v>4800</v>
      </c>
      <c r="AM809" s="11" t="b">
        <f t="shared" si="322"/>
        <v>0</v>
      </c>
      <c r="AN809" s="11">
        <f t="shared" si="324"/>
        <v>36000</v>
      </c>
      <c r="AO809" s="11">
        <f t="shared" si="325"/>
        <v>0</v>
      </c>
      <c r="AP809" s="11">
        <f t="shared" si="326"/>
        <v>0.40769288010195054</v>
      </c>
      <c r="AQ809" s="11">
        <f t="shared" si="328"/>
        <v>0</v>
      </c>
      <c r="AT809" s="3"/>
      <c r="AU809" s="17"/>
      <c r="AV809" s="19"/>
      <c r="AW809" s="17"/>
      <c r="AX809" s="17">
        <f t="shared" si="321"/>
        <v>800</v>
      </c>
      <c r="AY809" s="17">
        <f t="shared" si="346"/>
        <v>80</v>
      </c>
      <c r="AZ809" s="17">
        <v>40.769288010195055</v>
      </c>
      <c r="BA809" s="17"/>
      <c r="BB809" s="17">
        <v>36</v>
      </c>
      <c r="BC809" s="17"/>
      <c r="BD809" s="17"/>
      <c r="BE809" s="17"/>
      <c r="BF809" s="17"/>
      <c r="BG809" s="17"/>
      <c r="BH809" s="17"/>
      <c r="BI809" s="17"/>
      <c r="BJ809" s="17"/>
      <c r="BK809" s="17"/>
      <c r="BL809" s="17"/>
      <c r="BM809" s="17"/>
      <c r="BN809" s="17"/>
      <c r="BO809" s="17"/>
      <c r="BP809" s="17"/>
      <c r="BQ809" s="17"/>
      <c r="BR809" s="17"/>
      <c r="BS809" s="17"/>
      <c r="BT809" s="17"/>
      <c r="BU809" s="17"/>
      <c r="BV809" s="17"/>
      <c r="BW809" s="17"/>
      <c r="BX809" s="17"/>
      <c r="BY809" s="17"/>
      <c r="BZ809" s="17"/>
      <c r="CA809" s="17"/>
      <c r="CB809" s="17"/>
      <c r="CC809" s="17"/>
      <c r="CD809" s="17"/>
      <c r="CE809" s="17"/>
      <c r="CF809" s="17"/>
      <c r="CG809" s="17"/>
      <c r="CH809" s="17"/>
    </row>
    <row r="810" spans="8:86" x14ac:dyDescent="0.15">
      <c r="H810" s="3">
        <f t="shared" si="341"/>
        <v>0.7980000000000006</v>
      </c>
      <c r="I810" s="3">
        <f t="shared" si="342"/>
        <v>360</v>
      </c>
      <c r="J810" s="14">
        <f t="shared" si="343"/>
        <v>500</v>
      </c>
      <c r="K810" s="3">
        <f t="shared" si="333"/>
        <v>0</v>
      </c>
      <c r="L810" s="3">
        <f t="shared" si="329"/>
        <v>500</v>
      </c>
      <c r="M810" s="15">
        <f t="shared" si="344"/>
        <v>7.0000000000000007E-2</v>
      </c>
      <c r="N810" s="3">
        <f t="shared" si="345"/>
        <v>44.938184212042493</v>
      </c>
      <c r="O810" s="3">
        <f t="shared" si="330"/>
        <v>44.938184212042493</v>
      </c>
      <c r="P810" s="3">
        <f t="shared" si="334"/>
        <v>48.320628184991932</v>
      </c>
      <c r="Q810" s="3">
        <f t="shared" si="335"/>
        <v>7.7935405648257579</v>
      </c>
      <c r="R810" s="3">
        <f t="shared" si="336"/>
        <v>28.057084374908847</v>
      </c>
      <c r="S810" s="3">
        <f t="shared" si="331"/>
        <v>1</v>
      </c>
      <c r="T810" s="3">
        <f t="shared" si="337"/>
        <v>20263.543810083087</v>
      </c>
      <c r="U810" s="3">
        <f t="shared" si="338"/>
        <v>0.5</v>
      </c>
      <c r="V810" s="3">
        <f t="shared" si="339"/>
        <v>0</v>
      </c>
      <c r="W810" s="3">
        <f t="shared" si="340"/>
        <v>16177.746316335297</v>
      </c>
      <c r="X810" s="3">
        <f t="shared" si="332"/>
        <v>3896.7702824128787</v>
      </c>
      <c r="AI810" s="3"/>
      <c r="AJ810" s="3"/>
      <c r="AK810" s="15">
        <f t="shared" si="323"/>
        <v>3</v>
      </c>
      <c r="AL810" s="11">
        <f t="shared" si="327"/>
        <v>4806</v>
      </c>
      <c r="AM810" s="11" t="b">
        <f t="shared" si="322"/>
        <v>0</v>
      </c>
      <c r="AN810" s="11">
        <f t="shared" si="324"/>
        <v>36000</v>
      </c>
      <c r="AO810" s="11">
        <f t="shared" si="325"/>
        <v>0</v>
      </c>
      <c r="AP810" s="11">
        <f t="shared" si="326"/>
        <v>0.4087951949167653</v>
      </c>
      <c r="AQ810" s="11">
        <f t="shared" si="328"/>
        <v>0</v>
      </c>
      <c r="AT810" s="3"/>
      <c r="AU810" s="17"/>
      <c r="AV810" s="19"/>
      <c r="AW810" s="17"/>
      <c r="AX810" s="17">
        <f t="shared" si="321"/>
        <v>801</v>
      </c>
      <c r="AY810" s="17">
        <f t="shared" si="346"/>
        <v>80.099999999999994</v>
      </c>
      <c r="AZ810" s="17">
        <v>40.879519491676533</v>
      </c>
      <c r="BA810" s="17"/>
      <c r="BB810" s="17">
        <v>36</v>
      </c>
      <c r="BC810" s="17"/>
      <c r="BD810" s="17"/>
      <c r="BE810" s="17"/>
      <c r="BF810" s="17"/>
      <c r="BG810" s="17"/>
      <c r="BH810" s="17"/>
      <c r="BI810" s="17"/>
      <c r="BJ810" s="17"/>
      <c r="BK810" s="17"/>
      <c r="BL810" s="17"/>
      <c r="BM810" s="17"/>
      <c r="BN810" s="17"/>
      <c r="BO810" s="17"/>
      <c r="BP810" s="17"/>
      <c r="BQ810" s="17"/>
      <c r="BR810" s="17"/>
      <c r="BS810" s="17"/>
      <c r="BT810" s="17"/>
      <c r="BU810" s="17"/>
      <c r="BV810" s="17"/>
      <c r="BW810" s="17"/>
      <c r="BX810" s="17"/>
      <c r="BY810" s="17"/>
      <c r="BZ810" s="17"/>
      <c r="CA810" s="17"/>
      <c r="CB810" s="17"/>
      <c r="CC810" s="17"/>
      <c r="CD810" s="17"/>
      <c r="CE810" s="17"/>
      <c r="CF810" s="17"/>
      <c r="CG810" s="17"/>
      <c r="CH810" s="17"/>
    </row>
    <row r="811" spans="8:86" x14ac:dyDescent="0.15">
      <c r="H811" s="3">
        <f t="shared" si="341"/>
        <v>0.7990000000000006</v>
      </c>
      <c r="I811" s="3">
        <f t="shared" si="342"/>
        <v>360</v>
      </c>
      <c r="J811" s="14">
        <f t="shared" si="343"/>
        <v>500</v>
      </c>
      <c r="K811" s="3">
        <f t="shared" si="333"/>
        <v>0</v>
      </c>
      <c r="L811" s="3">
        <f t="shared" si="329"/>
        <v>500</v>
      </c>
      <c r="M811" s="15">
        <f t="shared" si="344"/>
        <v>7.0000000000000007E-2</v>
      </c>
      <c r="N811" s="3">
        <f t="shared" si="345"/>
        <v>44.881896590347814</v>
      </c>
      <c r="O811" s="3">
        <f t="shared" si="330"/>
        <v>44.881896590347814</v>
      </c>
      <c r="P811" s="3">
        <f t="shared" si="334"/>
        <v>48.260103860589048</v>
      </c>
      <c r="Q811" s="3">
        <f t="shared" si="335"/>
        <v>7.7530134772055916</v>
      </c>
      <c r="R811" s="3">
        <f t="shared" si="336"/>
        <v>28.00655866889732</v>
      </c>
      <c r="S811" s="3">
        <f t="shared" si="331"/>
        <v>1</v>
      </c>
      <c r="T811" s="3">
        <f t="shared" si="337"/>
        <v>20253.54519169173</v>
      </c>
      <c r="U811" s="3">
        <f t="shared" si="338"/>
        <v>0.5</v>
      </c>
      <c r="V811" s="3">
        <f t="shared" si="339"/>
        <v>0</v>
      </c>
      <c r="W811" s="3">
        <f t="shared" si="340"/>
        <v>16157.482772525213</v>
      </c>
      <c r="X811" s="3">
        <f t="shared" si="332"/>
        <v>3876.5067386027958</v>
      </c>
      <c r="AI811" s="3"/>
      <c r="AJ811" s="3"/>
      <c r="AK811" s="15">
        <f t="shared" si="323"/>
        <v>3</v>
      </c>
      <c r="AL811" s="11">
        <f t="shared" si="327"/>
        <v>4812</v>
      </c>
      <c r="AM811" s="11" t="b">
        <f t="shared" si="322"/>
        <v>0</v>
      </c>
      <c r="AN811" s="11">
        <f t="shared" si="324"/>
        <v>36000</v>
      </c>
      <c r="AO811" s="11">
        <f t="shared" si="325"/>
        <v>0</v>
      </c>
      <c r="AP811" s="11">
        <f t="shared" si="326"/>
        <v>0.40989750973158012</v>
      </c>
      <c r="AQ811" s="11">
        <f t="shared" si="328"/>
        <v>0</v>
      </c>
      <c r="AT811" s="3"/>
      <c r="AU811" s="17"/>
      <c r="AV811" s="19"/>
      <c r="AW811" s="17"/>
      <c r="AX811" s="17">
        <f t="shared" si="321"/>
        <v>802</v>
      </c>
      <c r="AY811" s="17">
        <f t="shared" si="346"/>
        <v>80.2</v>
      </c>
      <c r="AZ811" s="17">
        <v>40.98975097315801</v>
      </c>
      <c r="BA811" s="17"/>
      <c r="BB811" s="17">
        <v>36</v>
      </c>
      <c r="BC811" s="17"/>
      <c r="BD811" s="17"/>
      <c r="BE811" s="17"/>
      <c r="BF811" s="17"/>
      <c r="BG811" s="17"/>
      <c r="BH811" s="17"/>
      <c r="BI811" s="17"/>
      <c r="BJ811" s="17"/>
      <c r="BK811" s="17"/>
      <c r="BL811" s="17"/>
      <c r="BM811" s="17"/>
      <c r="BN811" s="17"/>
      <c r="BO811" s="17"/>
      <c r="BP811" s="17"/>
      <c r="BQ811" s="17"/>
      <c r="BR811" s="17"/>
      <c r="BS811" s="17"/>
      <c r="BT811" s="17"/>
      <c r="BU811" s="17"/>
      <c r="BV811" s="17"/>
      <c r="BW811" s="17"/>
      <c r="BX811" s="17"/>
      <c r="BY811" s="17"/>
      <c r="BZ811" s="17"/>
      <c r="CA811" s="17"/>
      <c r="CB811" s="17"/>
      <c r="CC811" s="17"/>
      <c r="CD811" s="17"/>
      <c r="CE811" s="17"/>
      <c r="CF811" s="17"/>
      <c r="CG811" s="17"/>
      <c r="CH811" s="17"/>
    </row>
    <row r="812" spans="8:86" x14ac:dyDescent="0.15">
      <c r="H812" s="3">
        <f t="shared" si="341"/>
        <v>0.8000000000000006</v>
      </c>
      <c r="I812" s="3">
        <f t="shared" si="342"/>
        <v>360</v>
      </c>
      <c r="J812" s="14">
        <f t="shared" si="343"/>
        <v>500</v>
      </c>
      <c r="K812" s="3">
        <f t="shared" si="333"/>
        <v>0</v>
      </c>
      <c r="L812" s="3">
        <f t="shared" si="329"/>
        <v>500</v>
      </c>
      <c r="M812" s="15">
        <f t="shared" si="344"/>
        <v>7.0000000000000007E-2</v>
      </c>
      <c r="N812" s="3">
        <f t="shared" si="345"/>
        <v>44.825636742593112</v>
      </c>
      <c r="O812" s="3">
        <f t="shared" si="330"/>
        <v>44.825636742593112</v>
      </c>
      <c r="P812" s="3">
        <f t="shared" si="334"/>
        <v>48.199609400637755</v>
      </c>
      <c r="Q812" s="3">
        <f t="shared" si="335"/>
        <v>7.7125063868222075</v>
      </c>
      <c r="R812" s="3">
        <f t="shared" si="336"/>
        <v>27.95605789372998</v>
      </c>
      <c r="S812" s="3">
        <f t="shared" si="331"/>
        <v>1</v>
      </c>
      <c r="T812" s="3">
        <f t="shared" si="337"/>
        <v>20243.551506907774</v>
      </c>
      <c r="U812" s="3">
        <f t="shared" si="338"/>
        <v>0.5</v>
      </c>
      <c r="V812" s="3">
        <f t="shared" si="339"/>
        <v>0</v>
      </c>
      <c r="W812" s="3">
        <f t="shared" si="340"/>
        <v>16137.229227333521</v>
      </c>
      <c r="X812" s="3">
        <f t="shared" si="332"/>
        <v>3856.2531934111039</v>
      </c>
      <c r="AI812" s="3"/>
      <c r="AJ812" s="3"/>
      <c r="AK812" s="15">
        <f t="shared" si="323"/>
        <v>3</v>
      </c>
      <c r="AL812" s="11">
        <f t="shared" si="327"/>
        <v>4818</v>
      </c>
      <c r="AM812" s="11" t="b">
        <f t="shared" si="322"/>
        <v>0</v>
      </c>
      <c r="AN812" s="11">
        <f t="shared" si="324"/>
        <v>36000</v>
      </c>
      <c r="AO812" s="11">
        <f t="shared" si="325"/>
        <v>0</v>
      </c>
      <c r="AP812" s="11">
        <f t="shared" si="326"/>
        <v>0.41099982454639489</v>
      </c>
      <c r="AQ812" s="11">
        <f t="shared" si="328"/>
        <v>0</v>
      </c>
      <c r="AT812" s="3"/>
      <c r="AU812" s="17"/>
      <c r="AV812" s="19"/>
      <c r="AW812" s="17"/>
      <c r="AX812" s="17">
        <f t="shared" si="321"/>
        <v>803</v>
      </c>
      <c r="AY812" s="17">
        <f t="shared" si="346"/>
        <v>80.3</v>
      </c>
      <c r="AZ812" s="17">
        <v>41.099982454639488</v>
      </c>
      <c r="BA812" s="17"/>
      <c r="BB812" s="17">
        <v>36</v>
      </c>
      <c r="BC812" s="17"/>
      <c r="BD812" s="17"/>
      <c r="BE812" s="17"/>
      <c r="BF812" s="17"/>
      <c r="BG812" s="17"/>
      <c r="BH812" s="17"/>
      <c r="BI812" s="17"/>
      <c r="BJ812" s="17"/>
      <c r="BK812" s="17"/>
      <c r="BL812" s="17"/>
      <c r="BM812" s="17"/>
      <c r="BN812" s="17"/>
      <c r="BO812" s="17"/>
      <c r="BP812" s="17"/>
      <c r="BQ812" s="17"/>
      <c r="BR812" s="17"/>
      <c r="BS812" s="17"/>
      <c r="BT812" s="17"/>
      <c r="BU812" s="17"/>
      <c r="BV812" s="17"/>
      <c r="BW812" s="17"/>
      <c r="BX812" s="17"/>
      <c r="BY812" s="17"/>
      <c r="BZ812" s="17"/>
      <c r="CA812" s="17"/>
      <c r="CB812" s="17"/>
      <c r="CC812" s="17"/>
      <c r="CD812" s="17"/>
      <c r="CE812" s="17"/>
      <c r="CF812" s="17"/>
      <c r="CG812" s="17"/>
      <c r="CH812" s="17"/>
    </row>
    <row r="813" spans="8:86" x14ac:dyDescent="0.15">
      <c r="H813" s="3">
        <f t="shared" si="341"/>
        <v>0.8010000000000006</v>
      </c>
      <c r="I813" s="3">
        <f t="shared" si="342"/>
        <v>360</v>
      </c>
      <c r="J813" s="14">
        <f t="shared" si="343"/>
        <v>500</v>
      </c>
      <c r="K813" s="3">
        <f t="shared" si="333"/>
        <v>0</v>
      </c>
      <c r="L813" s="3">
        <f t="shared" si="329"/>
        <v>500</v>
      </c>
      <c r="M813" s="15">
        <f t="shared" si="344"/>
        <v>7.0000000000000007E-2</v>
      </c>
      <c r="N813" s="3">
        <f t="shared" si="345"/>
        <v>44.76940465507392</v>
      </c>
      <c r="O813" s="3">
        <f t="shared" si="330"/>
        <v>44.76940465507392</v>
      </c>
      <c r="P813" s="3">
        <f t="shared" si="334"/>
        <v>48.139144790402071</v>
      </c>
      <c r="Q813" s="3">
        <f t="shared" si="335"/>
        <v>7.6720192838083925</v>
      </c>
      <c r="R813" s="3">
        <f t="shared" si="336"/>
        <v>27.905582037105233</v>
      </c>
      <c r="S813" s="3">
        <f t="shared" si="331"/>
        <v>1</v>
      </c>
      <c r="T813" s="3">
        <f t="shared" si="337"/>
        <v>20233.562753296836</v>
      </c>
      <c r="U813" s="3">
        <f t="shared" si="338"/>
        <v>0.5</v>
      </c>
      <c r="V813" s="3">
        <f t="shared" si="339"/>
        <v>0</v>
      </c>
      <c r="W813" s="3">
        <f t="shared" si="340"/>
        <v>16116.985675826611</v>
      </c>
      <c r="X813" s="3">
        <f t="shared" si="332"/>
        <v>3836.0096419041961</v>
      </c>
      <c r="AI813" s="3"/>
      <c r="AJ813" s="3"/>
      <c r="AK813" s="15">
        <f t="shared" si="323"/>
        <v>3</v>
      </c>
      <c r="AL813" s="11">
        <f t="shared" si="327"/>
        <v>4824</v>
      </c>
      <c r="AM813" s="11" t="b">
        <f t="shared" si="322"/>
        <v>0</v>
      </c>
      <c r="AN813" s="11">
        <f t="shared" si="324"/>
        <v>36000</v>
      </c>
      <c r="AO813" s="11">
        <f t="shared" si="325"/>
        <v>0</v>
      </c>
      <c r="AP813" s="11">
        <f t="shared" si="326"/>
        <v>0.41210213936120971</v>
      </c>
      <c r="AQ813" s="11">
        <f t="shared" si="328"/>
        <v>0</v>
      </c>
      <c r="AT813" s="3"/>
      <c r="AU813" s="17"/>
      <c r="AV813" s="19"/>
      <c r="AW813" s="17"/>
      <c r="AX813" s="17">
        <f t="shared" si="321"/>
        <v>804</v>
      </c>
      <c r="AY813" s="17">
        <f t="shared" si="346"/>
        <v>80.400000000000006</v>
      </c>
      <c r="AZ813" s="17">
        <v>41.210213936120972</v>
      </c>
      <c r="BA813" s="17"/>
      <c r="BB813" s="17">
        <v>36</v>
      </c>
      <c r="BC813" s="17"/>
      <c r="BD813" s="17"/>
      <c r="BE813" s="17"/>
      <c r="BF813" s="17"/>
      <c r="BG813" s="17"/>
      <c r="BH813" s="17"/>
      <c r="BI813" s="17"/>
      <c r="BJ813" s="17"/>
      <c r="BK813" s="17"/>
      <c r="BL813" s="17"/>
      <c r="BM813" s="17"/>
      <c r="BN813" s="17"/>
      <c r="BO813" s="17"/>
      <c r="BP813" s="17"/>
      <c r="BQ813" s="17"/>
      <c r="BR813" s="17"/>
      <c r="BS813" s="17"/>
      <c r="BT813" s="17"/>
      <c r="BU813" s="17"/>
      <c r="BV813" s="17"/>
      <c r="BW813" s="17"/>
      <c r="BX813" s="17"/>
      <c r="BY813" s="17"/>
      <c r="BZ813" s="17"/>
      <c r="CA813" s="17"/>
      <c r="CB813" s="17"/>
      <c r="CC813" s="17"/>
      <c r="CD813" s="17"/>
      <c r="CE813" s="17"/>
      <c r="CF813" s="17"/>
      <c r="CG813" s="17"/>
      <c r="CH813" s="17"/>
    </row>
    <row r="814" spans="8:86" x14ac:dyDescent="0.15">
      <c r="H814" s="3">
        <f t="shared" si="341"/>
        <v>0.8020000000000006</v>
      </c>
      <c r="I814" s="3">
        <f t="shared" si="342"/>
        <v>360</v>
      </c>
      <c r="J814" s="14">
        <f t="shared" si="343"/>
        <v>500</v>
      </c>
      <c r="K814" s="3">
        <f t="shared" si="333"/>
        <v>0</v>
      </c>
      <c r="L814" s="3">
        <f t="shared" si="329"/>
        <v>500</v>
      </c>
      <c r="M814" s="15">
        <f t="shared" si="344"/>
        <v>7.0000000000000007E-2</v>
      </c>
      <c r="N814" s="3">
        <f t="shared" si="345"/>
        <v>44.713200314092539</v>
      </c>
      <c r="O814" s="3">
        <f t="shared" si="330"/>
        <v>44.713200314092539</v>
      </c>
      <c r="P814" s="3">
        <f t="shared" si="334"/>
        <v>48.07871001515327</v>
      </c>
      <c r="Q814" s="3">
        <f t="shared" si="335"/>
        <v>7.6315521583017984</v>
      </c>
      <c r="R814" s="3">
        <f t="shared" si="336"/>
        <v>27.855131086727535</v>
      </c>
      <c r="S814" s="3">
        <f t="shared" si="331"/>
        <v>1</v>
      </c>
      <c r="T814" s="3">
        <f t="shared" si="337"/>
        <v>20223.578928425733</v>
      </c>
      <c r="U814" s="3">
        <f t="shared" si="338"/>
        <v>0.5</v>
      </c>
      <c r="V814" s="3">
        <f t="shared" si="339"/>
        <v>0</v>
      </c>
      <c r="W814" s="3">
        <f t="shared" si="340"/>
        <v>16096.752113073315</v>
      </c>
      <c r="X814" s="3">
        <f t="shared" si="332"/>
        <v>3815.776079150899</v>
      </c>
      <c r="AI814" s="3"/>
      <c r="AJ814" s="3"/>
      <c r="AK814" s="15">
        <f t="shared" si="323"/>
        <v>3</v>
      </c>
      <c r="AL814" s="11">
        <f t="shared" si="327"/>
        <v>4830</v>
      </c>
      <c r="AM814" s="11" t="b">
        <f t="shared" si="322"/>
        <v>0</v>
      </c>
      <c r="AN814" s="11">
        <f t="shared" si="324"/>
        <v>36000</v>
      </c>
      <c r="AO814" s="11">
        <f t="shared" si="325"/>
        <v>0</v>
      </c>
      <c r="AP814" s="11">
        <f t="shared" si="326"/>
        <v>0.41320445417602447</v>
      </c>
      <c r="AQ814" s="11">
        <f t="shared" si="328"/>
        <v>0</v>
      </c>
      <c r="AT814" s="3"/>
      <c r="AU814" s="17"/>
      <c r="AV814" s="19"/>
      <c r="AW814" s="17"/>
      <c r="AX814" s="17">
        <f t="shared" ref="AX814:AX877" si="347">IF(AX813&gt;=$AG$14,$AG$14,AX813+1)</f>
        <v>805</v>
      </c>
      <c r="AY814" s="17">
        <f t="shared" si="346"/>
        <v>80.5</v>
      </c>
      <c r="AZ814" s="17">
        <v>41.32044541760245</v>
      </c>
      <c r="BA814" s="17"/>
      <c r="BB814" s="17">
        <v>36</v>
      </c>
      <c r="BC814" s="17"/>
      <c r="BD814" s="17"/>
      <c r="BE814" s="17"/>
      <c r="BF814" s="17"/>
      <c r="BG814" s="17"/>
      <c r="BH814" s="17"/>
      <c r="BI814" s="17"/>
      <c r="BJ814" s="17"/>
      <c r="BK814" s="17"/>
      <c r="BL814" s="17"/>
      <c r="BM814" s="17"/>
      <c r="BN814" s="17"/>
      <c r="BO814" s="17"/>
      <c r="BP814" s="17"/>
      <c r="BQ814" s="17"/>
      <c r="BR814" s="17"/>
      <c r="BS814" s="17"/>
      <c r="BT814" s="17"/>
      <c r="BU814" s="17"/>
      <c r="BV814" s="17"/>
      <c r="BW814" s="17"/>
      <c r="BX814" s="17"/>
      <c r="BY814" s="17"/>
      <c r="BZ814" s="17"/>
      <c r="CA814" s="17"/>
      <c r="CB814" s="17"/>
      <c r="CC814" s="17"/>
      <c r="CD814" s="17"/>
      <c r="CE814" s="17"/>
      <c r="CF814" s="17"/>
      <c r="CG814" s="17"/>
      <c r="CH814" s="17"/>
    </row>
    <row r="815" spans="8:86" x14ac:dyDescent="0.15">
      <c r="H815" s="3">
        <f t="shared" si="341"/>
        <v>0.8030000000000006</v>
      </c>
      <c r="I815" s="3">
        <f t="shared" si="342"/>
        <v>360</v>
      </c>
      <c r="J815" s="14">
        <f t="shared" si="343"/>
        <v>500</v>
      </c>
      <c r="K815" s="3">
        <f t="shared" si="333"/>
        <v>0</v>
      </c>
      <c r="L815" s="3">
        <f t="shared" si="329"/>
        <v>500</v>
      </c>
      <c r="M815" s="15">
        <f t="shared" si="344"/>
        <v>7.0000000000000007E-2</v>
      </c>
      <c r="N815" s="3">
        <f t="shared" si="345"/>
        <v>44.657023705958025</v>
      </c>
      <c r="O815" s="3">
        <f t="shared" si="330"/>
        <v>44.657023705958025</v>
      </c>
      <c r="P815" s="3">
        <f t="shared" si="334"/>
        <v>48.018305060169922</v>
      </c>
      <c r="Q815" s="3">
        <f t="shared" si="335"/>
        <v>7.5911050004449461</v>
      </c>
      <c r="R815" s="3">
        <f t="shared" si="336"/>
        <v>27.804705030307435</v>
      </c>
      <c r="S815" s="3">
        <f t="shared" si="331"/>
        <v>1</v>
      </c>
      <c r="T815" s="3">
        <f t="shared" si="337"/>
        <v>20213.600029862486</v>
      </c>
      <c r="U815" s="3">
        <f t="shared" si="338"/>
        <v>0.5</v>
      </c>
      <c r="V815" s="3">
        <f t="shared" si="339"/>
        <v>0</v>
      </c>
      <c r="W815" s="3">
        <f t="shared" si="340"/>
        <v>16076.528534144889</v>
      </c>
      <c r="X815" s="3">
        <f t="shared" si="332"/>
        <v>3795.5525002224731</v>
      </c>
      <c r="AI815" s="3"/>
      <c r="AJ815" s="3"/>
      <c r="AK815" s="15">
        <f t="shared" si="323"/>
        <v>3</v>
      </c>
      <c r="AL815" s="11">
        <f t="shared" si="327"/>
        <v>4836</v>
      </c>
      <c r="AM815" s="11" t="b">
        <f t="shared" si="322"/>
        <v>0</v>
      </c>
      <c r="AN815" s="11">
        <f t="shared" si="324"/>
        <v>36000</v>
      </c>
      <c r="AO815" s="11">
        <f t="shared" si="325"/>
        <v>0</v>
      </c>
      <c r="AP815" s="11">
        <f t="shared" si="326"/>
        <v>0.41430676899083929</v>
      </c>
      <c r="AQ815" s="11">
        <f t="shared" si="328"/>
        <v>0</v>
      </c>
      <c r="AT815" s="3"/>
      <c r="AU815" s="17"/>
      <c r="AV815" s="19"/>
      <c r="AW815" s="17"/>
      <c r="AX815" s="17">
        <f t="shared" si="347"/>
        <v>806</v>
      </c>
      <c r="AY815" s="17">
        <f t="shared" si="346"/>
        <v>80.599999999999994</v>
      </c>
      <c r="AZ815" s="17">
        <v>41.430676899083927</v>
      </c>
      <c r="BA815" s="17"/>
      <c r="BB815" s="17">
        <v>36</v>
      </c>
      <c r="BC815" s="17"/>
      <c r="BD815" s="17"/>
      <c r="BE815" s="17"/>
      <c r="BF815" s="17"/>
      <c r="BG815" s="17"/>
      <c r="BH815" s="17"/>
      <c r="BI815" s="17"/>
      <c r="BJ815" s="17"/>
      <c r="BK815" s="17"/>
      <c r="BL815" s="17"/>
      <c r="BM815" s="17"/>
      <c r="BN815" s="17"/>
      <c r="BO815" s="17"/>
      <c r="BP815" s="17"/>
      <c r="BQ815" s="17"/>
      <c r="BR815" s="17"/>
      <c r="BS815" s="17"/>
      <c r="BT815" s="17"/>
      <c r="BU815" s="17"/>
      <c r="BV815" s="17"/>
      <c r="BW815" s="17"/>
      <c r="BX815" s="17"/>
      <c r="BY815" s="17"/>
      <c r="BZ815" s="17"/>
      <c r="CA815" s="17"/>
      <c r="CB815" s="17"/>
      <c r="CC815" s="17"/>
      <c r="CD815" s="17"/>
      <c r="CE815" s="17"/>
      <c r="CF815" s="17"/>
      <c r="CG815" s="17"/>
      <c r="CH815" s="17"/>
    </row>
    <row r="816" spans="8:86" x14ac:dyDescent="0.15">
      <c r="H816" s="3">
        <f t="shared" si="341"/>
        <v>0.8040000000000006</v>
      </c>
      <c r="I816" s="3">
        <f t="shared" si="342"/>
        <v>360</v>
      </c>
      <c r="J816" s="14">
        <f t="shared" si="343"/>
        <v>500</v>
      </c>
      <c r="K816" s="3">
        <f t="shared" si="333"/>
        <v>0</v>
      </c>
      <c r="L816" s="3">
        <f t="shared" si="329"/>
        <v>500</v>
      </c>
      <c r="M816" s="15">
        <f t="shared" si="344"/>
        <v>7.0000000000000007E-2</v>
      </c>
      <c r="N816" s="3">
        <f t="shared" si="345"/>
        <v>44.600874816986185</v>
      </c>
      <c r="O816" s="3">
        <f t="shared" si="330"/>
        <v>44.600874816986185</v>
      </c>
      <c r="P816" s="3">
        <f t="shared" si="334"/>
        <v>47.957929910737839</v>
      </c>
      <c r="Q816" s="3">
        <f t="shared" si="335"/>
        <v>7.5506778003852215</v>
      </c>
      <c r="R816" s="3">
        <f t="shared" si="336"/>
        <v>27.754303855561531</v>
      </c>
      <c r="S816" s="3">
        <f t="shared" si="331"/>
        <v>1</v>
      </c>
      <c r="T816" s="3">
        <f t="shared" si="337"/>
        <v>20203.626055176308</v>
      </c>
      <c r="U816" s="3">
        <f t="shared" si="338"/>
        <v>0.5</v>
      </c>
      <c r="V816" s="3">
        <f t="shared" si="339"/>
        <v>0</v>
      </c>
      <c r="W816" s="3">
        <f t="shared" si="340"/>
        <v>16056.314934115026</v>
      </c>
      <c r="X816" s="3">
        <f t="shared" si="332"/>
        <v>3775.3389001926107</v>
      </c>
      <c r="AI816" s="3"/>
      <c r="AJ816" s="3"/>
      <c r="AK816" s="15">
        <f t="shared" si="323"/>
        <v>3</v>
      </c>
      <c r="AL816" s="11">
        <f t="shared" si="327"/>
        <v>4842</v>
      </c>
      <c r="AM816" s="11" t="b">
        <f t="shared" si="322"/>
        <v>0</v>
      </c>
      <c r="AN816" s="11">
        <f t="shared" si="324"/>
        <v>36000</v>
      </c>
      <c r="AO816" s="11">
        <f t="shared" si="325"/>
        <v>0</v>
      </c>
      <c r="AP816" s="11">
        <f t="shared" si="326"/>
        <v>0.41540908380565406</v>
      </c>
      <c r="AQ816" s="11">
        <f t="shared" si="328"/>
        <v>0</v>
      </c>
      <c r="AT816" s="3"/>
      <c r="AU816" s="17"/>
      <c r="AV816" s="19"/>
      <c r="AW816" s="17"/>
      <c r="AX816" s="17">
        <f t="shared" si="347"/>
        <v>807</v>
      </c>
      <c r="AY816" s="17">
        <f t="shared" si="346"/>
        <v>80.7</v>
      </c>
      <c r="AZ816" s="17">
        <v>41.540908380565405</v>
      </c>
      <c r="BA816" s="17"/>
      <c r="BB816" s="17">
        <v>36</v>
      </c>
      <c r="BC816" s="17"/>
      <c r="BD816" s="17"/>
      <c r="BE816" s="17"/>
      <c r="BF816" s="17"/>
      <c r="BG816" s="17"/>
      <c r="BH816" s="17"/>
      <c r="BI816" s="17"/>
      <c r="BJ816" s="17"/>
      <c r="BK816" s="17"/>
      <c r="BL816" s="17"/>
      <c r="BM816" s="17"/>
      <c r="BN816" s="17"/>
      <c r="BO816" s="17"/>
      <c r="BP816" s="17"/>
      <c r="BQ816" s="17"/>
      <c r="BR816" s="17"/>
      <c r="BS816" s="17"/>
      <c r="BT816" s="17"/>
      <c r="BU816" s="17"/>
      <c r="BV816" s="17"/>
      <c r="BW816" s="17"/>
      <c r="BX816" s="17"/>
      <c r="BY816" s="17"/>
      <c r="BZ816" s="17"/>
      <c r="CA816" s="17"/>
      <c r="CB816" s="17"/>
      <c r="CC816" s="17"/>
      <c r="CD816" s="17"/>
      <c r="CE816" s="17"/>
      <c r="CF816" s="17"/>
      <c r="CG816" s="17"/>
      <c r="CH816" s="17"/>
    </row>
    <row r="817" spans="8:86" x14ac:dyDescent="0.15">
      <c r="H817" s="3">
        <f t="shared" si="341"/>
        <v>0.8050000000000006</v>
      </c>
      <c r="I817" s="3">
        <f t="shared" si="342"/>
        <v>360</v>
      </c>
      <c r="J817" s="14">
        <f t="shared" si="343"/>
        <v>500</v>
      </c>
      <c r="K817" s="3">
        <f t="shared" si="333"/>
        <v>0</v>
      </c>
      <c r="L817" s="3">
        <f t="shared" si="329"/>
        <v>500</v>
      </c>
      <c r="M817" s="15">
        <f t="shared" si="344"/>
        <v>7.0000000000000007E-2</v>
      </c>
      <c r="N817" s="3">
        <f t="shared" si="345"/>
        <v>44.544753633499582</v>
      </c>
      <c r="O817" s="3">
        <f t="shared" si="330"/>
        <v>44.544753633499582</v>
      </c>
      <c r="P817" s="3">
        <f t="shared" si="334"/>
        <v>47.897584552150093</v>
      </c>
      <c r="Q817" s="3">
        <f t="shared" si="335"/>
        <v>7.5102705482748684</v>
      </c>
      <c r="R817" s="3">
        <f t="shared" si="336"/>
        <v>27.70392755021248</v>
      </c>
      <c r="S817" s="3">
        <f t="shared" si="331"/>
        <v>1</v>
      </c>
      <c r="T817" s="3">
        <f t="shared" si="337"/>
        <v>20193.657001937612</v>
      </c>
      <c r="U817" s="3">
        <f t="shared" si="338"/>
        <v>0.5</v>
      </c>
      <c r="V817" s="3">
        <f t="shared" si="339"/>
        <v>0</v>
      </c>
      <c r="W817" s="3">
        <f t="shared" si="340"/>
        <v>16036.11130805985</v>
      </c>
      <c r="X817" s="3">
        <f t="shared" si="332"/>
        <v>3755.1352741374344</v>
      </c>
      <c r="AI817" s="3"/>
      <c r="AJ817" s="3"/>
      <c r="AK817" s="15">
        <f t="shared" si="323"/>
        <v>3</v>
      </c>
      <c r="AL817" s="11">
        <f t="shared" si="327"/>
        <v>4848</v>
      </c>
      <c r="AM817" s="11" t="b">
        <f t="shared" si="322"/>
        <v>0</v>
      </c>
      <c r="AN817" s="11">
        <f t="shared" si="324"/>
        <v>36000</v>
      </c>
      <c r="AO817" s="11">
        <f t="shared" si="325"/>
        <v>0</v>
      </c>
      <c r="AP817" s="11">
        <f t="shared" si="326"/>
        <v>0.41651139862046888</v>
      </c>
      <c r="AQ817" s="11">
        <f t="shared" si="328"/>
        <v>0</v>
      </c>
      <c r="AT817" s="3"/>
      <c r="AU817" s="17"/>
      <c r="AV817" s="19"/>
      <c r="AW817" s="17"/>
      <c r="AX817" s="17">
        <f t="shared" si="347"/>
        <v>808</v>
      </c>
      <c r="AY817" s="17">
        <f t="shared" si="346"/>
        <v>80.8</v>
      </c>
      <c r="AZ817" s="17">
        <v>41.65113986204689</v>
      </c>
      <c r="BA817" s="17"/>
      <c r="BB817" s="17">
        <v>36</v>
      </c>
      <c r="BC817" s="17"/>
      <c r="BD817" s="17"/>
      <c r="BE817" s="17"/>
      <c r="BF817" s="17"/>
      <c r="BG817" s="17"/>
      <c r="BH817" s="17"/>
      <c r="BI817" s="17"/>
      <c r="BJ817" s="17"/>
      <c r="BK817" s="17"/>
      <c r="BL817" s="17"/>
      <c r="BM817" s="17"/>
      <c r="BN817" s="17"/>
      <c r="BO817" s="17"/>
      <c r="BP817" s="17"/>
      <c r="BQ817" s="17"/>
      <c r="BR817" s="17"/>
      <c r="BS817" s="17"/>
      <c r="BT817" s="17"/>
      <c r="BU817" s="17"/>
      <c r="BV817" s="17"/>
      <c r="BW817" s="17"/>
      <c r="BX817" s="17"/>
      <c r="BY817" s="17"/>
      <c r="BZ817" s="17"/>
      <c r="CA817" s="17"/>
      <c r="CB817" s="17"/>
      <c r="CC817" s="17"/>
      <c r="CD817" s="17"/>
      <c r="CE817" s="17"/>
      <c r="CF817" s="17"/>
      <c r="CG817" s="17"/>
      <c r="CH817" s="17"/>
    </row>
    <row r="818" spans="8:86" x14ac:dyDescent="0.15">
      <c r="H818" s="3">
        <f t="shared" si="341"/>
        <v>0.8060000000000006</v>
      </c>
      <c r="I818" s="3">
        <f t="shared" si="342"/>
        <v>360</v>
      </c>
      <c r="J818" s="14">
        <f t="shared" si="343"/>
        <v>500</v>
      </c>
      <c r="K818" s="3">
        <f t="shared" si="333"/>
        <v>0</v>
      </c>
      <c r="L818" s="3">
        <f t="shared" si="329"/>
        <v>500</v>
      </c>
      <c r="M818" s="15">
        <f t="shared" si="344"/>
        <v>7.0000000000000007E-2</v>
      </c>
      <c r="N818" s="3">
        <f t="shared" si="345"/>
        <v>44.488660141827538</v>
      </c>
      <c r="O818" s="3">
        <f t="shared" si="330"/>
        <v>44.488660141827538</v>
      </c>
      <c r="P818" s="3">
        <f t="shared" si="334"/>
        <v>47.837268969707033</v>
      </c>
      <c r="Q818" s="3">
        <f t="shared" si="335"/>
        <v>7.469883234270994</v>
      </c>
      <c r="R818" s="3">
        <f t="shared" si="336"/>
        <v>27.653576101989014</v>
      </c>
      <c r="S818" s="3">
        <f t="shared" si="331"/>
        <v>1</v>
      </c>
      <c r="T818" s="3">
        <f t="shared" si="337"/>
        <v>20183.692867718019</v>
      </c>
      <c r="U818" s="3">
        <f t="shared" si="338"/>
        <v>0.5</v>
      </c>
      <c r="V818" s="3">
        <f t="shared" si="339"/>
        <v>0</v>
      </c>
      <c r="W818" s="3">
        <f t="shared" si="340"/>
        <v>16015.917651057913</v>
      </c>
      <c r="X818" s="3">
        <f t="shared" si="332"/>
        <v>3734.9416171354969</v>
      </c>
      <c r="AI818" s="3"/>
      <c r="AJ818" s="3"/>
      <c r="AK818" s="15">
        <f t="shared" si="323"/>
        <v>3</v>
      </c>
      <c r="AL818" s="11">
        <f t="shared" si="327"/>
        <v>4854</v>
      </c>
      <c r="AM818" s="11" t="b">
        <f t="shared" si="322"/>
        <v>0</v>
      </c>
      <c r="AN818" s="11">
        <f t="shared" si="324"/>
        <v>36000</v>
      </c>
      <c r="AO818" s="11">
        <f t="shared" si="325"/>
        <v>0</v>
      </c>
      <c r="AP818" s="11">
        <f t="shared" si="326"/>
        <v>0.41761371343528364</v>
      </c>
      <c r="AQ818" s="11">
        <f t="shared" si="328"/>
        <v>0</v>
      </c>
      <c r="AT818" s="3"/>
      <c r="AU818" s="17"/>
      <c r="AV818" s="19"/>
      <c r="AW818" s="17"/>
      <c r="AX818" s="17">
        <f t="shared" si="347"/>
        <v>809</v>
      </c>
      <c r="AY818" s="17">
        <f t="shared" si="346"/>
        <v>80.900000000000006</v>
      </c>
      <c r="AZ818" s="17">
        <v>41.761371343528367</v>
      </c>
      <c r="BA818" s="17"/>
      <c r="BB818" s="17">
        <v>36</v>
      </c>
      <c r="BC818" s="17"/>
      <c r="BD818" s="17"/>
      <c r="BE818" s="17"/>
      <c r="BF818" s="17"/>
      <c r="BG818" s="17"/>
      <c r="BH818" s="17"/>
      <c r="BI818" s="17"/>
      <c r="BJ818" s="17"/>
      <c r="BK818" s="17"/>
      <c r="BL818" s="17"/>
      <c r="BM818" s="17"/>
      <c r="BN818" s="17"/>
      <c r="BO818" s="17"/>
      <c r="BP818" s="17"/>
      <c r="BQ818" s="17"/>
      <c r="BR818" s="17"/>
      <c r="BS818" s="17"/>
      <c r="BT818" s="17"/>
      <c r="BU818" s="17"/>
      <c r="BV818" s="17"/>
      <c r="BW818" s="17"/>
      <c r="BX818" s="17"/>
      <c r="BY818" s="17"/>
      <c r="BZ818" s="17"/>
      <c r="CA818" s="17"/>
      <c r="CB818" s="17"/>
      <c r="CC818" s="17"/>
      <c r="CD818" s="17"/>
      <c r="CE818" s="17"/>
      <c r="CF818" s="17"/>
      <c r="CG818" s="17"/>
      <c r="CH818" s="17"/>
    </row>
    <row r="819" spans="8:86" x14ac:dyDescent="0.15">
      <c r="H819" s="3">
        <f t="shared" si="341"/>
        <v>0.80700000000000061</v>
      </c>
      <c r="I819" s="3">
        <f t="shared" si="342"/>
        <v>360</v>
      </c>
      <c r="J819" s="14">
        <f t="shared" si="343"/>
        <v>500</v>
      </c>
      <c r="K819" s="3">
        <f t="shared" si="333"/>
        <v>0</v>
      </c>
      <c r="L819" s="3">
        <f t="shared" si="329"/>
        <v>500</v>
      </c>
      <c r="M819" s="15">
        <f t="shared" si="344"/>
        <v>7.0000000000000007E-2</v>
      </c>
      <c r="N819" s="3">
        <f t="shared" si="345"/>
        <v>44.432594328306095</v>
      </c>
      <c r="O819" s="3">
        <f t="shared" si="330"/>
        <v>44.432594328306095</v>
      </c>
      <c r="P819" s="3">
        <f t="shared" si="334"/>
        <v>47.776983148716234</v>
      </c>
      <c r="Q819" s="3">
        <f t="shared" si="335"/>
        <v>7.4295158485355577</v>
      </c>
      <c r="R819" s="3">
        <f t="shared" si="336"/>
        <v>27.603249498625896</v>
      </c>
      <c r="S819" s="3">
        <f t="shared" si="331"/>
        <v>1</v>
      </c>
      <c r="T819" s="3">
        <f t="shared" si="337"/>
        <v>20173.733650090337</v>
      </c>
      <c r="U819" s="3">
        <f t="shared" si="338"/>
        <v>0.5</v>
      </c>
      <c r="V819" s="3">
        <f t="shared" si="339"/>
        <v>0</v>
      </c>
      <c r="W819" s="3">
        <f t="shared" si="340"/>
        <v>15995.733958190194</v>
      </c>
      <c r="X819" s="3">
        <f t="shared" si="332"/>
        <v>3714.7579242677789</v>
      </c>
      <c r="AI819" s="3"/>
      <c r="AJ819" s="3"/>
      <c r="AK819" s="15">
        <f t="shared" si="323"/>
        <v>3</v>
      </c>
      <c r="AL819" s="11">
        <f t="shared" si="327"/>
        <v>4860</v>
      </c>
      <c r="AM819" s="11" t="b">
        <f t="shared" si="322"/>
        <v>0</v>
      </c>
      <c r="AN819" s="11">
        <f t="shared" si="324"/>
        <v>36000</v>
      </c>
      <c r="AO819" s="11">
        <f t="shared" si="325"/>
        <v>0</v>
      </c>
      <c r="AP819" s="11">
        <f t="shared" si="326"/>
        <v>0.41871602825009846</v>
      </c>
      <c r="AQ819" s="11">
        <f t="shared" si="328"/>
        <v>0</v>
      </c>
      <c r="AT819" s="3"/>
      <c r="AU819" s="17"/>
      <c r="AV819" s="19"/>
      <c r="AW819" s="17"/>
      <c r="AX819" s="17">
        <f t="shared" si="347"/>
        <v>810</v>
      </c>
      <c r="AY819" s="17">
        <f t="shared" si="346"/>
        <v>81</v>
      </c>
      <c r="AZ819" s="17">
        <v>41.871602825009845</v>
      </c>
      <c r="BA819" s="17"/>
      <c r="BB819" s="17">
        <v>36</v>
      </c>
      <c r="BC819" s="17"/>
      <c r="BD819" s="17"/>
      <c r="BE819" s="17"/>
      <c r="BF819" s="17"/>
      <c r="BG819" s="17"/>
      <c r="BH819" s="17"/>
      <c r="BI819" s="17"/>
      <c r="BJ819" s="17"/>
      <c r="BK819" s="17"/>
      <c r="BL819" s="17"/>
      <c r="BM819" s="17"/>
      <c r="BN819" s="17"/>
      <c r="BO819" s="17"/>
      <c r="BP819" s="17"/>
      <c r="BQ819" s="17"/>
      <c r="BR819" s="17"/>
      <c r="BS819" s="17"/>
      <c r="BT819" s="17"/>
      <c r="BU819" s="17"/>
      <c r="BV819" s="17"/>
      <c r="BW819" s="17"/>
      <c r="BX819" s="17"/>
      <c r="BY819" s="17"/>
      <c r="BZ819" s="17"/>
      <c r="CA819" s="17"/>
      <c r="CB819" s="17"/>
      <c r="CC819" s="17"/>
      <c r="CD819" s="17"/>
      <c r="CE819" s="17"/>
      <c r="CF819" s="17"/>
      <c r="CG819" s="17"/>
      <c r="CH819" s="17"/>
    </row>
    <row r="820" spans="8:86" x14ac:dyDescent="0.15">
      <c r="H820" s="3">
        <f t="shared" si="341"/>
        <v>0.80800000000000061</v>
      </c>
      <c r="I820" s="3">
        <f t="shared" si="342"/>
        <v>360</v>
      </c>
      <c r="J820" s="14">
        <f t="shared" si="343"/>
        <v>500</v>
      </c>
      <c r="K820" s="3">
        <f t="shared" si="333"/>
        <v>0</v>
      </c>
      <c r="L820" s="3">
        <f t="shared" si="329"/>
        <v>500</v>
      </c>
      <c r="M820" s="15">
        <f t="shared" si="344"/>
        <v>7.0000000000000007E-2</v>
      </c>
      <c r="N820" s="3">
        <f t="shared" si="345"/>
        <v>44.376556179278069</v>
      </c>
      <c r="O820" s="3">
        <f t="shared" si="330"/>
        <v>44.376556179278069</v>
      </c>
      <c r="P820" s="3">
        <f t="shared" si="334"/>
        <v>47.716727074492553</v>
      </c>
      <c r="Q820" s="3">
        <f t="shared" si="335"/>
        <v>7.3891683812353763</v>
      </c>
      <c r="R820" s="3">
        <f t="shared" si="336"/>
        <v>27.552947727863966</v>
      </c>
      <c r="S820" s="3">
        <f t="shared" si="331"/>
        <v>1</v>
      </c>
      <c r="T820" s="3">
        <f t="shared" si="337"/>
        <v>20163.779346628588</v>
      </c>
      <c r="U820" s="3">
        <f t="shared" si="338"/>
        <v>0.5</v>
      </c>
      <c r="V820" s="3">
        <f t="shared" si="339"/>
        <v>0</v>
      </c>
      <c r="W820" s="3">
        <f t="shared" si="340"/>
        <v>15975.560224540104</v>
      </c>
      <c r="X820" s="3">
        <f t="shared" si="332"/>
        <v>3694.5841906176884</v>
      </c>
      <c r="AI820" s="3"/>
      <c r="AJ820" s="3"/>
      <c r="AK820" s="15">
        <f t="shared" si="323"/>
        <v>3</v>
      </c>
      <c r="AL820" s="11">
        <f t="shared" si="327"/>
        <v>4866</v>
      </c>
      <c r="AM820" s="11" t="b">
        <f t="shared" si="322"/>
        <v>0</v>
      </c>
      <c r="AN820" s="11">
        <f t="shared" si="324"/>
        <v>36000</v>
      </c>
      <c r="AO820" s="11">
        <f t="shared" si="325"/>
        <v>0</v>
      </c>
      <c r="AP820" s="11">
        <f t="shared" si="326"/>
        <v>0.41981834306491322</v>
      </c>
      <c r="AQ820" s="11">
        <f t="shared" si="328"/>
        <v>0</v>
      </c>
      <c r="AT820" s="3"/>
      <c r="AU820" s="17"/>
      <c r="AV820" s="19"/>
      <c r="AW820" s="17"/>
      <c r="AX820" s="17">
        <f t="shared" si="347"/>
        <v>811</v>
      </c>
      <c r="AY820" s="17">
        <f t="shared" si="346"/>
        <v>81.099999999999994</v>
      </c>
      <c r="AZ820" s="17">
        <v>41.981834306491322</v>
      </c>
      <c r="BA820" s="17"/>
      <c r="BB820" s="17">
        <v>36</v>
      </c>
      <c r="BC820" s="17"/>
      <c r="BD820" s="17"/>
      <c r="BE820" s="17"/>
      <c r="BF820" s="17"/>
      <c r="BG820" s="17"/>
      <c r="BH820" s="17"/>
      <c r="BI820" s="17"/>
      <c r="BJ820" s="17"/>
      <c r="BK820" s="17"/>
      <c r="BL820" s="17"/>
      <c r="BM820" s="17"/>
      <c r="BN820" s="17"/>
      <c r="BO820" s="17"/>
      <c r="BP820" s="17"/>
      <c r="BQ820" s="17"/>
      <c r="BR820" s="17"/>
      <c r="BS820" s="17"/>
      <c r="BT820" s="17"/>
      <c r="BU820" s="17"/>
      <c r="BV820" s="17"/>
      <c r="BW820" s="17"/>
      <c r="BX820" s="17"/>
      <c r="BY820" s="17"/>
      <c r="BZ820" s="17"/>
      <c r="CA820" s="17"/>
      <c r="CB820" s="17"/>
      <c r="CC820" s="17"/>
      <c r="CD820" s="17"/>
      <c r="CE820" s="17"/>
      <c r="CF820" s="17"/>
      <c r="CG820" s="17"/>
      <c r="CH820" s="17"/>
    </row>
    <row r="821" spans="8:86" x14ac:dyDescent="0.15">
      <c r="H821" s="3">
        <f t="shared" si="341"/>
        <v>0.80900000000000061</v>
      </c>
      <c r="I821" s="3">
        <f t="shared" si="342"/>
        <v>360</v>
      </c>
      <c r="J821" s="14">
        <f t="shared" si="343"/>
        <v>500</v>
      </c>
      <c r="K821" s="3">
        <f t="shared" si="333"/>
        <v>0</v>
      </c>
      <c r="L821" s="3">
        <f t="shared" si="329"/>
        <v>500</v>
      </c>
      <c r="M821" s="15">
        <f t="shared" si="344"/>
        <v>7.0000000000000007E-2</v>
      </c>
      <c r="N821" s="3">
        <f t="shared" si="345"/>
        <v>44.320545681092987</v>
      </c>
      <c r="O821" s="3">
        <f t="shared" si="330"/>
        <v>44.320545681092987</v>
      </c>
      <c r="P821" s="3">
        <f t="shared" si="334"/>
        <v>47.656500732358055</v>
      </c>
      <c r="Q821" s="3">
        <f t="shared" si="335"/>
        <v>7.3488408225421198</v>
      </c>
      <c r="R821" s="3">
        <f t="shared" si="336"/>
        <v>27.502670777450088</v>
      </c>
      <c r="S821" s="3">
        <f t="shared" si="331"/>
        <v>1</v>
      </c>
      <c r="T821" s="3">
        <f t="shared" si="337"/>
        <v>20153.829954907967</v>
      </c>
      <c r="U821" s="3">
        <f t="shared" si="338"/>
        <v>0.5</v>
      </c>
      <c r="V821" s="3">
        <f t="shared" si="339"/>
        <v>0</v>
      </c>
      <c r="W821" s="3">
        <f t="shared" si="340"/>
        <v>15955.396445193475</v>
      </c>
      <c r="X821" s="3">
        <f t="shared" si="332"/>
        <v>3674.4204112710599</v>
      </c>
      <c r="AI821" s="3"/>
      <c r="AJ821" s="3"/>
      <c r="AK821" s="15">
        <f t="shared" si="323"/>
        <v>3</v>
      </c>
      <c r="AL821" s="11">
        <f t="shared" si="327"/>
        <v>4872</v>
      </c>
      <c r="AM821" s="11" t="b">
        <f t="shared" si="322"/>
        <v>0</v>
      </c>
      <c r="AN821" s="11">
        <f t="shared" si="324"/>
        <v>36000</v>
      </c>
      <c r="AO821" s="11">
        <f t="shared" si="325"/>
        <v>0</v>
      </c>
      <c r="AP821" s="11">
        <f t="shared" si="326"/>
        <v>0.42092065787972804</v>
      </c>
      <c r="AQ821" s="11">
        <f t="shared" si="328"/>
        <v>0</v>
      </c>
      <c r="AT821" s="3"/>
      <c r="AU821" s="17"/>
      <c r="AV821" s="19"/>
      <c r="AW821" s="17"/>
      <c r="AX821" s="17">
        <f t="shared" si="347"/>
        <v>812</v>
      </c>
      <c r="AY821" s="17">
        <f t="shared" si="346"/>
        <v>81.2</v>
      </c>
      <c r="AZ821" s="17">
        <v>42.092065787972807</v>
      </c>
      <c r="BA821" s="17"/>
      <c r="BB821" s="17">
        <v>36</v>
      </c>
      <c r="BC821" s="17"/>
      <c r="BD821" s="17"/>
      <c r="BE821" s="17"/>
      <c r="BF821" s="17"/>
      <c r="BG821" s="17"/>
      <c r="BH821" s="17"/>
      <c r="BI821" s="17"/>
      <c r="BJ821" s="17"/>
      <c r="BK821" s="17"/>
      <c r="BL821" s="17"/>
      <c r="BM821" s="17"/>
      <c r="BN821" s="17"/>
      <c r="BO821" s="17"/>
      <c r="BP821" s="17"/>
      <c r="BQ821" s="17"/>
      <c r="BR821" s="17"/>
      <c r="BS821" s="17"/>
      <c r="BT821" s="17"/>
      <c r="BU821" s="17"/>
      <c r="BV821" s="17"/>
      <c r="BW821" s="17"/>
      <c r="BX821" s="17"/>
      <c r="BY821" s="17"/>
      <c r="BZ821" s="17"/>
      <c r="CA821" s="17"/>
      <c r="CB821" s="17"/>
      <c r="CC821" s="17"/>
      <c r="CD821" s="17"/>
      <c r="CE821" s="17"/>
      <c r="CF821" s="17"/>
      <c r="CG821" s="17"/>
      <c r="CH821" s="17"/>
    </row>
    <row r="822" spans="8:86" x14ac:dyDescent="0.15">
      <c r="H822" s="3">
        <f t="shared" si="341"/>
        <v>0.81000000000000061</v>
      </c>
      <c r="I822" s="3">
        <f t="shared" si="342"/>
        <v>360</v>
      </c>
      <c r="J822" s="14">
        <f t="shared" si="343"/>
        <v>500</v>
      </c>
      <c r="K822" s="3">
        <f t="shared" si="333"/>
        <v>0</v>
      </c>
      <c r="L822" s="3">
        <f t="shared" si="329"/>
        <v>500</v>
      </c>
      <c r="M822" s="15">
        <f t="shared" si="344"/>
        <v>7.0000000000000007E-2</v>
      </c>
      <c r="N822" s="3">
        <f t="shared" si="345"/>
        <v>44.26456282010713</v>
      </c>
      <c r="O822" s="3">
        <f t="shared" si="330"/>
        <v>44.26456282010713</v>
      </c>
      <c r="P822" s="3">
        <f t="shared" si="334"/>
        <v>47.596304107642077</v>
      </c>
      <c r="Q822" s="3">
        <f t="shared" si="335"/>
        <v>7.3085331626323038</v>
      </c>
      <c r="R822" s="3">
        <f t="shared" si="336"/>
        <v>27.452418635137189</v>
      </c>
      <c r="S822" s="3">
        <f t="shared" si="331"/>
        <v>1</v>
      </c>
      <c r="T822" s="3">
        <f t="shared" si="337"/>
        <v>20143.885472504888</v>
      </c>
      <c r="U822" s="3">
        <f t="shared" si="338"/>
        <v>0.5</v>
      </c>
      <c r="V822" s="3">
        <f t="shared" si="339"/>
        <v>0</v>
      </c>
      <c r="W822" s="3">
        <f t="shared" si="340"/>
        <v>15935.242615238567</v>
      </c>
      <c r="X822" s="3">
        <f t="shared" si="332"/>
        <v>3654.266581316152</v>
      </c>
      <c r="AI822" s="3"/>
      <c r="AJ822" s="3"/>
      <c r="AK822" s="15">
        <f t="shared" si="323"/>
        <v>3</v>
      </c>
      <c r="AL822" s="11">
        <f t="shared" si="327"/>
        <v>4878</v>
      </c>
      <c r="AM822" s="11" t="b">
        <f t="shared" si="322"/>
        <v>0</v>
      </c>
      <c r="AN822" s="11">
        <f t="shared" si="324"/>
        <v>36000</v>
      </c>
      <c r="AO822" s="11">
        <f t="shared" si="325"/>
        <v>0</v>
      </c>
      <c r="AP822" s="11">
        <f t="shared" si="326"/>
        <v>0.42202297269454281</v>
      </c>
      <c r="AQ822" s="11">
        <f t="shared" si="328"/>
        <v>0</v>
      </c>
      <c r="AT822" s="3"/>
      <c r="AU822" s="17"/>
      <c r="AV822" s="19"/>
      <c r="AW822" s="17"/>
      <c r="AX822" s="17">
        <f t="shared" si="347"/>
        <v>813</v>
      </c>
      <c r="AY822" s="17">
        <f t="shared" si="346"/>
        <v>81.3</v>
      </c>
      <c r="AZ822" s="17">
        <v>42.202297269454277</v>
      </c>
      <c r="BA822" s="17"/>
      <c r="BB822" s="17">
        <v>36</v>
      </c>
      <c r="BC822" s="17"/>
      <c r="BD822" s="17"/>
      <c r="BE822" s="17"/>
      <c r="BF822" s="17"/>
      <c r="BG822" s="17"/>
      <c r="BH822" s="17"/>
      <c r="BI822" s="17"/>
      <c r="BJ822" s="17"/>
      <c r="BK822" s="17"/>
      <c r="BL822" s="17"/>
      <c r="BM822" s="17"/>
      <c r="BN822" s="17"/>
      <c r="BO822" s="17"/>
      <c r="BP822" s="17"/>
      <c r="BQ822" s="17"/>
      <c r="BR822" s="17"/>
      <c r="BS822" s="17"/>
      <c r="BT822" s="17"/>
      <c r="BU822" s="17"/>
      <c r="BV822" s="17"/>
      <c r="BW822" s="17"/>
      <c r="BX822" s="17"/>
      <c r="BY822" s="17"/>
      <c r="BZ822" s="17"/>
      <c r="CA822" s="17"/>
      <c r="CB822" s="17"/>
      <c r="CC822" s="17"/>
      <c r="CD822" s="17"/>
      <c r="CE822" s="17"/>
      <c r="CF822" s="17"/>
      <c r="CG822" s="17"/>
      <c r="CH822" s="17"/>
    </row>
    <row r="823" spans="8:86" x14ac:dyDescent="0.15">
      <c r="H823" s="3">
        <f t="shared" si="341"/>
        <v>0.81100000000000061</v>
      </c>
      <c r="I823" s="3">
        <f t="shared" si="342"/>
        <v>360</v>
      </c>
      <c r="J823" s="14">
        <f t="shared" si="343"/>
        <v>500</v>
      </c>
      <c r="K823" s="3">
        <f t="shared" si="333"/>
        <v>0</v>
      </c>
      <c r="L823" s="3">
        <f t="shared" si="329"/>
        <v>500</v>
      </c>
      <c r="M823" s="15">
        <f t="shared" si="344"/>
        <v>7.0000000000000007E-2</v>
      </c>
      <c r="N823" s="3">
        <f t="shared" si="345"/>
        <v>44.208607582683506</v>
      </c>
      <c r="O823" s="3">
        <f t="shared" si="330"/>
        <v>44.208607582683506</v>
      </c>
      <c r="P823" s="3">
        <f t="shared" si="334"/>
        <v>47.536137185681191</v>
      </c>
      <c r="Q823" s="3">
        <f t="shared" si="335"/>
        <v>7.2682453916872944</v>
      </c>
      <c r="R823" s="3">
        <f t="shared" si="336"/>
        <v>27.402191288684243</v>
      </c>
      <c r="S823" s="3">
        <f t="shared" si="331"/>
        <v>1</v>
      </c>
      <c r="T823" s="3">
        <f t="shared" si="337"/>
        <v>20133.945896996949</v>
      </c>
      <c r="U823" s="3">
        <f t="shared" si="338"/>
        <v>0.5</v>
      </c>
      <c r="V823" s="3">
        <f t="shared" si="339"/>
        <v>0</v>
      </c>
      <c r="W823" s="3">
        <f t="shared" si="340"/>
        <v>15915.098729766061</v>
      </c>
      <c r="X823" s="3">
        <f t="shared" si="332"/>
        <v>3634.1226958436473</v>
      </c>
      <c r="AI823" s="3"/>
      <c r="AJ823" s="3"/>
      <c r="AK823" s="15">
        <f t="shared" si="323"/>
        <v>3</v>
      </c>
      <c r="AL823" s="11">
        <f t="shared" si="327"/>
        <v>4884</v>
      </c>
      <c r="AM823" s="11" t="b">
        <f t="shared" si="322"/>
        <v>0</v>
      </c>
      <c r="AN823" s="11">
        <f t="shared" si="324"/>
        <v>36000</v>
      </c>
      <c r="AO823" s="11">
        <f t="shared" si="325"/>
        <v>0</v>
      </c>
      <c r="AP823" s="11">
        <f t="shared" si="326"/>
        <v>0.42312528750935763</v>
      </c>
      <c r="AQ823" s="11">
        <f t="shared" si="328"/>
        <v>0</v>
      </c>
      <c r="AT823" s="3"/>
      <c r="AU823" s="17"/>
      <c r="AV823" s="19"/>
      <c r="AW823" s="17"/>
      <c r="AX823" s="17">
        <f t="shared" si="347"/>
        <v>814</v>
      </c>
      <c r="AY823" s="17">
        <f t="shared" si="346"/>
        <v>81.400000000000006</v>
      </c>
      <c r="AZ823" s="17">
        <v>42.312528750935762</v>
      </c>
      <c r="BA823" s="17"/>
      <c r="BB823" s="17">
        <v>36</v>
      </c>
      <c r="BC823" s="17"/>
      <c r="BD823" s="17"/>
      <c r="BE823" s="17"/>
      <c r="BF823" s="17"/>
      <c r="BG823" s="17"/>
      <c r="BH823" s="17"/>
      <c r="BI823" s="17"/>
      <c r="BJ823" s="17"/>
      <c r="BK823" s="17"/>
      <c r="BL823" s="17"/>
      <c r="BM823" s="17"/>
      <c r="BN823" s="17"/>
      <c r="BO823" s="17"/>
      <c r="BP823" s="17"/>
      <c r="BQ823" s="17"/>
      <c r="BR823" s="17"/>
      <c r="BS823" s="17"/>
      <c r="BT823" s="17"/>
      <c r="BU823" s="17"/>
      <c r="BV823" s="17"/>
      <c r="BW823" s="17"/>
      <c r="BX823" s="17"/>
      <c r="BY823" s="17"/>
      <c r="BZ823" s="17"/>
      <c r="CA823" s="17"/>
      <c r="CB823" s="17"/>
      <c r="CC823" s="17"/>
      <c r="CD823" s="17"/>
      <c r="CE823" s="17"/>
      <c r="CF823" s="17"/>
      <c r="CG823" s="17"/>
      <c r="CH823" s="17"/>
    </row>
    <row r="824" spans="8:86" x14ac:dyDescent="0.15">
      <c r="H824" s="3">
        <f t="shared" si="341"/>
        <v>0.81200000000000061</v>
      </c>
      <c r="I824" s="3">
        <f t="shared" si="342"/>
        <v>360</v>
      </c>
      <c r="J824" s="14">
        <f t="shared" si="343"/>
        <v>500</v>
      </c>
      <c r="K824" s="3">
        <f t="shared" si="333"/>
        <v>0</v>
      </c>
      <c r="L824" s="3">
        <f t="shared" si="329"/>
        <v>500</v>
      </c>
      <c r="M824" s="15">
        <f t="shared" si="344"/>
        <v>7.0000000000000007E-2</v>
      </c>
      <c r="N824" s="3">
        <f t="shared" si="345"/>
        <v>44.152679955191843</v>
      </c>
      <c r="O824" s="3">
        <f t="shared" si="330"/>
        <v>44.152679955191843</v>
      </c>
      <c r="P824" s="3">
        <f t="shared" si="334"/>
        <v>47.47599995181919</v>
      </c>
      <c r="Q824" s="3">
        <f t="shared" si="335"/>
        <v>7.2279774998933011</v>
      </c>
      <c r="R824" s="3">
        <f t="shared" si="336"/>
        <v>27.351988725856245</v>
      </c>
      <c r="S824" s="3">
        <f t="shared" si="331"/>
        <v>1</v>
      </c>
      <c r="T824" s="3">
        <f t="shared" si="337"/>
        <v>20124.011225962946</v>
      </c>
      <c r="U824" s="3">
        <f t="shared" si="338"/>
        <v>0.5</v>
      </c>
      <c r="V824" s="3">
        <f t="shared" si="339"/>
        <v>0</v>
      </c>
      <c r="W824" s="3">
        <f t="shared" si="340"/>
        <v>15894.964783869063</v>
      </c>
      <c r="X824" s="3">
        <f t="shared" si="332"/>
        <v>3613.9887499466504</v>
      </c>
      <c r="AI824" s="3"/>
      <c r="AJ824" s="3"/>
      <c r="AK824" s="15">
        <f t="shared" si="323"/>
        <v>3</v>
      </c>
      <c r="AL824" s="11">
        <f t="shared" si="327"/>
        <v>4890</v>
      </c>
      <c r="AM824" s="11" t="b">
        <f t="shared" si="322"/>
        <v>0</v>
      </c>
      <c r="AN824" s="11">
        <f t="shared" si="324"/>
        <v>36000</v>
      </c>
      <c r="AO824" s="11">
        <f t="shared" si="325"/>
        <v>0</v>
      </c>
      <c r="AP824" s="11">
        <f t="shared" si="326"/>
        <v>0.42422760232417245</v>
      </c>
      <c r="AQ824" s="11">
        <f t="shared" si="328"/>
        <v>0</v>
      </c>
      <c r="AT824" s="3"/>
      <c r="AU824" s="17"/>
      <c r="AV824" s="19"/>
      <c r="AW824" s="17"/>
      <c r="AX824" s="17">
        <f t="shared" si="347"/>
        <v>815</v>
      </c>
      <c r="AY824" s="17">
        <f t="shared" si="346"/>
        <v>81.5</v>
      </c>
      <c r="AZ824" s="17">
        <v>42.422760232417247</v>
      </c>
      <c r="BA824" s="17"/>
      <c r="BB824" s="17">
        <v>36</v>
      </c>
      <c r="BC824" s="17"/>
      <c r="BD824" s="17"/>
      <c r="BE824" s="17"/>
      <c r="BF824" s="17"/>
      <c r="BG824" s="17"/>
      <c r="BH824" s="17"/>
      <c r="BI824" s="17"/>
      <c r="BJ824" s="17"/>
      <c r="BK824" s="17"/>
      <c r="BL824" s="17"/>
      <c r="BM824" s="17"/>
      <c r="BN824" s="17"/>
      <c r="BO824" s="17"/>
      <c r="BP824" s="17"/>
      <c r="BQ824" s="17"/>
      <c r="BR824" s="17"/>
      <c r="BS824" s="17"/>
      <c r="BT824" s="17"/>
      <c r="BU824" s="17"/>
      <c r="BV824" s="17"/>
      <c r="BW824" s="17"/>
      <c r="BX824" s="17"/>
      <c r="BY824" s="17"/>
      <c r="BZ824" s="17"/>
      <c r="CA824" s="17"/>
      <c r="CB824" s="17"/>
      <c r="CC824" s="17"/>
      <c r="CD824" s="17"/>
      <c r="CE824" s="17"/>
      <c r="CF824" s="17"/>
      <c r="CG824" s="17"/>
      <c r="CH824" s="17"/>
    </row>
    <row r="825" spans="8:86" x14ac:dyDescent="0.15">
      <c r="H825" s="3">
        <f t="shared" si="341"/>
        <v>0.81300000000000061</v>
      </c>
      <c r="I825" s="3">
        <f t="shared" si="342"/>
        <v>360</v>
      </c>
      <c r="J825" s="14">
        <f t="shared" si="343"/>
        <v>500</v>
      </c>
      <c r="K825" s="3">
        <f t="shared" si="333"/>
        <v>0</v>
      </c>
      <c r="L825" s="3">
        <f t="shared" si="329"/>
        <v>500</v>
      </c>
      <c r="M825" s="15">
        <f t="shared" si="344"/>
        <v>7.0000000000000007E-2</v>
      </c>
      <c r="N825" s="3">
        <f t="shared" si="345"/>
        <v>44.096779924008608</v>
      </c>
      <c r="O825" s="3">
        <f t="shared" si="330"/>
        <v>44.096779924008608</v>
      </c>
      <c r="P825" s="3">
        <f t="shared" si="334"/>
        <v>47.415892391407105</v>
      </c>
      <c r="Q825" s="3">
        <f t="shared" si="335"/>
        <v>7.1877294774413745</v>
      </c>
      <c r="R825" s="3">
        <f t="shared" si="336"/>
        <v>27.301810934424239</v>
      </c>
      <c r="S825" s="3">
        <f t="shared" si="331"/>
        <v>1</v>
      </c>
      <c r="T825" s="3">
        <f t="shared" si="337"/>
        <v>20114.081456982865</v>
      </c>
      <c r="U825" s="3">
        <f t="shared" si="338"/>
        <v>0.5</v>
      </c>
      <c r="V825" s="3">
        <f t="shared" si="339"/>
        <v>0</v>
      </c>
      <c r="W825" s="3">
        <f t="shared" si="340"/>
        <v>15874.8407726431</v>
      </c>
      <c r="X825" s="3">
        <f t="shared" si="332"/>
        <v>3593.8647387206875</v>
      </c>
      <c r="AI825" s="3"/>
      <c r="AJ825" s="3"/>
      <c r="AK825" s="15">
        <f t="shared" si="323"/>
        <v>3</v>
      </c>
      <c r="AL825" s="11">
        <f t="shared" si="327"/>
        <v>4896</v>
      </c>
      <c r="AM825" s="11" t="b">
        <f t="shared" si="322"/>
        <v>0</v>
      </c>
      <c r="AN825" s="11">
        <f t="shared" si="324"/>
        <v>36000</v>
      </c>
      <c r="AO825" s="11">
        <f t="shared" si="325"/>
        <v>0</v>
      </c>
      <c r="AP825" s="11">
        <f t="shared" si="326"/>
        <v>0.42532991713898721</v>
      </c>
      <c r="AQ825" s="11">
        <f t="shared" si="328"/>
        <v>0</v>
      </c>
      <c r="AT825" s="3"/>
      <c r="AU825" s="17"/>
      <c r="AV825" s="19"/>
      <c r="AW825" s="17"/>
      <c r="AX825" s="17">
        <f t="shared" si="347"/>
        <v>816</v>
      </c>
      <c r="AY825" s="17">
        <f t="shared" si="346"/>
        <v>81.599999999999994</v>
      </c>
      <c r="AZ825" s="17">
        <v>42.532991713898724</v>
      </c>
      <c r="BA825" s="17"/>
      <c r="BB825" s="17">
        <v>36</v>
      </c>
      <c r="BC825" s="17"/>
      <c r="BD825" s="17"/>
      <c r="BE825" s="17"/>
      <c r="BF825" s="17"/>
      <c r="BG825" s="17"/>
      <c r="BH825" s="17"/>
      <c r="BI825" s="17"/>
      <c r="BJ825" s="17"/>
      <c r="BK825" s="17"/>
      <c r="BL825" s="17"/>
      <c r="BM825" s="17"/>
      <c r="BN825" s="17"/>
      <c r="BO825" s="17"/>
      <c r="BP825" s="17"/>
      <c r="BQ825" s="17"/>
      <c r="BR825" s="17"/>
      <c r="BS825" s="17"/>
      <c r="BT825" s="17"/>
      <c r="BU825" s="17"/>
      <c r="BV825" s="17"/>
      <c r="BW825" s="17"/>
      <c r="BX825" s="17"/>
      <c r="BY825" s="17"/>
      <c r="BZ825" s="17"/>
      <c r="CA825" s="17"/>
      <c r="CB825" s="17"/>
      <c r="CC825" s="17"/>
      <c r="CD825" s="17"/>
      <c r="CE825" s="17"/>
      <c r="CF825" s="17"/>
      <c r="CG825" s="17"/>
      <c r="CH825" s="17"/>
    </row>
    <row r="826" spans="8:86" x14ac:dyDescent="0.15">
      <c r="H826" s="3">
        <f t="shared" si="341"/>
        <v>0.81400000000000061</v>
      </c>
      <c r="I826" s="3">
        <f t="shared" si="342"/>
        <v>360</v>
      </c>
      <c r="J826" s="14">
        <f t="shared" si="343"/>
        <v>500</v>
      </c>
      <c r="K826" s="3">
        <f t="shared" si="333"/>
        <v>0</v>
      </c>
      <c r="L826" s="3">
        <f t="shared" si="329"/>
        <v>500</v>
      </c>
      <c r="M826" s="15">
        <f t="shared" si="344"/>
        <v>7.0000000000000007E-2</v>
      </c>
      <c r="N826" s="3">
        <f t="shared" si="345"/>
        <v>44.040907475516988</v>
      </c>
      <c r="O826" s="3">
        <f t="shared" si="330"/>
        <v>44.040907475516988</v>
      </c>
      <c r="P826" s="3">
        <f t="shared" si="334"/>
        <v>47.355814489803215</v>
      </c>
      <c r="Q826" s="3">
        <f t="shared" si="335"/>
        <v>7.1475013145274087</v>
      </c>
      <c r="R826" s="3">
        <f t="shared" si="336"/>
        <v>27.251657902165313</v>
      </c>
      <c r="S826" s="3">
        <f t="shared" si="331"/>
        <v>1</v>
      </c>
      <c r="T826" s="3">
        <f t="shared" si="337"/>
        <v>20104.156587637903</v>
      </c>
      <c r="U826" s="3">
        <f t="shared" si="338"/>
        <v>0.5</v>
      </c>
      <c r="V826" s="3">
        <f t="shared" si="339"/>
        <v>0</v>
      </c>
      <c r="W826" s="3">
        <f t="shared" si="340"/>
        <v>15854.726691186115</v>
      </c>
      <c r="X826" s="3">
        <f t="shared" si="332"/>
        <v>3573.7506572637044</v>
      </c>
      <c r="AI826" s="3"/>
      <c r="AJ826" s="3"/>
      <c r="AK826" s="15">
        <f t="shared" si="323"/>
        <v>3</v>
      </c>
      <c r="AL826" s="11">
        <f t="shared" si="327"/>
        <v>4902</v>
      </c>
      <c r="AM826" s="11" t="b">
        <f t="shared" si="322"/>
        <v>0</v>
      </c>
      <c r="AN826" s="11">
        <f t="shared" si="324"/>
        <v>36000</v>
      </c>
      <c r="AO826" s="11">
        <f t="shared" si="325"/>
        <v>0</v>
      </c>
      <c r="AP826" s="11">
        <f t="shared" si="326"/>
        <v>0.42643223195380203</v>
      </c>
      <c r="AQ826" s="11">
        <f t="shared" si="328"/>
        <v>0</v>
      </c>
      <c r="AT826" s="3"/>
      <c r="AU826" s="17"/>
      <c r="AV826" s="19"/>
      <c r="AW826" s="17"/>
      <c r="AX826" s="17">
        <f t="shared" si="347"/>
        <v>817</v>
      </c>
      <c r="AY826" s="17">
        <f t="shared" si="346"/>
        <v>81.7</v>
      </c>
      <c r="AZ826" s="17">
        <v>42.643223195380202</v>
      </c>
      <c r="BA826" s="17"/>
      <c r="BB826" s="17">
        <v>36</v>
      </c>
      <c r="BC826" s="17"/>
      <c r="BD826" s="17"/>
      <c r="BE826" s="17"/>
      <c r="BF826" s="17"/>
      <c r="BG826" s="17"/>
      <c r="BH826" s="17"/>
      <c r="BI826" s="17"/>
      <c r="BJ826" s="17"/>
      <c r="BK826" s="17"/>
      <c r="BL826" s="17"/>
      <c r="BM826" s="17"/>
      <c r="BN826" s="17"/>
      <c r="BO826" s="17"/>
      <c r="BP826" s="17"/>
      <c r="BQ826" s="17"/>
      <c r="BR826" s="17"/>
      <c r="BS826" s="17"/>
      <c r="BT826" s="17"/>
      <c r="BU826" s="17"/>
      <c r="BV826" s="17"/>
      <c r="BW826" s="17"/>
      <c r="BX826" s="17"/>
      <c r="BY826" s="17"/>
      <c r="BZ826" s="17"/>
      <c r="CA826" s="17"/>
      <c r="CB826" s="17"/>
      <c r="CC826" s="17"/>
      <c r="CD826" s="17"/>
      <c r="CE826" s="17"/>
      <c r="CF826" s="17"/>
      <c r="CG826" s="17"/>
      <c r="CH826" s="17"/>
    </row>
    <row r="827" spans="8:86" x14ac:dyDescent="0.15">
      <c r="H827" s="3">
        <f t="shared" si="341"/>
        <v>0.81500000000000061</v>
      </c>
      <c r="I827" s="3">
        <f t="shared" si="342"/>
        <v>360</v>
      </c>
      <c r="J827" s="14">
        <f t="shared" si="343"/>
        <v>500</v>
      </c>
      <c r="K827" s="3">
        <f t="shared" si="333"/>
        <v>0</v>
      </c>
      <c r="L827" s="3">
        <f t="shared" si="329"/>
        <v>500</v>
      </c>
      <c r="M827" s="15">
        <f t="shared" si="344"/>
        <v>7.0000000000000007E-2</v>
      </c>
      <c r="N827" s="3">
        <f t="shared" si="345"/>
        <v>43.985062596106879</v>
      </c>
      <c r="O827" s="3">
        <f t="shared" si="330"/>
        <v>43.985062596106879</v>
      </c>
      <c r="P827" s="3">
        <f t="shared" si="334"/>
        <v>47.295766232372991</v>
      </c>
      <c r="Q827" s="3">
        <f t="shared" si="335"/>
        <v>7.1072930013521329</v>
      </c>
      <c r="R827" s="3">
        <f t="shared" si="336"/>
        <v>27.201529616862562</v>
      </c>
      <c r="S827" s="3">
        <f t="shared" si="331"/>
        <v>1</v>
      </c>
      <c r="T827" s="3">
        <f t="shared" si="337"/>
        <v>20094.236615510428</v>
      </c>
      <c r="U827" s="3">
        <f t="shared" si="338"/>
        <v>0.5</v>
      </c>
      <c r="V827" s="3">
        <f t="shared" si="339"/>
        <v>0</v>
      </c>
      <c r="W827" s="3">
        <f t="shared" si="340"/>
        <v>15834.622534598477</v>
      </c>
      <c r="X827" s="3">
        <f t="shared" si="332"/>
        <v>3553.6465006760664</v>
      </c>
      <c r="AI827" s="3"/>
      <c r="AJ827" s="3"/>
      <c r="AK827" s="15">
        <f t="shared" si="323"/>
        <v>3</v>
      </c>
      <c r="AL827" s="11">
        <f t="shared" si="327"/>
        <v>4908</v>
      </c>
      <c r="AM827" s="11" t="b">
        <f t="shared" si="322"/>
        <v>0</v>
      </c>
      <c r="AN827" s="11">
        <f t="shared" si="324"/>
        <v>36000</v>
      </c>
      <c r="AO827" s="11">
        <f t="shared" si="325"/>
        <v>0</v>
      </c>
      <c r="AP827" s="11">
        <f t="shared" si="326"/>
        <v>0.4275345467686168</v>
      </c>
      <c r="AQ827" s="11">
        <f t="shared" si="328"/>
        <v>0</v>
      </c>
      <c r="AT827" s="3"/>
      <c r="AU827" s="17"/>
      <c r="AV827" s="19"/>
      <c r="AW827" s="17"/>
      <c r="AX827" s="17">
        <f t="shared" si="347"/>
        <v>818</v>
      </c>
      <c r="AY827" s="17">
        <f t="shared" si="346"/>
        <v>81.8</v>
      </c>
      <c r="AZ827" s="17">
        <v>42.753454676861679</v>
      </c>
      <c r="BA827" s="17"/>
      <c r="BB827" s="17">
        <v>36</v>
      </c>
      <c r="BC827" s="17"/>
      <c r="BD827" s="17"/>
      <c r="BE827" s="17"/>
      <c r="BF827" s="17"/>
      <c r="BG827" s="17"/>
      <c r="BH827" s="17"/>
      <c r="BI827" s="17"/>
      <c r="BJ827" s="17"/>
      <c r="BK827" s="17"/>
      <c r="BL827" s="17"/>
      <c r="BM827" s="17"/>
      <c r="BN827" s="17"/>
      <c r="BO827" s="17"/>
      <c r="BP827" s="17"/>
      <c r="BQ827" s="17"/>
      <c r="BR827" s="17"/>
      <c r="BS827" s="17"/>
      <c r="BT827" s="17"/>
      <c r="BU827" s="17"/>
      <c r="BV827" s="17"/>
      <c r="BW827" s="17"/>
      <c r="BX827" s="17"/>
      <c r="BY827" s="17"/>
      <c r="BZ827" s="17"/>
      <c r="CA827" s="17"/>
      <c r="CB827" s="17"/>
      <c r="CC827" s="17"/>
      <c r="CD827" s="17"/>
      <c r="CE827" s="17"/>
      <c r="CF827" s="17"/>
      <c r="CG827" s="17"/>
      <c r="CH827" s="17"/>
    </row>
    <row r="828" spans="8:86" x14ac:dyDescent="0.15">
      <c r="H828" s="3">
        <f t="shared" si="341"/>
        <v>0.81600000000000061</v>
      </c>
      <c r="I828" s="3">
        <f t="shared" si="342"/>
        <v>360</v>
      </c>
      <c r="J828" s="14">
        <f t="shared" si="343"/>
        <v>500</v>
      </c>
      <c r="K828" s="3">
        <f t="shared" si="333"/>
        <v>0</v>
      </c>
      <c r="L828" s="3">
        <f t="shared" si="329"/>
        <v>500</v>
      </c>
      <c r="M828" s="15">
        <f t="shared" si="344"/>
        <v>7.0000000000000007E-2</v>
      </c>
      <c r="N828" s="3">
        <f t="shared" si="345"/>
        <v>43.929245272174903</v>
      </c>
      <c r="O828" s="3">
        <f t="shared" si="330"/>
        <v>43.929245272174903</v>
      </c>
      <c r="P828" s="3">
        <f t="shared" si="334"/>
        <v>47.235747604489148</v>
      </c>
      <c r="Q828" s="3">
        <f t="shared" si="335"/>
        <v>7.0671045281211118</v>
      </c>
      <c r="R828" s="3">
        <f t="shared" si="336"/>
        <v>27.151426066305131</v>
      </c>
      <c r="S828" s="3">
        <f t="shared" si="331"/>
        <v>1</v>
      </c>
      <c r="T828" s="3">
        <f t="shared" si="337"/>
        <v>20084.321538184016</v>
      </c>
      <c r="U828" s="3">
        <f t="shared" si="338"/>
        <v>0.5</v>
      </c>
      <c r="V828" s="3">
        <f t="shared" si="339"/>
        <v>0</v>
      </c>
      <c r="W828" s="3">
        <f t="shared" si="340"/>
        <v>15814.528297982964</v>
      </c>
      <c r="X828" s="3">
        <f t="shared" si="332"/>
        <v>3533.5522640605559</v>
      </c>
      <c r="AI828" s="3"/>
      <c r="AJ828" s="3"/>
      <c r="AK828" s="15">
        <f t="shared" si="323"/>
        <v>3</v>
      </c>
      <c r="AL828" s="11">
        <f t="shared" si="327"/>
        <v>4914</v>
      </c>
      <c r="AM828" s="11" t="b">
        <f t="shared" si="322"/>
        <v>0</v>
      </c>
      <c r="AN828" s="11">
        <f t="shared" si="324"/>
        <v>36000</v>
      </c>
      <c r="AO828" s="11">
        <f t="shared" si="325"/>
        <v>0</v>
      </c>
      <c r="AP828" s="11">
        <f t="shared" si="326"/>
        <v>0.42863686158343162</v>
      </c>
      <c r="AQ828" s="11">
        <f t="shared" si="328"/>
        <v>0</v>
      </c>
      <c r="AT828" s="3"/>
      <c r="AU828" s="17"/>
      <c r="AV828" s="19"/>
      <c r="AW828" s="17"/>
      <c r="AX828" s="17">
        <f t="shared" si="347"/>
        <v>819</v>
      </c>
      <c r="AY828" s="17">
        <f t="shared" si="346"/>
        <v>81.900000000000006</v>
      </c>
      <c r="AZ828" s="17">
        <v>42.863686158343164</v>
      </c>
      <c r="BA828" s="17"/>
      <c r="BB828" s="17">
        <v>36</v>
      </c>
      <c r="BC828" s="17"/>
      <c r="BD828" s="17"/>
      <c r="BE828" s="17"/>
      <c r="BF828" s="17"/>
      <c r="BG828" s="17"/>
      <c r="BH828" s="17"/>
      <c r="BI828" s="17"/>
      <c r="BJ828" s="17"/>
      <c r="BK828" s="17"/>
      <c r="BL828" s="17"/>
      <c r="BM828" s="17"/>
      <c r="BN828" s="17"/>
      <c r="BO828" s="17"/>
      <c r="BP828" s="17"/>
      <c r="BQ828" s="17"/>
      <c r="BR828" s="17"/>
      <c r="BS828" s="17"/>
      <c r="BT828" s="17"/>
      <c r="BU828" s="17"/>
      <c r="BV828" s="17"/>
      <c r="BW828" s="17"/>
      <c r="BX828" s="17"/>
      <c r="BY828" s="17"/>
      <c r="BZ828" s="17"/>
      <c r="CA828" s="17"/>
      <c r="CB828" s="17"/>
      <c r="CC828" s="17"/>
      <c r="CD828" s="17"/>
      <c r="CE828" s="17"/>
      <c r="CF828" s="17"/>
      <c r="CG828" s="17"/>
      <c r="CH828" s="17"/>
    </row>
    <row r="829" spans="8:86" x14ac:dyDescent="0.15">
      <c r="H829" s="3">
        <f t="shared" si="341"/>
        <v>0.81700000000000061</v>
      </c>
      <c r="I829" s="3">
        <f t="shared" si="342"/>
        <v>360</v>
      </c>
      <c r="J829" s="14">
        <f t="shared" si="343"/>
        <v>500</v>
      </c>
      <c r="K829" s="3">
        <f t="shared" si="333"/>
        <v>0</v>
      </c>
      <c r="L829" s="3">
        <f t="shared" si="329"/>
        <v>500</v>
      </c>
      <c r="M829" s="15">
        <f t="shared" si="344"/>
        <v>7.0000000000000007E-2</v>
      </c>
      <c r="N829" s="3">
        <f t="shared" si="345"/>
        <v>43.873455490124385</v>
      </c>
      <c r="O829" s="3">
        <f t="shared" si="330"/>
        <v>43.873455490124385</v>
      </c>
      <c r="P829" s="3">
        <f t="shared" si="334"/>
        <v>47.175758591531597</v>
      </c>
      <c r="Q829" s="3">
        <f t="shared" si="335"/>
        <v>7.0269358850447432</v>
      </c>
      <c r="R829" s="3">
        <f t="shared" si="336"/>
        <v>27.10134723828817</v>
      </c>
      <c r="S829" s="3">
        <f t="shared" si="331"/>
        <v>1</v>
      </c>
      <c r="T829" s="3">
        <f t="shared" si="337"/>
        <v>20074.411353243428</v>
      </c>
      <c r="U829" s="3">
        <f t="shared" si="338"/>
        <v>0.5</v>
      </c>
      <c r="V829" s="3">
        <f t="shared" si="339"/>
        <v>0</v>
      </c>
      <c r="W829" s="3">
        <f t="shared" si="340"/>
        <v>15794.443976444778</v>
      </c>
      <c r="X829" s="3">
        <f t="shared" si="332"/>
        <v>3513.4679425223717</v>
      </c>
      <c r="AI829" s="3"/>
      <c r="AJ829" s="3"/>
      <c r="AK829" s="15">
        <f t="shared" si="323"/>
        <v>3</v>
      </c>
      <c r="AL829" s="11">
        <f t="shared" si="327"/>
        <v>4920</v>
      </c>
      <c r="AM829" s="11" t="b">
        <f t="shared" si="322"/>
        <v>0</v>
      </c>
      <c r="AN829" s="11">
        <f t="shared" si="324"/>
        <v>36000</v>
      </c>
      <c r="AO829" s="11">
        <f t="shared" si="325"/>
        <v>0</v>
      </c>
      <c r="AP829" s="11">
        <f t="shared" si="326"/>
        <v>0.42973917639824638</v>
      </c>
      <c r="AQ829" s="11">
        <f t="shared" si="328"/>
        <v>0</v>
      </c>
      <c r="AT829" s="3"/>
      <c r="AU829" s="17"/>
      <c r="AV829" s="19"/>
      <c r="AW829" s="17"/>
      <c r="AX829" s="17">
        <f t="shared" si="347"/>
        <v>820</v>
      </c>
      <c r="AY829" s="17">
        <f t="shared" si="346"/>
        <v>82</v>
      </c>
      <c r="AZ829" s="17">
        <v>42.973917639824641</v>
      </c>
      <c r="BA829" s="17"/>
      <c r="BB829" s="17">
        <v>36</v>
      </c>
      <c r="BC829" s="17"/>
      <c r="BD829" s="17"/>
      <c r="BE829" s="17"/>
      <c r="BF829" s="17"/>
      <c r="BG829" s="17"/>
      <c r="BH829" s="17"/>
      <c r="BI829" s="17"/>
      <c r="BJ829" s="17"/>
      <c r="BK829" s="17"/>
      <c r="BL829" s="17"/>
      <c r="BM829" s="17"/>
      <c r="BN829" s="17"/>
      <c r="BO829" s="17"/>
      <c r="BP829" s="17"/>
      <c r="BQ829" s="17"/>
      <c r="BR829" s="17"/>
      <c r="BS829" s="17"/>
      <c r="BT829" s="17"/>
      <c r="BU829" s="17"/>
      <c r="BV829" s="17"/>
      <c r="BW829" s="17"/>
      <c r="BX829" s="17"/>
      <c r="BY829" s="17"/>
      <c r="BZ829" s="17"/>
      <c r="CA829" s="17"/>
      <c r="CB829" s="17"/>
      <c r="CC829" s="17"/>
      <c r="CD829" s="17"/>
      <c r="CE829" s="17"/>
      <c r="CF829" s="17"/>
      <c r="CG829" s="17"/>
      <c r="CH829" s="17"/>
    </row>
    <row r="830" spans="8:86" x14ac:dyDescent="0.15">
      <c r="H830" s="3">
        <f t="shared" si="341"/>
        <v>0.81800000000000062</v>
      </c>
      <c r="I830" s="3">
        <f t="shared" si="342"/>
        <v>360</v>
      </c>
      <c r="J830" s="14">
        <f t="shared" si="343"/>
        <v>500</v>
      </c>
      <c r="K830" s="3">
        <f t="shared" si="333"/>
        <v>0</v>
      </c>
      <c r="L830" s="3">
        <f t="shared" si="329"/>
        <v>500</v>
      </c>
      <c r="M830" s="15">
        <f t="shared" si="344"/>
        <v>7.0000000000000007E-2</v>
      </c>
      <c r="N830" s="3">
        <f t="shared" si="345"/>
        <v>43.817693236365372</v>
      </c>
      <c r="O830" s="3">
        <f t="shared" si="330"/>
        <v>43.817693236365372</v>
      </c>
      <c r="P830" s="3">
        <f t="shared" si="334"/>
        <v>47.115799178887499</v>
      </c>
      <c r="Q830" s="3">
        <f t="shared" si="335"/>
        <v>6.9867870623382569</v>
      </c>
      <c r="R830" s="3">
        <f t="shared" si="336"/>
        <v>27.051293120612879</v>
      </c>
      <c r="S830" s="3">
        <f t="shared" si="331"/>
        <v>1</v>
      </c>
      <c r="T830" s="3">
        <f t="shared" si="337"/>
        <v>20064.506058274619</v>
      </c>
      <c r="U830" s="3">
        <f t="shared" si="338"/>
        <v>0.5</v>
      </c>
      <c r="V830" s="3">
        <f t="shared" si="339"/>
        <v>0</v>
      </c>
      <c r="W830" s="3">
        <f t="shared" si="340"/>
        <v>15774.369565091534</v>
      </c>
      <c r="X830" s="3">
        <f t="shared" si="332"/>
        <v>3493.3935311691284</v>
      </c>
      <c r="AI830" s="3"/>
      <c r="AJ830" s="3"/>
      <c r="AK830" s="15">
        <f t="shared" si="323"/>
        <v>3</v>
      </c>
      <c r="AL830" s="11">
        <f t="shared" si="327"/>
        <v>4926</v>
      </c>
      <c r="AM830" s="11" t="b">
        <f t="shared" si="322"/>
        <v>0</v>
      </c>
      <c r="AN830" s="11">
        <f t="shared" si="324"/>
        <v>36000</v>
      </c>
      <c r="AO830" s="11">
        <f t="shared" si="325"/>
        <v>0</v>
      </c>
      <c r="AP830" s="11">
        <f t="shared" si="326"/>
        <v>0.4308414912130612</v>
      </c>
      <c r="AQ830" s="11">
        <f t="shared" si="328"/>
        <v>0</v>
      </c>
      <c r="AT830" s="3"/>
      <c r="AU830" s="17"/>
      <c r="AV830" s="19"/>
      <c r="AW830" s="17"/>
      <c r="AX830" s="17">
        <f t="shared" si="347"/>
        <v>821</v>
      </c>
      <c r="AY830" s="17">
        <f t="shared" si="346"/>
        <v>82.1</v>
      </c>
      <c r="AZ830" s="17">
        <v>43.084149121306119</v>
      </c>
      <c r="BA830" s="17"/>
      <c r="BB830" s="17">
        <v>36</v>
      </c>
      <c r="BC830" s="17"/>
      <c r="BD830" s="17"/>
      <c r="BE830" s="17"/>
      <c r="BF830" s="17"/>
      <c r="BG830" s="17"/>
      <c r="BH830" s="17"/>
      <c r="BI830" s="17"/>
      <c r="BJ830" s="17"/>
      <c r="BK830" s="17"/>
      <c r="BL830" s="17"/>
      <c r="BM830" s="17"/>
      <c r="BN830" s="17"/>
      <c r="BO830" s="17"/>
      <c r="BP830" s="17"/>
      <c r="BQ830" s="17"/>
      <c r="BR830" s="17"/>
      <c r="BS830" s="17"/>
      <c r="BT830" s="17"/>
      <c r="BU830" s="17"/>
      <c r="BV830" s="17"/>
      <c r="BW830" s="17"/>
      <c r="BX830" s="17"/>
      <c r="BY830" s="17"/>
      <c r="BZ830" s="17"/>
      <c r="CA830" s="17"/>
      <c r="CB830" s="17"/>
      <c r="CC830" s="17"/>
      <c r="CD830" s="17"/>
      <c r="CE830" s="17"/>
      <c r="CF830" s="17"/>
      <c r="CG830" s="17"/>
      <c r="CH830" s="17"/>
    </row>
    <row r="831" spans="8:86" x14ac:dyDescent="0.15">
      <c r="H831" s="3">
        <f t="shared" si="341"/>
        <v>0.81900000000000062</v>
      </c>
      <c r="I831" s="3">
        <f t="shared" si="342"/>
        <v>360</v>
      </c>
      <c r="J831" s="14">
        <f t="shared" si="343"/>
        <v>500</v>
      </c>
      <c r="K831" s="3">
        <f t="shared" si="333"/>
        <v>0</v>
      </c>
      <c r="L831" s="3">
        <f t="shared" si="329"/>
        <v>500</v>
      </c>
      <c r="M831" s="15">
        <f t="shared" si="344"/>
        <v>7.0000000000000007E-2</v>
      </c>
      <c r="N831" s="3">
        <f t="shared" si="345"/>
        <v>43.761958497314609</v>
      </c>
      <c r="O831" s="3">
        <f t="shared" si="330"/>
        <v>43.761958497314609</v>
      </c>
      <c r="P831" s="3">
        <f t="shared" si="334"/>
        <v>47.055869351951195</v>
      </c>
      <c r="Q831" s="3">
        <f t="shared" si="335"/>
        <v>6.9466580502217079</v>
      </c>
      <c r="R831" s="3">
        <f t="shared" si="336"/>
        <v>27.001263701086451</v>
      </c>
      <c r="S831" s="3">
        <f t="shared" si="331"/>
        <v>1</v>
      </c>
      <c r="T831" s="3">
        <f t="shared" si="337"/>
        <v>20054.605650864745</v>
      </c>
      <c r="U831" s="3">
        <f t="shared" si="338"/>
        <v>0.5</v>
      </c>
      <c r="V831" s="3">
        <f t="shared" si="339"/>
        <v>0</v>
      </c>
      <c r="W831" s="3">
        <f t="shared" si="340"/>
        <v>15754.305059033259</v>
      </c>
      <c r="X831" s="3">
        <f t="shared" si="332"/>
        <v>3473.3290251108538</v>
      </c>
      <c r="AI831" s="3"/>
      <c r="AJ831" s="3"/>
      <c r="AK831" s="15">
        <f t="shared" si="323"/>
        <v>3</v>
      </c>
      <c r="AL831" s="11">
        <f t="shared" si="327"/>
        <v>4932</v>
      </c>
      <c r="AM831" s="11" t="b">
        <f t="shared" si="322"/>
        <v>0</v>
      </c>
      <c r="AN831" s="11">
        <f t="shared" si="324"/>
        <v>36000</v>
      </c>
      <c r="AO831" s="11">
        <f t="shared" si="325"/>
        <v>0</v>
      </c>
      <c r="AP831" s="11">
        <f t="shared" si="326"/>
        <v>0.43194380602787597</v>
      </c>
      <c r="AQ831" s="11">
        <f t="shared" si="328"/>
        <v>0</v>
      </c>
      <c r="AT831" s="3"/>
      <c r="AU831" s="17"/>
      <c r="AV831" s="19"/>
      <c r="AW831" s="17"/>
      <c r="AX831" s="17">
        <f t="shared" si="347"/>
        <v>822</v>
      </c>
      <c r="AY831" s="17">
        <f t="shared" si="346"/>
        <v>82.2</v>
      </c>
      <c r="AZ831" s="17">
        <v>43.194380602787597</v>
      </c>
      <c r="BA831" s="17"/>
      <c r="BB831" s="17">
        <v>36</v>
      </c>
      <c r="BC831" s="17"/>
      <c r="BD831" s="17"/>
      <c r="BE831" s="17"/>
      <c r="BF831" s="17"/>
      <c r="BG831" s="17"/>
      <c r="BH831" s="17"/>
      <c r="BI831" s="17"/>
      <c r="BJ831" s="17"/>
      <c r="BK831" s="17"/>
      <c r="BL831" s="17"/>
      <c r="BM831" s="17"/>
      <c r="BN831" s="17"/>
      <c r="BO831" s="17"/>
      <c r="BP831" s="17"/>
      <c r="BQ831" s="17"/>
      <c r="BR831" s="17"/>
      <c r="BS831" s="17"/>
      <c r="BT831" s="17"/>
      <c r="BU831" s="17"/>
      <c r="BV831" s="17"/>
      <c r="BW831" s="17"/>
      <c r="BX831" s="17"/>
      <c r="BY831" s="17"/>
      <c r="BZ831" s="17"/>
      <c r="CA831" s="17"/>
      <c r="CB831" s="17"/>
      <c r="CC831" s="17"/>
      <c r="CD831" s="17"/>
      <c r="CE831" s="17"/>
      <c r="CF831" s="17"/>
      <c r="CG831" s="17"/>
      <c r="CH831" s="17"/>
    </row>
    <row r="832" spans="8:86" x14ac:dyDescent="0.15">
      <c r="H832" s="3">
        <f t="shared" si="341"/>
        <v>0.82000000000000062</v>
      </c>
      <c r="I832" s="3">
        <f t="shared" si="342"/>
        <v>360</v>
      </c>
      <c r="J832" s="14">
        <f t="shared" si="343"/>
        <v>500</v>
      </c>
      <c r="K832" s="3">
        <f t="shared" si="333"/>
        <v>0</v>
      </c>
      <c r="L832" s="3">
        <f t="shared" si="329"/>
        <v>500</v>
      </c>
      <c r="M832" s="15">
        <f t="shared" si="344"/>
        <v>7.0000000000000007E-2</v>
      </c>
      <c r="N832" s="3">
        <f t="shared" si="345"/>
        <v>43.706251259395536</v>
      </c>
      <c r="O832" s="3">
        <f t="shared" si="330"/>
        <v>43.706251259395536</v>
      </c>
      <c r="P832" s="3">
        <f t="shared" si="334"/>
        <v>46.995969096124234</v>
      </c>
      <c r="Q832" s="3">
        <f t="shared" si="335"/>
        <v>6.9065488389199778</v>
      </c>
      <c r="R832" s="3">
        <f t="shared" si="336"/>
        <v>26.951258967522108</v>
      </c>
      <c r="S832" s="3">
        <f t="shared" si="331"/>
        <v>1</v>
      </c>
      <c r="T832" s="3">
        <f t="shared" si="337"/>
        <v>20044.710128602128</v>
      </c>
      <c r="U832" s="3">
        <f t="shared" si="338"/>
        <v>0.5</v>
      </c>
      <c r="V832" s="3">
        <f t="shared" si="339"/>
        <v>0</v>
      </c>
      <c r="W832" s="3">
        <f t="shared" si="340"/>
        <v>15734.250453382392</v>
      </c>
      <c r="X832" s="3">
        <f t="shared" si="332"/>
        <v>3453.2744194599891</v>
      </c>
      <c r="AI832" s="3"/>
      <c r="AJ832" s="3"/>
      <c r="AK832" s="15">
        <f t="shared" si="323"/>
        <v>3</v>
      </c>
      <c r="AL832" s="11">
        <f t="shared" si="327"/>
        <v>4938</v>
      </c>
      <c r="AM832" s="11" t="b">
        <f t="shared" si="322"/>
        <v>0</v>
      </c>
      <c r="AN832" s="11">
        <f t="shared" si="324"/>
        <v>36000</v>
      </c>
      <c r="AO832" s="11">
        <f t="shared" si="325"/>
        <v>0</v>
      </c>
      <c r="AP832" s="11">
        <f t="shared" si="326"/>
        <v>0.43304612084269078</v>
      </c>
      <c r="AQ832" s="11">
        <f t="shared" si="328"/>
        <v>0</v>
      </c>
      <c r="AT832" s="3"/>
      <c r="AU832" s="17"/>
      <c r="AV832" s="19"/>
      <c r="AW832" s="17"/>
      <c r="AX832" s="17">
        <f t="shared" si="347"/>
        <v>823</v>
      </c>
      <c r="AY832" s="17">
        <f t="shared" si="346"/>
        <v>82.3</v>
      </c>
      <c r="AZ832" s="17">
        <v>43.304612084269081</v>
      </c>
      <c r="BA832" s="17"/>
      <c r="BB832" s="17">
        <v>36</v>
      </c>
      <c r="BC832" s="17"/>
      <c r="BD832" s="17"/>
      <c r="BE832" s="17"/>
      <c r="BF832" s="17"/>
      <c r="BG832" s="17"/>
      <c r="BH832" s="17"/>
      <c r="BI832" s="17"/>
      <c r="BJ832" s="17"/>
      <c r="BK832" s="17"/>
      <c r="BL832" s="17"/>
      <c r="BM832" s="17"/>
      <c r="BN832" s="17"/>
      <c r="BO832" s="17"/>
      <c r="BP832" s="17"/>
      <c r="BQ832" s="17"/>
      <c r="BR832" s="17"/>
      <c r="BS832" s="17"/>
      <c r="BT832" s="17"/>
      <c r="BU832" s="17"/>
      <c r="BV832" s="17"/>
      <c r="BW832" s="17"/>
      <c r="BX832" s="17"/>
      <c r="BY832" s="17"/>
      <c r="BZ832" s="17"/>
      <c r="CA832" s="17"/>
      <c r="CB832" s="17"/>
      <c r="CC832" s="17"/>
      <c r="CD832" s="17"/>
      <c r="CE832" s="17"/>
      <c r="CF832" s="17"/>
      <c r="CG832" s="17"/>
      <c r="CH832" s="17"/>
    </row>
    <row r="833" spans="8:86" x14ac:dyDescent="0.15">
      <c r="H833" s="3">
        <f t="shared" si="341"/>
        <v>0.82100000000000062</v>
      </c>
      <c r="I833" s="3">
        <f t="shared" si="342"/>
        <v>360</v>
      </c>
      <c r="J833" s="14">
        <f t="shared" si="343"/>
        <v>500</v>
      </c>
      <c r="K833" s="3">
        <f t="shared" si="333"/>
        <v>0</v>
      </c>
      <c r="L833" s="3">
        <f t="shared" si="329"/>
        <v>500</v>
      </c>
      <c r="M833" s="15">
        <f t="shared" si="344"/>
        <v>7.0000000000000007E-2</v>
      </c>
      <c r="N833" s="3">
        <f t="shared" si="345"/>
        <v>43.650571509038301</v>
      </c>
      <c r="O833" s="3">
        <f t="shared" si="330"/>
        <v>43.650571509038301</v>
      </c>
      <c r="P833" s="3">
        <f t="shared" si="334"/>
        <v>46.936098396815382</v>
      </c>
      <c r="Q833" s="3">
        <f t="shared" si="335"/>
        <v>6.8664594186627737</v>
      </c>
      <c r="R833" s="3">
        <f t="shared" si="336"/>
        <v>26.901278907739076</v>
      </c>
      <c r="S833" s="3">
        <f t="shared" si="331"/>
        <v>1</v>
      </c>
      <c r="T833" s="3">
        <f t="shared" si="337"/>
        <v>20034.819489076304</v>
      </c>
      <c r="U833" s="3">
        <f t="shared" si="338"/>
        <v>0.5</v>
      </c>
      <c r="V833" s="3">
        <f t="shared" si="339"/>
        <v>0</v>
      </c>
      <c r="W833" s="3">
        <f t="shared" si="340"/>
        <v>15714.205743253788</v>
      </c>
      <c r="X833" s="3">
        <f t="shared" si="332"/>
        <v>3433.2297093313869</v>
      </c>
      <c r="AI833" s="3"/>
      <c r="AJ833" s="3"/>
      <c r="AK833" s="15">
        <f t="shared" si="323"/>
        <v>3</v>
      </c>
      <c r="AL833" s="11">
        <f t="shared" si="327"/>
        <v>4944</v>
      </c>
      <c r="AM833" s="11" t="b">
        <f t="shared" si="322"/>
        <v>0</v>
      </c>
      <c r="AN833" s="11">
        <f t="shared" si="324"/>
        <v>36000</v>
      </c>
      <c r="AO833" s="11">
        <f t="shared" si="325"/>
        <v>0</v>
      </c>
      <c r="AP833" s="11">
        <f t="shared" si="326"/>
        <v>0.43414843565750555</v>
      </c>
      <c r="AQ833" s="11">
        <f t="shared" si="328"/>
        <v>0</v>
      </c>
      <c r="AT833" s="3"/>
      <c r="AU833" s="17"/>
      <c r="AV833" s="19"/>
      <c r="AW833" s="17"/>
      <c r="AX833" s="17">
        <f t="shared" si="347"/>
        <v>824</v>
      </c>
      <c r="AY833" s="17">
        <f t="shared" si="346"/>
        <v>82.4</v>
      </c>
      <c r="AZ833" s="17">
        <v>43.414843565750552</v>
      </c>
      <c r="BA833" s="17"/>
      <c r="BB833" s="17">
        <v>36</v>
      </c>
      <c r="BC833" s="17"/>
      <c r="BD833" s="17"/>
      <c r="BE833" s="17"/>
      <c r="BF833" s="17"/>
      <c r="BG833" s="17"/>
      <c r="BH833" s="17"/>
      <c r="BI833" s="17"/>
      <c r="BJ833" s="17"/>
      <c r="BK833" s="17"/>
      <c r="BL833" s="17"/>
      <c r="BM833" s="17"/>
      <c r="BN833" s="17"/>
      <c r="BO833" s="17"/>
      <c r="BP833" s="17"/>
      <c r="BQ833" s="17"/>
      <c r="BR833" s="17"/>
      <c r="BS833" s="17"/>
      <c r="BT833" s="17"/>
      <c r="BU833" s="17"/>
      <c r="BV833" s="17"/>
      <c r="BW833" s="17"/>
      <c r="BX833" s="17"/>
      <c r="BY833" s="17"/>
      <c r="BZ833" s="17"/>
      <c r="CA833" s="17"/>
      <c r="CB833" s="17"/>
      <c r="CC833" s="17"/>
      <c r="CD833" s="17"/>
      <c r="CE833" s="17"/>
      <c r="CF833" s="17"/>
      <c r="CG833" s="17"/>
      <c r="CH833" s="17"/>
    </row>
    <row r="834" spans="8:86" x14ac:dyDescent="0.15">
      <c r="H834" s="3">
        <f t="shared" si="341"/>
        <v>0.82200000000000062</v>
      </c>
      <c r="I834" s="3">
        <f t="shared" si="342"/>
        <v>360</v>
      </c>
      <c r="J834" s="14">
        <f t="shared" si="343"/>
        <v>500</v>
      </c>
      <c r="K834" s="3">
        <f t="shared" si="333"/>
        <v>0</v>
      </c>
      <c r="L834" s="3">
        <f t="shared" si="329"/>
        <v>500</v>
      </c>
      <c r="M834" s="15">
        <f t="shared" si="344"/>
        <v>7.0000000000000007E-2</v>
      </c>
      <c r="N834" s="3">
        <f t="shared" si="345"/>
        <v>43.594919232679757</v>
      </c>
      <c r="O834" s="3">
        <f t="shared" si="330"/>
        <v>43.594919232679757</v>
      </c>
      <c r="P834" s="3">
        <f t="shared" si="334"/>
        <v>46.876257239440605</v>
      </c>
      <c r="Q834" s="3">
        <f t="shared" si="335"/>
        <v>6.8263897796846216</v>
      </c>
      <c r="R834" s="3">
        <f t="shared" si="336"/>
        <v>26.851323509562611</v>
      </c>
      <c r="S834" s="3">
        <f t="shared" si="331"/>
        <v>1</v>
      </c>
      <c r="T834" s="3">
        <f t="shared" si="337"/>
        <v>20024.933729877994</v>
      </c>
      <c r="U834" s="3">
        <f t="shared" si="338"/>
        <v>0.5</v>
      </c>
      <c r="V834" s="3">
        <f t="shared" si="339"/>
        <v>0</v>
      </c>
      <c r="W834" s="3">
        <f t="shared" si="340"/>
        <v>15694.170923764712</v>
      </c>
      <c r="X834" s="3">
        <f t="shared" si="332"/>
        <v>3413.1948898423107</v>
      </c>
      <c r="AI834" s="3"/>
      <c r="AJ834" s="3"/>
      <c r="AK834" s="15">
        <f t="shared" si="323"/>
        <v>3</v>
      </c>
      <c r="AL834" s="11">
        <f t="shared" si="327"/>
        <v>4950</v>
      </c>
      <c r="AM834" s="11" t="b">
        <f t="shared" si="322"/>
        <v>0</v>
      </c>
      <c r="AN834" s="11">
        <f t="shared" si="324"/>
        <v>36000</v>
      </c>
      <c r="AO834" s="11">
        <f t="shared" si="325"/>
        <v>0</v>
      </c>
      <c r="AP834" s="11">
        <f t="shared" si="326"/>
        <v>0.43525075047232037</v>
      </c>
      <c r="AQ834" s="11">
        <f t="shared" si="328"/>
        <v>0</v>
      </c>
      <c r="AT834" s="3"/>
      <c r="AU834" s="17"/>
      <c r="AV834" s="19"/>
      <c r="AW834" s="17"/>
      <c r="AX834" s="17">
        <f t="shared" si="347"/>
        <v>825</v>
      </c>
      <c r="AY834" s="17">
        <f t="shared" si="346"/>
        <v>82.5</v>
      </c>
      <c r="AZ834" s="17">
        <v>43.525075047232036</v>
      </c>
      <c r="BA834" s="17"/>
      <c r="BB834" s="17">
        <v>36</v>
      </c>
      <c r="BC834" s="17"/>
      <c r="BD834" s="17"/>
      <c r="BE834" s="17"/>
      <c r="BF834" s="17"/>
      <c r="BG834" s="17"/>
      <c r="BH834" s="17"/>
      <c r="BI834" s="17"/>
      <c r="BJ834" s="17"/>
      <c r="BK834" s="17"/>
      <c r="BL834" s="17"/>
      <c r="BM834" s="17"/>
      <c r="BN834" s="17"/>
      <c r="BO834" s="17"/>
      <c r="BP834" s="17"/>
      <c r="BQ834" s="17"/>
      <c r="BR834" s="17"/>
      <c r="BS834" s="17"/>
      <c r="BT834" s="17"/>
      <c r="BU834" s="17"/>
      <c r="BV834" s="17"/>
      <c r="BW834" s="17"/>
      <c r="BX834" s="17"/>
      <c r="BY834" s="17"/>
      <c r="BZ834" s="17"/>
      <c r="CA834" s="17"/>
      <c r="CB834" s="17"/>
      <c r="CC834" s="17"/>
      <c r="CD834" s="17"/>
      <c r="CE834" s="17"/>
      <c r="CF834" s="17"/>
      <c r="CG834" s="17"/>
      <c r="CH834" s="17"/>
    </row>
    <row r="835" spans="8:86" x14ac:dyDescent="0.15">
      <c r="H835" s="3">
        <f t="shared" si="341"/>
        <v>0.82300000000000062</v>
      </c>
      <c r="I835" s="3">
        <f t="shared" si="342"/>
        <v>360</v>
      </c>
      <c r="J835" s="14">
        <f t="shared" si="343"/>
        <v>500</v>
      </c>
      <c r="K835" s="3">
        <f t="shared" si="333"/>
        <v>0</v>
      </c>
      <c r="L835" s="3">
        <f t="shared" si="329"/>
        <v>500</v>
      </c>
      <c r="M835" s="15">
        <f t="shared" si="344"/>
        <v>7.0000000000000007E-2</v>
      </c>
      <c r="N835" s="3">
        <f t="shared" si="345"/>
        <v>43.539294416763433</v>
      </c>
      <c r="O835" s="3">
        <f t="shared" si="330"/>
        <v>43.539294416763433</v>
      </c>
      <c r="P835" s="3">
        <f t="shared" si="334"/>
        <v>46.816445609423049</v>
      </c>
      <c r="Q835" s="3">
        <f t="shared" si="335"/>
        <v>6.7863399122248653</v>
      </c>
      <c r="R835" s="3">
        <f t="shared" si="336"/>
        <v>26.801392760823958</v>
      </c>
      <c r="S835" s="3">
        <f t="shared" si="331"/>
        <v>1</v>
      </c>
      <c r="T835" s="3">
        <f t="shared" si="337"/>
        <v>20015.052848599091</v>
      </c>
      <c r="U835" s="3">
        <f t="shared" si="338"/>
        <v>0.5</v>
      </c>
      <c r="V835" s="3">
        <f t="shared" si="339"/>
        <v>0</v>
      </c>
      <c r="W835" s="3">
        <f t="shared" si="340"/>
        <v>15674.145990034836</v>
      </c>
      <c r="X835" s="3">
        <f t="shared" si="332"/>
        <v>3393.1699561124328</v>
      </c>
      <c r="AI835" s="3"/>
      <c r="AJ835" s="3"/>
      <c r="AK835" s="15">
        <f t="shared" si="323"/>
        <v>3</v>
      </c>
      <c r="AL835" s="11">
        <f t="shared" si="327"/>
        <v>4956</v>
      </c>
      <c r="AM835" s="11" t="b">
        <f t="shared" si="322"/>
        <v>0</v>
      </c>
      <c r="AN835" s="11">
        <f t="shared" si="324"/>
        <v>36000</v>
      </c>
      <c r="AO835" s="11">
        <f t="shared" si="325"/>
        <v>0</v>
      </c>
      <c r="AP835" s="11">
        <f t="shared" si="326"/>
        <v>0.43635306528713513</v>
      </c>
      <c r="AQ835" s="11">
        <f t="shared" si="328"/>
        <v>0</v>
      </c>
      <c r="AT835" s="3"/>
      <c r="AU835" s="17"/>
      <c r="AV835" s="19"/>
      <c r="AW835" s="17"/>
      <c r="AX835" s="17">
        <f t="shared" si="347"/>
        <v>826</v>
      </c>
      <c r="AY835" s="17">
        <f t="shared" si="346"/>
        <v>82.6</v>
      </c>
      <c r="AZ835" s="17">
        <v>43.635306528713514</v>
      </c>
      <c r="BA835" s="17"/>
      <c r="BB835" s="17">
        <v>36</v>
      </c>
      <c r="BC835" s="17"/>
      <c r="BD835" s="17"/>
      <c r="BE835" s="17"/>
      <c r="BF835" s="17"/>
      <c r="BG835" s="17"/>
      <c r="BH835" s="17"/>
      <c r="BI835" s="17"/>
      <c r="BJ835" s="17"/>
      <c r="BK835" s="17"/>
      <c r="BL835" s="17"/>
      <c r="BM835" s="17"/>
      <c r="BN835" s="17"/>
      <c r="BO835" s="17"/>
      <c r="BP835" s="17"/>
      <c r="BQ835" s="17"/>
      <c r="BR835" s="17"/>
      <c r="BS835" s="17"/>
      <c r="BT835" s="17"/>
      <c r="BU835" s="17"/>
      <c r="BV835" s="17"/>
      <c r="BW835" s="17"/>
      <c r="BX835" s="17"/>
      <c r="BY835" s="17"/>
      <c r="BZ835" s="17"/>
      <c r="CA835" s="17"/>
      <c r="CB835" s="17"/>
      <c r="CC835" s="17"/>
      <c r="CD835" s="17"/>
      <c r="CE835" s="17"/>
      <c r="CF835" s="17"/>
      <c r="CG835" s="17"/>
      <c r="CH835" s="17"/>
    </row>
    <row r="836" spans="8:86" x14ac:dyDescent="0.15">
      <c r="H836" s="3">
        <f t="shared" si="341"/>
        <v>0.82400000000000062</v>
      </c>
      <c r="I836" s="3">
        <f t="shared" si="342"/>
        <v>360</v>
      </c>
      <c r="J836" s="14">
        <f t="shared" si="343"/>
        <v>500</v>
      </c>
      <c r="K836" s="3">
        <f t="shared" si="333"/>
        <v>0</v>
      </c>
      <c r="L836" s="3">
        <f t="shared" si="329"/>
        <v>500</v>
      </c>
      <c r="M836" s="15">
        <f t="shared" si="344"/>
        <v>7.0000000000000007E-2</v>
      </c>
      <c r="N836" s="3">
        <f t="shared" si="345"/>
        <v>43.483697047739547</v>
      </c>
      <c r="O836" s="3">
        <f t="shared" si="330"/>
        <v>43.483697047739547</v>
      </c>
      <c r="P836" s="3">
        <f t="shared" si="334"/>
        <v>46.756663492193063</v>
      </c>
      <c r="Q836" s="3">
        <f t="shared" si="335"/>
        <v>6.746309806527667</v>
      </c>
      <c r="R836" s="3">
        <f t="shared" si="336"/>
        <v>26.751486649360366</v>
      </c>
      <c r="S836" s="3">
        <f t="shared" si="331"/>
        <v>1</v>
      </c>
      <c r="T836" s="3">
        <f t="shared" si="337"/>
        <v>20005.176842832698</v>
      </c>
      <c r="U836" s="3">
        <f t="shared" si="338"/>
        <v>0.5</v>
      </c>
      <c r="V836" s="3">
        <f t="shared" si="339"/>
        <v>0</v>
      </c>
      <c r="W836" s="3">
        <f t="shared" si="340"/>
        <v>15654.130937186237</v>
      </c>
      <c r="X836" s="3">
        <f t="shared" si="332"/>
        <v>3373.1549032638336</v>
      </c>
      <c r="AI836" s="3"/>
      <c r="AJ836" s="3"/>
      <c r="AK836" s="15">
        <f t="shared" si="323"/>
        <v>3</v>
      </c>
      <c r="AL836" s="11">
        <f t="shared" si="327"/>
        <v>4962</v>
      </c>
      <c r="AM836" s="11" t="b">
        <f t="shared" si="322"/>
        <v>0</v>
      </c>
      <c r="AN836" s="11">
        <f t="shared" si="324"/>
        <v>36000</v>
      </c>
      <c r="AO836" s="11">
        <f t="shared" si="325"/>
        <v>0</v>
      </c>
      <c r="AP836" s="11">
        <f t="shared" si="326"/>
        <v>0.43745538010194995</v>
      </c>
      <c r="AQ836" s="11">
        <f t="shared" si="328"/>
        <v>0</v>
      </c>
      <c r="AT836" s="3"/>
      <c r="AU836" s="17"/>
      <c r="AV836" s="19"/>
      <c r="AW836" s="17"/>
      <c r="AX836" s="17">
        <f t="shared" si="347"/>
        <v>827</v>
      </c>
      <c r="AY836" s="17">
        <f t="shared" si="346"/>
        <v>82.7</v>
      </c>
      <c r="AZ836" s="17">
        <v>43.745538010194998</v>
      </c>
      <c r="BA836" s="17"/>
      <c r="BB836" s="17">
        <v>36</v>
      </c>
      <c r="BC836" s="17"/>
      <c r="BD836" s="17"/>
      <c r="BE836" s="17"/>
      <c r="BF836" s="17"/>
      <c r="BG836" s="17"/>
      <c r="BH836" s="17"/>
      <c r="BI836" s="17"/>
      <c r="BJ836" s="17"/>
      <c r="BK836" s="17"/>
      <c r="BL836" s="17"/>
      <c r="BM836" s="17"/>
      <c r="BN836" s="17"/>
      <c r="BO836" s="17"/>
      <c r="BP836" s="17"/>
      <c r="BQ836" s="17"/>
      <c r="BR836" s="17"/>
      <c r="BS836" s="17"/>
      <c r="BT836" s="17"/>
      <c r="BU836" s="17"/>
      <c r="BV836" s="17"/>
      <c r="BW836" s="17"/>
      <c r="BX836" s="17"/>
      <c r="BY836" s="17"/>
      <c r="BZ836" s="17"/>
      <c r="CA836" s="17"/>
      <c r="CB836" s="17"/>
      <c r="CC836" s="17"/>
      <c r="CD836" s="17"/>
      <c r="CE836" s="17"/>
      <c r="CF836" s="17"/>
      <c r="CG836" s="17"/>
      <c r="CH836" s="17"/>
    </row>
    <row r="837" spans="8:86" x14ac:dyDescent="0.15">
      <c r="H837" s="3">
        <f t="shared" si="341"/>
        <v>0.82500000000000062</v>
      </c>
      <c r="I837" s="3">
        <f t="shared" si="342"/>
        <v>360</v>
      </c>
      <c r="J837" s="14">
        <f t="shared" si="343"/>
        <v>500</v>
      </c>
      <c r="K837" s="3">
        <f t="shared" si="333"/>
        <v>0</v>
      </c>
      <c r="L837" s="3">
        <f t="shared" si="329"/>
        <v>500</v>
      </c>
      <c r="M837" s="15">
        <f t="shared" si="344"/>
        <v>7.0000000000000007E-2</v>
      </c>
      <c r="N837" s="3">
        <f t="shared" si="345"/>
        <v>43.428127112065013</v>
      </c>
      <c r="O837" s="3">
        <f t="shared" si="330"/>
        <v>43.428127112065013</v>
      </c>
      <c r="P837" s="3">
        <f t="shared" si="334"/>
        <v>46.696910873188187</v>
      </c>
      <c r="Q837" s="3">
        <f t="shared" si="335"/>
        <v>6.7062994528420026</v>
      </c>
      <c r="R837" s="3">
        <f t="shared" si="336"/>
        <v>26.701605163015095</v>
      </c>
      <c r="S837" s="3">
        <f t="shared" si="331"/>
        <v>1</v>
      </c>
      <c r="T837" s="3">
        <f t="shared" si="337"/>
        <v>19995.305710173092</v>
      </c>
      <c r="U837" s="3">
        <f t="shared" si="338"/>
        <v>0.5</v>
      </c>
      <c r="V837" s="3">
        <f t="shared" si="339"/>
        <v>0</v>
      </c>
      <c r="W837" s="3">
        <f t="shared" si="340"/>
        <v>15634.125760343404</v>
      </c>
      <c r="X837" s="3">
        <f t="shared" si="332"/>
        <v>3353.1497264210011</v>
      </c>
      <c r="AI837" s="3"/>
      <c r="AJ837" s="3"/>
      <c r="AK837" s="15">
        <f t="shared" si="323"/>
        <v>3</v>
      </c>
      <c r="AL837" s="11">
        <f t="shared" si="327"/>
        <v>4968</v>
      </c>
      <c r="AM837" s="11" t="b">
        <f t="shared" si="322"/>
        <v>0</v>
      </c>
      <c r="AN837" s="11">
        <f t="shared" si="324"/>
        <v>36000</v>
      </c>
      <c r="AO837" s="11">
        <f t="shared" si="325"/>
        <v>0</v>
      </c>
      <c r="AP837" s="11">
        <f t="shared" si="326"/>
        <v>0.43855769491676472</v>
      </c>
      <c r="AQ837" s="11">
        <f t="shared" si="328"/>
        <v>0</v>
      </c>
      <c r="AT837" s="3"/>
      <c r="AU837" s="17"/>
      <c r="AV837" s="19"/>
      <c r="AW837" s="17"/>
      <c r="AX837" s="17">
        <f t="shared" si="347"/>
        <v>828</v>
      </c>
      <c r="AY837" s="17">
        <f t="shared" si="346"/>
        <v>82.8</v>
      </c>
      <c r="AZ837" s="17">
        <v>43.855769491676469</v>
      </c>
      <c r="BA837" s="17"/>
      <c r="BB837" s="17">
        <v>36</v>
      </c>
      <c r="BC837" s="17"/>
      <c r="BD837" s="17"/>
      <c r="BE837" s="17"/>
      <c r="BF837" s="17"/>
      <c r="BG837" s="17"/>
      <c r="BH837" s="17"/>
      <c r="BI837" s="17"/>
      <c r="BJ837" s="17"/>
      <c r="BK837" s="17"/>
      <c r="BL837" s="17"/>
      <c r="BM837" s="17"/>
      <c r="BN837" s="17"/>
      <c r="BO837" s="17"/>
      <c r="BP837" s="17"/>
      <c r="BQ837" s="17"/>
      <c r="BR837" s="17"/>
      <c r="BS837" s="17"/>
      <c r="BT837" s="17"/>
      <c r="BU837" s="17"/>
      <c r="BV837" s="17"/>
      <c r="BW837" s="17"/>
      <c r="BX837" s="17"/>
      <c r="BY837" s="17"/>
      <c r="BZ837" s="17"/>
      <c r="CA837" s="17"/>
      <c r="CB837" s="17"/>
      <c r="CC837" s="17"/>
      <c r="CD837" s="17"/>
      <c r="CE837" s="17"/>
      <c r="CF837" s="17"/>
      <c r="CG837" s="17"/>
      <c r="CH837" s="17"/>
    </row>
    <row r="838" spans="8:86" x14ac:dyDescent="0.15">
      <c r="H838" s="3">
        <f t="shared" si="341"/>
        <v>0.82600000000000062</v>
      </c>
      <c r="I838" s="3">
        <f t="shared" si="342"/>
        <v>360</v>
      </c>
      <c r="J838" s="14">
        <f t="shared" si="343"/>
        <v>500</v>
      </c>
      <c r="K838" s="3">
        <f t="shared" si="333"/>
        <v>0</v>
      </c>
      <c r="L838" s="3">
        <f t="shared" si="329"/>
        <v>500</v>
      </c>
      <c r="M838" s="15">
        <f t="shared" si="344"/>
        <v>7.0000000000000007E-2</v>
      </c>
      <c r="N838" s="3">
        <f t="shared" si="345"/>
        <v>43.372584596203417</v>
      </c>
      <c r="O838" s="3">
        <f t="shared" si="330"/>
        <v>43.372584596203417</v>
      </c>
      <c r="P838" s="3">
        <f t="shared" si="334"/>
        <v>46.637187737853139</v>
      </c>
      <c r="Q838" s="3">
        <f t="shared" si="335"/>
        <v>6.6663088414216567</v>
      </c>
      <c r="R838" s="3">
        <f t="shared" si="336"/>
        <v>26.651748289637396</v>
      </c>
      <c r="S838" s="3">
        <f t="shared" si="331"/>
        <v>1</v>
      </c>
      <c r="T838" s="3">
        <f t="shared" si="337"/>
        <v>19985.439448215744</v>
      </c>
      <c r="U838" s="3">
        <f t="shared" si="338"/>
        <v>0.5</v>
      </c>
      <c r="V838" s="3">
        <f t="shared" si="339"/>
        <v>0</v>
      </c>
      <c r="W838" s="3">
        <f t="shared" si="340"/>
        <v>15614.13045463323</v>
      </c>
      <c r="X838" s="3">
        <f t="shared" si="332"/>
        <v>3333.1544207108282</v>
      </c>
      <c r="AI838" s="3"/>
      <c r="AJ838" s="3"/>
      <c r="AK838" s="15">
        <f t="shared" si="323"/>
        <v>3</v>
      </c>
      <c r="AL838" s="11">
        <f t="shared" si="327"/>
        <v>4974</v>
      </c>
      <c r="AM838" s="11" t="b">
        <f t="shared" si="322"/>
        <v>0</v>
      </c>
      <c r="AN838" s="11">
        <f t="shared" si="324"/>
        <v>36000</v>
      </c>
      <c r="AO838" s="11">
        <f t="shared" si="325"/>
        <v>0</v>
      </c>
      <c r="AP838" s="11">
        <f t="shared" si="326"/>
        <v>0.43966000973157954</v>
      </c>
      <c r="AQ838" s="11">
        <f t="shared" si="328"/>
        <v>0</v>
      </c>
      <c r="AT838" s="3"/>
      <c r="AU838" s="17"/>
      <c r="AV838" s="19"/>
      <c r="AW838" s="17"/>
      <c r="AX838" s="17">
        <f t="shared" si="347"/>
        <v>829</v>
      </c>
      <c r="AY838" s="17">
        <f t="shared" si="346"/>
        <v>82.9</v>
      </c>
      <c r="AZ838" s="17">
        <v>43.966000973157954</v>
      </c>
      <c r="BA838" s="17"/>
      <c r="BB838" s="17">
        <v>36</v>
      </c>
      <c r="BC838" s="17"/>
      <c r="BD838" s="17"/>
      <c r="BE838" s="17"/>
      <c r="BF838" s="17"/>
      <c r="BG838" s="17"/>
      <c r="BH838" s="17"/>
      <c r="BI838" s="17"/>
      <c r="BJ838" s="17"/>
      <c r="BK838" s="17"/>
      <c r="BL838" s="17"/>
      <c r="BM838" s="17"/>
      <c r="BN838" s="17"/>
      <c r="BO838" s="17"/>
      <c r="BP838" s="17"/>
      <c r="BQ838" s="17"/>
      <c r="BR838" s="17"/>
      <c r="BS838" s="17"/>
      <c r="BT838" s="17"/>
      <c r="BU838" s="17"/>
      <c r="BV838" s="17"/>
      <c r="BW838" s="17"/>
      <c r="BX838" s="17"/>
      <c r="BY838" s="17"/>
      <c r="BZ838" s="17"/>
      <c r="CA838" s="17"/>
      <c r="CB838" s="17"/>
      <c r="CC838" s="17"/>
      <c r="CD838" s="17"/>
      <c r="CE838" s="17"/>
      <c r="CF838" s="17"/>
      <c r="CG838" s="17"/>
      <c r="CH838" s="17"/>
    </row>
    <row r="839" spans="8:86" x14ac:dyDescent="0.15">
      <c r="H839" s="3">
        <f t="shared" si="341"/>
        <v>0.82700000000000062</v>
      </c>
      <c r="I839" s="3">
        <f t="shared" si="342"/>
        <v>360</v>
      </c>
      <c r="J839" s="14">
        <f t="shared" si="343"/>
        <v>500</v>
      </c>
      <c r="K839" s="3">
        <f t="shared" si="333"/>
        <v>0</v>
      </c>
      <c r="L839" s="3">
        <f t="shared" si="329"/>
        <v>500</v>
      </c>
      <c r="M839" s="15">
        <f t="shared" si="344"/>
        <v>7.0000000000000007E-2</v>
      </c>
      <c r="N839" s="3">
        <f t="shared" si="345"/>
        <v>43.317069486625044</v>
      </c>
      <c r="O839" s="3">
        <f t="shared" si="330"/>
        <v>43.317069486625044</v>
      </c>
      <c r="P839" s="3">
        <f t="shared" si="334"/>
        <v>46.577494071639833</v>
      </c>
      <c r="Q839" s="3">
        <f t="shared" si="335"/>
        <v>6.6263379625252243</v>
      </c>
      <c r="R839" s="3">
        <f t="shared" si="336"/>
        <v>26.60191601708253</v>
      </c>
      <c r="S839" s="3">
        <f t="shared" si="331"/>
        <v>1</v>
      </c>
      <c r="T839" s="3">
        <f t="shared" si="337"/>
        <v>19975.578054557303</v>
      </c>
      <c r="U839" s="3">
        <f t="shared" si="338"/>
        <v>0.5</v>
      </c>
      <c r="V839" s="3">
        <f t="shared" si="339"/>
        <v>0</v>
      </c>
      <c r="W839" s="3">
        <f t="shared" si="340"/>
        <v>15594.145015185017</v>
      </c>
      <c r="X839" s="3">
        <f t="shared" si="332"/>
        <v>3313.1689812626123</v>
      </c>
      <c r="AI839" s="3"/>
      <c r="AJ839" s="3"/>
      <c r="AK839" s="15">
        <f t="shared" si="323"/>
        <v>3</v>
      </c>
      <c r="AL839" s="11">
        <f t="shared" si="327"/>
        <v>4980</v>
      </c>
      <c r="AM839" s="11" t="b">
        <f t="shared" si="322"/>
        <v>0</v>
      </c>
      <c r="AN839" s="11">
        <f t="shared" si="324"/>
        <v>36000</v>
      </c>
      <c r="AO839" s="11">
        <f t="shared" si="325"/>
        <v>0</v>
      </c>
      <c r="AP839" s="11">
        <f t="shared" si="326"/>
        <v>0.4407623245463943</v>
      </c>
      <c r="AQ839" s="11">
        <f t="shared" si="328"/>
        <v>0</v>
      </c>
      <c r="AT839" s="3"/>
      <c r="AU839" s="17"/>
      <c r="AV839" s="19"/>
      <c r="AW839" s="17"/>
      <c r="AX839" s="17">
        <f t="shared" si="347"/>
        <v>830</v>
      </c>
      <c r="AY839" s="17">
        <f t="shared" si="346"/>
        <v>83</v>
      </c>
      <c r="AZ839" s="17">
        <v>44.076232454639431</v>
      </c>
      <c r="BA839" s="17"/>
      <c r="BB839" s="17">
        <v>36</v>
      </c>
      <c r="BC839" s="17"/>
      <c r="BD839" s="17"/>
      <c r="BE839" s="17"/>
      <c r="BF839" s="17"/>
      <c r="BG839" s="17"/>
      <c r="BH839" s="17"/>
      <c r="BI839" s="17"/>
      <c r="BJ839" s="17"/>
      <c r="BK839" s="17"/>
      <c r="BL839" s="17"/>
      <c r="BM839" s="17"/>
      <c r="BN839" s="17"/>
      <c r="BO839" s="17"/>
      <c r="BP839" s="17"/>
      <c r="BQ839" s="17"/>
      <c r="BR839" s="17"/>
      <c r="BS839" s="17"/>
      <c r="BT839" s="17"/>
      <c r="BU839" s="17"/>
      <c r="BV839" s="17"/>
      <c r="BW839" s="17"/>
      <c r="BX839" s="17"/>
      <c r="BY839" s="17"/>
      <c r="BZ839" s="17"/>
      <c r="CA839" s="17"/>
      <c r="CB839" s="17"/>
      <c r="CC839" s="17"/>
      <c r="CD839" s="17"/>
      <c r="CE839" s="17"/>
      <c r="CF839" s="17"/>
      <c r="CG839" s="17"/>
      <c r="CH839" s="17"/>
    </row>
    <row r="840" spans="8:86" x14ac:dyDescent="0.15">
      <c r="H840" s="3">
        <f t="shared" si="341"/>
        <v>0.82800000000000062</v>
      </c>
      <c r="I840" s="3">
        <f t="shared" si="342"/>
        <v>360</v>
      </c>
      <c r="J840" s="14">
        <f t="shared" si="343"/>
        <v>500</v>
      </c>
      <c r="K840" s="3">
        <f t="shared" si="333"/>
        <v>0</v>
      </c>
      <c r="L840" s="3">
        <f t="shared" si="329"/>
        <v>500</v>
      </c>
      <c r="M840" s="15">
        <f t="shared" si="344"/>
        <v>7.0000000000000007E-2</v>
      </c>
      <c r="N840" s="3">
        <f t="shared" si="345"/>
        <v>43.261581769806831</v>
      </c>
      <c r="O840" s="3">
        <f t="shared" si="330"/>
        <v>43.261581769806831</v>
      </c>
      <c r="P840" s="3">
        <f t="shared" si="334"/>
        <v>46.517829860007346</v>
      </c>
      <c r="Q840" s="3">
        <f t="shared" si="335"/>
        <v>6.58638680641611</v>
      </c>
      <c r="R840" s="3">
        <f t="shared" si="336"/>
        <v>26.552108333211727</v>
      </c>
      <c r="S840" s="3">
        <f t="shared" si="331"/>
        <v>1</v>
      </c>
      <c r="T840" s="3">
        <f t="shared" si="337"/>
        <v>19965.72152679562</v>
      </c>
      <c r="U840" s="3">
        <f t="shared" si="338"/>
        <v>0.5</v>
      </c>
      <c r="V840" s="3">
        <f t="shared" si="339"/>
        <v>0</v>
      </c>
      <c r="W840" s="3">
        <f t="shared" si="340"/>
        <v>15574.169437130458</v>
      </c>
      <c r="X840" s="3">
        <f t="shared" si="332"/>
        <v>3293.1934032080549</v>
      </c>
      <c r="AI840" s="3"/>
      <c r="AJ840" s="3"/>
      <c r="AK840" s="15">
        <f t="shared" si="323"/>
        <v>3</v>
      </c>
      <c r="AL840" s="11">
        <f t="shared" si="327"/>
        <v>4986</v>
      </c>
      <c r="AM840" s="11" t="b">
        <f t="shared" si="322"/>
        <v>0</v>
      </c>
      <c r="AN840" s="11">
        <f t="shared" si="324"/>
        <v>36000</v>
      </c>
      <c r="AO840" s="11">
        <f t="shared" si="325"/>
        <v>0</v>
      </c>
      <c r="AP840" s="11">
        <f t="shared" si="326"/>
        <v>0.44186463936120912</v>
      </c>
      <c r="AQ840" s="11">
        <f t="shared" si="328"/>
        <v>0</v>
      </c>
      <c r="AT840" s="3"/>
      <c r="AU840" s="17"/>
      <c r="AV840" s="19"/>
      <c r="AW840" s="17"/>
      <c r="AX840" s="17">
        <f t="shared" si="347"/>
        <v>831</v>
      </c>
      <c r="AY840" s="17">
        <f t="shared" si="346"/>
        <v>83.1</v>
      </c>
      <c r="AZ840" s="17">
        <v>44.186463936120916</v>
      </c>
      <c r="BA840" s="17"/>
      <c r="BB840" s="17">
        <v>36</v>
      </c>
      <c r="BC840" s="17"/>
      <c r="BD840" s="17"/>
      <c r="BE840" s="17"/>
      <c r="BF840" s="17"/>
      <c r="BG840" s="17"/>
      <c r="BH840" s="17"/>
      <c r="BI840" s="17"/>
      <c r="BJ840" s="17"/>
      <c r="BK840" s="17"/>
      <c r="BL840" s="17"/>
      <c r="BM840" s="17"/>
      <c r="BN840" s="17"/>
      <c r="BO840" s="17"/>
      <c r="BP840" s="17"/>
      <c r="BQ840" s="17"/>
      <c r="BR840" s="17"/>
      <c r="BS840" s="17"/>
      <c r="BT840" s="17"/>
      <c r="BU840" s="17"/>
      <c r="BV840" s="17"/>
      <c r="BW840" s="17"/>
      <c r="BX840" s="17"/>
      <c r="BY840" s="17"/>
      <c r="BZ840" s="17"/>
      <c r="CA840" s="17"/>
      <c r="CB840" s="17"/>
      <c r="CC840" s="17"/>
      <c r="CD840" s="17"/>
      <c r="CE840" s="17"/>
      <c r="CF840" s="17"/>
      <c r="CG840" s="17"/>
      <c r="CH840" s="17"/>
    </row>
    <row r="841" spans="8:86" x14ac:dyDescent="0.15">
      <c r="H841" s="3">
        <f t="shared" si="341"/>
        <v>0.82900000000000063</v>
      </c>
      <c r="I841" s="3">
        <f t="shared" si="342"/>
        <v>360</v>
      </c>
      <c r="J841" s="14">
        <f t="shared" si="343"/>
        <v>500</v>
      </c>
      <c r="K841" s="3">
        <f t="shared" si="333"/>
        <v>0</v>
      </c>
      <c r="L841" s="3">
        <f t="shared" si="329"/>
        <v>500</v>
      </c>
      <c r="M841" s="15">
        <f t="shared" si="344"/>
        <v>7.0000000000000007E-2</v>
      </c>
      <c r="N841" s="3">
        <f t="shared" si="345"/>
        <v>43.206121432232393</v>
      </c>
      <c r="O841" s="3">
        <f t="shared" si="330"/>
        <v>43.206121432232393</v>
      </c>
      <c r="P841" s="3">
        <f t="shared" si="334"/>
        <v>46.458195088421931</v>
      </c>
      <c r="Q841" s="3">
        <f t="shared" si="335"/>
        <v>6.5464553633625187</v>
      </c>
      <c r="R841" s="3">
        <f t="shared" si="336"/>
        <v>26.502325225892225</v>
      </c>
      <c r="S841" s="3">
        <f t="shared" si="331"/>
        <v>1</v>
      </c>
      <c r="T841" s="3">
        <f t="shared" si="337"/>
        <v>19955.869862529707</v>
      </c>
      <c r="U841" s="3">
        <f t="shared" si="338"/>
        <v>0.5</v>
      </c>
      <c r="V841" s="3">
        <f t="shared" si="339"/>
        <v>0</v>
      </c>
      <c r="W841" s="3">
        <f t="shared" si="340"/>
        <v>15554.203715603662</v>
      </c>
      <c r="X841" s="3">
        <f t="shared" si="332"/>
        <v>3273.2276816812591</v>
      </c>
      <c r="AI841" s="3"/>
      <c r="AJ841" s="3"/>
      <c r="AK841" s="15">
        <f t="shared" si="323"/>
        <v>3</v>
      </c>
      <c r="AL841" s="11">
        <f t="shared" si="327"/>
        <v>4992</v>
      </c>
      <c r="AM841" s="11" t="b">
        <f t="shared" ref="AM841:AM904" si="348">OR(AND(AL841&gt;=$AC$5,AL841&lt;=$AD$5),AND(AL841&gt;=$AC$6,AL841&lt;=$AD$6),AND(AL841&gt;=$AC$7,AL841&lt;=$AD$7),AND(AL841&gt;=$AC$8,AL841&lt;=$AD$8),AND(AL841&gt;=$AC$9,AL841&lt;=$AD$9),AND(AL841&gt;=$AC$10,AL841&lt;=$AD$10),AND(AL841&gt;=$AC$11,AL841&lt;=$AD$11),AND($AD$11&lt;$AC$11,OR(AL841&lt;$AD$11,AL841&gt;$AC$11)))</f>
        <v>0</v>
      </c>
      <c r="AN841" s="11">
        <f t="shared" si="324"/>
        <v>36000</v>
      </c>
      <c r="AO841" s="11">
        <f t="shared" si="325"/>
        <v>0</v>
      </c>
      <c r="AP841" s="11">
        <f t="shared" si="326"/>
        <v>0.44296695417602389</v>
      </c>
      <c r="AQ841" s="11">
        <f t="shared" si="328"/>
        <v>0</v>
      </c>
      <c r="AT841" s="3"/>
      <c r="AU841" s="17"/>
      <c r="AV841" s="19"/>
      <c r="AW841" s="17"/>
      <c r="AX841" s="17">
        <f t="shared" si="347"/>
        <v>832</v>
      </c>
      <c r="AY841" s="17">
        <f t="shared" si="346"/>
        <v>83.2</v>
      </c>
      <c r="AZ841" s="17">
        <v>44.296695417602386</v>
      </c>
      <c r="BA841" s="17"/>
      <c r="BB841" s="17">
        <v>36</v>
      </c>
      <c r="BC841" s="17"/>
      <c r="BD841" s="17"/>
      <c r="BE841" s="17"/>
      <c r="BF841" s="17"/>
      <c r="BG841" s="17"/>
      <c r="BH841" s="17"/>
      <c r="BI841" s="17"/>
      <c r="BJ841" s="17"/>
      <c r="BK841" s="17"/>
      <c r="BL841" s="17"/>
      <c r="BM841" s="17"/>
      <c r="BN841" s="17"/>
      <c r="BO841" s="17"/>
      <c r="BP841" s="17"/>
      <c r="BQ841" s="17"/>
      <c r="BR841" s="17"/>
      <c r="BS841" s="17"/>
      <c r="BT841" s="17"/>
      <c r="BU841" s="17"/>
      <c r="BV841" s="17"/>
      <c r="BW841" s="17"/>
      <c r="BX841" s="17"/>
      <c r="BY841" s="17"/>
      <c r="BZ841" s="17"/>
      <c r="CA841" s="17"/>
      <c r="CB841" s="17"/>
      <c r="CC841" s="17"/>
      <c r="CD841" s="17"/>
      <c r="CE841" s="17"/>
      <c r="CF841" s="17"/>
      <c r="CG841" s="17"/>
      <c r="CH841" s="17"/>
    </row>
    <row r="842" spans="8:86" x14ac:dyDescent="0.15">
      <c r="H842" s="3">
        <f t="shared" si="341"/>
        <v>0.83000000000000063</v>
      </c>
      <c r="I842" s="3">
        <f t="shared" si="342"/>
        <v>360</v>
      </c>
      <c r="J842" s="14">
        <f t="shared" si="343"/>
        <v>500</v>
      </c>
      <c r="K842" s="3">
        <f t="shared" si="333"/>
        <v>0</v>
      </c>
      <c r="L842" s="3">
        <f t="shared" si="329"/>
        <v>500</v>
      </c>
      <c r="M842" s="15">
        <f t="shared" si="344"/>
        <v>7.0000000000000007E-2</v>
      </c>
      <c r="N842" s="3">
        <f t="shared" si="345"/>
        <v>43.150688460392033</v>
      </c>
      <c r="O842" s="3">
        <f t="shared" si="330"/>
        <v>43.150688460392033</v>
      </c>
      <c r="P842" s="3">
        <f t="shared" si="334"/>
        <v>46.398589742357025</v>
      </c>
      <c r="Q842" s="3">
        <f t="shared" si="335"/>
        <v>6.5065436236374588</v>
      </c>
      <c r="R842" s="3">
        <f t="shared" si="336"/>
        <v>26.452566682997244</v>
      </c>
      <c r="S842" s="3">
        <f t="shared" si="331"/>
        <v>1</v>
      </c>
      <c r="T842" s="3">
        <f t="shared" si="337"/>
        <v>19946.023059359781</v>
      </c>
      <c r="U842" s="3">
        <f t="shared" si="338"/>
        <v>0.5</v>
      </c>
      <c r="V842" s="3">
        <f t="shared" si="339"/>
        <v>0</v>
      </c>
      <c r="W842" s="3">
        <f t="shared" si="340"/>
        <v>15534.247845741133</v>
      </c>
      <c r="X842" s="3">
        <f t="shared" si="332"/>
        <v>3253.2718118187295</v>
      </c>
      <c r="AI842" s="3"/>
      <c r="AJ842" s="3"/>
      <c r="AK842" s="15">
        <f t="shared" ref="AK842:AK905" si="349">1+INT(MOD(AL842/60/24-0.5,7))</f>
        <v>3</v>
      </c>
      <c r="AL842" s="11">
        <f t="shared" si="327"/>
        <v>4998</v>
      </c>
      <c r="AM842" s="11" t="b">
        <f t="shared" si="348"/>
        <v>0</v>
      </c>
      <c r="AN842" s="11">
        <f t="shared" ref="AN842:AN905" si="350">IF(AND(AM842,NOT(AM843)),$AB$26,AN841+($AB$28-IF(AND(AM841,AM842),CHOOSE(AK842,$AG$5,$AG$6,$AG$7,$AG$8,$AG$9,$AG$10,$AG$11)*$AA$22/$AA$24,0))*$AB$15)</f>
        <v>36000</v>
      </c>
      <c r="AO842" s="11">
        <f t="shared" ref="AO842:AO905" si="351">IF(AND(AM842,NOT(AM843)),$AB$27,AO841+($AB$29-IF(AND(AM841,AM842),CHOOSE(AK842,$AG$5,$AG$6,$AG$7,$AG$8,$AG$9,$AG$10,$AG$11)*$AA$23/$AA$24,0))*$AB$15)</f>
        <v>0</v>
      </c>
      <c r="AP842" s="11">
        <f t="shared" ref="AP842:AP905" si="352">IF(AN841&lt;=0,0,(AP841*AN841-(IF(AND(AM841,AM842),CHOOSE(AK842,$AI$5,$AI$6,$AI$7,$AI$8,$AI$9,$AI$10,$AI$11),$AA$37))*AP841*$AB$15+$AA$34*(AQ841-AP841)*$AB$15+$AA$33*$AB$15)/AN841)</f>
        <v>0.44406926899083871</v>
      </c>
      <c r="AQ842" s="11">
        <f t="shared" si="328"/>
        <v>0</v>
      </c>
      <c r="AT842" s="3"/>
      <c r="AU842" s="17"/>
      <c r="AV842" s="19"/>
      <c r="AW842" s="17"/>
      <c r="AX842" s="17">
        <f t="shared" si="347"/>
        <v>833</v>
      </c>
      <c r="AY842" s="17">
        <f t="shared" si="346"/>
        <v>83.3</v>
      </c>
      <c r="AZ842" s="17">
        <v>44.406926899083871</v>
      </c>
      <c r="BA842" s="17"/>
      <c r="BB842" s="17">
        <v>36</v>
      </c>
      <c r="BC842" s="17"/>
      <c r="BD842" s="17"/>
      <c r="BE842" s="17"/>
      <c r="BF842" s="17"/>
      <c r="BG842" s="17"/>
      <c r="BH842" s="17"/>
      <c r="BI842" s="17"/>
      <c r="BJ842" s="17"/>
      <c r="BK842" s="17"/>
      <c r="BL842" s="17"/>
      <c r="BM842" s="17"/>
      <c r="BN842" s="17"/>
      <c r="BO842" s="17"/>
      <c r="BP842" s="17"/>
      <c r="BQ842" s="17"/>
      <c r="BR842" s="17"/>
      <c r="BS842" s="17"/>
      <c r="BT842" s="17"/>
      <c r="BU842" s="17"/>
      <c r="BV842" s="17"/>
      <c r="BW842" s="17"/>
      <c r="BX842" s="17"/>
      <c r="BY842" s="17"/>
      <c r="BZ842" s="17"/>
      <c r="CA842" s="17"/>
      <c r="CB842" s="17"/>
      <c r="CC842" s="17"/>
      <c r="CD842" s="17"/>
      <c r="CE842" s="17"/>
      <c r="CF842" s="17"/>
      <c r="CG842" s="17"/>
      <c r="CH842" s="17"/>
    </row>
    <row r="843" spans="8:86" x14ac:dyDescent="0.15">
      <c r="H843" s="3">
        <f t="shared" si="341"/>
        <v>0.83100000000000063</v>
      </c>
      <c r="I843" s="3">
        <f t="shared" si="342"/>
        <v>360</v>
      </c>
      <c r="J843" s="14">
        <f t="shared" si="343"/>
        <v>500</v>
      </c>
      <c r="K843" s="3">
        <f t="shared" si="333"/>
        <v>0</v>
      </c>
      <c r="L843" s="3">
        <f t="shared" si="329"/>
        <v>500</v>
      </c>
      <c r="M843" s="15">
        <f t="shared" si="344"/>
        <v>7.0000000000000007E-2</v>
      </c>
      <c r="N843" s="3">
        <f t="shared" si="345"/>
        <v>43.095282840782701</v>
      </c>
      <c r="O843" s="3">
        <f t="shared" si="330"/>
        <v>43.095282840782701</v>
      </c>
      <c r="P843" s="3">
        <f t="shared" si="334"/>
        <v>46.339013807293227</v>
      </c>
      <c r="Q843" s="3">
        <f t="shared" si="335"/>
        <v>6.4666515775187392</v>
      </c>
      <c r="R843" s="3">
        <f t="shared" si="336"/>
        <v>26.402832692405983</v>
      </c>
      <c r="S843" s="3">
        <f t="shared" si="331"/>
        <v>1</v>
      </c>
      <c r="T843" s="3">
        <f t="shared" si="337"/>
        <v>19936.181114887244</v>
      </c>
      <c r="U843" s="3">
        <f t="shared" si="338"/>
        <v>0.5</v>
      </c>
      <c r="V843" s="3">
        <f t="shared" si="339"/>
        <v>0</v>
      </c>
      <c r="W843" s="3">
        <f t="shared" si="340"/>
        <v>15514.301822681773</v>
      </c>
      <c r="X843" s="3">
        <f t="shared" si="332"/>
        <v>3233.3257887593695</v>
      </c>
      <c r="AI843" s="3"/>
      <c r="AJ843" s="3"/>
      <c r="AK843" s="15">
        <f t="shared" si="349"/>
        <v>3</v>
      </c>
      <c r="AL843" s="11">
        <f t="shared" ref="AL843:AL906" si="353">AL842+$AB$15</f>
        <v>5004</v>
      </c>
      <c r="AM843" s="11" t="b">
        <f t="shared" si="348"/>
        <v>0</v>
      </c>
      <c r="AN843" s="11">
        <f t="shared" si="350"/>
        <v>36000</v>
      </c>
      <c r="AO843" s="11">
        <f t="shared" si="351"/>
        <v>0</v>
      </c>
      <c r="AP843" s="11">
        <f t="shared" si="352"/>
        <v>0.44517158380565347</v>
      </c>
      <c r="AQ843" s="11">
        <f t="shared" ref="AQ843:AQ906" si="354">IF(AO842&lt;=0,0,(AQ842*AO842-$AA$34*(AQ842-AP842)*$AB$15)/AO842)</f>
        <v>0</v>
      </c>
      <c r="AT843" s="3"/>
      <c r="AU843" s="17"/>
      <c r="AV843" s="19"/>
      <c r="AW843" s="17"/>
      <c r="AX843" s="17">
        <f t="shared" si="347"/>
        <v>834</v>
      </c>
      <c r="AY843" s="17">
        <f t="shared" si="346"/>
        <v>83.4</v>
      </c>
      <c r="AZ843" s="17">
        <v>44.517158380565348</v>
      </c>
      <c r="BA843" s="17"/>
      <c r="BB843" s="17">
        <v>36</v>
      </c>
      <c r="BC843" s="17"/>
      <c r="BD843" s="17"/>
      <c r="BE843" s="17"/>
      <c r="BF843" s="17"/>
      <c r="BG843" s="17"/>
      <c r="BH843" s="17"/>
      <c r="BI843" s="17"/>
      <c r="BJ843" s="17"/>
      <c r="BK843" s="17"/>
      <c r="BL843" s="17"/>
      <c r="BM843" s="17"/>
      <c r="BN843" s="17"/>
      <c r="BO843" s="17"/>
      <c r="BP843" s="17"/>
      <c r="BQ843" s="17"/>
      <c r="BR843" s="17"/>
      <c r="BS843" s="17"/>
      <c r="BT843" s="17"/>
      <c r="BU843" s="17"/>
      <c r="BV843" s="17"/>
      <c r="BW843" s="17"/>
      <c r="BX843" s="17"/>
      <c r="BY843" s="17"/>
      <c r="BZ843" s="17"/>
      <c r="CA843" s="17"/>
      <c r="CB843" s="17"/>
      <c r="CC843" s="17"/>
      <c r="CD843" s="17"/>
      <c r="CE843" s="17"/>
      <c r="CF843" s="17"/>
      <c r="CG843" s="17"/>
      <c r="CH843" s="17"/>
    </row>
    <row r="844" spans="8:86" x14ac:dyDescent="0.15">
      <c r="H844" s="3">
        <f t="shared" si="341"/>
        <v>0.83200000000000063</v>
      </c>
      <c r="I844" s="3">
        <f t="shared" si="342"/>
        <v>360</v>
      </c>
      <c r="J844" s="14">
        <f t="shared" si="343"/>
        <v>500</v>
      </c>
      <c r="K844" s="3">
        <f t="shared" si="333"/>
        <v>0</v>
      </c>
      <c r="L844" s="3">
        <f t="shared" ref="L844:L907" si="355">$L$8*$L$6/I844</f>
        <v>500</v>
      </c>
      <c r="M844" s="15">
        <f t="shared" si="344"/>
        <v>7.0000000000000007E-2</v>
      </c>
      <c r="N844" s="3">
        <f t="shared" si="345"/>
        <v>43.039904559908017</v>
      </c>
      <c r="O844" s="3">
        <f t="shared" ref="O844:O907" si="356">N844*S844</f>
        <v>43.039904559908017</v>
      </c>
      <c r="P844" s="3">
        <f t="shared" si="334"/>
        <v>46.2794672687183</v>
      </c>
      <c r="Q844" s="3">
        <f t="shared" si="335"/>
        <v>6.4267792152889642</v>
      </c>
      <c r="R844" s="3">
        <f t="shared" si="336"/>
        <v>26.353123242003633</v>
      </c>
      <c r="S844" s="3">
        <f t="shared" ref="S844:S907" si="357">IF($F$10=0,0,IF($F$10=1,1,(N844-L844-1/$I$5+((L844-N844+1/$I$5)^2+4*N844/$I$5)^0.5)/2/N844))</f>
        <v>1</v>
      </c>
      <c r="T844" s="3">
        <f t="shared" si="337"/>
        <v>19926.344026714665</v>
      </c>
      <c r="U844" s="3">
        <f t="shared" si="338"/>
        <v>0.5</v>
      </c>
      <c r="V844" s="3">
        <f t="shared" si="339"/>
        <v>0</v>
      </c>
      <c r="W844" s="3">
        <f t="shared" si="340"/>
        <v>15494.365641566887</v>
      </c>
      <c r="X844" s="3">
        <f t="shared" ref="X844:X907" si="358">IF($F$19,W844-W845+X845,J844*Q844)</f>
        <v>3213.3896076444821</v>
      </c>
      <c r="AI844" s="3"/>
      <c r="AJ844" s="3"/>
      <c r="AK844" s="15">
        <f t="shared" si="349"/>
        <v>3</v>
      </c>
      <c r="AL844" s="11">
        <f t="shared" si="353"/>
        <v>5010</v>
      </c>
      <c r="AM844" s="11" t="b">
        <f t="shared" si="348"/>
        <v>0</v>
      </c>
      <c r="AN844" s="11">
        <f t="shared" si="350"/>
        <v>36000</v>
      </c>
      <c r="AO844" s="11">
        <f t="shared" si="351"/>
        <v>0</v>
      </c>
      <c r="AP844" s="11">
        <f t="shared" si="352"/>
        <v>0.44627389862046829</v>
      </c>
      <c r="AQ844" s="11">
        <f t="shared" si="354"/>
        <v>0</v>
      </c>
      <c r="AT844" s="3"/>
      <c r="AU844" s="17"/>
      <c r="AV844" s="19"/>
      <c r="AW844" s="17"/>
      <c r="AX844" s="17">
        <f t="shared" si="347"/>
        <v>835</v>
      </c>
      <c r="AY844" s="17">
        <f t="shared" si="346"/>
        <v>83.5</v>
      </c>
      <c r="AZ844" s="17">
        <v>44.627389862046826</v>
      </c>
      <c r="BA844" s="17"/>
      <c r="BB844" s="17">
        <v>36</v>
      </c>
      <c r="BC844" s="17"/>
      <c r="BD844" s="17"/>
      <c r="BE844" s="17"/>
      <c r="BF844" s="17"/>
      <c r="BG844" s="17"/>
      <c r="BH844" s="17"/>
      <c r="BI844" s="17"/>
      <c r="BJ844" s="17"/>
      <c r="BK844" s="17"/>
      <c r="BL844" s="17"/>
      <c r="BM844" s="17"/>
      <c r="BN844" s="17"/>
      <c r="BO844" s="17"/>
      <c r="BP844" s="17"/>
      <c r="BQ844" s="17"/>
      <c r="BR844" s="17"/>
      <c r="BS844" s="17"/>
      <c r="BT844" s="17"/>
      <c r="BU844" s="17"/>
      <c r="BV844" s="17"/>
      <c r="BW844" s="17"/>
      <c r="BX844" s="17"/>
      <c r="BY844" s="17"/>
      <c r="BZ844" s="17"/>
      <c r="CA844" s="17"/>
      <c r="CB844" s="17"/>
      <c r="CC844" s="17"/>
      <c r="CD844" s="17"/>
      <c r="CE844" s="17"/>
      <c r="CF844" s="17"/>
      <c r="CG844" s="17"/>
      <c r="CH844" s="17"/>
    </row>
    <row r="845" spans="8:86" x14ac:dyDescent="0.15">
      <c r="H845" s="3">
        <f t="shared" si="341"/>
        <v>0.83300000000000063</v>
      </c>
      <c r="I845" s="3">
        <f t="shared" si="342"/>
        <v>360</v>
      </c>
      <c r="J845" s="14">
        <f t="shared" si="343"/>
        <v>500</v>
      </c>
      <c r="K845" s="3">
        <f t="shared" ref="K845:K908" si="359">2*$F$6*$I$6*H845+$F$6*$I$7</f>
        <v>0</v>
      </c>
      <c r="L845" s="3">
        <f t="shared" si="355"/>
        <v>500</v>
      </c>
      <c r="M845" s="15">
        <f t="shared" si="344"/>
        <v>7.0000000000000007E-2</v>
      </c>
      <c r="N845" s="3">
        <f t="shared" si="345"/>
        <v>42.984553604278254</v>
      </c>
      <c r="O845" s="3">
        <f t="shared" si="356"/>
        <v>42.984553604278254</v>
      </c>
      <c r="P845" s="3">
        <f t="shared" ref="P845:P908" si="360">O845/(1-M845)</f>
        <v>46.219950112127158</v>
      </c>
      <c r="Q845" s="3">
        <f t="shared" ref="Q845:Q908" si="361">IF($F$19,IF($F$20,0,X845/J845),(Q844*J844-T844*$I$4)/J845)</f>
        <v>6.3869265272355351</v>
      </c>
      <c r="R845" s="3">
        <f t="shared" ref="R845:R908" si="362">IF($F$19,P845,(1-U845)*P845+U845*Q845)</f>
        <v>26.303438319681348</v>
      </c>
      <c r="S845" s="3">
        <f t="shared" si="357"/>
        <v>1</v>
      </c>
      <c r="T845" s="3">
        <f t="shared" ref="T845:T908" si="363">IF($F$19,0,$F$8*(P845-Q845))+R845*K845*(1-$F$11)</f>
        <v>19916.51179244581</v>
      </c>
      <c r="U845" s="3">
        <f t="shared" ref="U845:U908" si="364">IF($F$8=0,0,IF(V845=0,0.5,IF(ISERROR(EXP(V845)),0,1/V845-1/(EXP(V845)-1))))</f>
        <v>0.5</v>
      </c>
      <c r="V845" s="3">
        <f t="shared" ref="V845:V908" si="365">K845*(1-$F$11)/$F$8</f>
        <v>0</v>
      </c>
      <c r="W845" s="3">
        <f t="shared" ref="W845:W908" si="366">(I845+$L$5)*N845</f>
        <v>15474.439297540172</v>
      </c>
      <c r="X845" s="3">
        <f t="shared" si="358"/>
        <v>3193.4632636177676</v>
      </c>
      <c r="AI845" s="3"/>
      <c r="AJ845" s="3"/>
      <c r="AK845" s="15">
        <f t="shared" si="349"/>
        <v>3</v>
      </c>
      <c r="AL845" s="11">
        <f t="shared" si="353"/>
        <v>5016</v>
      </c>
      <c r="AM845" s="11" t="b">
        <f t="shared" si="348"/>
        <v>0</v>
      </c>
      <c r="AN845" s="11">
        <f t="shared" si="350"/>
        <v>36000</v>
      </c>
      <c r="AO845" s="11">
        <f t="shared" si="351"/>
        <v>0</v>
      </c>
      <c r="AP845" s="11">
        <f t="shared" si="352"/>
        <v>0.44737621343528305</v>
      </c>
      <c r="AQ845" s="11">
        <f t="shared" si="354"/>
        <v>0</v>
      </c>
      <c r="AT845" s="3"/>
      <c r="AU845" s="17"/>
      <c r="AV845" s="19"/>
      <c r="AW845" s="17"/>
      <c r="AX845" s="17">
        <f t="shared" si="347"/>
        <v>836</v>
      </c>
      <c r="AY845" s="17">
        <f t="shared" si="346"/>
        <v>83.6</v>
      </c>
      <c r="AZ845" s="17">
        <v>44.737621343528303</v>
      </c>
      <c r="BA845" s="17"/>
      <c r="BB845" s="17">
        <v>36</v>
      </c>
      <c r="BC845" s="17"/>
      <c r="BD845" s="17"/>
      <c r="BE845" s="17"/>
      <c r="BF845" s="17"/>
      <c r="BG845" s="17"/>
      <c r="BH845" s="17"/>
      <c r="BI845" s="17"/>
      <c r="BJ845" s="17"/>
      <c r="BK845" s="17"/>
      <c r="BL845" s="17"/>
      <c r="BM845" s="17"/>
      <c r="BN845" s="17"/>
      <c r="BO845" s="17"/>
      <c r="BP845" s="17"/>
      <c r="BQ845" s="17"/>
      <c r="BR845" s="17"/>
      <c r="BS845" s="17"/>
      <c r="BT845" s="17"/>
      <c r="BU845" s="17"/>
      <c r="BV845" s="17"/>
      <c r="BW845" s="17"/>
      <c r="BX845" s="17"/>
      <c r="BY845" s="17"/>
      <c r="BZ845" s="17"/>
      <c r="CA845" s="17"/>
      <c r="CB845" s="17"/>
      <c r="CC845" s="17"/>
      <c r="CD845" s="17"/>
      <c r="CE845" s="17"/>
      <c r="CF845" s="17"/>
      <c r="CG845" s="17"/>
      <c r="CH845" s="17"/>
    </row>
    <row r="846" spans="8:86" x14ac:dyDescent="0.15">
      <c r="H846" s="3">
        <f t="shared" ref="H846:H909" si="367">H845+$I$4</f>
        <v>0.83400000000000063</v>
      </c>
      <c r="I846" s="3">
        <f t="shared" ref="I846:I909" si="368">$I$12-$F$6*($I$6*H846^2+$I$7*H846)</f>
        <v>360</v>
      </c>
      <c r="J846" s="14">
        <f t="shared" ref="J846:J909" si="369">$J$12-$F$6*($I$6*H846^2+$I$7*H846)</f>
        <v>500</v>
      </c>
      <c r="K846" s="3">
        <f t="shared" si="359"/>
        <v>0</v>
      </c>
      <c r="L846" s="3">
        <f t="shared" si="355"/>
        <v>500</v>
      </c>
      <c r="M846" s="15">
        <f t="shared" ref="M846:M909" si="370">$M$12*L846/$L$12</f>
        <v>7.0000000000000007E-2</v>
      </c>
      <c r="N846" s="3">
        <f t="shared" ref="N846:N909" si="371">(N845*I845+P845*$L$5-T845*$I$4)/(I846+$L$5/(1-M846))</f>
        <v>42.929229960410346</v>
      </c>
      <c r="O846" s="3">
        <f t="shared" si="356"/>
        <v>42.929229960410346</v>
      </c>
      <c r="P846" s="3">
        <f t="shared" si="360"/>
        <v>46.160462323021882</v>
      </c>
      <c r="Q846" s="3">
        <f t="shared" si="361"/>
        <v>6.3470935036506431</v>
      </c>
      <c r="R846" s="3">
        <f t="shared" si="362"/>
        <v>26.253777913336261</v>
      </c>
      <c r="S846" s="3">
        <f t="shared" si="357"/>
        <v>1</v>
      </c>
      <c r="T846" s="3">
        <f t="shared" si="363"/>
        <v>19906.684409685622</v>
      </c>
      <c r="U846" s="3">
        <f t="shared" si="364"/>
        <v>0.5</v>
      </c>
      <c r="V846" s="3">
        <f t="shared" si="365"/>
        <v>0</v>
      </c>
      <c r="W846" s="3">
        <f t="shared" si="366"/>
        <v>15454.522785747724</v>
      </c>
      <c r="X846" s="3">
        <f t="shared" si="358"/>
        <v>3173.5467518253217</v>
      </c>
      <c r="AI846" s="3"/>
      <c r="AJ846" s="3"/>
      <c r="AK846" s="15">
        <f t="shared" si="349"/>
        <v>3</v>
      </c>
      <c r="AL846" s="11">
        <f t="shared" si="353"/>
        <v>5022</v>
      </c>
      <c r="AM846" s="11" t="b">
        <f t="shared" si="348"/>
        <v>0</v>
      </c>
      <c r="AN846" s="11">
        <f t="shared" si="350"/>
        <v>36000</v>
      </c>
      <c r="AO846" s="11">
        <f t="shared" si="351"/>
        <v>0</v>
      </c>
      <c r="AP846" s="11">
        <f t="shared" si="352"/>
        <v>0.44847852825009787</v>
      </c>
      <c r="AQ846" s="11">
        <f t="shared" si="354"/>
        <v>0</v>
      </c>
      <c r="AT846" s="3"/>
      <c r="AU846" s="17"/>
      <c r="AV846" s="19"/>
      <c r="AW846" s="17"/>
      <c r="AX846" s="17">
        <f t="shared" si="347"/>
        <v>837</v>
      </c>
      <c r="AY846" s="17">
        <f t="shared" si="346"/>
        <v>83.7</v>
      </c>
      <c r="AZ846" s="17">
        <v>44.847852825009788</v>
      </c>
      <c r="BA846" s="17"/>
      <c r="BB846" s="17">
        <v>36</v>
      </c>
      <c r="BC846" s="17"/>
      <c r="BD846" s="17"/>
      <c r="BE846" s="17"/>
      <c r="BF846" s="17"/>
      <c r="BG846" s="17"/>
      <c r="BH846" s="17"/>
      <c r="BI846" s="17"/>
      <c r="BJ846" s="17"/>
      <c r="BK846" s="17"/>
      <c r="BL846" s="17"/>
      <c r="BM846" s="17"/>
      <c r="BN846" s="17"/>
      <c r="BO846" s="17"/>
      <c r="BP846" s="17"/>
      <c r="BQ846" s="17"/>
      <c r="BR846" s="17"/>
      <c r="BS846" s="17"/>
      <c r="BT846" s="17"/>
      <c r="BU846" s="17"/>
      <c r="BV846" s="17"/>
      <c r="BW846" s="17"/>
      <c r="BX846" s="17"/>
      <c r="BY846" s="17"/>
      <c r="BZ846" s="17"/>
      <c r="CA846" s="17"/>
      <c r="CB846" s="17"/>
      <c r="CC846" s="17"/>
      <c r="CD846" s="17"/>
      <c r="CE846" s="17"/>
      <c r="CF846" s="17"/>
      <c r="CG846" s="17"/>
      <c r="CH846" s="17"/>
    </row>
    <row r="847" spans="8:86" x14ac:dyDescent="0.15">
      <c r="H847" s="3">
        <f t="shared" si="367"/>
        <v>0.83500000000000063</v>
      </c>
      <c r="I847" s="3">
        <f t="shared" si="368"/>
        <v>360</v>
      </c>
      <c r="J847" s="14">
        <f t="shared" si="369"/>
        <v>500</v>
      </c>
      <c r="K847" s="3">
        <f t="shared" si="359"/>
        <v>0</v>
      </c>
      <c r="L847" s="3">
        <f t="shared" si="355"/>
        <v>500</v>
      </c>
      <c r="M847" s="15">
        <f t="shared" si="370"/>
        <v>7.0000000000000007E-2</v>
      </c>
      <c r="N847" s="3">
        <f t="shared" si="371"/>
        <v>42.873933614827884</v>
      </c>
      <c r="O847" s="3">
        <f t="shared" si="356"/>
        <v>42.873933614827884</v>
      </c>
      <c r="P847" s="3">
        <f t="shared" si="360"/>
        <v>46.101003886911705</v>
      </c>
      <c r="Q847" s="3">
        <f t="shared" si="361"/>
        <v>6.3072801348312719</v>
      </c>
      <c r="R847" s="3">
        <f t="shared" si="362"/>
        <v>26.20414201087149</v>
      </c>
      <c r="S847" s="3">
        <f t="shared" si="357"/>
        <v>1</v>
      </c>
      <c r="T847" s="3">
        <f t="shared" si="363"/>
        <v>19896.861876040217</v>
      </c>
      <c r="U847" s="3">
        <f t="shared" si="364"/>
        <v>0.5</v>
      </c>
      <c r="V847" s="3">
        <f t="shared" si="365"/>
        <v>0</v>
      </c>
      <c r="W847" s="3">
        <f t="shared" si="366"/>
        <v>15434.616101338039</v>
      </c>
      <c r="X847" s="3">
        <f t="shared" si="358"/>
        <v>3153.6400674156362</v>
      </c>
      <c r="AI847" s="3"/>
      <c r="AJ847" s="3"/>
      <c r="AK847" s="15">
        <f t="shared" si="349"/>
        <v>3</v>
      </c>
      <c r="AL847" s="11">
        <f t="shared" si="353"/>
        <v>5028</v>
      </c>
      <c r="AM847" s="11" t="b">
        <f t="shared" si="348"/>
        <v>0</v>
      </c>
      <c r="AN847" s="11">
        <f t="shared" si="350"/>
        <v>36000</v>
      </c>
      <c r="AO847" s="11">
        <f t="shared" si="351"/>
        <v>0</v>
      </c>
      <c r="AP847" s="11">
        <f t="shared" si="352"/>
        <v>0.44958084306491264</v>
      </c>
      <c r="AQ847" s="11">
        <f t="shared" si="354"/>
        <v>0</v>
      </c>
      <c r="AT847" s="3"/>
      <c r="AU847" s="17"/>
      <c r="AV847" s="19"/>
      <c r="AW847" s="17"/>
      <c r="AX847" s="17">
        <f t="shared" si="347"/>
        <v>838</v>
      </c>
      <c r="AY847" s="17">
        <f t="shared" si="346"/>
        <v>83.8</v>
      </c>
      <c r="AZ847" s="17">
        <v>44.958084306491266</v>
      </c>
      <c r="BA847" s="17"/>
      <c r="BB847" s="17">
        <v>36</v>
      </c>
      <c r="BC847" s="17"/>
      <c r="BD847" s="17"/>
      <c r="BE847" s="17"/>
      <c r="BF847" s="17"/>
      <c r="BG847" s="17"/>
      <c r="BH847" s="17"/>
      <c r="BI847" s="17"/>
      <c r="BJ847" s="17"/>
      <c r="BK847" s="17"/>
      <c r="BL847" s="17"/>
      <c r="BM847" s="17"/>
      <c r="BN847" s="17"/>
      <c r="BO847" s="17"/>
      <c r="BP847" s="17"/>
      <c r="BQ847" s="17"/>
      <c r="BR847" s="17"/>
      <c r="BS847" s="17"/>
      <c r="BT847" s="17"/>
      <c r="BU847" s="17"/>
      <c r="BV847" s="17"/>
      <c r="BW847" s="17"/>
      <c r="BX847" s="17"/>
      <c r="BY847" s="17"/>
      <c r="BZ847" s="17"/>
      <c r="CA847" s="17"/>
      <c r="CB847" s="17"/>
      <c r="CC847" s="17"/>
      <c r="CD847" s="17"/>
      <c r="CE847" s="17"/>
      <c r="CF847" s="17"/>
      <c r="CG847" s="17"/>
      <c r="CH847" s="17"/>
    </row>
    <row r="848" spans="8:86" x14ac:dyDescent="0.15">
      <c r="H848" s="3">
        <f t="shared" si="367"/>
        <v>0.83600000000000063</v>
      </c>
      <c r="I848" s="3">
        <f t="shared" si="368"/>
        <v>360</v>
      </c>
      <c r="J848" s="14">
        <f t="shared" si="369"/>
        <v>500</v>
      </c>
      <c r="K848" s="3">
        <f t="shared" si="359"/>
        <v>0</v>
      </c>
      <c r="L848" s="3">
        <f t="shared" si="355"/>
        <v>500</v>
      </c>
      <c r="M848" s="15">
        <f t="shared" si="370"/>
        <v>7.0000000000000007E-2</v>
      </c>
      <c r="N848" s="3">
        <f t="shared" si="371"/>
        <v>42.818664554061108</v>
      </c>
      <c r="O848" s="3">
        <f t="shared" si="356"/>
        <v>42.818664554061108</v>
      </c>
      <c r="P848" s="3">
        <f t="shared" si="360"/>
        <v>46.041574789313024</v>
      </c>
      <c r="Q848" s="3">
        <f t="shared" si="361"/>
        <v>6.2674864110791919</v>
      </c>
      <c r="R848" s="3">
        <f t="shared" si="362"/>
        <v>26.154530600196107</v>
      </c>
      <c r="S848" s="3">
        <f t="shared" si="357"/>
        <v>1</v>
      </c>
      <c r="T848" s="3">
        <f t="shared" si="363"/>
        <v>19887.044189116918</v>
      </c>
      <c r="U848" s="3">
        <f t="shared" si="364"/>
        <v>0.5</v>
      </c>
      <c r="V848" s="3">
        <f t="shared" si="365"/>
        <v>0</v>
      </c>
      <c r="W848" s="3">
        <f t="shared" si="366"/>
        <v>15414.719239462</v>
      </c>
      <c r="X848" s="3">
        <f t="shared" si="358"/>
        <v>3133.7432055395961</v>
      </c>
      <c r="AI848" s="3"/>
      <c r="AJ848" s="3"/>
      <c r="AK848" s="15">
        <f t="shared" si="349"/>
        <v>3</v>
      </c>
      <c r="AL848" s="11">
        <f t="shared" si="353"/>
        <v>5034</v>
      </c>
      <c r="AM848" s="11" t="b">
        <f t="shared" si="348"/>
        <v>0</v>
      </c>
      <c r="AN848" s="11">
        <f t="shared" si="350"/>
        <v>36000</v>
      </c>
      <c r="AO848" s="11">
        <f t="shared" si="351"/>
        <v>0</v>
      </c>
      <c r="AP848" s="11">
        <f t="shared" si="352"/>
        <v>0.45068315787972746</v>
      </c>
      <c r="AQ848" s="11">
        <f t="shared" si="354"/>
        <v>0</v>
      </c>
      <c r="AT848" s="3"/>
      <c r="AU848" s="17"/>
      <c r="AV848" s="19"/>
      <c r="AW848" s="17"/>
      <c r="AX848" s="17">
        <f t="shared" si="347"/>
        <v>839</v>
      </c>
      <c r="AY848" s="17">
        <f t="shared" si="346"/>
        <v>83.9</v>
      </c>
      <c r="AZ848" s="17">
        <v>45.068315787972743</v>
      </c>
      <c r="BA848" s="17"/>
      <c r="BB848" s="17">
        <v>36</v>
      </c>
      <c r="BC848" s="17"/>
      <c r="BD848" s="17"/>
      <c r="BE848" s="17"/>
      <c r="BF848" s="17"/>
      <c r="BG848" s="17"/>
      <c r="BH848" s="17"/>
      <c r="BI848" s="17"/>
      <c r="BJ848" s="17"/>
      <c r="BK848" s="17"/>
      <c r="BL848" s="17"/>
      <c r="BM848" s="17"/>
      <c r="BN848" s="17"/>
      <c r="BO848" s="17"/>
      <c r="BP848" s="17"/>
      <c r="BQ848" s="17"/>
      <c r="BR848" s="17"/>
      <c r="BS848" s="17"/>
      <c r="BT848" s="17"/>
      <c r="BU848" s="17"/>
      <c r="BV848" s="17"/>
      <c r="BW848" s="17"/>
      <c r="BX848" s="17"/>
      <c r="BY848" s="17"/>
      <c r="BZ848" s="17"/>
      <c r="CA848" s="17"/>
      <c r="CB848" s="17"/>
      <c r="CC848" s="17"/>
      <c r="CD848" s="17"/>
      <c r="CE848" s="17"/>
      <c r="CF848" s="17"/>
      <c r="CG848" s="17"/>
      <c r="CH848" s="17"/>
    </row>
    <row r="849" spans="8:86" x14ac:dyDescent="0.15">
      <c r="H849" s="3">
        <f t="shared" si="367"/>
        <v>0.83700000000000063</v>
      </c>
      <c r="I849" s="3">
        <f t="shared" si="368"/>
        <v>360</v>
      </c>
      <c r="J849" s="14">
        <f t="shared" si="369"/>
        <v>500</v>
      </c>
      <c r="K849" s="3">
        <f t="shared" si="359"/>
        <v>0</v>
      </c>
      <c r="L849" s="3">
        <f t="shared" si="355"/>
        <v>500</v>
      </c>
      <c r="M849" s="15">
        <f t="shared" si="370"/>
        <v>7.0000000000000007E-2</v>
      </c>
      <c r="N849" s="3">
        <f t="shared" si="371"/>
        <v>42.763422764646897</v>
      </c>
      <c r="O849" s="3">
        <f t="shared" si="356"/>
        <v>42.763422764646897</v>
      </c>
      <c r="P849" s="3">
        <f t="shared" si="360"/>
        <v>45.982175015749355</v>
      </c>
      <c r="Q849" s="3">
        <f t="shared" si="361"/>
        <v>6.2277123227009588</v>
      </c>
      <c r="R849" s="3">
        <f t="shared" si="362"/>
        <v>26.104943669225158</v>
      </c>
      <c r="S849" s="3">
        <f t="shared" si="357"/>
        <v>1</v>
      </c>
      <c r="T849" s="3">
        <f t="shared" si="363"/>
        <v>19877.231346524197</v>
      </c>
      <c r="U849" s="3">
        <f t="shared" si="364"/>
        <v>0.5</v>
      </c>
      <c r="V849" s="3">
        <f t="shared" si="365"/>
        <v>0</v>
      </c>
      <c r="W849" s="3">
        <f t="shared" si="366"/>
        <v>15394.832195272884</v>
      </c>
      <c r="X849" s="3">
        <f t="shared" si="358"/>
        <v>3113.8561613504794</v>
      </c>
      <c r="AI849" s="3"/>
      <c r="AJ849" s="3"/>
      <c r="AK849" s="15">
        <f t="shared" si="349"/>
        <v>4</v>
      </c>
      <c r="AL849" s="11">
        <f t="shared" si="353"/>
        <v>5040</v>
      </c>
      <c r="AM849" s="11" t="b">
        <f t="shared" si="348"/>
        <v>0</v>
      </c>
      <c r="AN849" s="11">
        <f t="shared" si="350"/>
        <v>36000</v>
      </c>
      <c r="AO849" s="11">
        <f t="shared" si="351"/>
        <v>0</v>
      </c>
      <c r="AP849" s="11">
        <f t="shared" si="352"/>
        <v>0.45178547269454222</v>
      </c>
      <c r="AQ849" s="11">
        <f t="shared" si="354"/>
        <v>0</v>
      </c>
      <c r="AT849" s="3"/>
      <c r="AU849" s="17"/>
      <c r="AV849" s="19"/>
      <c r="AW849" s="17"/>
      <c r="AX849" s="17">
        <f t="shared" si="347"/>
        <v>840</v>
      </c>
      <c r="AY849" s="17">
        <f t="shared" si="346"/>
        <v>84</v>
      </c>
      <c r="AZ849" s="17">
        <v>45.178547269454221</v>
      </c>
      <c r="BA849" s="17"/>
      <c r="BB849" s="17">
        <v>36</v>
      </c>
      <c r="BC849" s="17"/>
      <c r="BD849" s="17"/>
      <c r="BE849" s="17"/>
      <c r="BF849" s="17"/>
      <c r="BG849" s="17"/>
      <c r="BH849" s="17"/>
      <c r="BI849" s="17"/>
      <c r="BJ849" s="17"/>
      <c r="BK849" s="17"/>
      <c r="BL849" s="17"/>
      <c r="BM849" s="17"/>
      <c r="BN849" s="17"/>
      <c r="BO849" s="17"/>
      <c r="BP849" s="17"/>
      <c r="BQ849" s="17"/>
      <c r="BR849" s="17"/>
      <c r="BS849" s="17"/>
      <c r="BT849" s="17"/>
      <c r="BU849" s="17"/>
      <c r="BV849" s="17"/>
      <c r="BW849" s="17"/>
      <c r="BX849" s="17"/>
      <c r="BY849" s="17"/>
      <c r="BZ849" s="17"/>
      <c r="CA849" s="17"/>
      <c r="CB849" s="17"/>
      <c r="CC849" s="17"/>
      <c r="CD849" s="17"/>
      <c r="CE849" s="17"/>
      <c r="CF849" s="17"/>
      <c r="CG849" s="17"/>
      <c r="CH849" s="17"/>
    </row>
    <row r="850" spans="8:86" x14ac:dyDescent="0.15">
      <c r="H850" s="3">
        <f t="shared" si="367"/>
        <v>0.83800000000000063</v>
      </c>
      <c r="I850" s="3">
        <f t="shared" si="368"/>
        <v>360</v>
      </c>
      <c r="J850" s="14">
        <f t="shared" si="369"/>
        <v>500</v>
      </c>
      <c r="K850" s="3">
        <f t="shared" si="359"/>
        <v>0</v>
      </c>
      <c r="L850" s="3">
        <f t="shared" si="355"/>
        <v>500</v>
      </c>
      <c r="M850" s="15">
        <f t="shared" si="370"/>
        <v>7.0000000000000007E-2</v>
      </c>
      <c r="N850" s="3">
        <f t="shared" si="371"/>
        <v>42.708208233128779</v>
      </c>
      <c r="O850" s="3">
        <f t="shared" si="356"/>
        <v>42.708208233128779</v>
      </c>
      <c r="P850" s="3">
        <f t="shared" si="360"/>
        <v>45.922804551751376</v>
      </c>
      <c r="Q850" s="3">
        <f t="shared" si="361"/>
        <v>6.1879578600079101</v>
      </c>
      <c r="R850" s="3">
        <f t="shared" si="362"/>
        <v>26.055381205879645</v>
      </c>
      <c r="S850" s="3">
        <f t="shared" si="357"/>
        <v>1</v>
      </c>
      <c r="T850" s="3">
        <f t="shared" si="363"/>
        <v>19867.423345871732</v>
      </c>
      <c r="U850" s="3">
        <f t="shared" si="364"/>
        <v>0.5</v>
      </c>
      <c r="V850" s="3">
        <f t="shared" si="365"/>
        <v>0</v>
      </c>
      <c r="W850" s="3">
        <f t="shared" si="366"/>
        <v>15374.954963926361</v>
      </c>
      <c r="X850" s="3">
        <f t="shared" si="358"/>
        <v>3093.9789300039552</v>
      </c>
      <c r="AI850" s="3"/>
      <c r="AJ850" s="3"/>
      <c r="AK850" s="15">
        <f t="shared" si="349"/>
        <v>4</v>
      </c>
      <c r="AL850" s="11">
        <f t="shared" si="353"/>
        <v>5046</v>
      </c>
      <c r="AM850" s="11" t="b">
        <f t="shared" si="348"/>
        <v>0</v>
      </c>
      <c r="AN850" s="11">
        <f t="shared" si="350"/>
        <v>36000</v>
      </c>
      <c r="AO850" s="11">
        <f t="shared" si="351"/>
        <v>0</v>
      </c>
      <c r="AP850" s="11">
        <f t="shared" si="352"/>
        <v>0.45288778750935704</v>
      </c>
      <c r="AQ850" s="11">
        <f t="shared" si="354"/>
        <v>0</v>
      </c>
      <c r="AT850" s="3"/>
      <c r="AU850" s="17"/>
      <c r="AV850" s="19"/>
      <c r="AW850" s="17"/>
      <c r="AX850" s="17">
        <f t="shared" si="347"/>
        <v>841</v>
      </c>
      <c r="AY850" s="17">
        <f t="shared" si="346"/>
        <v>84.1</v>
      </c>
      <c r="AZ850" s="17">
        <v>45.288778750935705</v>
      </c>
      <c r="BA850" s="17"/>
      <c r="BB850" s="17">
        <v>36</v>
      </c>
      <c r="BC850" s="17"/>
      <c r="BD850" s="17"/>
      <c r="BE850" s="17"/>
      <c r="BF850" s="17"/>
      <c r="BG850" s="17"/>
      <c r="BH850" s="17"/>
      <c r="BI850" s="17"/>
      <c r="BJ850" s="17"/>
      <c r="BK850" s="17"/>
      <c r="BL850" s="17"/>
      <c r="BM850" s="17"/>
      <c r="BN850" s="17"/>
      <c r="BO850" s="17"/>
      <c r="BP850" s="17"/>
      <c r="BQ850" s="17"/>
      <c r="BR850" s="17"/>
      <c r="BS850" s="17"/>
      <c r="BT850" s="17"/>
      <c r="BU850" s="17"/>
      <c r="BV850" s="17"/>
      <c r="BW850" s="17"/>
      <c r="BX850" s="17"/>
      <c r="BY850" s="17"/>
      <c r="BZ850" s="17"/>
      <c r="CA850" s="17"/>
      <c r="CB850" s="17"/>
      <c r="CC850" s="17"/>
      <c r="CD850" s="17"/>
      <c r="CE850" s="17"/>
      <c r="CF850" s="17"/>
      <c r="CG850" s="17"/>
      <c r="CH850" s="17"/>
    </row>
    <row r="851" spans="8:86" x14ac:dyDescent="0.15">
      <c r="H851" s="3">
        <f t="shared" si="367"/>
        <v>0.83900000000000063</v>
      </c>
      <c r="I851" s="3">
        <f t="shared" si="368"/>
        <v>360</v>
      </c>
      <c r="J851" s="14">
        <f t="shared" si="369"/>
        <v>500</v>
      </c>
      <c r="K851" s="3">
        <f t="shared" si="359"/>
        <v>0</v>
      </c>
      <c r="L851" s="3">
        <f t="shared" si="355"/>
        <v>500</v>
      </c>
      <c r="M851" s="15">
        <f t="shared" si="370"/>
        <v>7.0000000000000007E-2</v>
      </c>
      <c r="N851" s="3">
        <f t="shared" si="371"/>
        <v>42.653020946056913</v>
      </c>
      <c r="O851" s="3">
        <f t="shared" si="356"/>
        <v>42.653020946056913</v>
      </c>
      <c r="P851" s="3">
        <f t="shared" si="360"/>
        <v>45.863463382856899</v>
      </c>
      <c r="Q851" s="3">
        <f t="shared" si="361"/>
        <v>6.1482230133161666</v>
      </c>
      <c r="R851" s="3">
        <f t="shared" si="362"/>
        <v>26.005843198086534</v>
      </c>
      <c r="S851" s="3">
        <f t="shared" si="357"/>
        <v>1</v>
      </c>
      <c r="T851" s="3">
        <f t="shared" si="363"/>
        <v>19857.620184770363</v>
      </c>
      <c r="U851" s="3">
        <f t="shared" si="364"/>
        <v>0.5</v>
      </c>
      <c r="V851" s="3">
        <f t="shared" si="365"/>
        <v>0</v>
      </c>
      <c r="W851" s="3">
        <f t="shared" si="366"/>
        <v>15355.087540580489</v>
      </c>
      <c r="X851" s="3">
        <f t="shared" si="358"/>
        <v>3074.1115066580833</v>
      </c>
      <c r="AI851" s="3"/>
      <c r="AJ851" s="3"/>
      <c r="AK851" s="15">
        <f t="shared" si="349"/>
        <v>4</v>
      </c>
      <c r="AL851" s="11">
        <f t="shared" si="353"/>
        <v>5052</v>
      </c>
      <c r="AM851" s="11" t="b">
        <f t="shared" si="348"/>
        <v>0</v>
      </c>
      <c r="AN851" s="11">
        <f t="shared" si="350"/>
        <v>36000</v>
      </c>
      <c r="AO851" s="11">
        <f t="shared" si="351"/>
        <v>0</v>
      </c>
      <c r="AP851" s="11">
        <f t="shared" si="352"/>
        <v>0.45399010232417186</v>
      </c>
      <c r="AQ851" s="11">
        <f t="shared" si="354"/>
        <v>0</v>
      </c>
      <c r="AT851" s="3"/>
      <c r="AU851" s="17"/>
      <c r="AV851" s="19"/>
      <c r="AW851" s="17"/>
      <c r="AX851" s="17">
        <f t="shared" si="347"/>
        <v>842</v>
      </c>
      <c r="AY851" s="17">
        <f t="shared" si="346"/>
        <v>84.2</v>
      </c>
      <c r="AZ851" s="17">
        <v>45.399010232417183</v>
      </c>
      <c r="BA851" s="17"/>
      <c r="BB851" s="17">
        <v>36</v>
      </c>
      <c r="BC851" s="17"/>
      <c r="BD851" s="17"/>
      <c r="BE851" s="17"/>
      <c r="BF851" s="17"/>
      <c r="BG851" s="17"/>
      <c r="BH851" s="17"/>
      <c r="BI851" s="17"/>
      <c r="BJ851" s="17"/>
      <c r="BK851" s="17"/>
      <c r="BL851" s="17"/>
      <c r="BM851" s="17"/>
      <c r="BN851" s="17"/>
      <c r="BO851" s="17"/>
      <c r="BP851" s="17"/>
      <c r="BQ851" s="17"/>
      <c r="BR851" s="17"/>
      <c r="BS851" s="17"/>
      <c r="BT851" s="17"/>
      <c r="BU851" s="17"/>
      <c r="BV851" s="17"/>
      <c r="BW851" s="17"/>
      <c r="BX851" s="17"/>
      <c r="BY851" s="17"/>
      <c r="BZ851" s="17"/>
      <c r="CA851" s="17"/>
      <c r="CB851" s="17"/>
      <c r="CC851" s="17"/>
      <c r="CD851" s="17"/>
      <c r="CE851" s="17"/>
      <c r="CF851" s="17"/>
      <c r="CG851" s="17"/>
      <c r="CH851" s="17"/>
    </row>
    <row r="852" spans="8:86" x14ac:dyDescent="0.15">
      <c r="H852" s="3">
        <f t="shared" si="367"/>
        <v>0.84000000000000064</v>
      </c>
      <c r="I852" s="3">
        <f t="shared" si="368"/>
        <v>360</v>
      </c>
      <c r="J852" s="14">
        <f t="shared" si="369"/>
        <v>500</v>
      </c>
      <c r="K852" s="3">
        <f t="shared" si="359"/>
        <v>0</v>
      </c>
      <c r="L852" s="3">
        <f t="shared" si="355"/>
        <v>500</v>
      </c>
      <c r="M852" s="15">
        <f t="shared" si="370"/>
        <v>7.0000000000000007E-2</v>
      </c>
      <c r="N852" s="3">
        <f t="shared" si="371"/>
        <v>42.597860889988105</v>
      </c>
      <c r="O852" s="3">
        <f t="shared" si="356"/>
        <v>42.597860889988105</v>
      </c>
      <c r="P852" s="3">
        <f t="shared" si="360"/>
        <v>45.804151494610871</v>
      </c>
      <c r="Q852" s="3">
        <f t="shared" si="361"/>
        <v>6.1085077729466253</v>
      </c>
      <c r="R852" s="3">
        <f t="shared" si="362"/>
        <v>25.956329633778747</v>
      </c>
      <c r="S852" s="3">
        <f t="shared" si="357"/>
        <v>1</v>
      </c>
      <c r="T852" s="3">
        <f t="shared" si="363"/>
        <v>19847.821860832122</v>
      </c>
      <c r="U852" s="3">
        <f t="shared" si="364"/>
        <v>0.5</v>
      </c>
      <c r="V852" s="3">
        <f t="shared" si="365"/>
        <v>0</v>
      </c>
      <c r="W852" s="3">
        <f t="shared" si="366"/>
        <v>15335.229920395717</v>
      </c>
      <c r="X852" s="3">
        <f t="shared" si="358"/>
        <v>3054.2538864733128</v>
      </c>
      <c r="AI852" s="3"/>
      <c r="AJ852" s="3"/>
      <c r="AK852" s="15">
        <f t="shared" si="349"/>
        <v>4</v>
      </c>
      <c r="AL852" s="11">
        <f t="shared" si="353"/>
        <v>5058</v>
      </c>
      <c r="AM852" s="11" t="b">
        <f t="shared" si="348"/>
        <v>0</v>
      </c>
      <c r="AN852" s="11">
        <f t="shared" si="350"/>
        <v>36000</v>
      </c>
      <c r="AO852" s="11">
        <f t="shared" si="351"/>
        <v>0</v>
      </c>
      <c r="AP852" s="11">
        <f t="shared" si="352"/>
        <v>0.45509241713898663</v>
      </c>
      <c r="AQ852" s="11">
        <f t="shared" si="354"/>
        <v>0</v>
      </c>
      <c r="AT852" s="3"/>
      <c r="AU852" s="17"/>
      <c r="AV852" s="19"/>
      <c r="AW852" s="17"/>
      <c r="AX852" s="17">
        <f t="shared" si="347"/>
        <v>843</v>
      </c>
      <c r="AY852" s="17">
        <f t="shared" ref="AY852:AY915" si="372">IF(ISNUMBER(AX852),IF(ROUND((AX852)*$AG$15*$AB$15,0) &lt;= 10080, ROUND((AX852)*$AG$15,0)*$AB$15/60, 168),168)</f>
        <v>84.3</v>
      </c>
      <c r="AZ852" s="17">
        <v>45.50924171389866</v>
      </c>
      <c r="BA852" s="17"/>
      <c r="BB852" s="17">
        <v>36</v>
      </c>
      <c r="BC852" s="17"/>
      <c r="BD852" s="17"/>
      <c r="BE852" s="17"/>
      <c r="BF852" s="17"/>
      <c r="BG852" s="17"/>
      <c r="BH852" s="17"/>
      <c r="BI852" s="17"/>
      <c r="BJ852" s="17"/>
      <c r="BK852" s="17"/>
      <c r="BL852" s="17"/>
      <c r="BM852" s="17"/>
      <c r="BN852" s="17"/>
      <c r="BO852" s="17"/>
      <c r="BP852" s="17"/>
      <c r="BQ852" s="17"/>
      <c r="BR852" s="17"/>
      <c r="BS852" s="17"/>
      <c r="BT852" s="17"/>
      <c r="BU852" s="17"/>
      <c r="BV852" s="17"/>
      <c r="BW852" s="17"/>
      <c r="BX852" s="17"/>
      <c r="BY852" s="17"/>
      <c r="BZ852" s="17"/>
      <c r="CA852" s="17"/>
      <c r="CB852" s="17"/>
      <c r="CC852" s="17"/>
      <c r="CD852" s="17"/>
      <c r="CE852" s="17"/>
      <c r="CF852" s="17"/>
      <c r="CG852" s="17"/>
      <c r="CH852" s="17"/>
    </row>
    <row r="853" spans="8:86" x14ac:dyDescent="0.15">
      <c r="H853" s="3">
        <f t="shared" si="367"/>
        <v>0.84100000000000064</v>
      </c>
      <c r="I853" s="3">
        <f t="shared" si="368"/>
        <v>360</v>
      </c>
      <c r="J853" s="14">
        <f t="shared" si="369"/>
        <v>500</v>
      </c>
      <c r="K853" s="3">
        <f t="shared" si="359"/>
        <v>0</v>
      </c>
      <c r="L853" s="3">
        <f t="shared" si="355"/>
        <v>500</v>
      </c>
      <c r="M853" s="15">
        <f t="shared" si="370"/>
        <v>7.0000000000000007E-2</v>
      </c>
      <c r="N853" s="3">
        <f t="shared" si="371"/>
        <v>42.542728051485788</v>
      </c>
      <c r="O853" s="3">
        <f t="shared" si="356"/>
        <v>42.542728051485788</v>
      </c>
      <c r="P853" s="3">
        <f t="shared" si="360"/>
        <v>45.74486887256537</v>
      </c>
      <c r="Q853" s="3">
        <f t="shared" si="361"/>
        <v>6.0688121292249617</v>
      </c>
      <c r="R853" s="3">
        <f t="shared" si="362"/>
        <v>25.906840500895164</v>
      </c>
      <c r="S853" s="3">
        <f t="shared" si="357"/>
        <v>1</v>
      </c>
      <c r="T853" s="3">
        <f t="shared" si="363"/>
        <v>19838.028371670207</v>
      </c>
      <c r="U853" s="3">
        <f t="shared" si="364"/>
        <v>0.5</v>
      </c>
      <c r="V853" s="3">
        <f t="shared" si="365"/>
        <v>0</v>
      </c>
      <c r="W853" s="3">
        <f t="shared" si="366"/>
        <v>15315.382098534883</v>
      </c>
      <c r="X853" s="3">
        <f t="shared" si="358"/>
        <v>3034.4060646124808</v>
      </c>
      <c r="AI853" s="3"/>
      <c r="AJ853" s="3"/>
      <c r="AK853" s="15">
        <f t="shared" si="349"/>
        <v>4</v>
      </c>
      <c r="AL853" s="11">
        <f t="shared" si="353"/>
        <v>5064</v>
      </c>
      <c r="AM853" s="11" t="b">
        <f t="shared" si="348"/>
        <v>0</v>
      </c>
      <c r="AN853" s="11">
        <f t="shared" si="350"/>
        <v>36000</v>
      </c>
      <c r="AO853" s="11">
        <f t="shared" si="351"/>
        <v>0</v>
      </c>
      <c r="AP853" s="11">
        <f t="shared" si="352"/>
        <v>0.45619473195380145</v>
      </c>
      <c r="AQ853" s="11">
        <f t="shared" si="354"/>
        <v>0</v>
      </c>
      <c r="AT853" s="3"/>
      <c r="AU853" s="17"/>
      <c r="AV853" s="19"/>
      <c r="AW853" s="17"/>
      <c r="AX853" s="17">
        <f t="shared" si="347"/>
        <v>844</v>
      </c>
      <c r="AY853" s="17">
        <f t="shared" si="372"/>
        <v>84.4</v>
      </c>
      <c r="AZ853" s="17">
        <v>45.619473195380145</v>
      </c>
      <c r="BA853" s="17"/>
      <c r="BB853" s="17">
        <v>36</v>
      </c>
      <c r="BC853" s="17"/>
      <c r="BD853" s="17"/>
      <c r="BE853" s="17"/>
      <c r="BF853" s="17"/>
      <c r="BG853" s="17"/>
      <c r="BH853" s="17"/>
      <c r="BI853" s="17"/>
      <c r="BJ853" s="17"/>
      <c r="BK853" s="17"/>
      <c r="BL853" s="17"/>
      <c r="BM853" s="17"/>
      <c r="BN853" s="17"/>
      <c r="BO853" s="17"/>
      <c r="BP853" s="17"/>
      <c r="BQ853" s="17"/>
      <c r="BR853" s="17"/>
      <c r="BS853" s="17"/>
      <c r="BT853" s="17"/>
      <c r="BU853" s="17"/>
      <c r="BV853" s="17"/>
      <c r="BW853" s="17"/>
      <c r="BX853" s="17"/>
      <c r="BY853" s="17"/>
      <c r="BZ853" s="17"/>
      <c r="CA853" s="17"/>
      <c r="CB853" s="17"/>
      <c r="CC853" s="17"/>
      <c r="CD853" s="17"/>
      <c r="CE853" s="17"/>
      <c r="CF853" s="17"/>
      <c r="CG853" s="17"/>
      <c r="CH853" s="17"/>
    </row>
    <row r="854" spans="8:86" x14ac:dyDescent="0.15">
      <c r="H854" s="3">
        <f t="shared" si="367"/>
        <v>0.84200000000000064</v>
      </c>
      <c r="I854" s="3">
        <f t="shared" si="368"/>
        <v>360</v>
      </c>
      <c r="J854" s="14">
        <f t="shared" si="369"/>
        <v>500</v>
      </c>
      <c r="K854" s="3">
        <f t="shared" si="359"/>
        <v>0</v>
      </c>
      <c r="L854" s="3">
        <f t="shared" si="355"/>
        <v>500</v>
      </c>
      <c r="M854" s="15">
        <f t="shared" si="370"/>
        <v>7.0000000000000007E-2</v>
      </c>
      <c r="N854" s="3">
        <f t="shared" si="371"/>
        <v>42.487622417120036</v>
      </c>
      <c r="O854" s="3">
        <f t="shared" si="356"/>
        <v>42.487622417120036</v>
      </c>
      <c r="P854" s="3">
        <f t="shared" si="360"/>
        <v>45.68561550227961</v>
      </c>
      <c r="Q854" s="3">
        <f t="shared" si="361"/>
        <v>6.029136072481621</v>
      </c>
      <c r="R854" s="3">
        <f t="shared" si="362"/>
        <v>25.857375787380615</v>
      </c>
      <c r="S854" s="3">
        <f t="shared" si="357"/>
        <v>1</v>
      </c>
      <c r="T854" s="3">
        <f t="shared" si="363"/>
        <v>19828.239714898995</v>
      </c>
      <c r="U854" s="3">
        <f t="shared" si="364"/>
        <v>0.5</v>
      </c>
      <c r="V854" s="3">
        <f t="shared" si="365"/>
        <v>0</v>
      </c>
      <c r="W854" s="3">
        <f t="shared" si="366"/>
        <v>15295.544070163212</v>
      </c>
      <c r="X854" s="3">
        <f t="shared" si="358"/>
        <v>3014.5680362408107</v>
      </c>
      <c r="AI854" s="3"/>
      <c r="AJ854" s="3"/>
      <c r="AK854" s="15">
        <f t="shared" si="349"/>
        <v>4</v>
      </c>
      <c r="AL854" s="11">
        <f t="shared" si="353"/>
        <v>5070</v>
      </c>
      <c r="AM854" s="11" t="b">
        <f t="shared" si="348"/>
        <v>0</v>
      </c>
      <c r="AN854" s="11">
        <f t="shared" si="350"/>
        <v>36000</v>
      </c>
      <c r="AO854" s="11">
        <f t="shared" si="351"/>
        <v>0</v>
      </c>
      <c r="AP854" s="11">
        <f t="shared" si="352"/>
        <v>0.45729704676861627</v>
      </c>
      <c r="AQ854" s="11">
        <f t="shared" si="354"/>
        <v>0</v>
      </c>
      <c r="AT854" s="3"/>
      <c r="AU854" s="17"/>
      <c r="AV854" s="19"/>
      <c r="AW854" s="17"/>
      <c r="AX854" s="17">
        <f t="shared" si="347"/>
        <v>845</v>
      </c>
      <c r="AY854" s="17">
        <f t="shared" si="372"/>
        <v>84.5</v>
      </c>
      <c r="AZ854" s="17">
        <v>45.72970467686163</v>
      </c>
      <c r="BA854" s="17"/>
      <c r="BB854" s="17">
        <v>36</v>
      </c>
      <c r="BC854" s="17"/>
      <c r="BD854" s="17"/>
      <c r="BE854" s="17"/>
      <c r="BF854" s="17"/>
      <c r="BG854" s="17"/>
      <c r="BH854" s="17"/>
      <c r="BI854" s="17"/>
      <c r="BJ854" s="17"/>
      <c r="BK854" s="17"/>
      <c r="BL854" s="17"/>
      <c r="BM854" s="17"/>
      <c r="BN854" s="17"/>
      <c r="BO854" s="17"/>
      <c r="BP854" s="17"/>
      <c r="BQ854" s="17"/>
      <c r="BR854" s="17"/>
      <c r="BS854" s="17"/>
      <c r="BT854" s="17"/>
      <c r="BU854" s="17"/>
      <c r="BV854" s="17"/>
      <c r="BW854" s="17"/>
      <c r="BX854" s="17"/>
      <c r="BY854" s="17"/>
      <c r="BZ854" s="17"/>
      <c r="CA854" s="17"/>
      <c r="CB854" s="17"/>
      <c r="CC854" s="17"/>
      <c r="CD854" s="17"/>
      <c r="CE854" s="17"/>
      <c r="CF854" s="17"/>
      <c r="CG854" s="17"/>
      <c r="CH854" s="17"/>
    </row>
    <row r="855" spans="8:86" x14ac:dyDescent="0.15">
      <c r="H855" s="3">
        <f t="shared" si="367"/>
        <v>0.84300000000000064</v>
      </c>
      <c r="I855" s="3">
        <f t="shared" si="368"/>
        <v>360</v>
      </c>
      <c r="J855" s="14">
        <f t="shared" si="369"/>
        <v>500</v>
      </c>
      <c r="K855" s="3">
        <f t="shared" si="359"/>
        <v>0</v>
      </c>
      <c r="L855" s="3">
        <f t="shared" si="355"/>
        <v>500</v>
      </c>
      <c r="M855" s="15">
        <f t="shared" si="370"/>
        <v>7.0000000000000007E-2</v>
      </c>
      <c r="N855" s="3">
        <f t="shared" si="371"/>
        <v>42.432543973467538</v>
      </c>
      <c r="O855" s="3">
        <f t="shared" si="356"/>
        <v>42.432543973467538</v>
      </c>
      <c r="P855" s="3">
        <f t="shared" si="360"/>
        <v>45.62639136931994</v>
      </c>
      <c r="Q855" s="3">
        <f t="shared" si="361"/>
        <v>5.989479593051823</v>
      </c>
      <c r="R855" s="3">
        <f t="shared" si="362"/>
        <v>25.807935481185883</v>
      </c>
      <c r="S855" s="3">
        <f t="shared" si="357"/>
        <v>1</v>
      </c>
      <c r="T855" s="3">
        <f t="shared" si="363"/>
        <v>19818.455888134056</v>
      </c>
      <c r="U855" s="3">
        <f t="shared" si="364"/>
        <v>0.5</v>
      </c>
      <c r="V855" s="3">
        <f t="shared" si="365"/>
        <v>0</v>
      </c>
      <c r="W855" s="3">
        <f t="shared" si="366"/>
        <v>15275.715830448315</v>
      </c>
      <c r="X855" s="3">
        <f t="shared" si="358"/>
        <v>2994.7397965259115</v>
      </c>
      <c r="AI855" s="3"/>
      <c r="AJ855" s="3"/>
      <c r="AK855" s="15">
        <f t="shared" si="349"/>
        <v>4</v>
      </c>
      <c r="AL855" s="11">
        <f t="shared" si="353"/>
        <v>5076</v>
      </c>
      <c r="AM855" s="11" t="b">
        <f t="shared" si="348"/>
        <v>0</v>
      </c>
      <c r="AN855" s="11">
        <f t="shared" si="350"/>
        <v>36000</v>
      </c>
      <c r="AO855" s="11">
        <f t="shared" si="351"/>
        <v>0</v>
      </c>
      <c r="AP855" s="11">
        <f t="shared" si="352"/>
        <v>0.45839936158343114</v>
      </c>
      <c r="AQ855" s="11">
        <f t="shared" si="354"/>
        <v>0</v>
      </c>
      <c r="AT855" s="3"/>
      <c r="AU855" s="17"/>
      <c r="AV855" s="19"/>
      <c r="AW855" s="17"/>
      <c r="AX855" s="17">
        <f t="shared" si="347"/>
        <v>846</v>
      </c>
      <c r="AY855" s="17">
        <f t="shared" si="372"/>
        <v>84.6</v>
      </c>
      <c r="AZ855" s="17">
        <v>45.839936158343114</v>
      </c>
      <c r="BA855" s="17"/>
      <c r="BB855" s="17">
        <v>36</v>
      </c>
      <c r="BC855" s="17"/>
      <c r="BD855" s="17"/>
      <c r="BE855" s="17"/>
      <c r="BF855" s="17"/>
      <c r="BG855" s="17"/>
      <c r="BH855" s="17"/>
      <c r="BI855" s="17"/>
      <c r="BJ855" s="17"/>
      <c r="BK855" s="17"/>
      <c r="BL855" s="17"/>
      <c r="BM855" s="17"/>
      <c r="BN855" s="17"/>
      <c r="BO855" s="17"/>
      <c r="BP855" s="17"/>
      <c r="BQ855" s="17"/>
      <c r="BR855" s="17"/>
      <c r="BS855" s="17"/>
      <c r="BT855" s="17"/>
      <c r="BU855" s="17"/>
      <c r="BV855" s="17"/>
      <c r="BW855" s="17"/>
      <c r="BX855" s="17"/>
      <c r="BY855" s="17"/>
      <c r="BZ855" s="17"/>
      <c r="CA855" s="17"/>
      <c r="CB855" s="17"/>
      <c r="CC855" s="17"/>
      <c r="CD855" s="17"/>
      <c r="CE855" s="17"/>
      <c r="CF855" s="17"/>
      <c r="CG855" s="17"/>
      <c r="CH855" s="17"/>
    </row>
    <row r="856" spans="8:86" x14ac:dyDescent="0.15">
      <c r="H856" s="3">
        <f t="shared" si="367"/>
        <v>0.84400000000000064</v>
      </c>
      <c r="I856" s="3">
        <f t="shared" si="368"/>
        <v>360</v>
      </c>
      <c r="J856" s="14">
        <f t="shared" si="369"/>
        <v>500</v>
      </c>
      <c r="K856" s="3">
        <f t="shared" si="359"/>
        <v>0</v>
      </c>
      <c r="L856" s="3">
        <f t="shared" si="355"/>
        <v>500</v>
      </c>
      <c r="M856" s="15">
        <f t="shared" si="370"/>
        <v>7.0000000000000007E-2</v>
      </c>
      <c r="N856" s="3">
        <f t="shared" si="371"/>
        <v>42.377492707111614</v>
      </c>
      <c r="O856" s="3">
        <f t="shared" si="356"/>
        <v>42.377492707111614</v>
      </c>
      <c r="P856" s="3">
        <f t="shared" si="360"/>
        <v>45.567196459259804</v>
      </c>
      <c r="Q856" s="3">
        <f t="shared" si="361"/>
        <v>5.9498426812755554</v>
      </c>
      <c r="R856" s="3">
        <f t="shared" si="362"/>
        <v>25.75851957026768</v>
      </c>
      <c r="S856" s="3">
        <f t="shared" si="357"/>
        <v>1</v>
      </c>
      <c r="T856" s="3">
        <f t="shared" si="363"/>
        <v>19808.676888992126</v>
      </c>
      <c r="U856" s="3">
        <f t="shared" si="364"/>
        <v>0.5</v>
      </c>
      <c r="V856" s="3">
        <f t="shared" si="365"/>
        <v>0</v>
      </c>
      <c r="W856" s="3">
        <f t="shared" si="366"/>
        <v>15255.897374560182</v>
      </c>
      <c r="X856" s="3">
        <f t="shared" si="358"/>
        <v>2974.9213406377776</v>
      </c>
      <c r="AI856" s="3"/>
      <c r="AJ856" s="3"/>
      <c r="AK856" s="15">
        <f t="shared" si="349"/>
        <v>4</v>
      </c>
      <c r="AL856" s="11">
        <f t="shared" si="353"/>
        <v>5082</v>
      </c>
      <c r="AM856" s="11" t="b">
        <f t="shared" si="348"/>
        <v>0</v>
      </c>
      <c r="AN856" s="11">
        <f t="shared" si="350"/>
        <v>36000</v>
      </c>
      <c r="AO856" s="11">
        <f t="shared" si="351"/>
        <v>0</v>
      </c>
      <c r="AP856" s="11">
        <f t="shared" si="352"/>
        <v>0.45950167639824596</v>
      </c>
      <c r="AQ856" s="11">
        <f t="shared" si="354"/>
        <v>0</v>
      </c>
      <c r="AT856" s="3"/>
      <c r="AU856" s="17"/>
      <c r="AV856" s="19"/>
      <c r="AW856" s="17"/>
      <c r="AX856" s="17">
        <f t="shared" si="347"/>
        <v>847</v>
      </c>
      <c r="AY856" s="17">
        <f t="shared" si="372"/>
        <v>84.7</v>
      </c>
      <c r="AZ856" s="17">
        <v>45.950167639824599</v>
      </c>
      <c r="BA856" s="17"/>
      <c r="BB856" s="17">
        <v>36</v>
      </c>
      <c r="BC856" s="17"/>
      <c r="BD856" s="17"/>
      <c r="BE856" s="17"/>
      <c r="BF856" s="17"/>
      <c r="BG856" s="17"/>
      <c r="BH856" s="17"/>
      <c r="BI856" s="17"/>
      <c r="BJ856" s="17"/>
      <c r="BK856" s="17"/>
      <c r="BL856" s="17"/>
      <c r="BM856" s="17"/>
      <c r="BN856" s="17"/>
      <c r="BO856" s="17"/>
      <c r="BP856" s="17"/>
      <c r="BQ856" s="17"/>
      <c r="BR856" s="17"/>
      <c r="BS856" s="17"/>
      <c r="BT856" s="17"/>
      <c r="BU856" s="17"/>
      <c r="BV856" s="17"/>
      <c r="BW856" s="17"/>
      <c r="BX856" s="17"/>
      <c r="BY856" s="17"/>
      <c r="BZ856" s="17"/>
      <c r="CA856" s="17"/>
      <c r="CB856" s="17"/>
      <c r="CC856" s="17"/>
      <c r="CD856" s="17"/>
      <c r="CE856" s="17"/>
      <c r="CF856" s="17"/>
      <c r="CG856" s="17"/>
      <c r="CH856" s="17"/>
    </row>
    <row r="857" spans="8:86" x14ac:dyDescent="0.15">
      <c r="H857" s="3">
        <f t="shared" si="367"/>
        <v>0.84500000000000064</v>
      </c>
      <c r="I857" s="3">
        <f t="shared" si="368"/>
        <v>360</v>
      </c>
      <c r="J857" s="14">
        <f t="shared" si="369"/>
        <v>500</v>
      </c>
      <c r="K857" s="3">
        <f t="shared" si="359"/>
        <v>0</v>
      </c>
      <c r="L857" s="3">
        <f t="shared" si="355"/>
        <v>500</v>
      </c>
      <c r="M857" s="15">
        <f t="shared" si="370"/>
        <v>7.0000000000000007E-2</v>
      </c>
      <c r="N857" s="3">
        <f t="shared" si="371"/>
        <v>42.322468604642197</v>
      </c>
      <c r="O857" s="3">
        <f t="shared" si="356"/>
        <v>42.322468604642197</v>
      </c>
      <c r="P857" s="3">
        <f t="shared" si="360"/>
        <v>45.508030757679784</v>
      </c>
      <c r="Q857" s="3">
        <f t="shared" si="361"/>
        <v>5.9102253274975709</v>
      </c>
      <c r="R857" s="3">
        <f t="shared" si="362"/>
        <v>25.709128042588677</v>
      </c>
      <c r="S857" s="3">
        <f t="shared" si="357"/>
        <v>1</v>
      </c>
      <c r="T857" s="3">
        <f t="shared" si="363"/>
        <v>19798.902715091106</v>
      </c>
      <c r="U857" s="3">
        <f t="shared" si="364"/>
        <v>0.5</v>
      </c>
      <c r="V857" s="3">
        <f t="shared" si="365"/>
        <v>0</v>
      </c>
      <c r="W857" s="3">
        <f t="shared" si="366"/>
        <v>15236.08869767119</v>
      </c>
      <c r="X857" s="3">
        <f t="shared" si="358"/>
        <v>2955.1126637487855</v>
      </c>
      <c r="AI857" s="3"/>
      <c r="AJ857" s="3"/>
      <c r="AK857" s="15">
        <f t="shared" si="349"/>
        <v>4</v>
      </c>
      <c r="AL857" s="11">
        <f t="shared" si="353"/>
        <v>5088</v>
      </c>
      <c r="AM857" s="11" t="b">
        <f t="shared" si="348"/>
        <v>0</v>
      </c>
      <c r="AN857" s="11">
        <f t="shared" si="350"/>
        <v>36000</v>
      </c>
      <c r="AO857" s="11">
        <f t="shared" si="351"/>
        <v>0</v>
      </c>
      <c r="AP857" s="11">
        <f t="shared" si="352"/>
        <v>0.46060399121306078</v>
      </c>
      <c r="AQ857" s="11">
        <f t="shared" si="354"/>
        <v>0</v>
      </c>
      <c r="AT857" s="3"/>
      <c r="AU857" s="17"/>
      <c r="AV857" s="19"/>
      <c r="AW857" s="17"/>
      <c r="AX857" s="17">
        <f t="shared" si="347"/>
        <v>848</v>
      </c>
      <c r="AY857" s="17">
        <f t="shared" si="372"/>
        <v>84.8</v>
      </c>
      <c r="AZ857" s="17">
        <v>46.060399121306077</v>
      </c>
      <c r="BA857" s="17"/>
      <c r="BB857" s="17">
        <v>36</v>
      </c>
      <c r="BC857" s="17"/>
      <c r="BD857" s="17"/>
      <c r="BE857" s="17"/>
      <c r="BF857" s="17"/>
      <c r="BG857" s="17"/>
      <c r="BH857" s="17"/>
      <c r="BI857" s="17"/>
      <c r="BJ857" s="17"/>
      <c r="BK857" s="17"/>
      <c r="BL857" s="17"/>
      <c r="BM857" s="17"/>
      <c r="BN857" s="17"/>
      <c r="BO857" s="17"/>
      <c r="BP857" s="17"/>
      <c r="BQ857" s="17"/>
      <c r="BR857" s="17"/>
      <c r="BS857" s="17"/>
      <c r="BT857" s="17"/>
      <c r="BU857" s="17"/>
      <c r="BV857" s="17"/>
      <c r="BW857" s="17"/>
      <c r="BX857" s="17"/>
      <c r="BY857" s="17"/>
      <c r="BZ857" s="17"/>
      <c r="CA857" s="17"/>
      <c r="CB857" s="17"/>
      <c r="CC857" s="17"/>
      <c r="CD857" s="17"/>
      <c r="CE857" s="17"/>
      <c r="CF857" s="17"/>
      <c r="CG857" s="17"/>
      <c r="CH857" s="17"/>
    </row>
    <row r="858" spans="8:86" x14ac:dyDescent="0.15">
      <c r="H858" s="3">
        <f t="shared" si="367"/>
        <v>0.84600000000000064</v>
      </c>
      <c r="I858" s="3">
        <f t="shared" si="368"/>
        <v>360</v>
      </c>
      <c r="J858" s="14">
        <f t="shared" si="369"/>
        <v>500</v>
      </c>
      <c r="K858" s="3">
        <f t="shared" si="359"/>
        <v>0</v>
      </c>
      <c r="L858" s="3">
        <f t="shared" si="355"/>
        <v>500</v>
      </c>
      <c r="M858" s="15">
        <f t="shared" si="370"/>
        <v>7.0000000000000007E-2</v>
      </c>
      <c r="N858" s="3">
        <f t="shared" si="371"/>
        <v>42.267471652655829</v>
      </c>
      <c r="O858" s="3">
        <f t="shared" si="356"/>
        <v>42.267471652655829</v>
      </c>
      <c r="P858" s="3">
        <f t="shared" si="360"/>
        <v>45.448894250167562</v>
      </c>
      <c r="Q858" s="3">
        <f t="shared" si="361"/>
        <v>5.8706275220673891</v>
      </c>
      <c r="R858" s="3">
        <f t="shared" si="362"/>
        <v>25.659760886117475</v>
      </c>
      <c r="S858" s="3">
        <f t="shared" si="357"/>
        <v>1</v>
      </c>
      <c r="T858" s="3">
        <f t="shared" si="363"/>
        <v>19789.133364050089</v>
      </c>
      <c r="U858" s="3">
        <f t="shared" si="364"/>
        <v>0.5</v>
      </c>
      <c r="V858" s="3">
        <f t="shared" si="365"/>
        <v>0</v>
      </c>
      <c r="W858" s="3">
        <f t="shared" si="366"/>
        <v>15216.289794956097</v>
      </c>
      <c r="X858" s="3">
        <f t="shared" si="358"/>
        <v>2935.3137610336944</v>
      </c>
      <c r="AI858" s="3"/>
      <c r="AJ858" s="3"/>
      <c r="AK858" s="15">
        <f t="shared" si="349"/>
        <v>4</v>
      </c>
      <c r="AL858" s="11">
        <f t="shared" si="353"/>
        <v>5094</v>
      </c>
      <c r="AM858" s="11" t="b">
        <f t="shared" si="348"/>
        <v>0</v>
      </c>
      <c r="AN858" s="11">
        <f t="shared" si="350"/>
        <v>36000</v>
      </c>
      <c r="AO858" s="11">
        <f t="shared" si="351"/>
        <v>0</v>
      </c>
      <c r="AP858" s="11">
        <f t="shared" si="352"/>
        <v>0.46170630602787566</v>
      </c>
      <c r="AQ858" s="11">
        <f t="shared" si="354"/>
        <v>0</v>
      </c>
      <c r="AT858" s="3"/>
      <c r="AU858" s="17"/>
      <c r="AV858" s="19"/>
      <c r="AW858" s="17"/>
      <c r="AX858" s="17">
        <f t="shared" si="347"/>
        <v>849</v>
      </c>
      <c r="AY858" s="17">
        <f t="shared" si="372"/>
        <v>84.9</v>
      </c>
      <c r="AZ858" s="17">
        <v>46.170630602787568</v>
      </c>
      <c r="BA858" s="17"/>
      <c r="BB858" s="17">
        <v>36</v>
      </c>
      <c r="BC858" s="17"/>
      <c r="BD858" s="17"/>
      <c r="BE858" s="17"/>
      <c r="BF858" s="17"/>
      <c r="BG858" s="17"/>
      <c r="BH858" s="17"/>
      <c r="BI858" s="17"/>
      <c r="BJ858" s="17"/>
      <c r="BK858" s="17"/>
      <c r="BL858" s="17"/>
      <c r="BM858" s="17"/>
      <c r="BN858" s="17"/>
      <c r="BO858" s="17"/>
      <c r="BP858" s="17"/>
      <c r="BQ858" s="17"/>
      <c r="BR858" s="17"/>
      <c r="BS858" s="17"/>
      <c r="BT858" s="17"/>
      <c r="BU858" s="17"/>
      <c r="BV858" s="17"/>
      <c r="BW858" s="17"/>
      <c r="BX858" s="17"/>
      <c r="BY858" s="17"/>
      <c r="BZ858" s="17"/>
      <c r="CA858" s="17"/>
      <c r="CB858" s="17"/>
      <c r="CC858" s="17"/>
      <c r="CD858" s="17"/>
      <c r="CE858" s="17"/>
      <c r="CF858" s="17"/>
      <c r="CG858" s="17"/>
      <c r="CH858" s="17"/>
    </row>
    <row r="859" spans="8:86" x14ac:dyDescent="0.15">
      <c r="H859" s="3">
        <f t="shared" si="367"/>
        <v>0.84700000000000064</v>
      </c>
      <c r="I859" s="3">
        <f t="shared" si="368"/>
        <v>360</v>
      </c>
      <c r="J859" s="14">
        <f t="shared" si="369"/>
        <v>500</v>
      </c>
      <c r="K859" s="3">
        <f t="shared" si="359"/>
        <v>0</v>
      </c>
      <c r="L859" s="3">
        <f t="shared" si="355"/>
        <v>500</v>
      </c>
      <c r="M859" s="15">
        <f t="shared" si="370"/>
        <v>7.0000000000000007E-2</v>
      </c>
      <c r="N859" s="3">
        <f t="shared" si="371"/>
        <v>42.212501837755681</v>
      </c>
      <c r="O859" s="3">
        <f t="shared" si="356"/>
        <v>42.212501837755681</v>
      </c>
      <c r="P859" s="3">
        <f t="shared" si="360"/>
        <v>45.389786922317938</v>
      </c>
      <c r="Q859" s="3">
        <f t="shared" si="361"/>
        <v>5.8310492553392885</v>
      </c>
      <c r="R859" s="3">
        <f t="shared" si="362"/>
        <v>25.610418088828613</v>
      </c>
      <c r="S859" s="3">
        <f t="shared" si="357"/>
        <v>1</v>
      </c>
      <c r="T859" s="3">
        <f t="shared" si="363"/>
        <v>19779.368833489327</v>
      </c>
      <c r="U859" s="3">
        <f t="shared" si="364"/>
        <v>0.5</v>
      </c>
      <c r="V859" s="3">
        <f t="shared" si="365"/>
        <v>0</v>
      </c>
      <c r="W859" s="3">
        <f t="shared" si="366"/>
        <v>15196.500661592045</v>
      </c>
      <c r="X859" s="3">
        <f t="shared" si="358"/>
        <v>2915.5246276696444</v>
      </c>
      <c r="AI859" s="3"/>
      <c r="AJ859" s="3"/>
      <c r="AK859" s="15">
        <f t="shared" si="349"/>
        <v>4</v>
      </c>
      <c r="AL859" s="11">
        <f t="shared" si="353"/>
        <v>5100</v>
      </c>
      <c r="AM859" s="11" t="b">
        <f t="shared" si="348"/>
        <v>0</v>
      </c>
      <c r="AN859" s="11">
        <f t="shared" si="350"/>
        <v>36000</v>
      </c>
      <c r="AO859" s="11">
        <f t="shared" si="351"/>
        <v>0</v>
      </c>
      <c r="AP859" s="11">
        <f t="shared" si="352"/>
        <v>0.46280862084269048</v>
      </c>
      <c r="AQ859" s="11">
        <f t="shared" si="354"/>
        <v>0</v>
      </c>
      <c r="AT859" s="3"/>
      <c r="AU859" s="17"/>
      <c r="AV859" s="19"/>
      <c r="AW859" s="17"/>
      <c r="AX859" s="17">
        <f t="shared" si="347"/>
        <v>850</v>
      </c>
      <c r="AY859" s="17">
        <f t="shared" si="372"/>
        <v>85</v>
      </c>
      <c r="AZ859" s="17">
        <v>46.280862084269046</v>
      </c>
      <c r="BA859" s="17"/>
      <c r="BB859" s="17">
        <v>36</v>
      </c>
      <c r="BC859" s="17"/>
      <c r="BD859" s="17"/>
      <c r="BE859" s="17"/>
      <c r="BF859" s="17"/>
      <c r="BG859" s="17"/>
      <c r="BH859" s="17"/>
      <c r="BI859" s="17"/>
      <c r="BJ859" s="17"/>
      <c r="BK859" s="17"/>
      <c r="BL859" s="17"/>
      <c r="BM859" s="17"/>
      <c r="BN859" s="17"/>
      <c r="BO859" s="17"/>
      <c r="BP859" s="17"/>
      <c r="BQ859" s="17"/>
      <c r="BR859" s="17"/>
      <c r="BS859" s="17"/>
      <c r="BT859" s="17"/>
      <c r="BU859" s="17"/>
      <c r="BV859" s="17"/>
      <c r="BW859" s="17"/>
      <c r="BX859" s="17"/>
      <c r="BY859" s="17"/>
      <c r="BZ859" s="17"/>
      <c r="CA859" s="17"/>
      <c r="CB859" s="17"/>
      <c r="CC859" s="17"/>
      <c r="CD859" s="17"/>
      <c r="CE859" s="17"/>
      <c r="CF859" s="17"/>
      <c r="CG859" s="17"/>
      <c r="CH859" s="17"/>
    </row>
    <row r="860" spans="8:86" x14ac:dyDescent="0.15">
      <c r="H860" s="3">
        <f t="shared" si="367"/>
        <v>0.84800000000000064</v>
      </c>
      <c r="I860" s="3">
        <f t="shared" si="368"/>
        <v>360</v>
      </c>
      <c r="J860" s="14">
        <f t="shared" si="369"/>
        <v>500</v>
      </c>
      <c r="K860" s="3">
        <f t="shared" si="359"/>
        <v>0</v>
      </c>
      <c r="L860" s="3">
        <f t="shared" si="355"/>
        <v>500</v>
      </c>
      <c r="M860" s="15">
        <f t="shared" si="370"/>
        <v>7.0000000000000007E-2</v>
      </c>
      <c r="N860" s="3">
        <f t="shared" si="371"/>
        <v>42.157559146551542</v>
      </c>
      <c r="O860" s="3">
        <f t="shared" si="356"/>
        <v>42.157559146551542</v>
      </c>
      <c r="P860" s="3">
        <f t="shared" si="360"/>
        <v>45.330708759732843</v>
      </c>
      <c r="Q860" s="3">
        <f t="shared" si="361"/>
        <v>5.7914905176723108</v>
      </c>
      <c r="R860" s="3">
        <f t="shared" si="362"/>
        <v>25.561099638702576</v>
      </c>
      <c r="S860" s="3">
        <f t="shared" si="357"/>
        <v>1</v>
      </c>
      <c r="T860" s="3">
        <f t="shared" si="363"/>
        <v>19769.609121030269</v>
      </c>
      <c r="U860" s="3">
        <f t="shared" si="364"/>
        <v>0.5</v>
      </c>
      <c r="V860" s="3">
        <f t="shared" si="365"/>
        <v>0</v>
      </c>
      <c r="W860" s="3">
        <f t="shared" si="366"/>
        <v>15176.721292758555</v>
      </c>
      <c r="X860" s="3">
        <f t="shared" si="358"/>
        <v>2895.7452588361552</v>
      </c>
      <c r="AI860" s="3"/>
      <c r="AJ860" s="3"/>
      <c r="AK860" s="15">
        <f t="shared" si="349"/>
        <v>4</v>
      </c>
      <c r="AL860" s="11">
        <f t="shared" si="353"/>
        <v>5106</v>
      </c>
      <c r="AM860" s="11" t="b">
        <f t="shared" si="348"/>
        <v>0</v>
      </c>
      <c r="AN860" s="11">
        <f t="shared" si="350"/>
        <v>36000</v>
      </c>
      <c r="AO860" s="11">
        <f t="shared" si="351"/>
        <v>0</v>
      </c>
      <c r="AP860" s="11">
        <f t="shared" si="352"/>
        <v>0.46391093565750535</v>
      </c>
      <c r="AQ860" s="11">
        <f t="shared" si="354"/>
        <v>0</v>
      </c>
      <c r="AT860" s="3"/>
      <c r="AU860" s="17"/>
      <c r="AV860" s="19"/>
      <c r="AW860" s="17"/>
      <c r="AX860" s="17">
        <f t="shared" si="347"/>
        <v>851</v>
      </c>
      <c r="AY860" s="17">
        <f t="shared" si="372"/>
        <v>85.1</v>
      </c>
      <c r="AZ860" s="17">
        <v>46.391093565750538</v>
      </c>
      <c r="BA860" s="17"/>
      <c r="BB860" s="17">
        <v>36</v>
      </c>
      <c r="BC860" s="17"/>
      <c r="BD860" s="17"/>
      <c r="BE860" s="17"/>
      <c r="BF860" s="17"/>
      <c r="BG860" s="17"/>
      <c r="BH860" s="17"/>
      <c r="BI860" s="17"/>
      <c r="BJ860" s="17"/>
      <c r="BK860" s="17"/>
      <c r="BL860" s="17"/>
      <c r="BM860" s="17"/>
      <c r="BN860" s="17"/>
      <c r="BO860" s="17"/>
      <c r="BP860" s="17"/>
      <c r="BQ860" s="17"/>
      <c r="BR860" s="17"/>
      <c r="BS860" s="17"/>
      <c r="BT860" s="17"/>
      <c r="BU860" s="17"/>
      <c r="BV860" s="17"/>
      <c r="BW860" s="17"/>
      <c r="BX860" s="17"/>
      <c r="BY860" s="17"/>
      <c r="BZ860" s="17"/>
      <c r="CA860" s="17"/>
      <c r="CB860" s="17"/>
      <c r="CC860" s="17"/>
      <c r="CD860" s="17"/>
      <c r="CE860" s="17"/>
      <c r="CF860" s="17"/>
      <c r="CG860" s="17"/>
      <c r="CH860" s="17"/>
    </row>
    <row r="861" spans="8:86" x14ac:dyDescent="0.15">
      <c r="H861" s="3">
        <f t="shared" si="367"/>
        <v>0.84900000000000064</v>
      </c>
      <c r="I861" s="3">
        <f t="shared" si="368"/>
        <v>360</v>
      </c>
      <c r="J861" s="14">
        <f t="shared" si="369"/>
        <v>500</v>
      </c>
      <c r="K861" s="3">
        <f t="shared" si="359"/>
        <v>0</v>
      </c>
      <c r="L861" s="3">
        <f t="shared" si="355"/>
        <v>500</v>
      </c>
      <c r="M861" s="15">
        <f t="shared" si="370"/>
        <v>7.0000000000000007E-2</v>
      </c>
      <c r="N861" s="3">
        <f t="shared" si="371"/>
        <v>42.10264356565979</v>
      </c>
      <c r="O861" s="3">
        <f t="shared" si="356"/>
        <v>42.10264356565979</v>
      </c>
      <c r="P861" s="3">
        <f t="shared" si="360"/>
        <v>45.271659748021285</v>
      </c>
      <c r="Q861" s="3">
        <f t="shared" si="361"/>
        <v>5.7519512994302495</v>
      </c>
      <c r="R861" s="3">
        <f t="shared" si="362"/>
        <v>25.511805523725769</v>
      </c>
      <c r="S861" s="3">
        <f t="shared" si="357"/>
        <v>1</v>
      </c>
      <c r="T861" s="3">
        <f t="shared" si="363"/>
        <v>19759.854224295515</v>
      </c>
      <c r="U861" s="3">
        <f t="shared" si="364"/>
        <v>0.5</v>
      </c>
      <c r="V861" s="3">
        <f t="shared" si="365"/>
        <v>0</v>
      </c>
      <c r="W861" s="3">
        <f t="shared" si="366"/>
        <v>15156.951683637524</v>
      </c>
      <c r="X861" s="3">
        <f t="shared" si="358"/>
        <v>2875.9756497151247</v>
      </c>
      <c r="AI861" s="3"/>
      <c r="AJ861" s="3"/>
      <c r="AK861" s="15">
        <f t="shared" si="349"/>
        <v>4</v>
      </c>
      <c r="AL861" s="11">
        <f t="shared" si="353"/>
        <v>5112</v>
      </c>
      <c r="AM861" s="11" t="b">
        <f t="shared" si="348"/>
        <v>0</v>
      </c>
      <c r="AN861" s="11">
        <f t="shared" si="350"/>
        <v>36000</v>
      </c>
      <c r="AO861" s="11">
        <f t="shared" si="351"/>
        <v>0</v>
      </c>
      <c r="AP861" s="11">
        <f t="shared" si="352"/>
        <v>0.46501325047232017</v>
      </c>
      <c r="AQ861" s="11">
        <f t="shared" si="354"/>
        <v>0</v>
      </c>
      <c r="AT861" s="3"/>
      <c r="AU861" s="17"/>
      <c r="AV861" s="19"/>
      <c r="AW861" s="17"/>
      <c r="AX861" s="17">
        <f t="shared" si="347"/>
        <v>852</v>
      </c>
      <c r="AY861" s="17">
        <f t="shared" si="372"/>
        <v>85.2</v>
      </c>
      <c r="AZ861" s="17">
        <v>46.501325047232015</v>
      </c>
      <c r="BA861" s="17"/>
      <c r="BB861" s="17">
        <v>36</v>
      </c>
      <c r="BC861" s="17"/>
      <c r="BD861" s="17"/>
      <c r="BE861" s="17"/>
      <c r="BF861" s="17"/>
      <c r="BG861" s="17"/>
      <c r="BH861" s="17"/>
      <c r="BI861" s="17"/>
      <c r="BJ861" s="17"/>
      <c r="BK861" s="17"/>
      <c r="BL861" s="17"/>
      <c r="BM861" s="17"/>
      <c r="BN861" s="17"/>
      <c r="BO861" s="17"/>
      <c r="BP861" s="17"/>
      <c r="BQ861" s="17"/>
      <c r="BR861" s="17"/>
      <c r="BS861" s="17"/>
      <c r="BT861" s="17"/>
      <c r="BU861" s="17"/>
      <c r="BV861" s="17"/>
      <c r="BW861" s="17"/>
      <c r="BX861" s="17"/>
      <c r="BY861" s="17"/>
      <c r="BZ861" s="17"/>
      <c r="CA861" s="17"/>
      <c r="CB861" s="17"/>
      <c r="CC861" s="17"/>
      <c r="CD861" s="17"/>
      <c r="CE861" s="17"/>
      <c r="CF861" s="17"/>
      <c r="CG861" s="17"/>
      <c r="CH861" s="17"/>
    </row>
    <row r="862" spans="8:86" x14ac:dyDescent="0.15">
      <c r="H862" s="3">
        <f t="shared" si="367"/>
        <v>0.85000000000000064</v>
      </c>
      <c r="I862" s="3">
        <f t="shared" si="368"/>
        <v>360</v>
      </c>
      <c r="J862" s="14">
        <f t="shared" si="369"/>
        <v>500</v>
      </c>
      <c r="K862" s="3">
        <f t="shared" si="359"/>
        <v>0</v>
      </c>
      <c r="L862" s="3">
        <f t="shared" si="355"/>
        <v>500</v>
      </c>
      <c r="M862" s="15">
        <f t="shared" si="370"/>
        <v>7.0000000000000007E-2</v>
      </c>
      <c r="N862" s="3">
        <f t="shared" si="371"/>
        <v>42.047755081703414</v>
      </c>
      <c r="O862" s="3">
        <f t="shared" si="356"/>
        <v>42.047755081703414</v>
      </c>
      <c r="P862" s="3">
        <f t="shared" si="360"/>
        <v>45.212639872799372</v>
      </c>
      <c r="Q862" s="3">
        <f t="shared" si="361"/>
        <v>5.7124315909816588</v>
      </c>
      <c r="R862" s="3">
        <f t="shared" si="362"/>
        <v>25.462535731890515</v>
      </c>
      <c r="S862" s="3">
        <f t="shared" si="357"/>
        <v>1</v>
      </c>
      <c r="T862" s="3">
        <f t="shared" si="363"/>
        <v>19750.104140908858</v>
      </c>
      <c r="U862" s="3">
        <f t="shared" si="364"/>
        <v>0.5</v>
      </c>
      <c r="V862" s="3">
        <f t="shared" si="365"/>
        <v>0</v>
      </c>
      <c r="W862" s="3">
        <f t="shared" si="366"/>
        <v>15137.191829413228</v>
      </c>
      <c r="X862" s="3">
        <f t="shared" si="358"/>
        <v>2856.2157954908294</v>
      </c>
      <c r="AI862" s="3"/>
      <c r="AJ862" s="3"/>
      <c r="AK862" s="15">
        <f t="shared" si="349"/>
        <v>4</v>
      </c>
      <c r="AL862" s="11">
        <f t="shared" si="353"/>
        <v>5118</v>
      </c>
      <c r="AM862" s="11" t="b">
        <f t="shared" si="348"/>
        <v>0</v>
      </c>
      <c r="AN862" s="11">
        <f t="shared" si="350"/>
        <v>36000</v>
      </c>
      <c r="AO862" s="11">
        <f t="shared" si="351"/>
        <v>0</v>
      </c>
      <c r="AP862" s="11">
        <f t="shared" si="352"/>
        <v>0.46611556528713499</v>
      </c>
      <c r="AQ862" s="11">
        <f t="shared" si="354"/>
        <v>0</v>
      </c>
      <c r="AT862" s="3"/>
      <c r="AU862" s="17"/>
      <c r="AV862" s="19"/>
      <c r="AW862" s="17"/>
      <c r="AX862" s="17">
        <f t="shared" si="347"/>
        <v>853</v>
      </c>
      <c r="AY862" s="17">
        <f t="shared" si="372"/>
        <v>85.3</v>
      </c>
      <c r="AZ862" s="17">
        <v>46.6115565287135</v>
      </c>
      <c r="BA862" s="17"/>
      <c r="BB862" s="17">
        <v>36</v>
      </c>
      <c r="BC862" s="17"/>
      <c r="BD862" s="17"/>
      <c r="BE862" s="17"/>
      <c r="BF862" s="17"/>
      <c r="BG862" s="17"/>
      <c r="BH862" s="17"/>
      <c r="BI862" s="17"/>
      <c r="BJ862" s="17"/>
      <c r="BK862" s="17"/>
      <c r="BL862" s="17"/>
      <c r="BM862" s="17"/>
      <c r="BN862" s="17"/>
      <c r="BO862" s="17"/>
      <c r="BP862" s="17"/>
      <c r="BQ862" s="17"/>
      <c r="BR862" s="17"/>
      <c r="BS862" s="17"/>
      <c r="BT862" s="17"/>
      <c r="BU862" s="17"/>
      <c r="BV862" s="17"/>
      <c r="BW862" s="17"/>
      <c r="BX862" s="17"/>
      <c r="BY862" s="17"/>
      <c r="BZ862" s="17"/>
      <c r="CA862" s="17"/>
      <c r="CB862" s="17"/>
      <c r="CC862" s="17"/>
      <c r="CD862" s="17"/>
      <c r="CE862" s="17"/>
      <c r="CF862" s="17"/>
      <c r="CG862" s="17"/>
      <c r="CH862" s="17"/>
    </row>
    <row r="863" spans="8:86" x14ac:dyDescent="0.15">
      <c r="H863" s="3">
        <f t="shared" si="367"/>
        <v>0.85100000000000064</v>
      </c>
      <c r="I863" s="3">
        <f t="shared" si="368"/>
        <v>360</v>
      </c>
      <c r="J863" s="14">
        <f t="shared" si="369"/>
        <v>500</v>
      </c>
      <c r="K863" s="3">
        <f t="shared" si="359"/>
        <v>0</v>
      </c>
      <c r="L863" s="3">
        <f t="shared" si="355"/>
        <v>500</v>
      </c>
      <c r="M863" s="15">
        <f t="shared" si="370"/>
        <v>7.0000000000000007E-2</v>
      </c>
      <c r="N863" s="3">
        <f t="shared" si="371"/>
        <v>41.992893681311998</v>
      </c>
      <c r="O863" s="3">
        <f t="shared" si="356"/>
        <v>41.992893681311998</v>
      </c>
      <c r="P863" s="3">
        <f t="shared" si="360"/>
        <v>45.153649119690321</v>
      </c>
      <c r="Q863" s="3">
        <f t="shared" si="361"/>
        <v>5.6729313826998418</v>
      </c>
      <c r="R863" s="3">
        <f t="shared" si="362"/>
        <v>25.413290251195082</v>
      </c>
      <c r="S863" s="3">
        <f t="shared" si="357"/>
        <v>1</v>
      </c>
      <c r="T863" s="3">
        <f t="shared" si="363"/>
        <v>19740.358868495237</v>
      </c>
      <c r="U863" s="3">
        <f t="shared" si="364"/>
        <v>0.5</v>
      </c>
      <c r="V863" s="3">
        <f t="shared" si="365"/>
        <v>0</v>
      </c>
      <c r="W863" s="3">
        <f t="shared" si="366"/>
        <v>15117.44172527232</v>
      </c>
      <c r="X863" s="3">
        <f t="shared" si="358"/>
        <v>2836.4656913499207</v>
      </c>
      <c r="AI863" s="3"/>
      <c r="AJ863" s="3"/>
      <c r="AK863" s="15">
        <f t="shared" si="349"/>
        <v>4</v>
      </c>
      <c r="AL863" s="11">
        <f t="shared" si="353"/>
        <v>5124</v>
      </c>
      <c r="AM863" s="11" t="b">
        <f t="shared" si="348"/>
        <v>0</v>
      </c>
      <c r="AN863" s="11">
        <f t="shared" si="350"/>
        <v>36000</v>
      </c>
      <c r="AO863" s="11">
        <f t="shared" si="351"/>
        <v>0</v>
      </c>
      <c r="AP863" s="11">
        <f t="shared" si="352"/>
        <v>0.46721788010194987</v>
      </c>
      <c r="AQ863" s="11">
        <f t="shared" si="354"/>
        <v>0</v>
      </c>
      <c r="AT863" s="3"/>
      <c r="AU863" s="17"/>
      <c r="AV863" s="19"/>
      <c r="AW863" s="17"/>
      <c r="AX863" s="17">
        <f t="shared" si="347"/>
        <v>854</v>
      </c>
      <c r="AY863" s="17">
        <f t="shared" si="372"/>
        <v>85.4</v>
      </c>
      <c r="AZ863" s="17">
        <v>46.721788010194985</v>
      </c>
      <c r="BA863" s="17"/>
      <c r="BB863" s="17">
        <v>36</v>
      </c>
      <c r="BC863" s="17"/>
      <c r="BD863" s="17"/>
      <c r="BE863" s="17"/>
      <c r="BF863" s="17"/>
      <c r="BG863" s="17"/>
      <c r="BH863" s="17"/>
      <c r="BI863" s="17"/>
      <c r="BJ863" s="17"/>
      <c r="BK863" s="17"/>
      <c r="BL863" s="17"/>
      <c r="BM863" s="17"/>
      <c r="BN863" s="17"/>
      <c r="BO863" s="17"/>
      <c r="BP863" s="17"/>
      <c r="BQ863" s="17"/>
      <c r="BR863" s="17"/>
      <c r="BS863" s="17"/>
      <c r="BT863" s="17"/>
      <c r="BU863" s="17"/>
      <c r="BV863" s="17"/>
      <c r="BW863" s="17"/>
      <c r="BX863" s="17"/>
      <c r="BY863" s="17"/>
      <c r="BZ863" s="17"/>
      <c r="CA863" s="17"/>
      <c r="CB863" s="17"/>
      <c r="CC863" s="17"/>
      <c r="CD863" s="17"/>
      <c r="CE863" s="17"/>
      <c r="CF863" s="17"/>
      <c r="CG863" s="17"/>
      <c r="CH863" s="17"/>
    </row>
    <row r="864" spans="8:86" x14ac:dyDescent="0.15">
      <c r="H864" s="3">
        <f t="shared" si="367"/>
        <v>0.85200000000000065</v>
      </c>
      <c r="I864" s="3">
        <f t="shared" si="368"/>
        <v>360</v>
      </c>
      <c r="J864" s="14">
        <f t="shared" si="369"/>
        <v>500</v>
      </c>
      <c r="K864" s="3">
        <f t="shared" si="359"/>
        <v>0</v>
      </c>
      <c r="L864" s="3">
        <f t="shared" si="355"/>
        <v>500</v>
      </c>
      <c r="M864" s="15">
        <f t="shared" si="370"/>
        <v>7.0000000000000007E-2</v>
      </c>
      <c r="N864" s="3">
        <f t="shared" si="371"/>
        <v>41.938059351121737</v>
      </c>
      <c r="O864" s="3">
        <f t="shared" si="356"/>
        <v>41.938059351121737</v>
      </c>
      <c r="P864" s="3">
        <f t="shared" si="360"/>
        <v>45.094687474324452</v>
      </c>
      <c r="Q864" s="3">
        <f t="shared" si="361"/>
        <v>5.6334506649628509</v>
      </c>
      <c r="R864" s="3">
        <f t="shared" si="362"/>
        <v>25.364069069643651</v>
      </c>
      <c r="S864" s="3">
        <f t="shared" si="357"/>
        <v>1</v>
      </c>
      <c r="T864" s="3">
        <f t="shared" si="363"/>
        <v>19730.618404680801</v>
      </c>
      <c r="U864" s="3">
        <f t="shared" si="364"/>
        <v>0.5</v>
      </c>
      <c r="V864" s="3">
        <f t="shared" si="365"/>
        <v>0</v>
      </c>
      <c r="W864" s="3">
        <f t="shared" si="366"/>
        <v>15097.701366403826</v>
      </c>
      <c r="X864" s="3">
        <f t="shared" si="358"/>
        <v>2816.7253324814255</v>
      </c>
      <c r="AI864" s="3"/>
      <c r="AJ864" s="3"/>
      <c r="AK864" s="15">
        <f t="shared" si="349"/>
        <v>4</v>
      </c>
      <c r="AL864" s="11">
        <f t="shared" si="353"/>
        <v>5130</v>
      </c>
      <c r="AM864" s="11" t="b">
        <f t="shared" si="348"/>
        <v>0</v>
      </c>
      <c r="AN864" s="11">
        <f t="shared" si="350"/>
        <v>36000</v>
      </c>
      <c r="AO864" s="11">
        <f t="shared" si="351"/>
        <v>0</v>
      </c>
      <c r="AP864" s="11">
        <f t="shared" si="352"/>
        <v>0.46832019491676469</v>
      </c>
      <c r="AQ864" s="11">
        <f t="shared" si="354"/>
        <v>0</v>
      </c>
      <c r="AT864" s="3"/>
      <c r="AU864" s="17"/>
      <c r="AV864" s="19"/>
      <c r="AW864" s="17"/>
      <c r="AX864" s="17">
        <f t="shared" si="347"/>
        <v>855</v>
      </c>
      <c r="AY864" s="17">
        <f t="shared" si="372"/>
        <v>85.5</v>
      </c>
      <c r="AZ864" s="17">
        <v>46.832019491676469</v>
      </c>
      <c r="BA864" s="17"/>
      <c r="BB864" s="17">
        <v>36</v>
      </c>
      <c r="BC864" s="17"/>
      <c r="BD864" s="17"/>
      <c r="BE864" s="17"/>
      <c r="BF864" s="17"/>
      <c r="BG864" s="17"/>
      <c r="BH864" s="17"/>
      <c r="BI864" s="17"/>
      <c r="BJ864" s="17"/>
      <c r="BK864" s="17"/>
      <c r="BL864" s="17"/>
      <c r="BM864" s="17"/>
      <c r="BN864" s="17"/>
      <c r="BO864" s="17"/>
      <c r="BP864" s="17"/>
      <c r="BQ864" s="17"/>
      <c r="BR864" s="17"/>
      <c r="BS864" s="17"/>
      <c r="BT864" s="17"/>
      <c r="BU864" s="17"/>
      <c r="BV864" s="17"/>
      <c r="BW864" s="17"/>
      <c r="BX864" s="17"/>
      <c r="BY864" s="17"/>
      <c r="BZ864" s="17"/>
      <c r="CA864" s="17"/>
      <c r="CB864" s="17"/>
      <c r="CC864" s="17"/>
      <c r="CD864" s="17"/>
      <c r="CE864" s="17"/>
      <c r="CF864" s="17"/>
      <c r="CG864" s="17"/>
      <c r="CH864" s="17"/>
    </row>
    <row r="865" spans="8:86" x14ac:dyDescent="0.15">
      <c r="H865" s="3">
        <f t="shared" si="367"/>
        <v>0.85300000000000065</v>
      </c>
      <c r="I865" s="3">
        <f t="shared" si="368"/>
        <v>360</v>
      </c>
      <c r="J865" s="14">
        <f t="shared" si="369"/>
        <v>500</v>
      </c>
      <c r="K865" s="3">
        <f t="shared" si="359"/>
        <v>0</v>
      </c>
      <c r="L865" s="3">
        <f t="shared" si="355"/>
        <v>500</v>
      </c>
      <c r="M865" s="15">
        <f t="shared" si="370"/>
        <v>7.0000000000000007E-2</v>
      </c>
      <c r="N865" s="3">
        <f t="shared" si="371"/>
        <v>41.883252077775403</v>
      </c>
      <c r="O865" s="3">
        <f t="shared" si="356"/>
        <v>41.883252077775403</v>
      </c>
      <c r="P865" s="3">
        <f t="shared" si="360"/>
        <v>45.035754922339144</v>
      </c>
      <c r="Q865" s="3">
        <f t="shared" si="361"/>
        <v>5.5939894281534901</v>
      </c>
      <c r="R865" s="3">
        <f t="shared" si="362"/>
        <v>25.314872175246318</v>
      </c>
      <c r="S865" s="3">
        <f t="shared" si="357"/>
        <v>1</v>
      </c>
      <c r="T865" s="3">
        <f t="shared" si="363"/>
        <v>19720.882747092826</v>
      </c>
      <c r="U865" s="3">
        <f t="shared" si="364"/>
        <v>0.5</v>
      </c>
      <c r="V865" s="3">
        <f t="shared" si="365"/>
        <v>0</v>
      </c>
      <c r="W865" s="3">
        <f t="shared" si="366"/>
        <v>15077.970747999145</v>
      </c>
      <c r="X865" s="3">
        <f t="shared" si="358"/>
        <v>2796.9947140767449</v>
      </c>
      <c r="AI865" s="3"/>
      <c r="AJ865" s="3"/>
      <c r="AK865" s="15">
        <f t="shared" si="349"/>
        <v>4</v>
      </c>
      <c r="AL865" s="11">
        <f t="shared" si="353"/>
        <v>5136</v>
      </c>
      <c r="AM865" s="11" t="b">
        <f t="shared" si="348"/>
        <v>0</v>
      </c>
      <c r="AN865" s="11">
        <f t="shared" si="350"/>
        <v>36000</v>
      </c>
      <c r="AO865" s="11">
        <f t="shared" si="351"/>
        <v>0</v>
      </c>
      <c r="AP865" s="11">
        <f t="shared" si="352"/>
        <v>0.46942250973157956</v>
      </c>
      <c r="AQ865" s="11">
        <f t="shared" si="354"/>
        <v>0</v>
      </c>
      <c r="AT865" s="3"/>
      <c r="AU865" s="17"/>
      <c r="AV865" s="19"/>
      <c r="AW865" s="17"/>
      <c r="AX865" s="17">
        <f t="shared" si="347"/>
        <v>856</v>
      </c>
      <c r="AY865" s="17">
        <f t="shared" si="372"/>
        <v>85.6</v>
      </c>
      <c r="AZ865" s="17">
        <v>46.942250973157954</v>
      </c>
      <c r="BA865" s="17"/>
      <c r="BB865" s="17">
        <v>36</v>
      </c>
      <c r="BC865" s="17"/>
      <c r="BD865" s="17"/>
      <c r="BE865" s="17"/>
      <c r="BF865" s="17"/>
      <c r="BG865" s="17"/>
      <c r="BH865" s="17"/>
      <c r="BI865" s="17"/>
      <c r="BJ865" s="17"/>
      <c r="BK865" s="17"/>
      <c r="BL865" s="17"/>
      <c r="BM865" s="17"/>
      <c r="BN865" s="17"/>
      <c r="BO865" s="17"/>
      <c r="BP865" s="17"/>
      <c r="BQ865" s="17"/>
      <c r="BR865" s="17"/>
      <c r="BS865" s="17"/>
      <c r="BT865" s="17"/>
      <c r="BU865" s="17"/>
      <c r="BV865" s="17"/>
      <c r="BW865" s="17"/>
      <c r="BX865" s="17"/>
      <c r="BY865" s="17"/>
      <c r="BZ865" s="17"/>
      <c r="CA865" s="17"/>
      <c r="CB865" s="17"/>
      <c r="CC865" s="17"/>
      <c r="CD865" s="17"/>
      <c r="CE865" s="17"/>
      <c r="CF865" s="17"/>
      <c r="CG865" s="17"/>
      <c r="CH865" s="17"/>
    </row>
    <row r="866" spans="8:86" x14ac:dyDescent="0.15">
      <c r="H866" s="3">
        <f t="shared" si="367"/>
        <v>0.85400000000000065</v>
      </c>
      <c r="I866" s="3">
        <f t="shared" si="368"/>
        <v>360</v>
      </c>
      <c r="J866" s="14">
        <f t="shared" si="369"/>
        <v>500</v>
      </c>
      <c r="K866" s="3">
        <f t="shared" si="359"/>
        <v>0</v>
      </c>
      <c r="L866" s="3">
        <f t="shared" si="355"/>
        <v>500</v>
      </c>
      <c r="M866" s="15">
        <f t="shared" si="370"/>
        <v>7.0000000000000007E-2</v>
      </c>
      <c r="N866" s="3">
        <f t="shared" si="371"/>
        <v>41.828471847922366</v>
      </c>
      <c r="O866" s="3">
        <f t="shared" si="356"/>
        <v>41.828471847922366</v>
      </c>
      <c r="P866" s="3">
        <f t="shared" si="360"/>
        <v>44.976851449378891</v>
      </c>
      <c r="Q866" s="3">
        <f t="shared" si="361"/>
        <v>5.5545476626593047</v>
      </c>
      <c r="R866" s="3">
        <f t="shared" si="362"/>
        <v>25.265699556019097</v>
      </c>
      <c r="S866" s="3">
        <f t="shared" si="357"/>
        <v>1</v>
      </c>
      <c r="T866" s="3">
        <f t="shared" si="363"/>
        <v>19711.151893359794</v>
      </c>
      <c r="U866" s="3">
        <f t="shared" si="364"/>
        <v>0.5</v>
      </c>
      <c r="V866" s="3">
        <f t="shared" si="365"/>
        <v>0</v>
      </c>
      <c r="W866" s="3">
        <f t="shared" si="366"/>
        <v>15058.249865252052</v>
      </c>
      <c r="X866" s="3">
        <f t="shared" si="358"/>
        <v>2777.2738313296522</v>
      </c>
      <c r="AI866" s="3"/>
      <c r="AJ866" s="3"/>
      <c r="AK866" s="15">
        <f t="shared" si="349"/>
        <v>4</v>
      </c>
      <c r="AL866" s="11">
        <f t="shared" si="353"/>
        <v>5142</v>
      </c>
      <c r="AM866" s="11" t="b">
        <f t="shared" si="348"/>
        <v>0</v>
      </c>
      <c r="AN866" s="11">
        <f t="shared" si="350"/>
        <v>36000</v>
      </c>
      <c r="AO866" s="11">
        <f t="shared" si="351"/>
        <v>0</v>
      </c>
      <c r="AP866" s="11">
        <f t="shared" si="352"/>
        <v>0.47052482454639438</v>
      </c>
      <c r="AQ866" s="11">
        <f t="shared" si="354"/>
        <v>0</v>
      </c>
      <c r="AT866" s="3"/>
      <c r="AU866" s="17"/>
      <c r="AV866" s="19"/>
      <c r="AW866" s="17"/>
      <c r="AX866" s="17">
        <f t="shared" si="347"/>
        <v>857</v>
      </c>
      <c r="AY866" s="17">
        <f t="shared" si="372"/>
        <v>85.7</v>
      </c>
      <c r="AZ866" s="17">
        <v>47.052482454639438</v>
      </c>
      <c r="BA866" s="17"/>
      <c r="BB866" s="17">
        <v>36</v>
      </c>
      <c r="BC866" s="17"/>
      <c r="BD866" s="17"/>
      <c r="BE866" s="17"/>
      <c r="BF866" s="17"/>
      <c r="BG866" s="17"/>
      <c r="BH866" s="17"/>
      <c r="BI866" s="17"/>
      <c r="BJ866" s="17"/>
      <c r="BK866" s="17"/>
      <c r="BL866" s="17"/>
      <c r="BM866" s="17"/>
      <c r="BN866" s="17"/>
      <c r="BO866" s="17"/>
      <c r="BP866" s="17"/>
      <c r="BQ866" s="17"/>
      <c r="BR866" s="17"/>
      <c r="BS866" s="17"/>
      <c r="BT866" s="17"/>
      <c r="BU866" s="17"/>
      <c r="BV866" s="17"/>
      <c r="BW866" s="17"/>
      <c r="BX866" s="17"/>
      <c r="BY866" s="17"/>
      <c r="BZ866" s="17"/>
      <c r="CA866" s="17"/>
      <c r="CB866" s="17"/>
      <c r="CC866" s="17"/>
      <c r="CD866" s="17"/>
      <c r="CE866" s="17"/>
      <c r="CF866" s="17"/>
      <c r="CG866" s="17"/>
      <c r="CH866" s="17"/>
    </row>
    <row r="867" spans="8:86" x14ac:dyDescent="0.15">
      <c r="H867" s="3">
        <f t="shared" si="367"/>
        <v>0.85500000000000065</v>
      </c>
      <c r="I867" s="3">
        <f t="shared" si="368"/>
        <v>360</v>
      </c>
      <c r="J867" s="14">
        <f t="shared" si="369"/>
        <v>500</v>
      </c>
      <c r="K867" s="3">
        <f t="shared" si="359"/>
        <v>0</v>
      </c>
      <c r="L867" s="3">
        <f t="shared" si="355"/>
        <v>500</v>
      </c>
      <c r="M867" s="15">
        <f t="shared" si="370"/>
        <v>7.0000000000000007E-2</v>
      </c>
      <c r="N867" s="3">
        <f t="shared" si="371"/>
        <v>41.77371864821859</v>
      </c>
      <c r="O867" s="3">
        <f t="shared" si="356"/>
        <v>41.77371864821859</v>
      </c>
      <c r="P867" s="3">
        <f t="shared" si="360"/>
        <v>44.917977041095263</v>
      </c>
      <c r="Q867" s="3">
        <f t="shared" si="361"/>
        <v>5.5151253588725853</v>
      </c>
      <c r="R867" s="3">
        <f t="shared" si="362"/>
        <v>25.216551199983925</v>
      </c>
      <c r="S867" s="3">
        <f t="shared" si="357"/>
        <v>1</v>
      </c>
      <c r="T867" s="3">
        <f t="shared" si="363"/>
        <v>19701.425841111337</v>
      </c>
      <c r="U867" s="3">
        <f t="shared" si="364"/>
        <v>0.5</v>
      </c>
      <c r="V867" s="3">
        <f t="shared" si="365"/>
        <v>0</v>
      </c>
      <c r="W867" s="3">
        <f t="shared" si="366"/>
        <v>15038.538713358692</v>
      </c>
      <c r="X867" s="3">
        <f t="shared" si="358"/>
        <v>2757.5626794362925</v>
      </c>
      <c r="AI867" s="3"/>
      <c r="AJ867" s="3"/>
      <c r="AK867" s="15">
        <f t="shared" si="349"/>
        <v>4</v>
      </c>
      <c r="AL867" s="11">
        <f t="shared" si="353"/>
        <v>5148</v>
      </c>
      <c r="AM867" s="11" t="b">
        <f t="shared" si="348"/>
        <v>0</v>
      </c>
      <c r="AN867" s="11">
        <f t="shared" si="350"/>
        <v>36000</v>
      </c>
      <c r="AO867" s="11">
        <f t="shared" si="351"/>
        <v>0</v>
      </c>
      <c r="AP867" s="11">
        <f t="shared" si="352"/>
        <v>0.4716271393612092</v>
      </c>
      <c r="AQ867" s="11">
        <f t="shared" si="354"/>
        <v>0</v>
      </c>
      <c r="AT867" s="3"/>
      <c r="AU867" s="17"/>
      <c r="AV867" s="19"/>
      <c r="AW867" s="17"/>
      <c r="AX867" s="17">
        <f t="shared" si="347"/>
        <v>858</v>
      </c>
      <c r="AY867" s="17">
        <f t="shared" si="372"/>
        <v>85.8</v>
      </c>
      <c r="AZ867" s="17">
        <v>47.162713936120923</v>
      </c>
      <c r="BA867" s="17"/>
      <c r="BB867" s="17">
        <v>36</v>
      </c>
      <c r="BC867" s="17"/>
      <c r="BD867" s="17"/>
      <c r="BE867" s="17"/>
      <c r="BF867" s="17"/>
      <c r="BG867" s="17"/>
      <c r="BH867" s="17"/>
      <c r="BI867" s="17"/>
      <c r="BJ867" s="17"/>
      <c r="BK867" s="17"/>
      <c r="BL867" s="17"/>
      <c r="BM867" s="17"/>
      <c r="BN867" s="17"/>
      <c r="BO867" s="17"/>
      <c r="BP867" s="17"/>
      <c r="BQ867" s="17"/>
      <c r="BR867" s="17"/>
      <c r="BS867" s="17"/>
      <c r="BT867" s="17"/>
      <c r="BU867" s="17"/>
      <c r="BV867" s="17"/>
      <c r="BW867" s="17"/>
      <c r="BX867" s="17"/>
      <c r="BY867" s="17"/>
      <c r="BZ867" s="17"/>
      <c r="CA867" s="17"/>
      <c r="CB867" s="17"/>
      <c r="CC867" s="17"/>
      <c r="CD867" s="17"/>
      <c r="CE867" s="17"/>
      <c r="CF867" s="17"/>
      <c r="CG867" s="17"/>
      <c r="CH867" s="17"/>
    </row>
    <row r="868" spans="8:86" x14ac:dyDescent="0.15">
      <c r="H868" s="3">
        <f t="shared" si="367"/>
        <v>0.85600000000000065</v>
      </c>
      <c r="I868" s="3">
        <f t="shared" si="368"/>
        <v>360</v>
      </c>
      <c r="J868" s="14">
        <f t="shared" si="369"/>
        <v>500</v>
      </c>
      <c r="K868" s="3">
        <f t="shared" si="359"/>
        <v>0</v>
      </c>
      <c r="L868" s="3">
        <f t="shared" si="355"/>
        <v>500</v>
      </c>
      <c r="M868" s="15">
        <f t="shared" si="370"/>
        <v>7.0000000000000007E-2</v>
      </c>
      <c r="N868" s="3">
        <f t="shared" si="371"/>
        <v>41.718992465326615</v>
      </c>
      <c r="O868" s="3">
        <f t="shared" si="356"/>
        <v>41.718992465326615</v>
      </c>
      <c r="P868" s="3">
        <f t="shared" si="360"/>
        <v>44.859131683146899</v>
      </c>
      <c r="Q868" s="3">
        <f t="shared" si="361"/>
        <v>5.4757225071903619</v>
      </c>
      <c r="R868" s="3">
        <f t="shared" si="362"/>
        <v>25.16742709516863</v>
      </c>
      <c r="S868" s="3">
        <f t="shared" si="357"/>
        <v>1</v>
      </c>
      <c r="T868" s="3">
        <f t="shared" si="363"/>
        <v>19691.704587978267</v>
      </c>
      <c r="U868" s="3">
        <f t="shared" si="364"/>
        <v>0.5</v>
      </c>
      <c r="V868" s="3">
        <f t="shared" si="365"/>
        <v>0</v>
      </c>
      <c r="W868" s="3">
        <f t="shared" si="366"/>
        <v>15018.837287517581</v>
      </c>
      <c r="X868" s="3">
        <f t="shared" si="358"/>
        <v>2737.8612535951811</v>
      </c>
      <c r="AI868" s="3"/>
      <c r="AJ868" s="3"/>
      <c r="AK868" s="15">
        <f t="shared" si="349"/>
        <v>4</v>
      </c>
      <c r="AL868" s="11">
        <f t="shared" si="353"/>
        <v>5154</v>
      </c>
      <c r="AM868" s="11" t="b">
        <f t="shared" si="348"/>
        <v>0</v>
      </c>
      <c r="AN868" s="11">
        <f t="shared" si="350"/>
        <v>36000</v>
      </c>
      <c r="AO868" s="11">
        <f t="shared" si="351"/>
        <v>0</v>
      </c>
      <c r="AP868" s="11">
        <f t="shared" si="352"/>
        <v>0.47272945417602408</v>
      </c>
      <c r="AQ868" s="11">
        <f t="shared" si="354"/>
        <v>0</v>
      </c>
      <c r="AT868" s="3"/>
      <c r="AU868" s="17"/>
      <c r="AV868" s="19"/>
      <c r="AW868" s="17"/>
      <c r="AX868" s="17">
        <f t="shared" si="347"/>
        <v>859</v>
      </c>
      <c r="AY868" s="17">
        <f t="shared" si="372"/>
        <v>85.9</v>
      </c>
      <c r="AZ868" s="17">
        <v>47.272945417602408</v>
      </c>
      <c r="BA868" s="17"/>
      <c r="BB868" s="17">
        <v>36</v>
      </c>
      <c r="BC868" s="17"/>
      <c r="BD868" s="17"/>
      <c r="BE868" s="17"/>
      <c r="BF868" s="17"/>
      <c r="BG868" s="17"/>
      <c r="BH868" s="17"/>
      <c r="BI868" s="17"/>
      <c r="BJ868" s="17"/>
      <c r="BK868" s="17"/>
      <c r="BL868" s="17"/>
      <c r="BM868" s="17"/>
      <c r="BN868" s="17"/>
      <c r="BO868" s="17"/>
      <c r="BP868" s="17"/>
      <c r="BQ868" s="17"/>
      <c r="BR868" s="17"/>
      <c r="BS868" s="17"/>
      <c r="BT868" s="17"/>
      <c r="BU868" s="17"/>
      <c r="BV868" s="17"/>
      <c r="BW868" s="17"/>
      <c r="BX868" s="17"/>
      <c r="BY868" s="17"/>
      <c r="BZ868" s="17"/>
      <c r="CA868" s="17"/>
      <c r="CB868" s="17"/>
      <c r="CC868" s="17"/>
      <c r="CD868" s="17"/>
      <c r="CE868" s="17"/>
      <c r="CF868" s="17"/>
      <c r="CG868" s="17"/>
      <c r="CH868" s="17"/>
    </row>
    <row r="869" spans="8:86" x14ac:dyDescent="0.15">
      <c r="H869" s="3">
        <f t="shared" si="367"/>
        <v>0.85700000000000065</v>
      </c>
      <c r="I869" s="3">
        <f t="shared" si="368"/>
        <v>360</v>
      </c>
      <c r="J869" s="14">
        <f t="shared" si="369"/>
        <v>500</v>
      </c>
      <c r="K869" s="3">
        <f t="shared" si="359"/>
        <v>0</v>
      </c>
      <c r="L869" s="3">
        <f t="shared" si="355"/>
        <v>500</v>
      </c>
      <c r="M869" s="15">
        <f t="shared" si="370"/>
        <v>7.0000000000000007E-2</v>
      </c>
      <c r="N869" s="3">
        <f t="shared" si="371"/>
        <v>41.664293285915562</v>
      </c>
      <c r="O869" s="3">
        <f t="shared" si="356"/>
        <v>41.664293285915562</v>
      </c>
      <c r="P869" s="3">
        <f t="shared" si="360"/>
        <v>44.80031536119953</v>
      </c>
      <c r="Q869" s="3">
        <f t="shared" si="361"/>
        <v>5.4363390980144057</v>
      </c>
      <c r="R869" s="3">
        <f t="shared" si="362"/>
        <v>25.118327229606969</v>
      </c>
      <c r="S869" s="3">
        <f t="shared" si="357"/>
        <v>1</v>
      </c>
      <c r="T869" s="3">
        <f t="shared" si="363"/>
        <v>19681.98813159256</v>
      </c>
      <c r="U869" s="3">
        <f t="shared" si="364"/>
        <v>0.5</v>
      </c>
      <c r="V869" s="3">
        <f t="shared" si="365"/>
        <v>0</v>
      </c>
      <c r="W869" s="3">
        <f t="shared" si="366"/>
        <v>14999.145582929603</v>
      </c>
      <c r="X869" s="3">
        <f t="shared" si="358"/>
        <v>2718.1695490072029</v>
      </c>
      <c r="AI869" s="3"/>
      <c r="AJ869" s="3"/>
      <c r="AK869" s="15">
        <f t="shared" si="349"/>
        <v>4</v>
      </c>
      <c r="AL869" s="11">
        <f t="shared" si="353"/>
        <v>5160</v>
      </c>
      <c r="AM869" s="11" t="b">
        <f t="shared" si="348"/>
        <v>0</v>
      </c>
      <c r="AN869" s="11">
        <f t="shared" si="350"/>
        <v>36000</v>
      </c>
      <c r="AO869" s="11">
        <f t="shared" si="351"/>
        <v>0</v>
      </c>
      <c r="AP869" s="11">
        <f t="shared" si="352"/>
        <v>0.4738317689908389</v>
      </c>
      <c r="AQ869" s="11">
        <f t="shared" si="354"/>
        <v>0</v>
      </c>
      <c r="AT869" s="3"/>
      <c r="AU869" s="17"/>
      <c r="AV869" s="19"/>
      <c r="AW869" s="17"/>
      <c r="AX869" s="17">
        <f t="shared" si="347"/>
        <v>860</v>
      </c>
      <c r="AY869" s="17">
        <f t="shared" si="372"/>
        <v>86</v>
      </c>
      <c r="AZ869" s="17">
        <v>47.383176899083892</v>
      </c>
      <c r="BA869" s="17"/>
      <c r="BB869" s="17">
        <v>36</v>
      </c>
      <c r="BC869" s="17"/>
      <c r="BD869" s="17"/>
      <c r="BE869" s="17"/>
      <c r="BF869" s="17"/>
      <c r="BG869" s="17"/>
      <c r="BH869" s="17"/>
      <c r="BI869" s="17"/>
      <c r="BJ869" s="17"/>
      <c r="BK869" s="17"/>
      <c r="BL869" s="17"/>
      <c r="BM869" s="17"/>
      <c r="BN869" s="17"/>
      <c r="BO869" s="17"/>
      <c r="BP869" s="17"/>
      <c r="BQ869" s="17"/>
      <c r="BR869" s="17"/>
      <c r="BS869" s="17"/>
      <c r="BT869" s="17"/>
      <c r="BU869" s="17"/>
      <c r="BV869" s="17"/>
      <c r="BW869" s="17"/>
      <c r="BX869" s="17"/>
      <c r="BY869" s="17"/>
      <c r="BZ869" s="17"/>
      <c r="CA869" s="17"/>
      <c r="CB869" s="17"/>
      <c r="CC869" s="17"/>
      <c r="CD869" s="17"/>
      <c r="CE869" s="17"/>
      <c r="CF869" s="17"/>
      <c r="CG869" s="17"/>
      <c r="CH869" s="17"/>
    </row>
    <row r="870" spans="8:86" x14ac:dyDescent="0.15">
      <c r="H870" s="3">
        <f t="shared" si="367"/>
        <v>0.85800000000000065</v>
      </c>
      <c r="I870" s="3">
        <f t="shared" si="368"/>
        <v>360</v>
      </c>
      <c r="J870" s="14">
        <f t="shared" si="369"/>
        <v>500</v>
      </c>
      <c r="K870" s="3">
        <f t="shared" si="359"/>
        <v>0</v>
      </c>
      <c r="L870" s="3">
        <f t="shared" si="355"/>
        <v>500</v>
      </c>
      <c r="M870" s="15">
        <f t="shared" si="370"/>
        <v>7.0000000000000007E-2</v>
      </c>
      <c r="N870" s="3">
        <f t="shared" si="371"/>
        <v>41.609621096661137</v>
      </c>
      <c r="O870" s="3">
        <f t="shared" si="356"/>
        <v>41.609621096661137</v>
      </c>
      <c r="P870" s="3">
        <f t="shared" si="360"/>
        <v>44.741528060925958</v>
      </c>
      <c r="Q870" s="3">
        <f t="shared" si="361"/>
        <v>5.3969751217512201</v>
      </c>
      <c r="R870" s="3">
        <f t="shared" si="362"/>
        <v>25.069251591338588</v>
      </c>
      <c r="S870" s="3">
        <f t="shared" si="357"/>
        <v>1</v>
      </c>
      <c r="T870" s="3">
        <f t="shared" si="363"/>
        <v>19672.27646958737</v>
      </c>
      <c r="U870" s="3">
        <f t="shared" si="364"/>
        <v>0.5</v>
      </c>
      <c r="V870" s="3">
        <f t="shared" si="365"/>
        <v>0</v>
      </c>
      <c r="W870" s="3">
        <f t="shared" si="366"/>
        <v>14979.46359479801</v>
      </c>
      <c r="X870" s="3">
        <f t="shared" si="358"/>
        <v>2698.4875608756101</v>
      </c>
      <c r="AI870" s="3"/>
      <c r="AJ870" s="3"/>
      <c r="AK870" s="15">
        <f t="shared" si="349"/>
        <v>4</v>
      </c>
      <c r="AL870" s="11">
        <f t="shared" si="353"/>
        <v>5166</v>
      </c>
      <c r="AM870" s="11" t="b">
        <f t="shared" si="348"/>
        <v>0</v>
      </c>
      <c r="AN870" s="11">
        <f t="shared" si="350"/>
        <v>36000</v>
      </c>
      <c r="AO870" s="11">
        <f t="shared" si="351"/>
        <v>0</v>
      </c>
      <c r="AP870" s="11">
        <f t="shared" si="352"/>
        <v>0.47493408380565377</v>
      </c>
      <c r="AQ870" s="11">
        <f t="shared" si="354"/>
        <v>0</v>
      </c>
      <c r="AT870" s="3"/>
      <c r="AU870" s="17"/>
      <c r="AV870" s="19"/>
      <c r="AW870" s="17"/>
      <c r="AX870" s="17">
        <f t="shared" si="347"/>
        <v>861</v>
      </c>
      <c r="AY870" s="17">
        <f t="shared" si="372"/>
        <v>86.1</v>
      </c>
      <c r="AZ870" s="17">
        <v>47.493408380565377</v>
      </c>
      <c r="BA870" s="17"/>
      <c r="BB870" s="17">
        <v>36</v>
      </c>
      <c r="BC870" s="17"/>
      <c r="BD870" s="17"/>
      <c r="BE870" s="17"/>
      <c r="BF870" s="17"/>
      <c r="BG870" s="17"/>
      <c r="BH870" s="17"/>
      <c r="BI870" s="17"/>
      <c r="BJ870" s="17"/>
      <c r="BK870" s="17"/>
      <c r="BL870" s="17"/>
      <c r="BM870" s="17"/>
      <c r="BN870" s="17"/>
      <c r="BO870" s="17"/>
      <c r="BP870" s="17"/>
      <c r="BQ870" s="17"/>
      <c r="BR870" s="17"/>
      <c r="BS870" s="17"/>
      <c r="BT870" s="17"/>
      <c r="BU870" s="17"/>
      <c r="BV870" s="17"/>
      <c r="BW870" s="17"/>
      <c r="BX870" s="17"/>
      <c r="BY870" s="17"/>
      <c r="BZ870" s="17"/>
      <c r="CA870" s="17"/>
      <c r="CB870" s="17"/>
      <c r="CC870" s="17"/>
      <c r="CD870" s="17"/>
      <c r="CE870" s="17"/>
      <c r="CF870" s="17"/>
      <c r="CG870" s="17"/>
      <c r="CH870" s="17"/>
    </row>
    <row r="871" spans="8:86" x14ac:dyDescent="0.15">
      <c r="H871" s="3">
        <f t="shared" si="367"/>
        <v>0.85900000000000065</v>
      </c>
      <c r="I871" s="3">
        <f t="shared" si="368"/>
        <v>360</v>
      </c>
      <c r="J871" s="14">
        <f t="shared" si="369"/>
        <v>500</v>
      </c>
      <c r="K871" s="3">
        <f t="shared" si="359"/>
        <v>0</v>
      </c>
      <c r="L871" s="3">
        <f t="shared" si="355"/>
        <v>500</v>
      </c>
      <c r="M871" s="15">
        <f t="shared" si="370"/>
        <v>7.0000000000000007E-2</v>
      </c>
      <c r="N871" s="3">
        <f t="shared" si="371"/>
        <v>41.554975884245614</v>
      </c>
      <c r="O871" s="3">
        <f t="shared" si="356"/>
        <v>41.554975884245614</v>
      </c>
      <c r="P871" s="3">
        <f t="shared" si="360"/>
        <v>44.68276976800604</v>
      </c>
      <c r="Q871" s="3">
        <f t="shared" si="361"/>
        <v>5.3576305688120458</v>
      </c>
      <c r="R871" s="3">
        <f t="shared" si="362"/>
        <v>25.020200168409044</v>
      </c>
      <c r="S871" s="3">
        <f t="shared" si="357"/>
        <v>1</v>
      </c>
      <c r="T871" s="3">
        <f t="shared" si="363"/>
        <v>19662.569599596995</v>
      </c>
      <c r="U871" s="3">
        <f t="shared" si="364"/>
        <v>0.5</v>
      </c>
      <c r="V871" s="3">
        <f t="shared" si="365"/>
        <v>0</v>
      </c>
      <c r="W871" s="3">
        <f t="shared" si="366"/>
        <v>14959.791318328422</v>
      </c>
      <c r="X871" s="3">
        <f t="shared" si="358"/>
        <v>2678.8152844060228</v>
      </c>
      <c r="AI871" s="3"/>
      <c r="AJ871" s="3"/>
      <c r="AK871" s="15">
        <f t="shared" si="349"/>
        <v>4</v>
      </c>
      <c r="AL871" s="11">
        <f t="shared" si="353"/>
        <v>5172</v>
      </c>
      <c r="AM871" s="11" t="b">
        <f t="shared" si="348"/>
        <v>0</v>
      </c>
      <c r="AN871" s="11">
        <f t="shared" si="350"/>
        <v>36000</v>
      </c>
      <c r="AO871" s="11">
        <f t="shared" si="351"/>
        <v>0</v>
      </c>
      <c r="AP871" s="11">
        <f t="shared" si="352"/>
        <v>0.47603639862046859</v>
      </c>
      <c r="AQ871" s="11">
        <f t="shared" si="354"/>
        <v>0</v>
      </c>
      <c r="AT871" s="3"/>
      <c r="AU871" s="17"/>
      <c r="AV871" s="19"/>
      <c r="AW871" s="17"/>
      <c r="AX871" s="17">
        <f t="shared" si="347"/>
        <v>862</v>
      </c>
      <c r="AY871" s="17">
        <f t="shared" si="372"/>
        <v>86.2</v>
      </c>
      <c r="AZ871" s="17">
        <v>47.603639862046862</v>
      </c>
      <c r="BA871" s="17"/>
      <c r="BB871" s="17">
        <v>36</v>
      </c>
      <c r="BC871" s="17"/>
      <c r="BD871" s="17"/>
      <c r="BE871" s="17"/>
      <c r="BF871" s="17"/>
      <c r="BG871" s="17"/>
      <c r="BH871" s="17"/>
      <c r="BI871" s="17"/>
      <c r="BJ871" s="17"/>
      <c r="BK871" s="17"/>
      <c r="BL871" s="17"/>
      <c r="BM871" s="17"/>
      <c r="BN871" s="17"/>
      <c r="BO871" s="17"/>
      <c r="BP871" s="17"/>
      <c r="BQ871" s="17"/>
      <c r="BR871" s="17"/>
      <c r="BS871" s="17"/>
      <c r="BT871" s="17"/>
      <c r="BU871" s="17"/>
      <c r="BV871" s="17"/>
      <c r="BW871" s="17"/>
      <c r="BX871" s="17"/>
      <c r="BY871" s="17"/>
      <c r="BZ871" s="17"/>
      <c r="CA871" s="17"/>
      <c r="CB871" s="17"/>
      <c r="CC871" s="17"/>
      <c r="CD871" s="17"/>
      <c r="CE871" s="17"/>
      <c r="CF871" s="17"/>
      <c r="CG871" s="17"/>
      <c r="CH871" s="17"/>
    </row>
    <row r="872" spans="8:86" x14ac:dyDescent="0.15">
      <c r="H872" s="3">
        <f t="shared" si="367"/>
        <v>0.86000000000000065</v>
      </c>
      <c r="I872" s="3">
        <f t="shared" si="368"/>
        <v>360</v>
      </c>
      <c r="J872" s="14">
        <f t="shared" si="369"/>
        <v>500</v>
      </c>
      <c r="K872" s="3">
        <f t="shared" si="359"/>
        <v>0</v>
      </c>
      <c r="L872" s="3">
        <f t="shared" si="355"/>
        <v>500</v>
      </c>
      <c r="M872" s="15">
        <f t="shared" si="370"/>
        <v>7.0000000000000007E-2</v>
      </c>
      <c r="N872" s="3">
        <f t="shared" si="371"/>
        <v>41.500357635357844</v>
      </c>
      <c r="O872" s="3">
        <f t="shared" si="356"/>
        <v>41.500357635357844</v>
      </c>
      <c r="P872" s="3">
        <f t="shared" si="360"/>
        <v>44.624040468126715</v>
      </c>
      <c r="Q872" s="3">
        <f t="shared" si="361"/>
        <v>5.3183054296128516</v>
      </c>
      <c r="R872" s="3">
        <f t="shared" si="362"/>
        <v>24.971172948869782</v>
      </c>
      <c r="S872" s="3">
        <f t="shared" si="357"/>
        <v>1</v>
      </c>
      <c r="T872" s="3">
        <f t="shared" si="363"/>
        <v>19652.867519256932</v>
      </c>
      <c r="U872" s="3">
        <f t="shared" si="364"/>
        <v>0.5</v>
      </c>
      <c r="V872" s="3">
        <f t="shared" si="365"/>
        <v>0</v>
      </c>
      <c r="W872" s="3">
        <f t="shared" si="366"/>
        <v>14940.128748728825</v>
      </c>
      <c r="X872" s="3">
        <f t="shared" si="358"/>
        <v>2659.1527148064256</v>
      </c>
      <c r="AI872" s="3"/>
      <c r="AJ872" s="3"/>
      <c r="AK872" s="15">
        <f t="shared" si="349"/>
        <v>4</v>
      </c>
      <c r="AL872" s="11">
        <f t="shared" si="353"/>
        <v>5178</v>
      </c>
      <c r="AM872" s="11" t="b">
        <f t="shared" si="348"/>
        <v>0</v>
      </c>
      <c r="AN872" s="11">
        <f t="shared" si="350"/>
        <v>36000</v>
      </c>
      <c r="AO872" s="11">
        <f t="shared" si="351"/>
        <v>0</v>
      </c>
      <c r="AP872" s="11">
        <f t="shared" si="352"/>
        <v>0.47713871343528341</v>
      </c>
      <c r="AQ872" s="11">
        <f t="shared" si="354"/>
        <v>0</v>
      </c>
      <c r="AT872" s="3"/>
      <c r="AU872" s="17"/>
      <c r="AV872" s="19"/>
      <c r="AW872" s="17"/>
      <c r="AX872" s="17">
        <f t="shared" si="347"/>
        <v>863</v>
      </c>
      <c r="AY872" s="17">
        <f t="shared" si="372"/>
        <v>86.3</v>
      </c>
      <c r="AZ872" s="17">
        <v>47.713871343528339</v>
      </c>
      <c r="BA872" s="17"/>
      <c r="BB872" s="17">
        <v>36</v>
      </c>
      <c r="BC872" s="17"/>
      <c r="BD872" s="17"/>
      <c r="BE872" s="17"/>
      <c r="BF872" s="17"/>
      <c r="BG872" s="17"/>
      <c r="BH872" s="17"/>
      <c r="BI872" s="17"/>
      <c r="BJ872" s="17"/>
      <c r="BK872" s="17"/>
      <c r="BL872" s="17"/>
      <c r="BM872" s="17"/>
      <c r="BN872" s="17"/>
      <c r="BO872" s="17"/>
      <c r="BP872" s="17"/>
      <c r="BQ872" s="17"/>
      <c r="BR872" s="17"/>
      <c r="BS872" s="17"/>
      <c r="BT872" s="17"/>
      <c r="BU872" s="17"/>
      <c r="BV872" s="17"/>
      <c r="BW872" s="17"/>
      <c r="BX872" s="17"/>
      <c r="BY872" s="17"/>
      <c r="BZ872" s="17"/>
      <c r="CA872" s="17"/>
      <c r="CB872" s="17"/>
      <c r="CC872" s="17"/>
      <c r="CD872" s="17"/>
      <c r="CE872" s="17"/>
      <c r="CF872" s="17"/>
      <c r="CG872" s="17"/>
      <c r="CH872" s="17"/>
    </row>
    <row r="873" spans="8:86" x14ac:dyDescent="0.15">
      <c r="H873" s="3">
        <f t="shared" si="367"/>
        <v>0.86100000000000065</v>
      </c>
      <c r="I873" s="3">
        <f t="shared" si="368"/>
        <v>360</v>
      </c>
      <c r="J873" s="14">
        <f t="shared" si="369"/>
        <v>500</v>
      </c>
      <c r="K873" s="3">
        <f t="shared" si="359"/>
        <v>0</v>
      </c>
      <c r="L873" s="3">
        <f t="shared" si="355"/>
        <v>500</v>
      </c>
      <c r="M873" s="15">
        <f t="shared" si="370"/>
        <v>7.0000000000000007E-2</v>
      </c>
      <c r="N873" s="3">
        <f t="shared" si="371"/>
        <v>41.445766336693247</v>
      </c>
      <c r="O873" s="3">
        <f t="shared" si="356"/>
        <v>41.445766336693247</v>
      </c>
      <c r="P873" s="3">
        <f t="shared" si="360"/>
        <v>44.565340146981988</v>
      </c>
      <c r="Q873" s="3">
        <f t="shared" si="361"/>
        <v>5.2789996945743365</v>
      </c>
      <c r="R873" s="3">
        <f t="shared" si="362"/>
        <v>24.922169920778163</v>
      </c>
      <c r="S873" s="3">
        <f t="shared" si="357"/>
        <v>1</v>
      </c>
      <c r="T873" s="3">
        <f t="shared" si="363"/>
        <v>19643.170226203823</v>
      </c>
      <c r="U873" s="3">
        <f t="shared" si="364"/>
        <v>0.5</v>
      </c>
      <c r="V873" s="3">
        <f t="shared" si="365"/>
        <v>0</v>
      </c>
      <c r="W873" s="3">
        <f t="shared" si="366"/>
        <v>14920.475881209568</v>
      </c>
      <c r="X873" s="3">
        <f t="shared" si="358"/>
        <v>2639.4998472871684</v>
      </c>
      <c r="AI873" s="3"/>
      <c r="AJ873" s="3"/>
      <c r="AK873" s="15">
        <f t="shared" si="349"/>
        <v>4</v>
      </c>
      <c r="AL873" s="11">
        <f t="shared" si="353"/>
        <v>5184</v>
      </c>
      <c r="AM873" s="11" t="b">
        <f t="shared" si="348"/>
        <v>0</v>
      </c>
      <c r="AN873" s="11">
        <f t="shared" si="350"/>
        <v>36000</v>
      </c>
      <c r="AO873" s="11">
        <f t="shared" si="351"/>
        <v>0</v>
      </c>
      <c r="AP873" s="11">
        <f t="shared" si="352"/>
        <v>0.47824102825009829</v>
      </c>
      <c r="AQ873" s="11">
        <f t="shared" si="354"/>
        <v>0</v>
      </c>
      <c r="AT873" s="3"/>
      <c r="AU873" s="17"/>
      <c r="AV873" s="19"/>
      <c r="AW873" s="17"/>
      <c r="AX873" s="17">
        <f t="shared" si="347"/>
        <v>864</v>
      </c>
      <c r="AY873" s="17">
        <f t="shared" si="372"/>
        <v>86.4</v>
      </c>
      <c r="AZ873" s="17">
        <v>47.824102825009831</v>
      </c>
      <c r="BA873" s="17"/>
      <c r="BB873" s="17">
        <v>36</v>
      </c>
      <c r="BC873" s="17"/>
      <c r="BD873" s="17"/>
      <c r="BE873" s="17"/>
      <c r="BF873" s="17"/>
      <c r="BG873" s="17"/>
      <c r="BH873" s="17"/>
      <c r="BI873" s="17"/>
      <c r="BJ873" s="17"/>
      <c r="BK873" s="17"/>
      <c r="BL873" s="17"/>
      <c r="BM873" s="17"/>
      <c r="BN873" s="17"/>
      <c r="BO873" s="17"/>
      <c r="BP873" s="17"/>
      <c r="BQ873" s="17"/>
      <c r="BR873" s="17"/>
      <c r="BS873" s="17"/>
      <c r="BT873" s="17"/>
      <c r="BU873" s="17"/>
      <c r="BV873" s="17"/>
      <c r="BW873" s="17"/>
      <c r="BX873" s="17"/>
      <c r="BY873" s="17"/>
      <c r="BZ873" s="17"/>
      <c r="CA873" s="17"/>
      <c r="CB873" s="17"/>
      <c r="CC873" s="17"/>
      <c r="CD873" s="17"/>
      <c r="CE873" s="17"/>
      <c r="CF873" s="17"/>
      <c r="CG873" s="17"/>
      <c r="CH873" s="17"/>
    </row>
    <row r="874" spans="8:86" x14ac:dyDescent="0.15">
      <c r="H874" s="3">
        <f t="shared" si="367"/>
        <v>0.86200000000000065</v>
      </c>
      <c r="I874" s="3">
        <f t="shared" si="368"/>
        <v>360</v>
      </c>
      <c r="J874" s="14">
        <f t="shared" si="369"/>
        <v>500</v>
      </c>
      <c r="K874" s="3">
        <f t="shared" si="359"/>
        <v>0</v>
      </c>
      <c r="L874" s="3">
        <f t="shared" si="355"/>
        <v>500</v>
      </c>
      <c r="M874" s="15">
        <f t="shared" si="370"/>
        <v>7.0000000000000007E-2</v>
      </c>
      <c r="N874" s="3">
        <f t="shared" si="371"/>
        <v>41.391201974953788</v>
      </c>
      <c r="O874" s="3">
        <f t="shared" si="356"/>
        <v>41.391201974953788</v>
      </c>
      <c r="P874" s="3">
        <f t="shared" si="360"/>
        <v>44.50666879027289</v>
      </c>
      <c r="Q874" s="3">
        <f t="shared" si="361"/>
        <v>5.2397133541219292</v>
      </c>
      <c r="R874" s="3">
        <f t="shared" si="362"/>
        <v>24.873191072197411</v>
      </c>
      <c r="S874" s="3">
        <f t="shared" si="357"/>
        <v>1</v>
      </c>
      <c r="T874" s="3">
        <f t="shared" si="363"/>
        <v>19633.477718075479</v>
      </c>
      <c r="U874" s="3">
        <f t="shared" si="364"/>
        <v>0.5</v>
      </c>
      <c r="V874" s="3">
        <f t="shared" si="365"/>
        <v>0</v>
      </c>
      <c r="W874" s="3">
        <f t="shared" si="366"/>
        <v>14900.832710983363</v>
      </c>
      <c r="X874" s="3">
        <f t="shared" si="358"/>
        <v>2619.8566770609646</v>
      </c>
      <c r="AI874" s="3"/>
      <c r="AJ874" s="3"/>
      <c r="AK874" s="15">
        <f t="shared" si="349"/>
        <v>4</v>
      </c>
      <c r="AL874" s="11">
        <f t="shared" si="353"/>
        <v>5190</v>
      </c>
      <c r="AM874" s="11" t="b">
        <f t="shared" si="348"/>
        <v>0</v>
      </c>
      <c r="AN874" s="11">
        <f t="shared" si="350"/>
        <v>36000</v>
      </c>
      <c r="AO874" s="11">
        <f t="shared" si="351"/>
        <v>0</v>
      </c>
      <c r="AP874" s="11">
        <f t="shared" si="352"/>
        <v>0.47934334306491311</v>
      </c>
      <c r="AQ874" s="11">
        <f t="shared" si="354"/>
        <v>0</v>
      </c>
      <c r="AT874" s="3"/>
      <c r="AU874" s="17"/>
      <c r="AV874" s="19"/>
      <c r="AW874" s="17"/>
      <c r="AX874" s="17">
        <f t="shared" si="347"/>
        <v>865</v>
      </c>
      <c r="AY874" s="17">
        <f t="shared" si="372"/>
        <v>86.5</v>
      </c>
      <c r="AZ874" s="17">
        <v>47.934334306491309</v>
      </c>
      <c r="BA874" s="17"/>
      <c r="BB874" s="17">
        <v>36</v>
      </c>
      <c r="BC874" s="17"/>
      <c r="BD874" s="17"/>
      <c r="BE874" s="17"/>
      <c r="BF874" s="17"/>
      <c r="BG874" s="17"/>
      <c r="BH874" s="17"/>
      <c r="BI874" s="17"/>
      <c r="BJ874" s="17"/>
      <c r="BK874" s="17"/>
      <c r="BL874" s="17"/>
      <c r="BM874" s="17"/>
      <c r="BN874" s="17"/>
      <c r="BO874" s="17"/>
      <c r="BP874" s="17"/>
      <c r="BQ874" s="17"/>
      <c r="BR874" s="17"/>
      <c r="BS874" s="17"/>
      <c r="BT874" s="17"/>
      <c r="BU874" s="17"/>
      <c r="BV874" s="17"/>
      <c r="BW874" s="17"/>
      <c r="BX874" s="17"/>
      <c r="BY874" s="17"/>
      <c r="BZ874" s="17"/>
      <c r="CA874" s="17"/>
      <c r="CB874" s="17"/>
      <c r="CC874" s="17"/>
      <c r="CD874" s="17"/>
      <c r="CE874" s="17"/>
      <c r="CF874" s="17"/>
      <c r="CG874" s="17"/>
      <c r="CH874" s="17"/>
    </row>
    <row r="875" spans="8:86" x14ac:dyDescent="0.15">
      <c r="H875" s="3">
        <f t="shared" si="367"/>
        <v>0.86300000000000066</v>
      </c>
      <c r="I875" s="3">
        <f t="shared" si="368"/>
        <v>360</v>
      </c>
      <c r="J875" s="14">
        <f t="shared" si="369"/>
        <v>500</v>
      </c>
      <c r="K875" s="3">
        <f t="shared" si="359"/>
        <v>0</v>
      </c>
      <c r="L875" s="3">
        <f t="shared" si="355"/>
        <v>500</v>
      </c>
      <c r="M875" s="15">
        <f t="shared" si="370"/>
        <v>7.0000000000000007E-2</v>
      </c>
      <c r="N875" s="3">
        <f t="shared" si="371"/>
        <v>41.336664536848019</v>
      </c>
      <c r="O875" s="3">
        <f t="shared" si="356"/>
        <v>41.336664536848019</v>
      </c>
      <c r="P875" s="3">
        <f t="shared" si="360"/>
        <v>44.44802638370755</v>
      </c>
      <c r="Q875" s="3">
        <f t="shared" si="361"/>
        <v>5.2004463986857781</v>
      </c>
      <c r="R875" s="3">
        <f t="shared" si="362"/>
        <v>24.824236391196663</v>
      </c>
      <c r="S875" s="3">
        <f t="shared" si="357"/>
        <v>1</v>
      </c>
      <c r="T875" s="3">
        <f t="shared" si="363"/>
        <v>19623.789992510887</v>
      </c>
      <c r="U875" s="3">
        <f t="shared" si="364"/>
        <v>0.5</v>
      </c>
      <c r="V875" s="3">
        <f t="shared" si="365"/>
        <v>0</v>
      </c>
      <c r="W875" s="3">
        <f t="shared" si="366"/>
        <v>14881.199233265286</v>
      </c>
      <c r="X875" s="3">
        <f t="shared" si="358"/>
        <v>2600.2231993428891</v>
      </c>
      <c r="AI875" s="3"/>
      <c r="AJ875" s="3"/>
      <c r="AK875" s="15">
        <f t="shared" si="349"/>
        <v>4</v>
      </c>
      <c r="AL875" s="11">
        <f t="shared" si="353"/>
        <v>5196</v>
      </c>
      <c r="AM875" s="11" t="b">
        <f t="shared" si="348"/>
        <v>0</v>
      </c>
      <c r="AN875" s="11">
        <f t="shared" si="350"/>
        <v>36000</v>
      </c>
      <c r="AO875" s="11">
        <f t="shared" si="351"/>
        <v>0</v>
      </c>
      <c r="AP875" s="11">
        <f t="shared" si="352"/>
        <v>0.48044565787972798</v>
      </c>
      <c r="AQ875" s="11">
        <f t="shared" si="354"/>
        <v>0</v>
      </c>
      <c r="AT875" s="3"/>
      <c r="AU875" s="17"/>
      <c r="AV875" s="19"/>
      <c r="AW875" s="17"/>
      <c r="AX875" s="17">
        <f t="shared" si="347"/>
        <v>866</v>
      </c>
      <c r="AY875" s="17">
        <f t="shared" si="372"/>
        <v>86.6</v>
      </c>
      <c r="AZ875" s="17">
        <v>48.0445657879728</v>
      </c>
      <c r="BA875" s="17"/>
      <c r="BB875" s="17">
        <v>36</v>
      </c>
      <c r="BC875" s="17"/>
      <c r="BD875" s="17"/>
      <c r="BE875" s="17"/>
      <c r="BF875" s="17"/>
      <c r="BG875" s="17"/>
      <c r="BH875" s="17"/>
      <c r="BI875" s="17"/>
      <c r="BJ875" s="17"/>
      <c r="BK875" s="17"/>
      <c r="BL875" s="17"/>
      <c r="BM875" s="17"/>
      <c r="BN875" s="17"/>
      <c r="BO875" s="17"/>
      <c r="BP875" s="17"/>
      <c r="BQ875" s="17"/>
      <c r="BR875" s="17"/>
      <c r="BS875" s="17"/>
      <c r="BT875" s="17"/>
      <c r="BU875" s="17"/>
      <c r="BV875" s="17"/>
      <c r="BW875" s="17"/>
      <c r="BX875" s="17"/>
      <c r="BY875" s="17"/>
      <c r="BZ875" s="17"/>
      <c r="CA875" s="17"/>
      <c r="CB875" s="17"/>
      <c r="CC875" s="17"/>
      <c r="CD875" s="17"/>
      <c r="CE875" s="17"/>
      <c r="CF875" s="17"/>
      <c r="CG875" s="17"/>
      <c r="CH875" s="17"/>
    </row>
    <row r="876" spans="8:86" x14ac:dyDescent="0.15">
      <c r="H876" s="3">
        <f t="shared" si="367"/>
        <v>0.86400000000000066</v>
      </c>
      <c r="I876" s="3">
        <f t="shared" si="368"/>
        <v>360</v>
      </c>
      <c r="J876" s="14">
        <f t="shared" si="369"/>
        <v>500</v>
      </c>
      <c r="K876" s="3">
        <f t="shared" si="359"/>
        <v>0</v>
      </c>
      <c r="L876" s="3">
        <f t="shared" si="355"/>
        <v>500</v>
      </c>
      <c r="M876" s="15">
        <f t="shared" si="370"/>
        <v>7.0000000000000007E-2</v>
      </c>
      <c r="N876" s="3">
        <f t="shared" si="371"/>
        <v>41.282154009091045</v>
      </c>
      <c r="O876" s="3">
        <f t="shared" si="356"/>
        <v>41.282154009091045</v>
      </c>
      <c r="P876" s="3">
        <f t="shared" si="360"/>
        <v>44.389412913001124</v>
      </c>
      <c r="Q876" s="3">
        <f t="shared" si="361"/>
        <v>5.1611988187007567</v>
      </c>
      <c r="R876" s="3">
        <f t="shared" si="362"/>
        <v>24.775305865850939</v>
      </c>
      <c r="S876" s="3">
        <f t="shared" si="357"/>
        <v>1</v>
      </c>
      <c r="T876" s="3">
        <f t="shared" si="363"/>
        <v>19614.107047150184</v>
      </c>
      <c r="U876" s="3">
        <f t="shared" si="364"/>
        <v>0.5</v>
      </c>
      <c r="V876" s="3">
        <f t="shared" si="365"/>
        <v>0</v>
      </c>
      <c r="W876" s="3">
        <f t="shared" si="366"/>
        <v>14861.575443272775</v>
      </c>
      <c r="X876" s="3">
        <f t="shared" si="358"/>
        <v>2580.5994093503782</v>
      </c>
      <c r="AI876" s="3"/>
      <c r="AJ876" s="3"/>
      <c r="AK876" s="15">
        <f t="shared" si="349"/>
        <v>4</v>
      </c>
      <c r="AL876" s="11">
        <f t="shared" si="353"/>
        <v>5202</v>
      </c>
      <c r="AM876" s="11" t="b">
        <f t="shared" si="348"/>
        <v>0</v>
      </c>
      <c r="AN876" s="11">
        <f t="shared" si="350"/>
        <v>36000</v>
      </c>
      <c r="AO876" s="11">
        <f t="shared" si="351"/>
        <v>0</v>
      </c>
      <c r="AP876" s="11">
        <f t="shared" si="352"/>
        <v>0.4815479726945428</v>
      </c>
      <c r="AQ876" s="11">
        <f t="shared" si="354"/>
        <v>0</v>
      </c>
      <c r="AT876" s="3"/>
      <c r="AU876" s="17"/>
      <c r="AV876" s="19"/>
      <c r="AW876" s="17"/>
      <c r="AX876" s="17">
        <f t="shared" si="347"/>
        <v>867</v>
      </c>
      <c r="AY876" s="17">
        <f t="shared" si="372"/>
        <v>86.7</v>
      </c>
      <c r="AZ876" s="17">
        <v>48.154797269454278</v>
      </c>
      <c r="BA876" s="17"/>
      <c r="BB876" s="17">
        <v>36</v>
      </c>
      <c r="BC876" s="17"/>
      <c r="BD876" s="17"/>
      <c r="BE876" s="17"/>
      <c r="BF876" s="17"/>
      <c r="BG876" s="17"/>
      <c r="BH876" s="17"/>
      <c r="BI876" s="17"/>
      <c r="BJ876" s="17"/>
      <c r="BK876" s="17"/>
      <c r="BL876" s="17"/>
      <c r="BM876" s="17"/>
      <c r="BN876" s="17"/>
      <c r="BO876" s="17"/>
      <c r="BP876" s="17"/>
      <c r="BQ876" s="17"/>
      <c r="BR876" s="17"/>
      <c r="BS876" s="17"/>
      <c r="BT876" s="17"/>
      <c r="BU876" s="17"/>
      <c r="BV876" s="17"/>
      <c r="BW876" s="17"/>
      <c r="BX876" s="17"/>
      <c r="BY876" s="17"/>
      <c r="BZ876" s="17"/>
      <c r="CA876" s="17"/>
      <c r="CB876" s="17"/>
      <c r="CC876" s="17"/>
      <c r="CD876" s="17"/>
      <c r="CE876" s="17"/>
      <c r="CF876" s="17"/>
      <c r="CG876" s="17"/>
      <c r="CH876" s="17"/>
    </row>
    <row r="877" spans="8:86" x14ac:dyDescent="0.15">
      <c r="H877" s="3">
        <f t="shared" si="367"/>
        <v>0.86500000000000066</v>
      </c>
      <c r="I877" s="3">
        <f t="shared" si="368"/>
        <v>360</v>
      </c>
      <c r="J877" s="14">
        <f t="shared" si="369"/>
        <v>500</v>
      </c>
      <c r="K877" s="3">
        <f t="shared" si="359"/>
        <v>0</v>
      </c>
      <c r="L877" s="3">
        <f t="shared" si="355"/>
        <v>500</v>
      </c>
      <c r="M877" s="15">
        <f t="shared" si="370"/>
        <v>7.0000000000000007E-2</v>
      </c>
      <c r="N877" s="3">
        <f t="shared" si="371"/>
        <v>41.227670378404518</v>
      </c>
      <c r="O877" s="3">
        <f t="shared" si="356"/>
        <v>41.227670378404518</v>
      </c>
      <c r="P877" s="3">
        <f t="shared" si="360"/>
        <v>44.330828363875831</v>
      </c>
      <c r="Q877" s="3">
        <f t="shared" si="361"/>
        <v>5.1219706046064557</v>
      </c>
      <c r="R877" s="3">
        <f t="shared" si="362"/>
        <v>24.726399484241142</v>
      </c>
      <c r="S877" s="3">
        <f t="shared" si="357"/>
        <v>1</v>
      </c>
      <c r="T877" s="3">
        <f t="shared" si="363"/>
        <v>19604.428879634688</v>
      </c>
      <c r="U877" s="3">
        <f t="shared" si="364"/>
        <v>0.5</v>
      </c>
      <c r="V877" s="3">
        <f t="shared" si="365"/>
        <v>0</v>
      </c>
      <c r="W877" s="3">
        <f t="shared" si="366"/>
        <v>14841.961336225626</v>
      </c>
      <c r="X877" s="3">
        <f t="shared" si="358"/>
        <v>2560.9853023032279</v>
      </c>
      <c r="AI877" s="3"/>
      <c r="AJ877" s="3"/>
      <c r="AK877" s="15">
        <f t="shared" si="349"/>
        <v>4</v>
      </c>
      <c r="AL877" s="11">
        <f t="shared" si="353"/>
        <v>5208</v>
      </c>
      <c r="AM877" s="11" t="b">
        <f t="shared" si="348"/>
        <v>0</v>
      </c>
      <c r="AN877" s="11">
        <f t="shared" si="350"/>
        <v>36000</v>
      </c>
      <c r="AO877" s="11">
        <f t="shared" si="351"/>
        <v>0</v>
      </c>
      <c r="AP877" s="11">
        <f t="shared" si="352"/>
        <v>0.48265028750935762</v>
      </c>
      <c r="AQ877" s="11">
        <f t="shared" si="354"/>
        <v>0</v>
      </c>
      <c r="AT877" s="3"/>
      <c r="AU877" s="17"/>
      <c r="AV877" s="19"/>
      <c r="AW877" s="17"/>
      <c r="AX877" s="17">
        <f t="shared" si="347"/>
        <v>868</v>
      </c>
      <c r="AY877" s="17">
        <f t="shared" si="372"/>
        <v>86.8</v>
      </c>
      <c r="AZ877" s="17">
        <v>48.265028750935763</v>
      </c>
      <c r="BA877" s="17"/>
      <c r="BB877" s="17">
        <v>36</v>
      </c>
      <c r="BC877" s="17"/>
      <c r="BD877" s="17"/>
      <c r="BE877" s="17"/>
      <c r="BF877" s="17"/>
      <c r="BG877" s="17"/>
      <c r="BH877" s="17"/>
      <c r="BI877" s="17"/>
      <c r="BJ877" s="17"/>
      <c r="BK877" s="17"/>
      <c r="BL877" s="17"/>
      <c r="BM877" s="17"/>
      <c r="BN877" s="17"/>
      <c r="BO877" s="17"/>
      <c r="BP877" s="17"/>
      <c r="BQ877" s="17"/>
      <c r="BR877" s="17"/>
      <c r="BS877" s="17"/>
      <c r="BT877" s="17"/>
      <c r="BU877" s="17"/>
      <c r="BV877" s="17"/>
      <c r="BW877" s="17"/>
      <c r="BX877" s="17"/>
      <c r="BY877" s="17"/>
      <c r="BZ877" s="17"/>
      <c r="CA877" s="17"/>
      <c r="CB877" s="17"/>
      <c r="CC877" s="17"/>
      <c r="CD877" s="17"/>
      <c r="CE877" s="17"/>
      <c r="CF877" s="17"/>
      <c r="CG877" s="17"/>
      <c r="CH877" s="17"/>
    </row>
    <row r="878" spans="8:86" x14ac:dyDescent="0.15">
      <c r="H878" s="3">
        <f t="shared" si="367"/>
        <v>0.86600000000000066</v>
      </c>
      <c r="I878" s="3">
        <f t="shared" si="368"/>
        <v>360</v>
      </c>
      <c r="J878" s="14">
        <f t="shared" si="369"/>
        <v>500</v>
      </c>
      <c r="K878" s="3">
        <f t="shared" si="359"/>
        <v>0</v>
      </c>
      <c r="L878" s="3">
        <f t="shared" si="355"/>
        <v>500</v>
      </c>
      <c r="M878" s="15">
        <f t="shared" si="370"/>
        <v>7.0000000000000007E-2</v>
      </c>
      <c r="N878" s="3">
        <f t="shared" si="371"/>
        <v>41.173213631516646</v>
      </c>
      <c r="O878" s="3">
        <f t="shared" si="356"/>
        <v>41.173213631516646</v>
      </c>
      <c r="P878" s="3">
        <f t="shared" si="360"/>
        <v>44.272272722060912</v>
      </c>
      <c r="Q878" s="3">
        <f t="shared" si="361"/>
        <v>5.0827617468471864</v>
      </c>
      <c r="R878" s="3">
        <f t="shared" si="362"/>
        <v>24.677517234454051</v>
      </c>
      <c r="S878" s="3">
        <f t="shared" si="357"/>
        <v>1</v>
      </c>
      <c r="T878" s="3">
        <f t="shared" si="363"/>
        <v>19594.755487606861</v>
      </c>
      <c r="U878" s="3">
        <f t="shared" si="364"/>
        <v>0.5</v>
      </c>
      <c r="V878" s="3">
        <f t="shared" si="365"/>
        <v>0</v>
      </c>
      <c r="W878" s="3">
        <f t="shared" si="366"/>
        <v>14822.356907345993</v>
      </c>
      <c r="X878" s="3">
        <f t="shared" si="358"/>
        <v>2541.3808734235931</v>
      </c>
      <c r="AI878" s="3"/>
      <c r="AJ878" s="3"/>
      <c r="AK878" s="15">
        <f t="shared" si="349"/>
        <v>4</v>
      </c>
      <c r="AL878" s="11">
        <f t="shared" si="353"/>
        <v>5214</v>
      </c>
      <c r="AM878" s="11" t="b">
        <f t="shared" si="348"/>
        <v>0</v>
      </c>
      <c r="AN878" s="11">
        <f t="shared" si="350"/>
        <v>36000</v>
      </c>
      <c r="AO878" s="11">
        <f t="shared" si="351"/>
        <v>0</v>
      </c>
      <c r="AP878" s="11">
        <f t="shared" si="352"/>
        <v>0.4837526023241725</v>
      </c>
      <c r="AQ878" s="11">
        <f t="shared" si="354"/>
        <v>0</v>
      </c>
      <c r="AT878" s="3"/>
      <c r="AU878" s="17"/>
      <c r="AV878" s="19"/>
      <c r="AW878" s="17"/>
      <c r="AX878" s="17">
        <f t="shared" ref="AX878:AX941" si="373">IF(AX877&gt;=$AG$14,$AG$14,AX877+1)</f>
        <v>869</v>
      </c>
      <c r="AY878" s="17">
        <f t="shared" si="372"/>
        <v>86.9</v>
      </c>
      <c r="AZ878" s="17">
        <v>48.375260232417247</v>
      </c>
      <c r="BA878" s="17"/>
      <c r="BB878" s="17">
        <v>36</v>
      </c>
      <c r="BC878" s="17"/>
      <c r="BD878" s="17"/>
      <c r="BE878" s="17"/>
      <c r="BF878" s="17"/>
      <c r="BG878" s="17"/>
      <c r="BH878" s="17"/>
      <c r="BI878" s="17"/>
      <c r="BJ878" s="17"/>
      <c r="BK878" s="17"/>
      <c r="BL878" s="17"/>
      <c r="BM878" s="17"/>
      <c r="BN878" s="17"/>
      <c r="BO878" s="17"/>
      <c r="BP878" s="17"/>
      <c r="BQ878" s="17"/>
      <c r="BR878" s="17"/>
      <c r="BS878" s="17"/>
      <c r="BT878" s="17"/>
      <c r="BU878" s="17"/>
      <c r="BV878" s="17"/>
      <c r="BW878" s="17"/>
      <c r="BX878" s="17"/>
      <c r="BY878" s="17"/>
      <c r="BZ878" s="17"/>
      <c r="CA878" s="17"/>
      <c r="CB878" s="17"/>
      <c r="CC878" s="17"/>
      <c r="CD878" s="17"/>
      <c r="CE878" s="17"/>
      <c r="CF878" s="17"/>
      <c r="CG878" s="17"/>
      <c r="CH878" s="17"/>
    </row>
    <row r="879" spans="8:86" x14ac:dyDescent="0.15">
      <c r="H879" s="3">
        <f t="shared" si="367"/>
        <v>0.86700000000000066</v>
      </c>
      <c r="I879" s="3">
        <f t="shared" si="368"/>
        <v>360</v>
      </c>
      <c r="J879" s="14">
        <f t="shared" si="369"/>
        <v>500</v>
      </c>
      <c r="K879" s="3">
        <f t="shared" si="359"/>
        <v>0</v>
      </c>
      <c r="L879" s="3">
        <f t="shared" si="355"/>
        <v>500</v>
      </c>
      <c r="M879" s="15">
        <f t="shared" si="370"/>
        <v>7.0000000000000007E-2</v>
      </c>
      <c r="N879" s="3">
        <f t="shared" si="371"/>
        <v>41.118783755162184</v>
      </c>
      <c r="O879" s="3">
        <f t="shared" si="356"/>
        <v>41.118783755162184</v>
      </c>
      <c r="P879" s="3">
        <f t="shared" si="360"/>
        <v>44.213745973292674</v>
      </c>
      <c r="Q879" s="3">
        <f t="shared" si="361"/>
        <v>5.0435722358719719</v>
      </c>
      <c r="R879" s="3">
        <f t="shared" si="362"/>
        <v>24.628659104582322</v>
      </c>
      <c r="S879" s="3">
        <f t="shared" si="357"/>
        <v>1</v>
      </c>
      <c r="T879" s="3">
        <f t="shared" si="363"/>
        <v>19585.086868710354</v>
      </c>
      <c r="U879" s="3">
        <f t="shared" si="364"/>
        <v>0.5</v>
      </c>
      <c r="V879" s="3">
        <f t="shared" si="365"/>
        <v>0</v>
      </c>
      <c r="W879" s="3">
        <f t="shared" si="366"/>
        <v>14802.762151858386</v>
      </c>
      <c r="X879" s="3">
        <f t="shared" si="358"/>
        <v>2521.7861179359861</v>
      </c>
      <c r="AI879" s="3"/>
      <c r="AJ879" s="3"/>
      <c r="AK879" s="15">
        <f t="shared" si="349"/>
        <v>4</v>
      </c>
      <c r="AL879" s="11">
        <f t="shared" si="353"/>
        <v>5220</v>
      </c>
      <c r="AM879" s="11" t="b">
        <f t="shared" si="348"/>
        <v>0</v>
      </c>
      <c r="AN879" s="11">
        <f t="shared" si="350"/>
        <v>36000</v>
      </c>
      <c r="AO879" s="11">
        <f t="shared" si="351"/>
        <v>0</v>
      </c>
      <c r="AP879" s="11">
        <f t="shared" si="352"/>
        <v>0.48485491713898732</v>
      </c>
      <c r="AQ879" s="11">
        <f t="shared" si="354"/>
        <v>0</v>
      </c>
      <c r="AT879" s="3"/>
      <c r="AU879" s="17"/>
      <c r="AV879" s="19"/>
      <c r="AW879" s="17"/>
      <c r="AX879" s="17">
        <f t="shared" si="373"/>
        <v>870</v>
      </c>
      <c r="AY879" s="17">
        <f t="shared" si="372"/>
        <v>87</v>
      </c>
      <c r="AZ879" s="17">
        <v>48.485491713898732</v>
      </c>
      <c r="BA879" s="17"/>
      <c r="BB879" s="17">
        <v>36</v>
      </c>
      <c r="BC879" s="17"/>
      <c r="BD879" s="17"/>
      <c r="BE879" s="17"/>
      <c r="BF879" s="17"/>
      <c r="BG879" s="17"/>
      <c r="BH879" s="17"/>
      <c r="BI879" s="17"/>
      <c r="BJ879" s="17"/>
      <c r="BK879" s="17"/>
      <c r="BL879" s="17"/>
      <c r="BM879" s="17"/>
      <c r="BN879" s="17"/>
      <c r="BO879" s="17"/>
      <c r="BP879" s="17"/>
      <c r="BQ879" s="17"/>
      <c r="BR879" s="17"/>
      <c r="BS879" s="17"/>
      <c r="BT879" s="17"/>
      <c r="BU879" s="17"/>
      <c r="BV879" s="17"/>
      <c r="BW879" s="17"/>
      <c r="BX879" s="17"/>
      <c r="BY879" s="17"/>
      <c r="BZ879" s="17"/>
      <c r="CA879" s="17"/>
      <c r="CB879" s="17"/>
      <c r="CC879" s="17"/>
      <c r="CD879" s="17"/>
      <c r="CE879" s="17"/>
      <c r="CF879" s="17"/>
      <c r="CG879" s="17"/>
      <c r="CH879" s="17"/>
    </row>
    <row r="880" spans="8:86" x14ac:dyDescent="0.15">
      <c r="H880" s="3">
        <f t="shared" si="367"/>
        <v>0.86800000000000066</v>
      </c>
      <c r="I880" s="3">
        <f t="shared" si="368"/>
        <v>360</v>
      </c>
      <c r="J880" s="14">
        <f t="shared" si="369"/>
        <v>500</v>
      </c>
      <c r="K880" s="3">
        <f t="shared" si="359"/>
        <v>0</v>
      </c>
      <c r="L880" s="3">
        <f t="shared" si="355"/>
        <v>500</v>
      </c>
      <c r="M880" s="15">
        <f t="shared" si="370"/>
        <v>7.0000000000000007E-2</v>
      </c>
      <c r="N880" s="3">
        <f t="shared" si="371"/>
        <v>41.064380736082434</v>
      </c>
      <c r="O880" s="3">
        <f t="shared" si="356"/>
        <v>41.064380736082434</v>
      </c>
      <c r="P880" s="3">
        <f t="shared" si="360"/>
        <v>44.155248103314449</v>
      </c>
      <c r="Q880" s="3">
        <f t="shared" si="361"/>
        <v>5.0044020621345515</v>
      </c>
      <c r="R880" s="3">
        <f t="shared" si="362"/>
        <v>24.579825082724501</v>
      </c>
      <c r="S880" s="3">
        <f t="shared" si="357"/>
        <v>1</v>
      </c>
      <c r="T880" s="3">
        <f t="shared" si="363"/>
        <v>19575.423020589948</v>
      </c>
      <c r="U880" s="3">
        <f t="shared" si="364"/>
        <v>0.5</v>
      </c>
      <c r="V880" s="3">
        <f t="shared" si="365"/>
        <v>0</v>
      </c>
      <c r="W880" s="3">
        <f t="shared" si="366"/>
        <v>14783.177064989677</v>
      </c>
      <c r="X880" s="3">
        <f t="shared" si="358"/>
        <v>2502.2010310672758</v>
      </c>
      <c r="AI880" s="3"/>
      <c r="AJ880" s="3"/>
      <c r="AK880" s="15">
        <f t="shared" si="349"/>
        <v>4</v>
      </c>
      <c r="AL880" s="11">
        <f t="shared" si="353"/>
        <v>5226</v>
      </c>
      <c r="AM880" s="11" t="b">
        <f t="shared" si="348"/>
        <v>0</v>
      </c>
      <c r="AN880" s="11">
        <f t="shared" si="350"/>
        <v>36000</v>
      </c>
      <c r="AO880" s="11">
        <f t="shared" si="351"/>
        <v>0</v>
      </c>
      <c r="AP880" s="11">
        <f t="shared" si="352"/>
        <v>0.48595723195380219</v>
      </c>
      <c r="AQ880" s="11">
        <f t="shared" si="354"/>
        <v>0</v>
      </c>
      <c r="AT880" s="3"/>
      <c r="AU880" s="17"/>
      <c r="AV880" s="19"/>
      <c r="AW880" s="17"/>
      <c r="AX880" s="17">
        <f t="shared" si="373"/>
        <v>871</v>
      </c>
      <c r="AY880" s="17">
        <f t="shared" si="372"/>
        <v>87.1</v>
      </c>
      <c r="AZ880" s="17">
        <v>48.595723195380216</v>
      </c>
      <c r="BA880" s="17"/>
      <c r="BB880" s="17">
        <v>36</v>
      </c>
      <c r="BC880" s="17"/>
      <c r="BD880" s="17"/>
      <c r="BE880" s="17"/>
      <c r="BF880" s="17"/>
      <c r="BG880" s="17"/>
      <c r="BH880" s="17"/>
      <c r="BI880" s="17"/>
      <c r="BJ880" s="17"/>
      <c r="BK880" s="17"/>
      <c r="BL880" s="17"/>
      <c r="BM880" s="17"/>
      <c r="BN880" s="17"/>
      <c r="BO880" s="17"/>
      <c r="BP880" s="17"/>
      <c r="BQ880" s="17"/>
      <c r="BR880" s="17"/>
      <c r="BS880" s="17"/>
      <c r="BT880" s="17"/>
      <c r="BU880" s="17"/>
      <c r="BV880" s="17"/>
      <c r="BW880" s="17"/>
      <c r="BX880" s="17"/>
      <c r="BY880" s="17"/>
      <c r="BZ880" s="17"/>
      <c r="CA880" s="17"/>
      <c r="CB880" s="17"/>
      <c r="CC880" s="17"/>
      <c r="CD880" s="17"/>
      <c r="CE880" s="17"/>
      <c r="CF880" s="17"/>
      <c r="CG880" s="17"/>
      <c r="CH880" s="17"/>
    </row>
    <row r="881" spans="8:86" x14ac:dyDescent="0.15">
      <c r="H881" s="3">
        <f t="shared" si="367"/>
        <v>0.86900000000000066</v>
      </c>
      <c r="I881" s="3">
        <f t="shared" si="368"/>
        <v>360</v>
      </c>
      <c r="J881" s="14">
        <f t="shared" si="369"/>
        <v>500</v>
      </c>
      <c r="K881" s="3">
        <f t="shared" si="359"/>
        <v>0</v>
      </c>
      <c r="L881" s="3">
        <f t="shared" si="355"/>
        <v>500</v>
      </c>
      <c r="M881" s="15">
        <f t="shared" si="370"/>
        <v>7.0000000000000007E-2</v>
      </c>
      <c r="N881" s="3">
        <f t="shared" si="371"/>
        <v>41.010004561025241</v>
      </c>
      <c r="O881" s="3">
        <f t="shared" si="356"/>
        <v>41.010004561025241</v>
      </c>
      <c r="P881" s="3">
        <f t="shared" si="360"/>
        <v>44.096779097876606</v>
      </c>
      <c r="Q881" s="3">
        <f t="shared" si="361"/>
        <v>4.9652512160933719</v>
      </c>
      <c r="R881" s="3">
        <f t="shared" si="362"/>
        <v>24.531015156984989</v>
      </c>
      <c r="S881" s="3">
        <f t="shared" si="357"/>
        <v>1</v>
      </c>
      <c r="T881" s="3">
        <f t="shared" si="363"/>
        <v>19565.763940891618</v>
      </c>
      <c r="U881" s="3">
        <f t="shared" si="364"/>
        <v>0.5</v>
      </c>
      <c r="V881" s="3">
        <f t="shared" si="365"/>
        <v>0</v>
      </c>
      <c r="W881" s="3">
        <f t="shared" si="366"/>
        <v>14763.601641969086</v>
      </c>
      <c r="X881" s="3">
        <f t="shared" si="358"/>
        <v>2482.625608046686</v>
      </c>
      <c r="AI881" s="3"/>
      <c r="AJ881" s="3"/>
      <c r="AK881" s="15">
        <f t="shared" si="349"/>
        <v>4</v>
      </c>
      <c r="AL881" s="11">
        <f t="shared" si="353"/>
        <v>5232</v>
      </c>
      <c r="AM881" s="11" t="b">
        <f t="shared" si="348"/>
        <v>0</v>
      </c>
      <c r="AN881" s="11">
        <f t="shared" si="350"/>
        <v>36000</v>
      </c>
      <c r="AO881" s="11">
        <f t="shared" si="351"/>
        <v>0</v>
      </c>
      <c r="AP881" s="11">
        <f t="shared" si="352"/>
        <v>0.48705954676861701</v>
      </c>
      <c r="AQ881" s="11">
        <f t="shared" si="354"/>
        <v>0</v>
      </c>
      <c r="AT881" s="3"/>
      <c r="AU881" s="17"/>
      <c r="AV881" s="19"/>
      <c r="AW881" s="17"/>
      <c r="AX881" s="17">
        <f t="shared" si="373"/>
        <v>872</v>
      </c>
      <c r="AY881" s="17">
        <f t="shared" si="372"/>
        <v>87.2</v>
      </c>
      <c r="AZ881" s="17">
        <v>48.705954676861701</v>
      </c>
      <c r="BA881" s="17"/>
      <c r="BB881" s="17">
        <v>36</v>
      </c>
      <c r="BC881" s="17"/>
      <c r="BD881" s="17"/>
      <c r="BE881" s="17"/>
      <c r="BF881" s="17"/>
      <c r="BG881" s="17"/>
      <c r="BH881" s="17"/>
      <c r="BI881" s="17"/>
      <c r="BJ881" s="17"/>
      <c r="BK881" s="17"/>
      <c r="BL881" s="17"/>
      <c r="BM881" s="17"/>
      <c r="BN881" s="17"/>
      <c r="BO881" s="17"/>
      <c r="BP881" s="17"/>
      <c r="BQ881" s="17"/>
      <c r="BR881" s="17"/>
      <c r="BS881" s="17"/>
      <c r="BT881" s="17"/>
      <c r="BU881" s="17"/>
      <c r="BV881" s="17"/>
      <c r="BW881" s="17"/>
      <c r="BX881" s="17"/>
      <c r="BY881" s="17"/>
      <c r="BZ881" s="17"/>
      <c r="CA881" s="17"/>
      <c r="CB881" s="17"/>
      <c r="CC881" s="17"/>
      <c r="CD881" s="17"/>
      <c r="CE881" s="17"/>
      <c r="CF881" s="17"/>
      <c r="CG881" s="17"/>
      <c r="CH881" s="17"/>
    </row>
    <row r="882" spans="8:86" x14ac:dyDescent="0.15">
      <c r="H882" s="3">
        <f t="shared" si="367"/>
        <v>0.87000000000000066</v>
      </c>
      <c r="I882" s="3">
        <f t="shared" si="368"/>
        <v>360</v>
      </c>
      <c r="J882" s="14">
        <f t="shared" si="369"/>
        <v>500</v>
      </c>
      <c r="K882" s="3">
        <f t="shared" si="359"/>
        <v>0</v>
      </c>
      <c r="L882" s="3">
        <f t="shared" si="355"/>
        <v>500</v>
      </c>
      <c r="M882" s="15">
        <f t="shared" si="370"/>
        <v>7.0000000000000007E-2</v>
      </c>
      <c r="N882" s="3">
        <f t="shared" si="371"/>
        <v>40.955655216744987</v>
      </c>
      <c r="O882" s="3">
        <f t="shared" si="356"/>
        <v>40.955655216744987</v>
      </c>
      <c r="P882" s="3">
        <f t="shared" si="360"/>
        <v>44.038338942736544</v>
      </c>
      <c r="Q882" s="3">
        <f t="shared" si="361"/>
        <v>4.926119688211589</v>
      </c>
      <c r="R882" s="3">
        <f t="shared" si="362"/>
        <v>24.482229315474065</v>
      </c>
      <c r="S882" s="3">
        <f t="shared" si="357"/>
        <v>1</v>
      </c>
      <c r="T882" s="3">
        <f t="shared" si="363"/>
        <v>19556.109627262478</v>
      </c>
      <c r="U882" s="3">
        <f t="shared" si="364"/>
        <v>0.5</v>
      </c>
      <c r="V882" s="3">
        <f t="shared" si="365"/>
        <v>0</v>
      </c>
      <c r="W882" s="3">
        <f t="shared" si="366"/>
        <v>14744.035878028195</v>
      </c>
      <c r="X882" s="3">
        <f t="shared" si="358"/>
        <v>2463.0598441057946</v>
      </c>
      <c r="AI882" s="3"/>
      <c r="AJ882" s="3"/>
      <c r="AK882" s="15">
        <f t="shared" si="349"/>
        <v>4</v>
      </c>
      <c r="AL882" s="11">
        <f t="shared" si="353"/>
        <v>5238</v>
      </c>
      <c r="AM882" s="11" t="b">
        <f t="shared" si="348"/>
        <v>0</v>
      </c>
      <c r="AN882" s="11">
        <f t="shared" si="350"/>
        <v>36000</v>
      </c>
      <c r="AO882" s="11">
        <f t="shared" si="351"/>
        <v>0</v>
      </c>
      <c r="AP882" s="11">
        <f t="shared" si="352"/>
        <v>0.48816186158343183</v>
      </c>
      <c r="AQ882" s="11">
        <f t="shared" si="354"/>
        <v>0</v>
      </c>
      <c r="AT882" s="3"/>
      <c r="AU882" s="17"/>
      <c r="AV882" s="19"/>
      <c r="AW882" s="17"/>
      <c r="AX882" s="17">
        <f t="shared" si="373"/>
        <v>873</v>
      </c>
      <c r="AY882" s="17">
        <f t="shared" si="372"/>
        <v>87.3</v>
      </c>
      <c r="AZ882" s="17">
        <v>48.816186158343186</v>
      </c>
      <c r="BA882" s="17"/>
      <c r="BB882" s="17">
        <v>36</v>
      </c>
      <c r="BC882" s="17"/>
      <c r="BD882" s="17"/>
      <c r="BE882" s="17"/>
      <c r="BF882" s="17"/>
      <c r="BG882" s="17"/>
      <c r="BH882" s="17"/>
      <c r="BI882" s="17"/>
      <c r="BJ882" s="17"/>
      <c r="BK882" s="17"/>
      <c r="BL882" s="17"/>
      <c r="BM882" s="17"/>
      <c r="BN882" s="17"/>
      <c r="BO882" s="17"/>
      <c r="BP882" s="17"/>
      <c r="BQ882" s="17"/>
      <c r="BR882" s="17"/>
      <c r="BS882" s="17"/>
      <c r="BT882" s="17"/>
      <c r="BU882" s="17"/>
      <c r="BV882" s="17"/>
      <c r="BW882" s="17"/>
      <c r="BX882" s="17"/>
      <c r="BY882" s="17"/>
      <c r="BZ882" s="17"/>
      <c r="CA882" s="17"/>
      <c r="CB882" s="17"/>
      <c r="CC882" s="17"/>
      <c r="CD882" s="17"/>
      <c r="CE882" s="17"/>
      <c r="CF882" s="17"/>
      <c r="CG882" s="17"/>
      <c r="CH882" s="17"/>
    </row>
    <row r="883" spans="8:86" x14ac:dyDescent="0.15">
      <c r="H883" s="3">
        <f t="shared" si="367"/>
        <v>0.87100000000000066</v>
      </c>
      <c r="I883" s="3">
        <f t="shared" si="368"/>
        <v>360</v>
      </c>
      <c r="J883" s="14">
        <f t="shared" si="369"/>
        <v>500</v>
      </c>
      <c r="K883" s="3">
        <f t="shared" si="359"/>
        <v>0</v>
      </c>
      <c r="L883" s="3">
        <f t="shared" si="355"/>
        <v>500</v>
      </c>
      <c r="M883" s="15">
        <f t="shared" si="370"/>
        <v>7.0000000000000007E-2</v>
      </c>
      <c r="N883" s="3">
        <f t="shared" si="371"/>
        <v>40.90133269000259</v>
      </c>
      <c r="O883" s="3">
        <f t="shared" si="356"/>
        <v>40.90133269000259</v>
      </c>
      <c r="P883" s="3">
        <f t="shared" si="360"/>
        <v>43.979927623658703</v>
      </c>
      <c r="Q883" s="3">
        <f t="shared" si="361"/>
        <v>4.8870074689570639</v>
      </c>
      <c r="R883" s="3">
        <f t="shared" si="362"/>
        <v>24.433467546307885</v>
      </c>
      <c r="S883" s="3">
        <f t="shared" si="357"/>
        <v>1</v>
      </c>
      <c r="T883" s="3">
        <f t="shared" si="363"/>
        <v>19546.460077350817</v>
      </c>
      <c r="U883" s="3">
        <f t="shared" si="364"/>
        <v>0.5</v>
      </c>
      <c r="V883" s="3">
        <f t="shared" si="365"/>
        <v>0</v>
      </c>
      <c r="W883" s="3">
        <f t="shared" si="366"/>
        <v>14724.479768400932</v>
      </c>
      <c r="X883" s="3">
        <f t="shared" si="358"/>
        <v>2443.5037344785319</v>
      </c>
      <c r="AI883" s="3"/>
      <c r="AJ883" s="3"/>
      <c r="AK883" s="15">
        <f t="shared" si="349"/>
        <v>4</v>
      </c>
      <c r="AL883" s="11">
        <f t="shared" si="353"/>
        <v>5244</v>
      </c>
      <c r="AM883" s="11" t="b">
        <f t="shared" si="348"/>
        <v>0</v>
      </c>
      <c r="AN883" s="11">
        <f t="shared" si="350"/>
        <v>36000</v>
      </c>
      <c r="AO883" s="11">
        <f t="shared" si="351"/>
        <v>0</v>
      </c>
      <c r="AP883" s="11">
        <f t="shared" si="352"/>
        <v>0.48926417639824671</v>
      </c>
      <c r="AQ883" s="11">
        <f t="shared" si="354"/>
        <v>0</v>
      </c>
      <c r="AT883" s="3"/>
      <c r="AU883" s="17"/>
      <c r="AV883" s="19"/>
      <c r="AW883" s="17"/>
      <c r="AX883" s="17">
        <f t="shared" si="373"/>
        <v>874</v>
      </c>
      <c r="AY883" s="17">
        <f t="shared" si="372"/>
        <v>87.4</v>
      </c>
      <c r="AZ883" s="17">
        <v>48.92641763982467</v>
      </c>
      <c r="BA883" s="17"/>
      <c r="BB883" s="17">
        <v>36</v>
      </c>
      <c r="BC883" s="17"/>
      <c r="BD883" s="17"/>
      <c r="BE883" s="17"/>
      <c r="BF883" s="17"/>
      <c r="BG883" s="17"/>
      <c r="BH883" s="17"/>
      <c r="BI883" s="17"/>
      <c r="BJ883" s="17"/>
      <c r="BK883" s="17"/>
      <c r="BL883" s="17"/>
      <c r="BM883" s="17"/>
      <c r="BN883" s="17"/>
      <c r="BO883" s="17"/>
      <c r="BP883" s="17"/>
      <c r="BQ883" s="17"/>
      <c r="BR883" s="17"/>
      <c r="BS883" s="17"/>
      <c r="BT883" s="17"/>
      <c r="BU883" s="17"/>
      <c r="BV883" s="17"/>
      <c r="BW883" s="17"/>
      <c r="BX883" s="17"/>
      <c r="BY883" s="17"/>
      <c r="BZ883" s="17"/>
      <c r="CA883" s="17"/>
      <c r="CB883" s="17"/>
      <c r="CC883" s="17"/>
      <c r="CD883" s="17"/>
      <c r="CE883" s="17"/>
      <c r="CF883" s="17"/>
      <c r="CG883" s="17"/>
      <c r="CH883" s="17"/>
    </row>
    <row r="884" spans="8:86" x14ac:dyDescent="0.15">
      <c r="H884" s="3">
        <f t="shared" si="367"/>
        <v>0.87200000000000066</v>
      </c>
      <c r="I884" s="3">
        <f t="shared" si="368"/>
        <v>360</v>
      </c>
      <c r="J884" s="14">
        <f t="shared" si="369"/>
        <v>500</v>
      </c>
      <c r="K884" s="3">
        <f t="shared" si="359"/>
        <v>0</v>
      </c>
      <c r="L884" s="3">
        <f t="shared" si="355"/>
        <v>500</v>
      </c>
      <c r="M884" s="15">
        <f t="shared" si="370"/>
        <v>7.0000000000000007E-2</v>
      </c>
      <c r="N884" s="3">
        <f t="shared" si="371"/>
        <v>40.847036967565501</v>
      </c>
      <c r="O884" s="3">
        <f t="shared" si="356"/>
        <v>40.847036967565501</v>
      </c>
      <c r="P884" s="3">
        <f t="shared" si="360"/>
        <v>43.921545126414522</v>
      </c>
      <c r="Q884" s="3">
        <f t="shared" si="361"/>
        <v>4.8479145488023621</v>
      </c>
      <c r="R884" s="3">
        <f t="shared" si="362"/>
        <v>24.384729837608443</v>
      </c>
      <c r="S884" s="3">
        <f t="shared" si="357"/>
        <v>1</v>
      </c>
      <c r="T884" s="3">
        <f t="shared" si="363"/>
        <v>19536.815288806079</v>
      </c>
      <c r="U884" s="3">
        <f t="shared" si="364"/>
        <v>0.5</v>
      </c>
      <c r="V884" s="3">
        <f t="shared" si="365"/>
        <v>0</v>
      </c>
      <c r="W884" s="3">
        <f t="shared" si="366"/>
        <v>14704.93330832358</v>
      </c>
      <c r="X884" s="3">
        <f t="shared" si="358"/>
        <v>2423.9572744011812</v>
      </c>
      <c r="AI884" s="3"/>
      <c r="AJ884" s="3"/>
      <c r="AK884" s="15">
        <f t="shared" si="349"/>
        <v>4</v>
      </c>
      <c r="AL884" s="11">
        <f t="shared" si="353"/>
        <v>5250</v>
      </c>
      <c r="AM884" s="11" t="b">
        <f t="shared" si="348"/>
        <v>0</v>
      </c>
      <c r="AN884" s="11">
        <f t="shared" si="350"/>
        <v>36000</v>
      </c>
      <c r="AO884" s="11">
        <f t="shared" si="351"/>
        <v>0</v>
      </c>
      <c r="AP884" s="11">
        <f t="shared" si="352"/>
        <v>0.49036649121306153</v>
      </c>
      <c r="AQ884" s="11">
        <f t="shared" si="354"/>
        <v>0</v>
      </c>
      <c r="AT884" s="3"/>
      <c r="AU884" s="17"/>
      <c r="AV884" s="19"/>
      <c r="AW884" s="17"/>
      <c r="AX884" s="17">
        <f t="shared" si="373"/>
        <v>875</v>
      </c>
      <c r="AY884" s="17">
        <f t="shared" si="372"/>
        <v>87.5</v>
      </c>
      <c r="AZ884" s="17">
        <v>49.036649121306155</v>
      </c>
      <c r="BA884" s="17"/>
      <c r="BB884" s="17">
        <v>36</v>
      </c>
      <c r="BC884" s="17"/>
      <c r="BD884" s="17"/>
      <c r="BE884" s="17"/>
      <c r="BF884" s="17"/>
      <c r="BG884" s="17"/>
      <c r="BH884" s="17"/>
      <c r="BI884" s="17"/>
      <c r="BJ884" s="17"/>
      <c r="BK884" s="17"/>
      <c r="BL884" s="17"/>
      <c r="BM884" s="17"/>
      <c r="BN884" s="17"/>
      <c r="BO884" s="17"/>
      <c r="BP884" s="17"/>
      <c r="BQ884" s="17"/>
      <c r="BR884" s="17"/>
      <c r="BS884" s="17"/>
      <c r="BT884" s="17"/>
      <c r="BU884" s="17"/>
      <c r="BV884" s="17"/>
      <c r="BW884" s="17"/>
      <c r="BX884" s="17"/>
      <c r="BY884" s="17"/>
      <c r="BZ884" s="17"/>
      <c r="CA884" s="17"/>
      <c r="CB884" s="17"/>
      <c r="CC884" s="17"/>
      <c r="CD884" s="17"/>
      <c r="CE884" s="17"/>
      <c r="CF884" s="17"/>
      <c r="CG884" s="17"/>
      <c r="CH884" s="17"/>
    </row>
    <row r="885" spans="8:86" x14ac:dyDescent="0.15">
      <c r="H885" s="3">
        <f t="shared" si="367"/>
        <v>0.87300000000000066</v>
      </c>
      <c r="I885" s="3">
        <f t="shared" si="368"/>
        <v>360</v>
      </c>
      <c r="J885" s="14">
        <f t="shared" si="369"/>
        <v>500</v>
      </c>
      <c r="K885" s="3">
        <f t="shared" si="359"/>
        <v>0</v>
      </c>
      <c r="L885" s="3">
        <f t="shared" si="355"/>
        <v>500</v>
      </c>
      <c r="M885" s="15">
        <f t="shared" si="370"/>
        <v>7.0000000000000007E-2</v>
      </c>
      <c r="N885" s="3">
        <f t="shared" si="371"/>
        <v>40.792768036207704</v>
      </c>
      <c r="O885" s="3">
        <f t="shared" si="356"/>
        <v>40.792768036207704</v>
      </c>
      <c r="P885" s="3">
        <f t="shared" si="360"/>
        <v>43.863191436782479</v>
      </c>
      <c r="Q885" s="3">
        <f t="shared" si="361"/>
        <v>4.8088409182247505</v>
      </c>
      <c r="R885" s="3">
        <f t="shared" si="362"/>
        <v>24.336016177503616</v>
      </c>
      <c r="S885" s="3">
        <f t="shared" si="357"/>
        <v>1</v>
      </c>
      <c r="T885" s="3">
        <f t="shared" si="363"/>
        <v>19527.175259278862</v>
      </c>
      <c r="U885" s="3">
        <f t="shared" si="364"/>
        <v>0.5</v>
      </c>
      <c r="V885" s="3">
        <f t="shared" si="365"/>
        <v>0</v>
      </c>
      <c r="W885" s="3">
        <f t="shared" si="366"/>
        <v>14685.396493034774</v>
      </c>
      <c r="X885" s="3">
        <f t="shared" si="358"/>
        <v>2404.4204591123753</v>
      </c>
      <c r="AI885" s="3"/>
      <c r="AJ885" s="3"/>
      <c r="AK885" s="15">
        <f t="shared" si="349"/>
        <v>4</v>
      </c>
      <c r="AL885" s="11">
        <f t="shared" si="353"/>
        <v>5256</v>
      </c>
      <c r="AM885" s="11" t="b">
        <f t="shared" si="348"/>
        <v>0</v>
      </c>
      <c r="AN885" s="11">
        <f t="shared" si="350"/>
        <v>36000</v>
      </c>
      <c r="AO885" s="11">
        <f t="shared" si="351"/>
        <v>0</v>
      </c>
      <c r="AP885" s="11">
        <f t="shared" si="352"/>
        <v>0.4914688060278764</v>
      </c>
      <c r="AQ885" s="11">
        <f t="shared" si="354"/>
        <v>0</v>
      </c>
      <c r="AT885" s="3"/>
      <c r="AU885" s="17"/>
      <c r="AV885" s="19"/>
      <c r="AW885" s="17"/>
      <c r="AX885" s="17">
        <f t="shared" si="373"/>
        <v>876</v>
      </c>
      <c r="AY885" s="17">
        <f t="shared" si="372"/>
        <v>87.6</v>
      </c>
      <c r="AZ885" s="17">
        <v>49.14688060278764</v>
      </c>
      <c r="BA885" s="17"/>
      <c r="BB885" s="17">
        <v>36</v>
      </c>
      <c r="BC885" s="17"/>
      <c r="BD885" s="17"/>
      <c r="BE885" s="17"/>
      <c r="BF885" s="17"/>
      <c r="BG885" s="17"/>
      <c r="BH885" s="17"/>
      <c r="BI885" s="17"/>
      <c r="BJ885" s="17"/>
      <c r="BK885" s="17"/>
      <c r="BL885" s="17"/>
      <c r="BM885" s="17"/>
      <c r="BN885" s="17"/>
      <c r="BO885" s="17"/>
      <c r="BP885" s="17"/>
      <c r="BQ885" s="17"/>
      <c r="BR885" s="17"/>
      <c r="BS885" s="17"/>
      <c r="BT885" s="17"/>
      <c r="BU885" s="17"/>
      <c r="BV885" s="17"/>
      <c r="BW885" s="17"/>
      <c r="BX885" s="17"/>
      <c r="BY885" s="17"/>
      <c r="BZ885" s="17"/>
      <c r="CA885" s="17"/>
      <c r="CB885" s="17"/>
      <c r="CC885" s="17"/>
      <c r="CD885" s="17"/>
      <c r="CE885" s="17"/>
      <c r="CF885" s="17"/>
      <c r="CG885" s="17"/>
      <c r="CH885" s="17"/>
    </row>
    <row r="886" spans="8:86" x14ac:dyDescent="0.15">
      <c r="H886" s="3">
        <f t="shared" si="367"/>
        <v>0.87400000000000067</v>
      </c>
      <c r="I886" s="3">
        <f t="shared" si="368"/>
        <v>360</v>
      </c>
      <c r="J886" s="14">
        <f t="shared" si="369"/>
        <v>500</v>
      </c>
      <c r="K886" s="3">
        <f t="shared" si="359"/>
        <v>0</v>
      </c>
      <c r="L886" s="3">
        <f t="shared" si="355"/>
        <v>500</v>
      </c>
      <c r="M886" s="15">
        <f t="shared" si="370"/>
        <v>7.0000000000000007E-2</v>
      </c>
      <c r="N886" s="3">
        <f t="shared" si="371"/>
        <v>40.738525882709709</v>
      </c>
      <c r="O886" s="3">
        <f t="shared" si="356"/>
        <v>40.738525882709709</v>
      </c>
      <c r="P886" s="3">
        <f t="shared" si="360"/>
        <v>43.804866540548076</v>
      </c>
      <c r="Q886" s="3">
        <f t="shared" si="361"/>
        <v>4.769786567706193</v>
      </c>
      <c r="R886" s="3">
        <f t="shared" si="362"/>
        <v>24.287326554127134</v>
      </c>
      <c r="S886" s="3">
        <f t="shared" si="357"/>
        <v>1</v>
      </c>
      <c r="T886" s="3">
        <f t="shared" si="363"/>
        <v>19517.539986420943</v>
      </c>
      <c r="U886" s="3">
        <f t="shared" si="364"/>
        <v>0.5</v>
      </c>
      <c r="V886" s="3">
        <f t="shared" si="365"/>
        <v>0</v>
      </c>
      <c r="W886" s="3">
        <f t="shared" si="366"/>
        <v>14665.869317775496</v>
      </c>
      <c r="X886" s="3">
        <f t="shared" si="358"/>
        <v>2384.8932838530964</v>
      </c>
      <c r="AI886" s="3"/>
      <c r="AJ886" s="3"/>
      <c r="AK886" s="15">
        <f t="shared" si="349"/>
        <v>4</v>
      </c>
      <c r="AL886" s="11">
        <f t="shared" si="353"/>
        <v>5262</v>
      </c>
      <c r="AM886" s="11" t="b">
        <f t="shared" si="348"/>
        <v>0</v>
      </c>
      <c r="AN886" s="11">
        <f t="shared" si="350"/>
        <v>36000</v>
      </c>
      <c r="AO886" s="11">
        <f t="shared" si="351"/>
        <v>0</v>
      </c>
      <c r="AP886" s="11">
        <f t="shared" si="352"/>
        <v>0.49257112084269122</v>
      </c>
      <c r="AQ886" s="11">
        <f t="shared" si="354"/>
        <v>0</v>
      </c>
      <c r="AT886" s="3"/>
      <c r="AU886" s="17"/>
      <c r="AV886" s="19"/>
      <c r="AW886" s="17"/>
      <c r="AX886" s="17">
        <f t="shared" si="373"/>
        <v>877</v>
      </c>
      <c r="AY886" s="17">
        <f t="shared" si="372"/>
        <v>87.7</v>
      </c>
      <c r="AZ886" s="17">
        <v>49.257112084269124</v>
      </c>
      <c r="BA886" s="17"/>
      <c r="BB886" s="17">
        <v>36</v>
      </c>
      <c r="BC886" s="17"/>
      <c r="BD886" s="17"/>
      <c r="BE886" s="17"/>
      <c r="BF886" s="17"/>
      <c r="BG886" s="17"/>
      <c r="BH886" s="17"/>
      <c r="BI886" s="17"/>
      <c r="BJ886" s="17"/>
      <c r="BK886" s="17"/>
      <c r="BL886" s="17"/>
      <c r="BM886" s="17"/>
      <c r="BN886" s="17"/>
      <c r="BO886" s="17"/>
      <c r="BP886" s="17"/>
      <c r="BQ886" s="17"/>
      <c r="BR886" s="17"/>
      <c r="BS886" s="17"/>
      <c r="BT886" s="17"/>
      <c r="BU886" s="17"/>
      <c r="BV886" s="17"/>
      <c r="BW886" s="17"/>
      <c r="BX886" s="17"/>
      <c r="BY886" s="17"/>
      <c r="BZ886" s="17"/>
      <c r="CA886" s="17"/>
      <c r="CB886" s="17"/>
      <c r="CC886" s="17"/>
      <c r="CD886" s="17"/>
      <c r="CE886" s="17"/>
      <c r="CF886" s="17"/>
      <c r="CG886" s="17"/>
      <c r="CH886" s="17"/>
    </row>
    <row r="887" spans="8:86" x14ac:dyDescent="0.15">
      <c r="H887" s="3">
        <f t="shared" si="367"/>
        <v>0.87500000000000067</v>
      </c>
      <c r="I887" s="3">
        <f t="shared" si="368"/>
        <v>360</v>
      </c>
      <c r="J887" s="14">
        <f t="shared" si="369"/>
        <v>500</v>
      </c>
      <c r="K887" s="3">
        <f t="shared" si="359"/>
        <v>0</v>
      </c>
      <c r="L887" s="3">
        <f t="shared" si="355"/>
        <v>500</v>
      </c>
      <c r="M887" s="15">
        <f t="shared" si="370"/>
        <v>7.0000000000000007E-2</v>
      </c>
      <c r="N887" s="3">
        <f t="shared" si="371"/>
        <v>40.684310493858547</v>
      </c>
      <c r="O887" s="3">
        <f t="shared" si="356"/>
        <v>40.684310493858547</v>
      </c>
      <c r="P887" s="3">
        <f t="shared" si="360"/>
        <v>43.746570423503819</v>
      </c>
      <c r="Q887" s="3">
        <f t="shared" si="361"/>
        <v>4.7307514877333503</v>
      </c>
      <c r="R887" s="3">
        <f t="shared" si="362"/>
        <v>24.238660955618585</v>
      </c>
      <c r="S887" s="3">
        <f t="shared" si="357"/>
        <v>1</v>
      </c>
      <c r="T887" s="3">
        <f t="shared" si="363"/>
        <v>19507.909467885234</v>
      </c>
      <c r="U887" s="3">
        <f t="shared" si="364"/>
        <v>0.5</v>
      </c>
      <c r="V887" s="3">
        <f t="shared" si="365"/>
        <v>0</v>
      </c>
      <c r="W887" s="3">
        <f t="shared" si="366"/>
        <v>14646.351777789077</v>
      </c>
      <c r="X887" s="3">
        <f t="shared" si="358"/>
        <v>2365.3757438666753</v>
      </c>
      <c r="AI887" s="3"/>
      <c r="AJ887" s="3"/>
      <c r="AK887" s="15">
        <f t="shared" si="349"/>
        <v>4</v>
      </c>
      <c r="AL887" s="11">
        <f t="shared" si="353"/>
        <v>5268</v>
      </c>
      <c r="AM887" s="11" t="b">
        <f t="shared" si="348"/>
        <v>0</v>
      </c>
      <c r="AN887" s="11">
        <f t="shared" si="350"/>
        <v>36000</v>
      </c>
      <c r="AO887" s="11">
        <f t="shared" si="351"/>
        <v>0</v>
      </c>
      <c r="AP887" s="11">
        <f t="shared" si="352"/>
        <v>0.49367343565750604</v>
      </c>
      <c r="AQ887" s="11">
        <f t="shared" si="354"/>
        <v>0</v>
      </c>
      <c r="AT887" s="3"/>
      <c r="AU887" s="17"/>
      <c r="AV887" s="19"/>
      <c r="AW887" s="17"/>
      <c r="AX887" s="17">
        <f t="shared" si="373"/>
        <v>878</v>
      </c>
      <c r="AY887" s="17">
        <f t="shared" si="372"/>
        <v>87.8</v>
      </c>
      <c r="AZ887" s="17">
        <v>49.367343565750602</v>
      </c>
      <c r="BA887" s="17"/>
      <c r="BB887" s="17">
        <v>36</v>
      </c>
      <c r="BC887" s="17"/>
      <c r="BD887" s="17"/>
      <c r="BE887" s="17"/>
      <c r="BF887" s="17"/>
      <c r="BG887" s="17"/>
      <c r="BH887" s="17"/>
      <c r="BI887" s="17"/>
      <c r="BJ887" s="17"/>
      <c r="BK887" s="17"/>
      <c r="BL887" s="17"/>
      <c r="BM887" s="17"/>
      <c r="BN887" s="17"/>
      <c r="BO887" s="17"/>
      <c r="BP887" s="17"/>
      <c r="BQ887" s="17"/>
      <c r="BR887" s="17"/>
      <c r="BS887" s="17"/>
      <c r="BT887" s="17"/>
      <c r="BU887" s="17"/>
      <c r="BV887" s="17"/>
      <c r="BW887" s="17"/>
      <c r="BX887" s="17"/>
      <c r="BY887" s="17"/>
      <c r="BZ887" s="17"/>
      <c r="CA887" s="17"/>
      <c r="CB887" s="17"/>
      <c r="CC887" s="17"/>
      <c r="CD887" s="17"/>
      <c r="CE887" s="17"/>
      <c r="CF887" s="17"/>
      <c r="CG887" s="17"/>
      <c r="CH887" s="17"/>
    </row>
    <row r="888" spans="8:86" x14ac:dyDescent="0.15">
      <c r="H888" s="3">
        <f t="shared" si="367"/>
        <v>0.87600000000000067</v>
      </c>
      <c r="I888" s="3">
        <f t="shared" si="368"/>
        <v>360</v>
      </c>
      <c r="J888" s="14">
        <f t="shared" si="369"/>
        <v>500</v>
      </c>
      <c r="K888" s="3">
        <f t="shared" si="359"/>
        <v>0</v>
      </c>
      <c r="L888" s="3">
        <f t="shared" si="355"/>
        <v>500</v>
      </c>
      <c r="M888" s="15">
        <f t="shared" si="370"/>
        <v>7.0000000000000007E-2</v>
      </c>
      <c r="N888" s="3">
        <f t="shared" si="371"/>
        <v>40.630121856447758</v>
      </c>
      <c r="O888" s="3">
        <f t="shared" si="356"/>
        <v>40.630121856447758</v>
      </c>
      <c r="P888" s="3">
        <f t="shared" si="360"/>
        <v>43.688303071449205</v>
      </c>
      <c r="Q888" s="3">
        <f t="shared" si="361"/>
        <v>4.6917356687975795</v>
      </c>
      <c r="R888" s="3">
        <f t="shared" si="362"/>
        <v>24.190019370123391</v>
      </c>
      <c r="S888" s="3">
        <f t="shared" si="357"/>
        <v>1</v>
      </c>
      <c r="T888" s="3">
        <f t="shared" si="363"/>
        <v>19498.283701325814</v>
      </c>
      <c r="U888" s="3">
        <f t="shared" si="364"/>
        <v>0.5</v>
      </c>
      <c r="V888" s="3">
        <f t="shared" si="365"/>
        <v>0</v>
      </c>
      <c r="W888" s="3">
        <f t="shared" si="366"/>
        <v>14626.843868321193</v>
      </c>
      <c r="X888" s="3">
        <f t="shared" si="358"/>
        <v>2345.8678343987899</v>
      </c>
      <c r="AI888" s="3"/>
      <c r="AJ888" s="3"/>
      <c r="AK888" s="15">
        <f t="shared" si="349"/>
        <v>4</v>
      </c>
      <c r="AL888" s="11">
        <f t="shared" si="353"/>
        <v>5274</v>
      </c>
      <c r="AM888" s="11" t="b">
        <f t="shared" si="348"/>
        <v>0</v>
      </c>
      <c r="AN888" s="11">
        <f t="shared" si="350"/>
        <v>36000</v>
      </c>
      <c r="AO888" s="11">
        <f t="shared" si="351"/>
        <v>0</v>
      </c>
      <c r="AP888" s="11">
        <f t="shared" si="352"/>
        <v>0.49477575047232092</v>
      </c>
      <c r="AQ888" s="11">
        <f t="shared" si="354"/>
        <v>0</v>
      </c>
      <c r="AT888" s="3"/>
      <c r="AU888" s="17"/>
      <c r="AV888" s="19"/>
      <c r="AW888" s="17"/>
      <c r="AX888" s="17">
        <f t="shared" si="373"/>
        <v>879</v>
      </c>
      <c r="AY888" s="17">
        <f t="shared" si="372"/>
        <v>87.9</v>
      </c>
      <c r="AZ888" s="17">
        <v>49.477575047232094</v>
      </c>
      <c r="BA888" s="17"/>
      <c r="BB888" s="17">
        <v>36</v>
      </c>
      <c r="BC888" s="17"/>
      <c r="BD888" s="17"/>
      <c r="BE888" s="17"/>
      <c r="BF888" s="17"/>
      <c r="BG888" s="17"/>
      <c r="BH888" s="17"/>
      <c r="BI888" s="17"/>
      <c r="BJ888" s="17"/>
      <c r="BK888" s="17"/>
      <c r="BL888" s="17"/>
      <c r="BM888" s="17"/>
      <c r="BN888" s="17"/>
      <c r="BO888" s="17"/>
      <c r="BP888" s="17"/>
      <c r="BQ888" s="17"/>
      <c r="BR888" s="17"/>
      <c r="BS888" s="17"/>
      <c r="BT888" s="17"/>
      <c r="BU888" s="17"/>
      <c r="BV888" s="17"/>
      <c r="BW888" s="17"/>
      <c r="BX888" s="17"/>
      <c r="BY888" s="17"/>
      <c r="BZ888" s="17"/>
      <c r="CA888" s="17"/>
      <c r="CB888" s="17"/>
      <c r="CC888" s="17"/>
      <c r="CD888" s="17"/>
      <c r="CE888" s="17"/>
      <c r="CF888" s="17"/>
      <c r="CG888" s="17"/>
      <c r="CH888" s="17"/>
    </row>
    <row r="889" spans="8:86" x14ac:dyDescent="0.15">
      <c r="H889" s="3">
        <f t="shared" si="367"/>
        <v>0.87700000000000067</v>
      </c>
      <c r="I889" s="3">
        <f t="shared" si="368"/>
        <v>360</v>
      </c>
      <c r="J889" s="14">
        <f t="shared" si="369"/>
        <v>500</v>
      </c>
      <c r="K889" s="3">
        <f t="shared" si="359"/>
        <v>0</v>
      </c>
      <c r="L889" s="3">
        <f t="shared" si="355"/>
        <v>500</v>
      </c>
      <c r="M889" s="15">
        <f t="shared" si="370"/>
        <v>7.0000000000000007E-2</v>
      </c>
      <c r="N889" s="3">
        <f t="shared" si="371"/>
        <v>40.575959957277412</v>
      </c>
      <c r="O889" s="3">
        <f t="shared" si="356"/>
        <v>40.575959957277412</v>
      </c>
      <c r="P889" s="3">
        <f t="shared" si="360"/>
        <v>43.630064470190767</v>
      </c>
      <c r="Q889" s="3">
        <f t="shared" si="361"/>
        <v>4.6527391013949284</v>
      </c>
      <c r="R889" s="3">
        <f t="shared" si="362"/>
        <v>24.141401785792848</v>
      </c>
      <c r="S889" s="3">
        <f t="shared" si="357"/>
        <v>1</v>
      </c>
      <c r="T889" s="3">
        <f t="shared" si="363"/>
        <v>19488.662684397921</v>
      </c>
      <c r="U889" s="3">
        <f t="shared" si="364"/>
        <v>0.5</v>
      </c>
      <c r="V889" s="3">
        <f t="shared" si="365"/>
        <v>0</v>
      </c>
      <c r="W889" s="3">
        <f t="shared" si="366"/>
        <v>14607.345584619869</v>
      </c>
      <c r="X889" s="3">
        <f t="shared" si="358"/>
        <v>2326.3695506974641</v>
      </c>
      <c r="AI889" s="3"/>
      <c r="AJ889" s="3"/>
      <c r="AK889" s="15">
        <f t="shared" si="349"/>
        <v>4</v>
      </c>
      <c r="AL889" s="11">
        <f t="shared" si="353"/>
        <v>5280</v>
      </c>
      <c r="AM889" s="11" t="b">
        <f t="shared" si="348"/>
        <v>0</v>
      </c>
      <c r="AN889" s="11">
        <f t="shared" si="350"/>
        <v>36000</v>
      </c>
      <c r="AO889" s="11">
        <f t="shared" si="351"/>
        <v>0</v>
      </c>
      <c r="AP889" s="11">
        <f t="shared" si="352"/>
        <v>0.49587806528713574</v>
      </c>
      <c r="AQ889" s="11">
        <f t="shared" si="354"/>
        <v>0</v>
      </c>
      <c r="AT889" s="3"/>
      <c r="AU889" s="17"/>
      <c r="AV889" s="19"/>
      <c r="AW889" s="17"/>
      <c r="AX889" s="17">
        <f t="shared" si="373"/>
        <v>880</v>
      </c>
      <c r="AY889" s="17">
        <f t="shared" si="372"/>
        <v>88</v>
      </c>
      <c r="AZ889" s="17">
        <v>49.587806528713571</v>
      </c>
      <c r="BA889" s="17"/>
      <c r="BB889" s="17">
        <v>36</v>
      </c>
      <c r="BC889" s="17"/>
      <c r="BD889" s="17"/>
      <c r="BE889" s="17"/>
      <c r="BF889" s="17"/>
      <c r="BG889" s="17"/>
      <c r="BH889" s="17"/>
      <c r="BI889" s="17"/>
      <c r="BJ889" s="17"/>
      <c r="BK889" s="17"/>
      <c r="BL889" s="17"/>
      <c r="BM889" s="17"/>
      <c r="BN889" s="17"/>
      <c r="BO889" s="17"/>
      <c r="BP889" s="17"/>
      <c r="BQ889" s="17"/>
      <c r="BR889" s="17"/>
      <c r="BS889" s="17"/>
      <c r="BT889" s="17"/>
      <c r="BU889" s="17"/>
      <c r="BV889" s="17"/>
      <c r="BW889" s="17"/>
      <c r="BX889" s="17"/>
      <c r="BY889" s="17"/>
      <c r="BZ889" s="17"/>
      <c r="CA889" s="17"/>
      <c r="CB889" s="17"/>
      <c r="CC889" s="17"/>
      <c r="CD889" s="17"/>
      <c r="CE889" s="17"/>
      <c r="CF889" s="17"/>
      <c r="CG889" s="17"/>
      <c r="CH889" s="17"/>
    </row>
    <row r="890" spans="8:86" x14ac:dyDescent="0.15">
      <c r="H890" s="3">
        <f t="shared" si="367"/>
        <v>0.87800000000000067</v>
      </c>
      <c r="I890" s="3">
        <f t="shared" si="368"/>
        <v>360</v>
      </c>
      <c r="J890" s="14">
        <f t="shared" si="369"/>
        <v>500</v>
      </c>
      <c r="K890" s="3">
        <f t="shared" si="359"/>
        <v>0</v>
      </c>
      <c r="L890" s="3">
        <f t="shared" si="355"/>
        <v>500</v>
      </c>
      <c r="M890" s="15">
        <f t="shared" si="370"/>
        <v>7.0000000000000007E-2</v>
      </c>
      <c r="N890" s="3">
        <f t="shared" si="371"/>
        <v>40.521824783154088</v>
      </c>
      <c r="O890" s="3">
        <f t="shared" si="356"/>
        <v>40.521824783154088</v>
      </c>
      <c r="P890" s="3">
        <f t="shared" si="360"/>
        <v>43.571854605542036</v>
      </c>
      <c r="Q890" s="3">
        <f t="shared" si="361"/>
        <v>4.6137617760261325</v>
      </c>
      <c r="R890" s="3">
        <f t="shared" si="362"/>
        <v>24.092808190784083</v>
      </c>
      <c r="S890" s="3">
        <f t="shared" si="357"/>
        <v>1</v>
      </c>
      <c r="T890" s="3">
        <f t="shared" si="363"/>
        <v>19479.046414757951</v>
      </c>
      <c r="U890" s="3">
        <f t="shared" si="364"/>
        <v>0.5</v>
      </c>
      <c r="V890" s="3">
        <f t="shared" si="365"/>
        <v>0</v>
      </c>
      <c r="W890" s="3">
        <f t="shared" si="366"/>
        <v>14587.856921935472</v>
      </c>
      <c r="X890" s="3">
        <f t="shared" si="358"/>
        <v>2306.8808880130664</v>
      </c>
      <c r="AI890" s="3"/>
      <c r="AJ890" s="3"/>
      <c r="AK890" s="15">
        <f t="shared" si="349"/>
        <v>4</v>
      </c>
      <c r="AL890" s="11">
        <f t="shared" si="353"/>
        <v>5286</v>
      </c>
      <c r="AM890" s="11" t="b">
        <f t="shared" si="348"/>
        <v>0</v>
      </c>
      <c r="AN890" s="11">
        <f t="shared" si="350"/>
        <v>36000</v>
      </c>
      <c r="AO890" s="11">
        <f t="shared" si="351"/>
        <v>0</v>
      </c>
      <c r="AP890" s="11">
        <f t="shared" si="352"/>
        <v>0.49698038010195056</v>
      </c>
      <c r="AQ890" s="11">
        <f t="shared" si="354"/>
        <v>0</v>
      </c>
      <c r="AT890" s="3"/>
      <c r="AU890" s="17"/>
      <c r="AV890" s="19"/>
      <c r="AW890" s="17"/>
      <c r="AX890" s="17">
        <f t="shared" si="373"/>
        <v>881</v>
      </c>
      <c r="AY890" s="17">
        <f t="shared" si="372"/>
        <v>88.1</v>
      </c>
      <c r="AZ890" s="17">
        <v>49.698038010195056</v>
      </c>
      <c r="BA890" s="17"/>
      <c r="BB890" s="17">
        <v>36</v>
      </c>
      <c r="BC890" s="17"/>
      <c r="BD890" s="17"/>
      <c r="BE890" s="17"/>
      <c r="BF890" s="17"/>
      <c r="BG890" s="17"/>
      <c r="BH890" s="17"/>
      <c r="BI890" s="17"/>
      <c r="BJ890" s="17"/>
      <c r="BK890" s="17"/>
      <c r="BL890" s="17"/>
      <c r="BM890" s="17"/>
      <c r="BN890" s="17"/>
      <c r="BO890" s="17"/>
      <c r="BP890" s="17"/>
      <c r="BQ890" s="17"/>
      <c r="BR890" s="17"/>
      <c r="BS890" s="17"/>
      <c r="BT890" s="17"/>
      <c r="BU890" s="17"/>
      <c r="BV890" s="17"/>
      <c r="BW890" s="17"/>
      <c r="BX890" s="17"/>
      <c r="BY890" s="17"/>
      <c r="BZ890" s="17"/>
      <c r="CA890" s="17"/>
      <c r="CB890" s="17"/>
      <c r="CC890" s="17"/>
      <c r="CD890" s="17"/>
      <c r="CE890" s="17"/>
      <c r="CF890" s="17"/>
      <c r="CG890" s="17"/>
      <c r="CH890" s="17"/>
    </row>
    <row r="891" spans="8:86" x14ac:dyDescent="0.15">
      <c r="H891" s="3">
        <f t="shared" si="367"/>
        <v>0.87900000000000067</v>
      </c>
      <c r="I891" s="3">
        <f t="shared" si="368"/>
        <v>360</v>
      </c>
      <c r="J891" s="14">
        <f t="shared" si="369"/>
        <v>500</v>
      </c>
      <c r="K891" s="3">
        <f t="shared" si="359"/>
        <v>0</v>
      </c>
      <c r="L891" s="3">
        <f t="shared" si="355"/>
        <v>500</v>
      </c>
      <c r="M891" s="15">
        <f t="shared" si="370"/>
        <v>7.0000000000000007E-2</v>
      </c>
      <c r="N891" s="3">
        <f t="shared" si="371"/>
        <v>40.467716320890872</v>
      </c>
      <c r="O891" s="3">
        <f t="shared" si="356"/>
        <v>40.467716320890872</v>
      </c>
      <c r="P891" s="3">
        <f t="shared" si="360"/>
        <v>43.513673463323521</v>
      </c>
      <c r="Q891" s="3">
        <f t="shared" si="361"/>
        <v>4.5748036831966168</v>
      </c>
      <c r="R891" s="3">
        <f t="shared" si="362"/>
        <v>24.044238573260067</v>
      </c>
      <c r="S891" s="3">
        <f t="shared" si="357"/>
        <v>1</v>
      </c>
      <c r="T891" s="3">
        <f t="shared" si="363"/>
        <v>19469.434890063454</v>
      </c>
      <c r="U891" s="3">
        <f t="shared" si="364"/>
        <v>0.5</v>
      </c>
      <c r="V891" s="3">
        <f t="shared" si="365"/>
        <v>0</v>
      </c>
      <c r="W891" s="3">
        <f t="shared" si="366"/>
        <v>14568.377875520713</v>
      </c>
      <c r="X891" s="3">
        <f t="shared" si="358"/>
        <v>2287.4018415983082</v>
      </c>
      <c r="AI891" s="3"/>
      <c r="AJ891" s="3"/>
      <c r="AK891" s="15">
        <f t="shared" si="349"/>
        <v>4</v>
      </c>
      <c r="AL891" s="11">
        <f t="shared" si="353"/>
        <v>5292</v>
      </c>
      <c r="AM891" s="11" t="b">
        <f t="shared" si="348"/>
        <v>0</v>
      </c>
      <c r="AN891" s="11">
        <f t="shared" si="350"/>
        <v>36000</v>
      </c>
      <c r="AO891" s="11">
        <f t="shared" si="351"/>
        <v>0</v>
      </c>
      <c r="AP891" s="11">
        <f t="shared" si="352"/>
        <v>0.49808269491676543</v>
      </c>
      <c r="AQ891" s="11">
        <f t="shared" si="354"/>
        <v>0</v>
      </c>
      <c r="AT891" s="3"/>
      <c r="AU891" s="17"/>
      <c r="AV891" s="19"/>
      <c r="AW891" s="17"/>
      <c r="AX891" s="17">
        <f t="shared" si="373"/>
        <v>882</v>
      </c>
      <c r="AY891" s="17">
        <f t="shared" si="372"/>
        <v>88.2</v>
      </c>
      <c r="AZ891" s="17">
        <v>49.80826949167654</v>
      </c>
      <c r="BA891" s="17"/>
      <c r="BB891" s="17">
        <v>36</v>
      </c>
      <c r="BC891" s="17"/>
      <c r="BD891" s="17"/>
      <c r="BE891" s="17"/>
      <c r="BF891" s="17"/>
      <c r="BG891" s="17"/>
      <c r="BH891" s="17"/>
      <c r="BI891" s="17"/>
      <c r="BJ891" s="17"/>
      <c r="BK891" s="17"/>
      <c r="BL891" s="17"/>
      <c r="BM891" s="17"/>
      <c r="BN891" s="17"/>
      <c r="BO891" s="17"/>
      <c r="BP891" s="17"/>
      <c r="BQ891" s="17"/>
      <c r="BR891" s="17"/>
      <c r="BS891" s="17"/>
      <c r="BT891" s="17"/>
      <c r="BU891" s="17"/>
      <c r="BV891" s="17"/>
      <c r="BW891" s="17"/>
      <c r="BX891" s="17"/>
      <c r="BY891" s="17"/>
      <c r="BZ891" s="17"/>
      <c r="CA891" s="17"/>
      <c r="CB891" s="17"/>
      <c r="CC891" s="17"/>
      <c r="CD891" s="17"/>
      <c r="CE891" s="17"/>
      <c r="CF891" s="17"/>
      <c r="CG891" s="17"/>
      <c r="CH891" s="17"/>
    </row>
    <row r="892" spans="8:86" x14ac:dyDescent="0.15">
      <c r="H892" s="3">
        <f t="shared" si="367"/>
        <v>0.88000000000000067</v>
      </c>
      <c r="I892" s="3">
        <f t="shared" si="368"/>
        <v>360</v>
      </c>
      <c r="J892" s="14">
        <f t="shared" si="369"/>
        <v>500</v>
      </c>
      <c r="K892" s="3">
        <f t="shared" si="359"/>
        <v>0</v>
      </c>
      <c r="L892" s="3">
        <f t="shared" si="355"/>
        <v>500</v>
      </c>
      <c r="M892" s="15">
        <f t="shared" si="370"/>
        <v>7.0000000000000007E-2</v>
      </c>
      <c r="N892" s="3">
        <f t="shared" si="371"/>
        <v>40.413634557307361</v>
      </c>
      <c r="O892" s="3">
        <f t="shared" si="356"/>
        <v>40.413634557307361</v>
      </c>
      <c r="P892" s="3">
        <f t="shared" si="360"/>
        <v>43.455521029362757</v>
      </c>
      <c r="Q892" s="3">
        <f t="shared" si="361"/>
        <v>4.5358648134164898</v>
      </c>
      <c r="R892" s="3">
        <f t="shared" si="362"/>
        <v>23.995692921389622</v>
      </c>
      <c r="S892" s="3">
        <f t="shared" si="357"/>
        <v>1</v>
      </c>
      <c r="T892" s="3">
        <f t="shared" si="363"/>
        <v>19459.828107973135</v>
      </c>
      <c r="U892" s="3">
        <f t="shared" si="364"/>
        <v>0.5</v>
      </c>
      <c r="V892" s="3">
        <f t="shared" si="365"/>
        <v>0</v>
      </c>
      <c r="W892" s="3">
        <f t="shared" si="366"/>
        <v>14548.90844063065</v>
      </c>
      <c r="X892" s="3">
        <f t="shared" si="358"/>
        <v>2267.9324067082448</v>
      </c>
      <c r="AI892" s="3"/>
      <c r="AJ892" s="3"/>
      <c r="AK892" s="15">
        <f t="shared" si="349"/>
        <v>4</v>
      </c>
      <c r="AL892" s="11">
        <f t="shared" si="353"/>
        <v>5298</v>
      </c>
      <c r="AM892" s="11" t="b">
        <f t="shared" si="348"/>
        <v>0</v>
      </c>
      <c r="AN892" s="11">
        <f t="shared" si="350"/>
        <v>36000</v>
      </c>
      <c r="AO892" s="11">
        <f t="shared" si="351"/>
        <v>0</v>
      </c>
      <c r="AP892" s="11">
        <f t="shared" si="352"/>
        <v>0.49918500973158025</v>
      </c>
      <c r="AQ892" s="11">
        <f t="shared" si="354"/>
        <v>0</v>
      </c>
      <c r="AT892" s="3"/>
      <c r="AU892" s="17"/>
      <c r="AV892" s="19"/>
      <c r="AW892" s="17"/>
      <c r="AX892" s="17">
        <f t="shared" si="373"/>
        <v>883</v>
      </c>
      <c r="AY892" s="17">
        <f t="shared" si="372"/>
        <v>88.3</v>
      </c>
      <c r="AZ892" s="17">
        <v>49.918500973158025</v>
      </c>
      <c r="BA892" s="17"/>
      <c r="BB892" s="17">
        <v>36</v>
      </c>
      <c r="BC892" s="17"/>
      <c r="BD892" s="17"/>
      <c r="BE892" s="17"/>
      <c r="BF892" s="17"/>
      <c r="BG892" s="17"/>
      <c r="BH892" s="17"/>
      <c r="BI892" s="17"/>
      <c r="BJ892" s="17"/>
      <c r="BK892" s="17"/>
      <c r="BL892" s="17"/>
      <c r="BM892" s="17"/>
      <c r="BN892" s="17"/>
      <c r="BO892" s="17"/>
      <c r="BP892" s="17"/>
      <c r="BQ892" s="17"/>
      <c r="BR892" s="17"/>
      <c r="BS892" s="17"/>
      <c r="BT892" s="17"/>
      <c r="BU892" s="17"/>
      <c r="BV892" s="17"/>
      <c r="BW892" s="17"/>
      <c r="BX892" s="17"/>
      <c r="BY892" s="17"/>
      <c r="BZ892" s="17"/>
      <c r="CA892" s="17"/>
      <c r="CB892" s="17"/>
      <c r="CC892" s="17"/>
      <c r="CD892" s="17"/>
      <c r="CE892" s="17"/>
      <c r="CF892" s="17"/>
      <c r="CG892" s="17"/>
      <c r="CH892" s="17"/>
    </row>
    <row r="893" spans="8:86" x14ac:dyDescent="0.15">
      <c r="H893" s="3">
        <f t="shared" si="367"/>
        <v>0.88100000000000067</v>
      </c>
      <c r="I893" s="3">
        <f t="shared" si="368"/>
        <v>360</v>
      </c>
      <c r="J893" s="14">
        <f t="shared" si="369"/>
        <v>500</v>
      </c>
      <c r="K893" s="3">
        <f t="shared" si="359"/>
        <v>0</v>
      </c>
      <c r="L893" s="3">
        <f t="shared" si="355"/>
        <v>500</v>
      </c>
      <c r="M893" s="15">
        <f t="shared" si="370"/>
        <v>7.0000000000000007E-2</v>
      </c>
      <c r="N893" s="3">
        <f t="shared" si="371"/>
        <v>40.359579479229659</v>
      </c>
      <c r="O893" s="3">
        <f t="shared" si="356"/>
        <v>40.359579479229659</v>
      </c>
      <c r="P893" s="3">
        <f t="shared" si="360"/>
        <v>43.397397289494258</v>
      </c>
      <c r="Q893" s="3">
        <f t="shared" si="361"/>
        <v>4.4969451572005434</v>
      </c>
      <c r="R893" s="3">
        <f t="shared" si="362"/>
        <v>23.9471712233474</v>
      </c>
      <c r="S893" s="3">
        <f t="shared" si="357"/>
        <v>1</v>
      </c>
      <c r="T893" s="3">
        <f t="shared" si="363"/>
        <v>19450.226066146857</v>
      </c>
      <c r="U893" s="3">
        <f t="shared" si="364"/>
        <v>0.5</v>
      </c>
      <c r="V893" s="3">
        <f t="shared" si="365"/>
        <v>0</v>
      </c>
      <c r="W893" s="3">
        <f t="shared" si="366"/>
        <v>14529.448612522678</v>
      </c>
      <c r="X893" s="3">
        <f t="shared" si="358"/>
        <v>2248.4725786002718</v>
      </c>
      <c r="AI893" s="3"/>
      <c r="AJ893" s="3"/>
      <c r="AK893" s="15">
        <f t="shared" si="349"/>
        <v>4</v>
      </c>
      <c r="AL893" s="11">
        <f t="shared" si="353"/>
        <v>5304</v>
      </c>
      <c r="AM893" s="11" t="b">
        <f t="shared" si="348"/>
        <v>0</v>
      </c>
      <c r="AN893" s="11">
        <f t="shared" si="350"/>
        <v>36000</v>
      </c>
      <c r="AO893" s="11">
        <f t="shared" si="351"/>
        <v>0</v>
      </c>
      <c r="AP893" s="11">
        <f t="shared" si="352"/>
        <v>0.50028732454639513</v>
      </c>
      <c r="AQ893" s="11">
        <f t="shared" si="354"/>
        <v>0</v>
      </c>
      <c r="AT893" s="3"/>
      <c r="AU893" s="17"/>
      <c r="AV893" s="19"/>
      <c r="AW893" s="17"/>
      <c r="AX893" s="17">
        <f t="shared" si="373"/>
        <v>884</v>
      </c>
      <c r="AY893" s="17">
        <f t="shared" si="372"/>
        <v>88.4</v>
      </c>
      <c r="AZ893" s="17">
        <v>50.02873245463951</v>
      </c>
      <c r="BA893" s="17"/>
      <c r="BB893" s="17">
        <v>36</v>
      </c>
      <c r="BC893" s="17"/>
      <c r="BD893" s="17"/>
      <c r="BE893" s="17"/>
      <c r="BF893" s="17"/>
      <c r="BG893" s="17"/>
      <c r="BH893" s="17"/>
      <c r="BI893" s="17"/>
      <c r="BJ893" s="17"/>
      <c r="BK893" s="17"/>
      <c r="BL893" s="17"/>
      <c r="BM893" s="17"/>
      <c r="BN893" s="17"/>
      <c r="BO893" s="17"/>
      <c r="BP893" s="17"/>
      <c r="BQ893" s="17"/>
      <c r="BR893" s="17"/>
      <c r="BS893" s="17"/>
      <c r="BT893" s="17"/>
      <c r="BU893" s="17"/>
      <c r="BV893" s="17"/>
      <c r="BW893" s="17"/>
      <c r="BX893" s="17"/>
      <c r="BY893" s="17"/>
      <c r="BZ893" s="17"/>
      <c r="CA893" s="17"/>
      <c r="CB893" s="17"/>
      <c r="CC893" s="17"/>
      <c r="CD893" s="17"/>
      <c r="CE893" s="17"/>
      <c r="CF893" s="17"/>
      <c r="CG893" s="17"/>
      <c r="CH893" s="17"/>
    </row>
    <row r="894" spans="8:86" x14ac:dyDescent="0.15">
      <c r="H894" s="3">
        <f t="shared" si="367"/>
        <v>0.88200000000000067</v>
      </c>
      <c r="I894" s="3">
        <f t="shared" si="368"/>
        <v>360</v>
      </c>
      <c r="J894" s="14">
        <f t="shared" si="369"/>
        <v>500</v>
      </c>
      <c r="K894" s="3">
        <f t="shared" si="359"/>
        <v>0</v>
      </c>
      <c r="L894" s="3">
        <f t="shared" si="355"/>
        <v>500</v>
      </c>
      <c r="M894" s="15">
        <f t="shared" si="370"/>
        <v>7.0000000000000007E-2</v>
      </c>
      <c r="N894" s="3">
        <f t="shared" si="371"/>
        <v>40.305551073490363</v>
      </c>
      <c r="O894" s="3">
        <f t="shared" si="356"/>
        <v>40.305551073490363</v>
      </c>
      <c r="P894" s="3">
        <f t="shared" si="360"/>
        <v>43.339302229559536</v>
      </c>
      <c r="Q894" s="3">
        <f t="shared" si="361"/>
        <v>4.4580447050682492</v>
      </c>
      <c r="R894" s="3">
        <f t="shared" si="362"/>
        <v>23.898673467313891</v>
      </c>
      <c r="S894" s="3">
        <f t="shared" si="357"/>
        <v>1</v>
      </c>
      <c r="T894" s="3">
        <f t="shared" si="363"/>
        <v>19440.628762245644</v>
      </c>
      <c r="U894" s="3">
        <f t="shared" si="364"/>
        <v>0.5</v>
      </c>
      <c r="V894" s="3">
        <f t="shared" si="365"/>
        <v>0</v>
      </c>
      <c r="W894" s="3">
        <f t="shared" si="366"/>
        <v>14509.998386456531</v>
      </c>
      <c r="X894" s="3">
        <f t="shared" si="358"/>
        <v>2229.0223525341248</v>
      </c>
      <c r="AI894" s="3"/>
      <c r="AJ894" s="3"/>
      <c r="AK894" s="15">
        <f t="shared" si="349"/>
        <v>4</v>
      </c>
      <c r="AL894" s="11">
        <f t="shared" si="353"/>
        <v>5310</v>
      </c>
      <c r="AM894" s="11" t="b">
        <f t="shared" si="348"/>
        <v>0</v>
      </c>
      <c r="AN894" s="11">
        <f t="shared" si="350"/>
        <v>36000</v>
      </c>
      <c r="AO894" s="11">
        <f t="shared" si="351"/>
        <v>0</v>
      </c>
      <c r="AP894" s="11">
        <f t="shared" si="352"/>
        <v>0.50138963936120995</v>
      </c>
      <c r="AQ894" s="11">
        <f t="shared" si="354"/>
        <v>0</v>
      </c>
      <c r="AT894" s="3"/>
      <c r="AU894" s="17"/>
      <c r="AV894" s="19"/>
      <c r="AW894" s="17"/>
      <c r="AX894" s="17">
        <f t="shared" si="373"/>
        <v>885</v>
      </c>
      <c r="AY894" s="17">
        <f t="shared" si="372"/>
        <v>88.5</v>
      </c>
      <c r="AZ894" s="17">
        <v>50.138963936120994</v>
      </c>
      <c r="BA894" s="17"/>
      <c r="BB894" s="17">
        <v>36</v>
      </c>
      <c r="BC894" s="17"/>
      <c r="BD894" s="17"/>
      <c r="BE894" s="17"/>
      <c r="BF894" s="17"/>
      <c r="BG894" s="17"/>
      <c r="BH894" s="17"/>
      <c r="BI894" s="17"/>
      <c r="BJ894" s="17"/>
      <c r="BK894" s="17"/>
      <c r="BL894" s="17"/>
      <c r="BM894" s="17"/>
      <c r="BN894" s="17"/>
      <c r="BO894" s="17"/>
      <c r="BP894" s="17"/>
      <c r="BQ894" s="17"/>
      <c r="BR894" s="17"/>
      <c r="BS894" s="17"/>
      <c r="BT894" s="17"/>
      <c r="BU894" s="17"/>
      <c r="BV894" s="17"/>
      <c r="BW894" s="17"/>
      <c r="BX894" s="17"/>
      <c r="BY894" s="17"/>
      <c r="BZ894" s="17"/>
      <c r="CA894" s="17"/>
      <c r="CB894" s="17"/>
      <c r="CC894" s="17"/>
      <c r="CD894" s="17"/>
      <c r="CE894" s="17"/>
      <c r="CF894" s="17"/>
      <c r="CG894" s="17"/>
      <c r="CH894" s="17"/>
    </row>
    <row r="895" spans="8:86" x14ac:dyDescent="0.15">
      <c r="H895" s="3">
        <f t="shared" si="367"/>
        <v>0.88300000000000067</v>
      </c>
      <c r="I895" s="3">
        <f t="shared" si="368"/>
        <v>360</v>
      </c>
      <c r="J895" s="14">
        <f t="shared" si="369"/>
        <v>500</v>
      </c>
      <c r="K895" s="3">
        <f t="shared" si="359"/>
        <v>0</v>
      </c>
      <c r="L895" s="3">
        <f t="shared" si="355"/>
        <v>500</v>
      </c>
      <c r="M895" s="15">
        <f t="shared" si="370"/>
        <v>7.0000000000000007E-2</v>
      </c>
      <c r="N895" s="3">
        <f t="shared" si="371"/>
        <v>40.251549326928568</v>
      </c>
      <c r="O895" s="3">
        <f t="shared" si="356"/>
        <v>40.251549326928568</v>
      </c>
      <c r="P895" s="3">
        <f t="shared" si="360"/>
        <v>43.281235835407067</v>
      </c>
      <c r="Q895" s="3">
        <f t="shared" si="361"/>
        <v>4.4191634475437587</v>
      </c>
      <c r="R895" s="3">
        <f t="shared" si="362"/>
        <v>23.850199641475413</v>
      </c>
      <c r="S895" s="3">
        <f t="shared" si="357"/>
        <v>1</v>
      </c>
      <c r="T895" s="3">
        <f t="shared" si="363"/>
        <v>19431.036193931654</v>
      </c>
      <c r="U895" s="3">
        <f t="shared" si="364"/>
        <v>0.5</v>
      </c>
      <c r="V895" s="3">
        <f t="shared" si="365"/>
        <v>0</v>
      </c>
      <c r="W895" s="3">
        <f t="shared" si="366"/>
        <v>14490.557757694285</v>
      </c>
      <c r="X895" s="3">
        <f t="shared" si="358"/>
        <v>2209.5817237718793</v>
      </c>
      <c r="AI895" s="3"/>
      <c r="AJ895" s="3"/>
      <c r="AK895" s="15">
        <f t="shared" si="349"/>
        <v>4</v>
      </c>
      <c r="AL895" s="11">
        <f t="shared" si="353"/>
        <v>5316</v>
      </c>
      <c r="AM895" s="11" t="b">
        <f t="shared" si="348"/>
        <v>0</v>
      </c>
      <c r="AN895" s="11">
        <f t="shared" si="350"/>
        <v>36000</v>
      </c>
      <c r="AO895" s="11">
        <f t="shared" si="351"/>
        <v>0</v>
      </c>
      <c r="AP895" s="11">
        <f t="shared" si="352"/>
        <v>0.50249195417602477</v>
      </c>
      <c r="AQ895" s="11">
        <f t="shared" si="354"/>
        <v>0</v>
      </c>
      <c r="AT895" s="3"/>
      <c r="AU895" s="17"/>
      <c r="AV895" s="19"/>
      <c r="AW895" s="17"/>
      <c r="AX895" s="17">
        <f t="shared" si="373"/>
        <v>886</v>
      </c>
      <c r="AY895" s="17">
        <f t="shared" si="372"/>
        <v>88.6</v>
      </c>
      <c r="AZ895" s="17">
        <v>50.249195417602479</v>
      </c>
      <c r="BA895" s="17"/>
      <c r="BB895" s="17">
        <v>36</v>
      </c>
      <c r="BC895" s="17"/>
      <c r="BD895" s="17"/>
      <c r="BE895" s="17"/>
      <c r="BF895" s="17"/>
      <c r="BG895" s="17"/>
      <c r="BH895" s="17"/>
      <c r="BI895" s="17"/>
      <c r="BJ895" s="17"/>
      <c r="BK895" s="17"/>
      <c r="BL895" s="17"/>
      <c r="BM895" s="17"/>
      <c r="BN895" s="17"/>
      <c r="BO895" s="17"/>
      <c r="BP895" s="17"/>
      <c r="BQ895" s="17"/>
      <c r="BR895" s="17"/>
      <c r="BS895" s="17"/>
      <c r="BT895" s="17"/>
      <c r="BU895" s="17"/>
      <c r="BV895" s="17"/>
      <c r="BW895" s="17"/>
      <c r="BX895" s="17"/>
      <c r="BY895" s="17"/>
      <c r="BZ895" s="17"/>
      <c r="CA895" s="17"/>
      <c r="CB895" s="17"/>
      <c r="CC895" s="17"/>
      <c r="CD895" s="17"/>
      <c r="CE895" s="17"/>
      <c r="CF895" s="17"/>
      <c r="CG895" s="17"/>
      <c r="CH895" s="17"/>
    </row>
    <row r="896" spans="8:86" x14ac:dyDescent="0.15">
      <c r="H896" s="3">
        <f t="shared" si="367"/>
        <v>0.88400000000000067</v>
      </c>
      <c r="I896" s="3">
        <f t="shared" si="368"/>
        <v>360</v>
      </c>
      <c r="J896" s="14">
        <f t="shared" si="369"/>
        <v>500</v>
      </c>
      <c r="K896" s="3">
        <f t="shared" si="359"/>
        <v>0</v>
      </c>
      <c r="L896" s="3">
        <f t="shared" si="355"/>
        <v>500</v>
      </c>
      <c r="M896" s="15">
        <f t="shared" si="370"/>
        <v>7.0000000000000007E-2</v>
      </c>
      <c r="N896" s="3">
        <f t="shared" si="371"/>
        <v>40.197574226389868</v>
      </c>
      <c r="O896" s="3">
        <f t="shared" si="356"/>
        <v>40.197574226389868</v>
      </c>
      <c r="P896" s="3">
        <f t="shared" si="360"/>
        <v>43.223198092892332</v>
      </c>
      <c r="Q896" s="3">
        <f t="shared" si="361"/>
        <v>4.3803013751558959</v>
      </c>
      <c r="R896" s="3">
        <f t="shared" si="362"/>
        <v>23.801749734024114</v>
      </c>
      <c r="S896" s="3">
        <f t="shared" si="357"/>
        <v>1</v>
      </c>
      <c r="T896" s="3">
        <f t="shared" si="363"/>
        <v>19421.44835886822</v>
      </c>
      <c r="U896" s="3">
        <f t="shared" si="364"/>
        <v>0.5</v>
      </c>
      <c r="V896" s="3">
        <f t="shared" si="365"/>
        <v>0</v>
      </c>
      <c r="W896" s="3">
        <f t="shared" si="366"/>
        <v>14471.126721500352</v>
      </c>
      <c r="X896" s="3">
        <f t="shared" si="358"/>
        <v>2190.1506875779478</v>
      </c>
      <c r="AI896" s="3"/>
      <c r="AJ896" s="3"/>
      <c r="AK896" s="15">
        <f t="shared" si="349"/>
        <v>4</v>
      </c>
      <c r="AL896" s="11">
        <f t="shared" si="353"/>
        <v>5322</v>
      </c>
      <c r="AM896" s="11" t="b">
        <f t="shared" si="348"/>
        <v>0</v>
      </c>
      <c r="AN896" s="11">
        <f t="shared" si="350"/>
        <v>36000</v>
      </c>
      <c r="AO896" s="11">
        <f t="shared" si="351"/>
        <v>0</v>
      </c>
      <c r="AP896" s="11">
        <f t="shared" si="352"/>
        <v>0.50359426899083959</v>
      </c>
      <c r="AQ896" s="11">
        <f t="shared" si="354"/>
        <v>0</v>
      </c>
      <c r="AT896" s="3"/>
      <c r="AU896" s="17"/>
      <c r="AV896" s="19"/>
      <c r="AW896" s="17"/>
      <c r="AX896" s="17">
        <f t="shared" si="373"/>
        <v>887</v>
      </c>
      <c r="AY896" s="17">
        <f t="shared" si="372"/>
        <v>88.7</v>
      </c>
      <c r="AZ896" s="17">
        <v>50.359426899083957</v>
      </c>
      <c r="BA896" s="17"/>
      <c r="BB896" s="17">
        <v>36</v>
      </c>
      <c r="BC896" s="17"/>
      <c r="BD896" s="17"/>
      <c r="BE896" s="17"/>
      <c r="BF896" s="17"/>
      <c r="BG896" s="17"/>
      <c r="BH896" s="17"/>
      <c r="BI896" s="17"/>
      <c r="BJ896" s="17"/>
      <c r="BK896" s="17"/>
      <c r="BL896" s="17"/>
      <c r="BM896" s="17"/>
      <c r="BN896" s="17"/>
      <c r="BO896" s="17"/>
      <c r="BP896" s="17"/>
      <c r="BQ896" s="17"/>
      <c r="BR896" s="17"/>
      <c r="BS896" s="17"/>
      <c r="BT896" s="17"/>
      <c r="BU896" s="17"/>
      <c r="BV896" s="17"/>
      <c r="BW896" s="17"/>
      <c r="BX896" s="17"/>
      <c r="BY896" s="17"/>
      <c r="BZ896" s="17"/>
      <c r="CA896" s="17"/>
      <c r="CB896" s="17"/>
      <c r="CC896" s="17"/>
      <c r="CD896" s="17"/>
      <c r="CE896" s="17"/>
      <c r="CF896" s="17"/>
      <c r="CG896" s="17"/>
      <c r="CH896" s="17"/>
    </row>
    <row r="897" spans="8:86" x14ac:dyDescent="0.15">
      <c r="H897" s="3">
        <f t="shared" si="367"/>
        <v>0.88500000000000068</v>
      </c>
      <c r="I897" s="3">
        <f t="shared" si="368"/>
        <v>360</v>
      </c>
      <c r="J897" s="14">
        <f t="shared" si="369"/>
        <v>500</v>
      </c>
      <c r="K897" s="3">
        <f t="shared" si="359"/>
        <v>0</v>
      </c>
      <c r="L897" s="3">
        <f t="shared" si="355"/>
        <v>500</v>
      </c>
      <c r="M897" s="15">
        <f t="shared" si="370"/>
        <v>7.0000000000000007E-2</v>
      </c>
      <c r="N897" s="3">
        <f t="shared" si="371"/>
        <v>40.143625758726344</v>
      </c>
      <c r="O897" s="3">
        <f t="shared" si="356"/>
        <v>40.143625758726344</v>
      </c>
      <c r="P897" s="3">
        <f t="shared" si="360"/>
        <v>43.165188987877791</v>
      </c>
      <c r="Q897" s="3">
        <f t="shared" si="361"/>
        <v>4.3414584784381596</v>
      </c>
      <c r="R897" s="3">
        <f t="shared" si="362"/>
        <v>23.753323733157977</v>
      </c>
      <c r="S897" s="3">
        <f t="shared" si="357"/>
        <v>1</v>
      </c>
      <c r="T897" s="3">
        <f t="shared" si="363"/>
        <v>19411.865254719814</v>
      </c>
      <c r="U897" s="3">
        <f t="shared" si="364"/>
        <v>0.5</v>
      </c>
      <c r="V897" s="3">
        <f t="shared" si="365"/>
        <v>0</v>
      </c>
      <c r="W897" s="3">
        <f t="shared" si="366"/>
        <v>14451.705273141484</v>
      </c>
      <c r="X897" s="3">
        <f t="shared" si="358"/>
        <v>2170.7292392190798</v>
      </c>
      <c r="AI897" s="3"/>
      <c r="AJ897" s="3"/>
      <c r="AK897" s="15">
        <f t="shared" si="349"/>
        <v>4</v>
      </c>
      <c r="AL897" s="11">
        <f t="shared" si="353"/>
        <v>5328</v>
      </c>
      <c r="AM897" s="11" t="b">
        <f t="shared" si="348"/>
        <v>0</v>
      </c>
      <c r="AN897" s="11">
        <f t="shared" si="350"/>
        <v>36000</v>
      </c>
      <c r="AO897" s="11">
        <f t="shared" si="351"/>
        <v>0</v>
      </c>
      <c r="AP897" s="11">
        <f t="shared" si="352"/>
        <v>0.50469658380565452</v>
      </c>
      <c r="AQ897" s="11">
        <f t="shared" si="354"/>
        <v>0</v>
      </c>
      <c r="AT897" s="3"/>
      <c r="AU897" s="17"/>
      <c r="AV897" s="19"/>
      <c r="AW897" s="17"/>
      <c r="AX897" s="17">
        <f t="shared" si="373"/>
        <v>888</v>
      </c>
      <c r="AY897" s="17">
        <f t="shared" si="372"/>
        <v>88.8</v>
      </c>
      <c r="AZ897" s="17">
        <v>50.469658380565448</v>
      </c>
      <c r="BA897" s="17"/>
      <c r="BB897" s="17">
        <v>36</v>
      </c>
      <c r="BC897" s="17"/>
      <c r="BD897" s="17"/>
      <c r="BE897" s="17"/>
      <c r="BF897" s="17"/>
      <c r="BG897" s="17"/>
      <c r="BH897" s="17"/>
      <c r="BI897" s="17"/>
      <c r="BJ897" s="17"/>
      <c r="BK897" s="17"/>
      <c r="BL897" s="17"/>
      <c r="BM897" s="17"/>
      <c r="BN897" s="17"/>
      <c r="BO897" s="17"/>
      <c r="BP897" s="17"/>
      <c r="BQ897" s="17"/>
      <c r="BR897" s="17"/>
      <c r="BS897" s="17"/>
      <c r="BT897" s="17"/>
      <c r="BU897" s="17"/>
      <c r="BV897" s="17"/>
      <c r="BW897" s="17"/>
      <c r="BX897" s="17"/>
      <c r="BY897" s="17"/>
      <c r="BZ897" s="17"/>
      <c r="CA897" s="17"/>
      <c r="CB897" s="17"/>
      <c r="CC897" s="17"/>
      <c r="CD897" s="17"/>
      <c r="CE897" s="17"/>
      <c r="CF897" s="17"/>
      <c r="CG897" s="17"/>
      <c r="CH897" s="17"/>
    </row>
    <row r="898" spans="8:86" x14ac:dyDescent="0.15">
      <c r="H898" s="3">
        <f t="shared" si="367"/>
        <v>0.88600000000000068</v>
      </c>
      <c r="I898" s="3">
        <f t="shared" si="368"/>
        <v>360</v>
      </c>
      <c r="J898" s="14">
        <f t="shared" si="369"/>
        <v>500</v>
      </c>
      <c r="K898" s="3">
        <f t="shared" si="359"/>
        <v>0</v>
      </c>
      <c r="L898" s="3">
        <f t="shared" si="355"/>
        <v>500</v>
      </c>
      <c r="M898" s="15">
        <f t="shared" si="370"/>
        <v>7.0000000000000007E-2</v>
      </c>
      <c r="N898" s="3">
        <f t="shared" si="371"/>
        <v>40.089703910796565</v>
      </c>
      <c r="O898" s="3">
        <f t="shared" si="356"/>
        <v>40.089703910796565</v>
      </c>
      <c r="P898" s="3">
        <f t="shared" si="360"/>
        <v>43.107208506232865</v>
      </c>
      <c r="Q898" s="3">
        <f t="shared" si="361"/>
        <v>4.3026347479287192</v>
      </c>
      <c r="R898" s="3">
        <f t="shared" si="362"/>
        <v>23.704921627080793</v>
      </c>
      <c r="S898" s="3">
        <f t="shared" si="357"/>
        <v>1</v>
      </c>
      <c r="T898" s="3">
        <f t="shared" si="363"/>
        <v>19402.28687915207</v>
      </c>
      <c r="U898" s="3">
        <f t="shared" si="364"/>
        <v>0.5</v>
      </c>
      <c r="V898" s="3">
        <f t="shared" si="365"/>
        <v>0</v>
      </c>
      <c r="W898" s="3">
        <f t="shared" si="366"/>
        <v>14432.293407886764</v>
      </c>
      <c r="X898" s="3">
        <f t="shared" si="358"/>
        <v>2151.3173739643598</v>
      </c>
      <c r="AI898" s="3"/>
      <c r="AJ898" s="3"/>
      <c r="AK898" s="15">
        <f t="shared" si="349"/>
        <v>4</v>
      </c>
      <c r="AL898" s="11">
        <f t="shared" si="353"/>
        <v>5334</v>
      </c>
      <c r="AM898" s="11" t="b">
        <f t="shared" si="348"/>
        <v>0</v>
      </c>
      <c r="AN898" s="11">
        <f t="shared" si="350"/>
        <v>36000</v>
      </c>
      <c r="AO898" s="11">
        <f t="shared" si="351"/>
        <v>0</v>
      </c>
      <c r="AP898" s="11">
        <f t="shared" si="352"/>
        <v>0.50579889862046934</v>
      </c>
      <c r="AQ898" s="11">
        <f t="shared" si="354"/>
        <v>0</v>
      </c>
      <c r="AT898" s="3"/>
      <c r="AU898" s="17"/>
      <c r="AV898" s="19"/>
      <c r="AW898" s="17"/>
      <c r="AX898" s="17">
        <f t="shared" si="373"/>
        <v>889</v>
      </c>
      <c r="AY898" s="17">
        <f t="shared" si="372"/>
        <v>88.9</v>
      </c>
      <c r="AZ898" s="17">
        <v>50.579889862046933</v>
      </c>
      <c r="BA898" s="17"/>
      <c r="BB898" s="17">
        <v>36</v>
      </c>
      <c r="BC898" s="17"/>
      <c r="BD898" s="17"/>
      <c r="BE898" s="17"/>
      <c r="BF898" s="17"/>
      <c r="BG898" s="17"/>
      <c r="BH898" s="17"/>
      <c r="BI898" s="17"/>
      <c r="BJ898" s="17"/>
      <c r="BK898" s="17"/>
      <c r="BL898" s="17"/>
      <c r="BM898" s="17"/>
      <c r="BN898" s="17"/>
      <c r="BO898" s="17"/>
      <c r="BP898" s="17"/>
      <c r="BQ898" s="17"/>
      <c r="BR898" s="17"/>
      <c r="BS898" s="17"/>
      <c r="BT898" s="17"/>
      <c r="BU898" s="17"/>
      <c r="BV898" s="17"/>
      <c r="BW898" s="17"/>
      <c r="BX898" s="17"/>
      <c r="BY898" s="17"/>
      <c r="BZ898" s="17"/>
      <c r="CA898" s="17"/>
      <c r="CB898" s="17"/>
      <c r="CC898" s="17"/>
      <c r="CD898" s="17"/>
      <c r="CE898" s="17"/>
      <c r="CF898" s="17"/>
      <c r="CG898" s="17"/>
      <c r="CH898" s="17"/>
    </row>
    <row r="899" spans="8:86" x14ac:dyDescent="0.15">
      <c r="H899" s="3">
        <f t="shared" si="367"/>
        <v>0.88700000000000068</v>
      </c>
      <c r="I899" s="3">
        <f t="shared" si="368"/>
        <v>360</v>
      </c>
      <c r="J899" s="14">
        <f t="shared" si="369"/>
        <v>500</v>
      </c>
      <c r="K899" s="3">
        <f t="shared" si="359"/>
        <v>0</v>
      </c>
      <c r="L899" s="3">
        <f t="shared" si="355"/>
        <v>500</v>
      </c>
      <c r="M899" s="15">
        <f t="shared" si="370"/>
        <v>7.0000000000000007E-2</v>
      </c>
      <c r="N899" s="3">
        <f t="shared" si="371"/>
        <v>40.035808669465588</v>
      </c>
      <c r="O899" s="3">
        <f t="shared" si="356"/>
        <v>40.035808669465588</v>
      </c>
      <c r="P899" s="3">
        <f t="shared" si="360"/>
        <v>43.04925663383397</v>
      </c>
      <c r="Q899" s="3">
        <f t="shared" si="361"/>
        <v>4.2638301741704154</v>
      </c>
      <c r="R899" s="3">
        <f t="shared" si="362"/>
        <v>23.656543404002193</v>
      </c>
      <c r="S899" s="3">
        <f t="shared" si="357"/>
        <v>1</v>
      </c>
      <c r="T899" s="3">
        <f t="shared" si="363"/>
        <v>19392.713229831777</v>
      </c>
      <c r="U899" s="3">
        <f t="shared" si="364"/>
        <v>0.5</v>
      </c>
      <c r="V899" s="3">
        <f t="shared" si="365"/>
        <v>0</v>
      </c>
      <c r="W899" s="3">
        <f t="shared" si="366"/>
        <v>14412.891121007611</v>
      </c>
      <c r="X899" s="3">
        <f t="shared" si="358"/>
        <v>2131.9150870852077</v>
      </c>
      <c r="AI899" s="3"/>
      <c r="AJ899" s="3"/>
      <c r="AK899" s="15">
        <f t="shared" si="349"/>
        <v>4</v>
      </c>
      <c r="AL899" s="11">
        <f t="shared" si="353"/>
        <v>5340</v>
      </c>
      <c r="AM899" s="11" t="b">
        <f t="shared" si="348"/>
        <v>0</v>
      </c>
      <c r="AN899" s="11">
        <f t="shared" si="350"/>
        <v>36000</v>
      </c>
      <c r="AO899" s="11">
        <f t="shared" si="351"/>
        <v>0</v>
      </c>
      <c r="AP899" s="11">
        <f t="shared" si="352"/>
        <v>0.50690121343528416</v>
      </c>
      <c r="AQ899" s="11">
        <f t="shared" si="354"/>
        <v>0</v>
      </c>
      <c r="AT899" s="3"/>
      <c r="AU899" s="17"/>
      <c r="AV899" s="19"/>
      <c r="AW899" s="17"/>
      <c r="AX899" s="17">
        <f t="shared" si="373"/>
        <v>890</v>
      </c>
      <c r="AY899" s="17">
        <f t="shared" si="372"/>
        <v>89</v>
      </c>
      <c r="AZ899" s="17">
        <v>50.690121343528418</v>
      </c>
      <c r="BA899" s="17"/>
      <c r="BB899" s="17">
        <v>36</v>
      </c>
      <c r="BC899" s="17"/>
      <c r="BD899" s="17"/>
      <c r="BE899" s="17"/>
      <c r="BF899" s="17"/>
      <c r="BG899" s="17"/>
      <c r="BH899" s="17"/>
      <c r="BI899" s="17"/>
      <c r="BJ899" s="17"/>
      <c r="BK899" s="17"/>
      <c r="BL899" s="17"/>
      <c r="BM899" s="17"/>
      <c r="BN899" s="17"/>
      <c r="BO899" s="17"/>
      <c r="BP899" s="17"/>
      <c r="BQ899" s="17"/>
      <c r="BR899" s="17"/>
      <c r="BS899" s="17"/>
      <c r="BT899" s="17"/>
      <c r="BU899" s="17"/>
      <c r="BV899" s="17"/>
      <c r="BW899" s="17"/>
      <c r="BX899" s="17"/>
      <c r="BY899" s="17"/>
      <c r="BZ899" s="17"/>
      <c r="CA899" s="17"/>
      <c r="CB899" s="17"/>
      <c r="CC899" s="17"/>
      <c r="CD899" s="17"/>
      <c r="CE899" s="17"/>
      <c r="CF899" s="17"/>
      <c r="CG899" s="17"/>
      <c r="CH899" s="17"/>
    </row>
    <row r="900" spans="8:86" x14ac:dyDescent="0.15">
      <c r="H900" s="3">
        <f t="shared" si="367"/>
        <v>0.88800000000000068</v>
      </c>
      <c r="I900" s="3">
        <f t="shared" si="368"/>
        <v>360</v>
      </c>
      <c r="J900" s="14">
        <f t="shared" si="369"/>
        <v>500</v>
      </c>
      <c r="K900" s="3">
        <f t="shared" si="359"/>
        <v>0</v>
      </c>
      <c r="L900" s="3">
        <f t="shared" si="355"/>
        <v>500</v>
      </c>
      <c r="M900" s="15">
        <f t="shared" si="370"/>
        <v>7.0000000000000007E-2</v>
      </c>
      <c r="N900" s="3">
        <f t="shared" si="371"/>
        <v>39.981940021604942</v>
      </c>
      <c r="O900" s="3">
        <f t="shared" si="356"/>
        <v>39.981940021604942</v>
      </c>
      <c r="P900" s="3">
        <f t="shared" si="360"/>
        <v>42.991333356564454</v>
      </c>
      <c r="Q900" s="3">
        <f t="shared" si="361"/>
        <v>4.2250447477107516</v>
      </c>
      <c r="R900" s="3">
        <f t="shared" si="362"/>
        <v>23.608189052137604</v>
      </c>
      <c r="S900" s="3">
        <f t="shared" si="357"/>
        <v>1</v>
      </c>
      <c r="T900" s="3">
        <f t="shared" si="363"/>
        <v>19383.144304426849</v>
      </c>
      <c r="U900" s="3">
        <f t="shared" si="364"/>
        <v>0.5</v>
      </c>
      <c r="V900" s="3">
        <f t="shared" si="365"/>
        <v>0</v>
      </c>
      <c r="W900" s="3">
        <f t="shared" si="366"/>
        <v>14393.498407777779</v>
      </c>
      <c r="X900" s="3">
        <f t="shared" si="358"/>
        <v>2112.5223738553759</v>
      </c>
      <c r="AI900" s="3"/>
      <c r="AJ900" s="3"/>
      <c r="AK900" s="15">
        <f t="shared" si="349"/>
        <v>4</v>
      </c>
      <c r="AL900" s="11">
        <f t="shared" si="353"/>
        <v>5346</v>
      </c>
      <c r="AM900" s="11" t="b">
        <f t="shared" si="348"/>
        <v>0</v>
      </c>
      <c r="AN900" s="11">
        <f t="shared" si="350"/>
        <v>36000</v>
      </c>
      <c r="AO900" s="11">
        <f t="shared" si="351"/>
        <v>0</v>
      </c>
      <c r="AP900" s="11">
        <f t="shared" si="352"/>
        <v>0.50800352825009898</v>
      </c>
      <c r="AQ900" s="11">
        <f t="shared" si="354"/>
        <v>0</v>
      </c>
      <c r="AT900" s="3"/>
      <c r="AU900" s="17"/>
      <c r="AV900" s="19"/>
      <c r="AW900" s="17"/>
      <c r="AX900" s="17">
        <f t="shared" si="373"/>
        <v>891</v>
      </c>
      <c r="AY900" s="17">
        <f t="shared" si="372"/>
        <v>89.1</v>
      </c>
      <c r="AZ900" s="17">
        <v>50.800352825009895</v>
      </c>
      <c r="BA900" s="17"/>
      <c r="BB900" s="17">
        <v>36</v>
      </c>
      <c r="BC900" s="17"/>
      <c r="BD900" s="17"/>
      <c r="BE900" s="17"/>
      <c r="BF900" s="17"/>
      <c r="BG900" s="17"/>
      <c r="BH900" s="17"/>
      <c r="BI900" s="17"/>
      <c r="BJ900" s="17"/>
      <c r="BK900" s="17"/>
      <c r="BL900" s="17"/>
      <c r="BM900" s="17"/>
      <c r="BN900" s="17"/>
      <c r="BO900" s="17"/>
      <c r="BP900" s="17"/>
      <c r="BQ900" s="17"/>
      <c r="BR900" s="17"/>
      <c r="BS900" s="17"/>
      <c r="BT900" s="17"/>
      <c r="BU900" s="17"/>
      <c r="BV900" s="17"/>
      <c r="BW900" s="17"/>
      <c r="BX900" s="17"/>
      <c r="BY900" s="17"/>
      <c r="BZ900" s="17"/>
      <c r="CA900" s="17"/>
      <c r="CB900" s="17"/>
      <c r="CC900" s="17"/>
      <c r="CD900" s="17"/>
      <c r="CE900" s="17"/>
      <c r="CF900" s="17"/>
      <c r="CG900" s="17"/>
      <c r="CH900" s="17"/>
    </row>
    <row r="901" spans="8:86" x14ac:dyDescent="0.15">
      <c r="H901" s="3">
        <f t="shared" si="367"/>
        <v>0.88900000000000068</v>
      </c>
      <c r="I901" s="3">
        <f t="shared" si="368"/>
        <v>360</v>
      </c>
      <c r="J901" s="14">
        <f t="shared" si="369"/>
        <v>500</v>
      </c>
      <c r="K901" s="3">
        <f t="shared" si="359"/>
        <v>0</v>
      </c>
      <c r="L901" s="3">
        <f t="shared" si="355"/>
        <v>500</v>
      </c>
      <c r="M901" s="15">
        <f t="shared" si="370"/>
        <v>7.0000000000000007E-2</v>
      </c>
      <c r="N901" s="3">
        <f t="shared" si="371"/>
        <v>39.928097954092642</v>
      </c>
      <c r="O901" s="3">
        <f t="shared" si="356"/>
        <v>39.928097954092642</v>
      </c>
      <c r="P901" s="3">
        <f t="shared" si="360"/>
        <v>42.933438660314671</v>
      </c>
      <c r="Q901" s="3">
        <f t="shared" si="361"/>
        <v>4.1862784591018984</v>
      </c>
      <c r="R901" s="3">
        <f t="shared" si="362"/>
        <v>23.559858559708285</v>
      </c>
      <c r="S901" s="3">
        <f t="shared" si="357"/>
        <v>1</v>
      </c>
      <c r="T901" s="3">
        <f t="shared" si="363"/>
        <v>19373.580100606385</v>
      </c>
      <c r="U901" s="3">
        <f t="shared" si="364"/>
        <v>0.5</v>
      </c>
      <c r="V901" s="3">
        <f t="shared" si="365"/>
        <v>0</v>
      </c>
      <c r="W901" s="3">
        <f t="shared" si="366"/>
        <v>14374.115263473352</v>
      </c>
      <c r="X901" s="3">
        <f t="shared" si="358"/>
        <v>2093.139229550949</v>
      </c>
      <c r="AI901" s="3"/>
      <c r="AJ901" s="3"/>
      <c r="AK901" s="15">
        <f t="shared" si="349"/>
        <v>4</v>
      </c>
      <c r="AL901" s="11">
        <f t="shared" si="353"/>
        <v>5352</v>
      </c>
      <c r="AM901" s="11" t="b">
        <f t="shared" si="348"/>
        <v>0</v>
      </c>
      <c r="AN901" s="11">
        <f t="shared" si="350"/>
        <v>36000</v>
      </c>
      <c r="AO901" s="11">
        <f t="shared" si="351"/>
        <v>0</v>
      </c>
      <c r="AP901" s="11">
        <f t="shared" si="352"/>
        <v>0.5091058430649138</v>
      </c>
      <c r="AQ901" s="11">
        <f t="shared" si="354"/>
        <v>0</v>
      </c>
      <c r="AT901" s="3"/>
      <c r="AU901" s="17"/>
      <c r="AV901" s="19"/>
      <c r="AW901" s="17"/>
      <c r="AX901" s="17">
        <f t="shared" si="373"/>
        <v>892</v>
      </c>
      <c r="AY901" s="17">
        <f t="shared" si="372"/>
        <v>89.2</v>
      </c>
      <c r="AZ901" s="17">
        <v>50.91058430649138</v>
      </c>
      <c r="BA901" s="17"/>
      <c r="BB901" s="17">
        <v>36</v>
      </c>
      <c r="BC901" s="17"/>
      <c r="BD901" s="17"/>
      <c r="BE901" s="17"/>
      <c r="BF901" s="17"/>
      <c r="BG901" s="17"/>
      <c r="BH901" s="17"/>
      <c r="BI901" s="17"/>
      <c r="BJ901" s="17"/>
      <c r="BK901" s="17"/>
      <c r="BL901" s="17"/>
      <c r="BM901" s="17"/>
      <c r="BN901" s="17"/>
      <c r="BO901" s="17"/>
      <c r="BP901" s="17"/>
      <c r="BQ901" s="17"/>
      <c r="BR901" s="17"/>
      <c r="BS901" s="17"/>
      <c r="BT901" s="17"/>
      <c r="BU901" s="17"/>
      <c r="BV901" s="17"/>
      <c r="BW901" s="17"/>
      <c r="BX901" s="17"/>
      <c r="BY901" s="17"/>
      <c r="BZ901" s="17"/>
      <c r="CA901" s="17"/>
      <c r="CB901" s="17"/>
      <c r="CC901" s="17"/>
      <c r="CD901" s="17"/>
      <c r="CE901" s="17"/>
      <c r="CF901" s="17"/>
      <c r="CG901" s="17"/>
      <c r="CH901" s="17"/>
    </row>
    <row r="902" spans="8:86" x14ac:dyDescent="0.15">
      <c r="H902" s="3">
        <f t="shared" si="367"/>
        <v>0.89000000000000068</v>
      </c>
      <c r="I902" s="3">
        <f t="shared" si="368"/>
        <v>360</v>
      </c>
      <c r="J902" s="14">
        <f t="shared" si="369"/>
        <v>500</v>
      </c>
      <c r="K902" s="3">
        <f t="shared" si="359"/>
        <v>0</v>
      </c>
      <c r="L902" s="3">
        <f t="shared" si="355"/>
        <v>500</v>
      </c>
      <c r="M902" s="15">
        <f t="shared" si="370"/>
        <v>7.0000000000000007E-2</v>
      </c>
      <c r="N902" s="3">
        <f t="shared" si="371"/>
        <v>39.87428245381318</v>
      </c>
      <c r="O902" s="3">
        <f t="shared" si="356"/>
        <v>39.87428245381318</v>
      </c>
      <c r="P902" s="3">
        <f t="shared" si="360"/>
        <v>42.87557253098192</v>
      </c>
      <c r="Q902" s="3">
        <f t="shared" si="361"/>
        <v>4.1475312989006854</v>
      </c>
      <c r="R902" s="3">
        <f t="shared" si="362"/>
        <v>23.511551914941304</v>
      </c>
      <c r="S902" s="3">
        <f t="shared" si="357"/>
        <v>1</v>
      </c>
      <c r="T902" s="3">
        <f t="shared" si="363"/>
        <v>19364.020616040616</v>
      </c>
      <c r="U902" s="3">
        <f t="shared" si="364"/>
        <v>0.5</v>
      </c>
      <c r="V902" s="3">
        <f t="shared" si="365"/>
        <v>0</v>
      </c>
      <c r="W902" s="3">
        <f t="shared" si="366"/>
        <v>14354.741683372744</v>
      </c>
      <c r="X902" s="3">
        <f t="shared" si="358"/>
        <v>2073.7656494503426</v>
      </c>
      <c r="AI902" s="3"/>
      <c r="AJ902" s="3"/>
      <c r="AK902" s="15">
        <f t="shared" si="349"/>
        <v>4</v>
      </c>
      <c r="AL902" s="11">
        <f t="shared" si="353"/>
        <v>5358</v>
      </c>
      <c r="AM902" s="11" t="b">
        <f t="shared" si="348"/>
        <v>0</v>
      </c>
      <c r="AN902" s="11">
        <f t="shared" si="350"/>
        <v>36000</v>
      </c>
      <c r="AO902" s="11">
        <f t="shared" si="351"/>
        <v>0</v>
      </c>
      <c r="AP902" s="11">
        <f t="shared" si="352"/>
        <v>0.51020815787972873</v>
      </c>
      <c r="AQ902" s="11">
        <f t="shared" si="354"/>
        <v>0</v>
      </c>
      <c r="AT902" s="3"/>
      <c r="AU902" s="17"/>
      <c r="AV902" s="19"/>
      <c r="AW902" s="17"/>
      <c r="AX902" s="17">
        <f t="shared" si="373"/>
        <v>893</v>
      </c>
      <c r="AY902" s="17">
        <f t="shared" si="372"/>
        <v>89.3</v>
      </c>
      <c r="AZ902" s="17">
        <v>51.020815787972872</v>
      </c>
      <c r="BA902" s="17"/>
      <c r="BB902" s="17">
        <v>36</v>
      </c>
      <c r="BC902" s="17"/>
      <c r="BD902" s="17"/>
      <c r="BE902" s="17"/>
      <c r="BF902" s="17"/>
      <c r="BG902" s="17"/>
      <c r="BH902" s="17"/>
      <c r="BI902" s="17"/>
      <c r="BJ902" s="17"/>
      <c r="BK902" s="17"/>
      <c r="BL902" s="17"/>
      <c r="BM902" s="17"/>
      <c r="BN902" s="17"/>
      <c r="BO902" s="17"/>
      <c r="BP902" s="17"/>
      <c r="BQ902" s="17"/>
      <c r="BR902" s="17"/>
      <c r="BS902" s="17"/>
      <c r="BT902" s="17"/>
      <c r="BU902" s="17"/>
      <c r="BV902" s="17"/>
      <c r="BW902" s="17"/>
      <c r="BX902" s="17"/>
      <c r="BY902" s="17"/>
      <c r="BZ902" s="17"/>
      <c r="CA902" s="17"/>
      <c r="CB902" s="17"/>
      <c r="CC902" s="17"/>
      <c r="CD902" s="17"/>
      <c r="CE902" s="17"/>
      <c r="CF902" s="17"/>
      <c r="CG902" s="17"/>
      <c r="CH902" s="17"/>
    </row>
    <row r="903" spans="8:86" x14ac:dyDescent="0.15">
      <c r="H903" s="3">
        <f t="shared" si="367"/>
        <v>0.89100000000000068</v>
      </c>
      <c r="I903" s="3">
        <f t="shared" si="368"/>
        <v>360</v>
      </c>
      <c r="J903" s="14">
        <f t="shared" si="369"/>
        <v>500</v>
      </c>
      <c r="K903" s="3">
        <f t="shared" si="359"/>
        <v>0</v>
      </c>
      <c r="L903" s="3">
        <f t="shared" si="355"/>
        <v>500</v>
      </c>
      <c r="M903" s="15">
        <f t="shared" si="370"/>
        <v>7.0000000000000007E-2</v>
      </c>
      <c r="N903" s="3">
        <f t="shared" si="371"/>
        <v>39.82049350765751</v>
      </c>
      <c r="O903" s="3">
        <f t="shared" si="356"/>
        <v>39.82049350765751</v>
      </c>
      <c r="P903" s="3">
        <f t="shared" si="360"/>
        <v>42.817734954470446</v>
      </c>
      <c r="Q903" s="3">
        <f t="shared" si="361"/>
        <v>4.1088032576686038</v>
      </c>
      <c r="R903" s="3">
        <f t="shared" si="362"/>
        <v>23.463269106069525</v>
      </c>
      <c r="S903" s="3">
        <f t="shared" si="357"/>
        <v>1</v>
      </c>
      <c r="T903" s="3">
        <f t="shared" si="363"/>
        <v>19354.46584840092</v>
      </c>
      <c r="U903" s="3">
        <f t="shared" si="364"/>
        <v>0.5</v>
      </c>
      <c r="V903" s="3">
        <f t="shared" si="365"/>
        <v>0</v>
      </c>
      <c r="W903" s="3">
        <f t="shared" si="366"/>
        <v>14335.377662756704</v>
      </c>
      <c r="X903" s="3">
        <f t="shared" si="358"/>
        <v>2054.4016288343018</v>
      </c>
      <c r="AI903" s="3"/>
      <c r="AJ903" s="3"/>
      <c r="AK903" s="15">
        <f t="shared" si="349"/>
        <v>4</v>
      </c>
      <c r="AL903" s="11">
        <f t="shared" si="353"/>
        <v>5364</v>
      </c>
      <c r="AM903" s="11" t="b">
        <f t="shared" si="348"/>
        <v>0</v>
      </c>
      <c r="AN903" s="11">
        <f t="shared" si="350"/>
        <v>36000</v>
      </c>
      <c r="AO903" s="11">
        <f t="shared" si="351"/>
        <v>0</v>
      </c>
      <c r="AP903" s="11">
        <f t="shared" si="352"/>
        <v>0.51131047269454355</v>
      </c>
      <c r="AQ903" s="11">
        <f t="shared" si="354"/>
        <v>0</v>
      </c>
      <c r="AT903" s="3"/>
      <c r="AU903" s="17"/>
      <c r="AV903" s="19"/>
      <c r="AW903" s="17"/>
      <c r="AX903" s="17">
        <f t="shared" si="373"/>
        <v>894</v>
      </c>
      <c r="AY903" s="17">
        <f t="shared" si="372"/>
        <v>89.4</v>
      </c>
      <c r="AZ903" s="17">
        <v>51.131047269454356</v>
      </c>
      <c r="BA903" s="17"/>
      <c r="BB903" s="17">
        <v>36</v>
      </c>
      <c r="BC903" s="17"/>
      <c r="BD903" s="17"/>
      <c r="BE903" s="17"/>
      <c r="BF903" s="17"/>
      <c r="BG903" s="17"/>
      <c r="BH903" s="17"/>
      <c r="BI903" s="17"/>
      <c r="BJ903" s="17"/>
      <c r="BK903" s="17"/>
      <c r="BL903" s="17"/>
      <c r="BM903" s="17"/>
      <c r="BN903" s="17"/>
      <c r="BO903" s="17"/>
      <c r="BP903" s="17"/>
      <c r="BQ903" s="17"/>
      <c r="BR903" s="17"/>
      <c r="BS903" s="17"/>
      <c r="BT903" s="17"/>
      <c r="BU903" s="17"/>
      <c r="BV903" s="17"/>
      <c r="BW903" s="17"/>
      <c r="BX903" s="17"/>
      <c r="BY903" s="17"/>
      <c r="BZ903" s="17"/>
      <c r="CA903" s="17"/>
      <c r="CB903" s="17"/>
      <c r="CC903" s="17"/>
      <c r="CD903" s="17"/>
      <c r="CE903" s="17"/>
      <c r="CF903" s="17"/>
      <c r="CG903" s="17"/>
      <c r="CH903" s="17"/>
    </row>
    <row r="904" spans="8:86" x14ac:dyDescent="0.15">
      <c r="H904" s="3">
        <f t="shared" si="367"/>
        <v>0.89200000000000068</v>
      </c>
      <c r="I904" s="3">
        <f t="shared" si="368"/>
        <v>360</v>
      </c>
      <c r="J904" s="14">
        <f t="shared" si="369"/>
        <v>500</v>
      </c>
      <c r="K904" s="3">
        <f t="shared" si="359"/>
        <v>0</v>
      </c>
      <c r="L904" s="3">
        <f t="shared" si="355"/>
        <v>500</v>
      </c>
      <c r="M904" s="15">
        <f t="shared" si="370"/>
        <v>7.0000000000000007E-2</v>
      </c>
      <c r="N904" s="3">
        <f t="shared" si="371"/>
        <v>39.766731102523067</v>
      </c>
      <c r="O904" s="3">
        <f t="shared" si="356"/>
        <v>39.766731102523067</v>
      </c>
      <c r="P904" s="3">
        <f t="shared" si="360"/>
        <v>42.759925916691472</v>
      </c>
      <c r="Q904" s="3">
        <f t="shared" si="361"/>
        <v>4.0700943259718017</v>
      </c>
      <c r="R904" s="3">
        <f t="shared" si="362"/>
        <v>23.415010121331637</v>
      </c>
      <c r="S904" s="3">
        <f t="shared" si="357"/>
        <v>1</v>
      </c>
      <c r="T904" s="3">
        <f t="shared" si="363"/>
        <v>19344.915795359837</v>
      </c>
      <c r="U904" s="3">
        <f t="shared" si="364"/>
        <v>0.5</v>
      </c>
      <c r="V904" s="3">
        <f t="shared" si="365"/>
        <v>0</v>
      </c>
      <c r="W904" s="3">
        <f t="shared" si="366"/>
        <v>14316.023196908303</v>
      </c>
      <c r="X904" s="3">
        <f t="shared" si="358"/>
        <v>2035.0471629859007</v>
      </c>
      <c r="AI904" s="3"/>
      <c r="AJ904" s="3"/>
      <c r="AK904" s="15">
        <f t="shared" si="349"/>
        <v>4</v>
      </c>
      <c r="AL904" s="11">
        <f t="shared" si="353"/>
        <v>5370</v>
      </c>
      <c r="AM904" s="11" t="b">
        <f t="shared" si="348"/>
        <v>0</v>
      </c>
      <c r="AN904" s="11">
        <f t="shared" si="350"/>
        <v>36000</v>
      </c>
      <c r="AO904" s="11">
        <f t="shared" si="351"/>
        <v>0</v>
      </c>
      <c r="AP904" s="11">
        <f t="shared" si="352"/>
        <v>0.51241278750935837</v>
      </c>
      <c r="AQ904" s="11">
        <f t="shared" si="354"/>
        <v>0</v>
      </c>
      <c r="AT904" s="3"/>
      <c r="AU904" s="17"/>
      <c r="AV904" s="19"/>
      <c r="AW904" s="17"/>
      <c r="AX904" s="17">
        <f t="shared" si="373"/>
        <v>895</v>
      </c>
      <c r="AY904" s="17">
        <f t="shared" si="372"/>
        <v>89.5</v>
      </c>
      <c r="AZ904" s="17">
        <v>51.241278750935834</v>
      </c>
      <c r="BA904" s="17"/>
      <c r="BB904" s="17">
        <v>36</v>
      </c>
      <c r="BC904" s="17"/>
      <c r="BD904" s="17"/>
      <c r="BE904" s="17"/>
      <c r="BF904" s="17"/>
      <c r="BG904" s="17"/>
      <c r="BH904" s="17"/>
      <c r="BI904" s="17"/>
      <c r="BJ904" s="17"/>
      <c r="BK904" s="17"/>
      <c r="BL904" s="17"/>
      <c r="BM904" s="17"/>
      <c r="BN904" s="17"/>
      <c r="BO904" s="17"/>
      <c r="BP904" s="17"/>
      <c r="BQ904" s="17"/>
      <c r="BR904" s="17"/>
      <c r="BS904" s="17"/>
      <c r="BT904" s="17"/>
      <c r="BU904" s="17"/>
      <c r="BV904" s="17"/>
      <c r="BW904" s="17"/>
      <c r="BX904" s="17"/>
      <c r="BY904" s="17"/>
      <c r="BZ904" s="17"/>
      <c r="CA904" s="17"/>
      <c r="CB904" s="17"/>
      <c r="CC904" s="17"/>
      <c r="CD904" s="17"/>
      <c r="CE904" s="17"/>
      <c r="CF904" s="17"/>
      <c r="CG904" s="17"/>
      <c r="CH904" s="17"/>
    </row>
    <row r="905" spans="8:86" x14ac:dyDescent="0.15">
      <c r="H905" s="3">
        <f t="shared" si="367"/>
        <v>0.89300000000000068</v>
      </c>
      <c r="I905" s="3">
        <f t="shared" si="368"/>
        <v>360</v>
      </c>
      <c r="J905" s="14">
        <f t="shared" si="369"/>
        <v>500</v>
      </c>
      <c r="K905" s="3">
        <f t="shared" si="359"/>
        <v>0</v>
      </c>
      <c r="L905" s="3">
        <f t="shared" si="355"/>
        <v>500</v>
      </c>
      <c r="M905" s="15">
        <f t="shared" si="370"/>
        <v>7.0000000000000007E-2</v>
      </c>
      <c r="N905" s="3">
        <f t="shared" si="371"/>
        <v>39.712995225313733</v>
      </c>
      <c r="O905" s="3">
        <f t="shared" si="356"/>
        <v>39.712995225313733</v>
      </c>
      <c r="P905" s="3">
        <f t="shared" si="360"/>
        <v>42.702145403563158</v>
      </c>
      <c r="Q905" s="3">
        <f t="shared" si="361"/>
        <v>4.0314044943810821</v>
      </c>
      <c r="R905" s="3">
        <f t="shared" si="362"/>
        <v>23.366774948972122</v>
      </c>
      <c r="S905" s="3">
        <f t="shared" si="357"/>
        <v>1</v>
      </c>
      <c r="T905" s="3">
        <f t="shared" si="363"/>
        <v>19335.370454591037</v>
      </c>
      <c r="U905" s="3">
        <f t="shared" si="364"/>
        <v>0.5</v>
      </c>
      <c r="V905" s="3">
        <f t="shared" si="365"/>
        <v>0</v>
      </c>
      <c r="W905" s="3">
        <f t="shared" si="366"/>
        <v>14296.678281112943</v>
      </c>
      <c r="X905" s="3">
        <f t="shared" si="358"/>
        <v>2015.7022471905411</v>
      </c>
      <c r="AI905" s="3"/>
      <c r="AJ905" s="3"/>
      <c r="AK905" s="15">
        <f t="shared" si="349"/>
        <v>4</v>
      </c>
      <c r="AL905" s="11">
        <f t="shared" si="353"/>
        <v>5376</v>
      </c>
      <c r="AM905" s="11" t="b">
        <f t="shared" ref="AM905:AM968" si="374">OR(AND(AL905&gt;=$AC$5,AL905&lt;=$AD$5),AND(AL905&gt;=$AC$6,AL905&lt;=$AD$6),AND(AL905&gt;=$AC$7,AL905&lt;=$AD$7),AND(AL905&gt;=$AC$8,AL905&lt;=$AD$8),AND(AL905&gt;=$AC$9,AL905&lt;=$AD$9),AND(AL905&gt;=$AC$10,AL905&lt;=$AD$10),AND(AL905&gt;=$AC$11,AL905&lt;=$AD$11),AND($AD$11&lt;$AC$11,OR(AL905&lt;$AD$11,AL905&gt;$AC$11)))</f>
        <v>0</v>
      </c>
      <c r="AN905" s="11">
        <f t="shared" si="350"/>
        <v>36000</v>
      </c>
      <c r="AO905" s="11">
        <f t="shared" si="351"/>
        <v>0</v>
      </c>
      <c r="AP905" s="11">
        <f t="shared" si="352"/>
        <v>0.51351510232417319</v>
      </c>
      <c r="AQ905" s="11">
        <f t="shared" si="354"/>
        <v>0</v>
      </c>
      <c r="AT905" s="3"/>
      <c r="AU905" s="17"/>
      <c r="AV905" s="19"/>
      <c r="AW905" s="17"/>
      <c r="AX905" s="17">
        <f t="shared" si="373"/>
        <v>896</v>
      </c>
      <c r="AY905" s="17">
        <f t="shared" si="372"/>
        <v>89.6</v>
      </c>
      <c r="AZ905" s="17">
        <v>51.351510232417318</v>
      </c>
      <c r="BA905" s="17"/>
      <c r="BB905" s="17">
        <v>36</v>
      </c>
      <c r="BC905" s="17"/>
      <c r="BD905" s="17"/>
      <c r="BE905" s="17"/>
      <c r="BF905" s="17"/>
      <c r="BG905" s="17"/>
      <c r="BH905" s="17"/>
      <c r="BI905" s="17"/>
      <c r="BJ905" s="17"/>
      <c r="BK905" s="17"/>
      <c r="BL905" s="17"/>
      <c r="BM905" s="17"/>
      <c r="BN905" s="17"/>
      <c r="BO905" s="17"/>
      <c r="BP905" s="17"/>
      <c r="BQ905" s="17"/>
      <c r="BR905" s="17"/>
      <c r="BS905" s="17"/>
      <c r="BT905" s="17"/>
      <c r="BU905" s="17"/>
      <c r="BV905" s="17"/>
      <c r="BW905" s="17"/>
      <c r="BX905" s="17"/>
      <c r="BY905" s="17"/>
      <c r="BZ905" s="17"/>
      <c r="CA905" s="17"/>
      <c r="CB905" s="17"/>
      <c r="CC905" s="17"/>
      <c r="CD905" s="17"/>
      <c r="CE905" s="17"/>
      <c r="CF905" s="17"/>
      <c r="CG905" s="17"/>
      <c r="CH905" s="17"/>
    </row>
    <row r="906" spans="8:86" x14ac:dyDescent="0.15">
      <c r="H906" s="3">
        <f t="shared" si="367"/>
        <v>0.89400000000000068</v>
      </c>
      <c r="I906" s="3">
        <f t="shared" si="368"/>
        <v>360</v>
      </c>
      <c r="J906" s="14">
        <f t="shared" si="369"/>
        <v>500</v>
      </c>
      <c r="K906" s="3">
        <f t="shared" si="359"/>
        <v>0</v>
      </c>
      <c r="L906" s="3">
        <f t="shared" si="355"/>
        <v>500</v>
      </c>
      <c r="M906" s="15">
        <f t="shared" si="370"/>
        <v>7.0000000000000007E-2</v>
      </c>
      <c r="N906" s="3">
        <f t="shared" si="371"/>
        <v>39.659285862939868</v>
      </c>
      <c r="O906" s="3">
        <f t="shared" si="356"/>
        <v>39.659285862939868</v>
      </c>
      <c r="P906" s="3">
        <f t="shared" si="360"/>
        <v>42.64439340101061</v>
      </c>
      <c r="Q906" s="3">
        <f t="shared" si="361"/>
        <v>3.9927337534719003</v>
      </c>
      <c r="R906" s="3">
        <f t="shared" si="362"/>
        <v>23.318563577241257</v>
      </c>
      <c r="S906" s="3">
        <f t="shared" si="357"/>
        <v>1</v>
      </c>
      <c r="T906" s="3">
        <f t="shared" si="363"/>
        <v>19325.829823769353</v>
      </c>
      <c r="U906" s="3">
        <f t="shared" si="364"/>
        <v>0.5</v>
      </c>
      <c r="V906" s="3">
        <f t="shared" si="365"/>
        <v>0</v>
      </c>
      <c r="W906" s="3">
        <f t="shared" si="366"/>
        <v>14277.342910658352</v>
      </c>
      <c r="X906" s="3">
        <f t="shared" si="358"/>
        <v>1996.3668767359502</v>
      </c>
      <c r="AI906" s="3"/>
      <c r="AJ906" s="3"/>
      <c r="AK906" s="15">
        <f t="shared" ref="AK906:AK969" si="375">1+INT(MOD(AL906/60/24-0.5,7))</f>
        <v>4</v>
      </c>
      <c r="AL906" s="11">
        <f t="shared" si="353"/>
        <v>5382</v>
      </c>
      <c r="AM906" s="11" t="b">
        <f t="shared" si="374"/>
        <v>0</v>
      </c>
      <c r="AN906" s="11">
        <f t="shared" ref="AN906:AN969" si="376">IF(AND(AM906,NOT(AM907)),$AB$26,AN905+($AB$28-IF(AND(AM905,AM906),CHOOSE(AK906,$AG$5,$AG$6,$AG$7,$AG$8,$AG$9,$AG$10,$AG$11)*$AA$22/$AA$24,0))*$AB$15)</f>
        <v>36000</v>
      </c>
      <c r="AO906" s="11">
        <f t="shared" ref="AO906:AO969" si="377">IF(AND(AM906,NOT(AM907)),$AB$27,AO905+($AB$29-IF(AND(AM905,AM906),CHOOSE(AK906,$AG$5,$AG$6,$AG$7,$AG$8,$AG$9,$AG$10,$AG$11)*$AA$23/$AA$24,0))*$AB$15)</f>
        <v>0</v>
      </c>
      <c r="AP906" s="11">
        <f t="shared" ref="AP906:AP969" si="378">IF(AN905&lt;=0,0,(AP905*AN905-(IF(AND(AM905,AM906),CHOOSE(AK906,$AI$5,$AI$6,$AI$7,$AI$8,$AI$9,$AI$10,$AI$11),$AA$37))*AP905*$AB$15+$AA$34*(AQ905-AP905)*$AB$15+$AA$33*$AB$15)/AN905)</f>
        <v>0.51461741713898801</v>
      </c>
      <c r="AQ906" s="11">
        <f t="shared" si="354"/>
        <v>0</v>
      </c>
      <c r="AT906" s="3"/>
      <c r="AU906" s="17"/>
      <c r="AV906" s="19"/>
      <c r="AW906" s="17"/>
      <c r="AX906" s="17">
        <f t="shared" si="373"/>
        <v>897</v>
      </c>
      <c r="AY906" s="17">
        <f t="shared" si="372"/>
        <v>89.7</v>
      </c>
      <c r="AZ906" s="17">
        <v>51.461741713898803</v>
      </c>
      <c r="BA906" s="17"/>
      <c r="BB906" s="17">
        <v>36</v>
      </c>
      <c r="BC906" s="17"/>
      <c r="BD906" s="17"/>
      <c r="BE906" s="17"/>
      <c r="BF906" s="17"/>
      <c r="BG906" s="17"/>
      <c r="BH906" s="17"/>
      <c r="BI906" s="17"/>
      <c r="BJ906" s="17"/>
      <c r="BK906" s="17"/>
      <c r="BL906" s="17"/>
      <c r="BM906" s="17"/>
      <c r="BN906" s="17"/>
      <c r="BO906" s="17"/>
      <c r="BP906" s="17"/>
      <c r="BQ906" s="17"/>
      <c r="BR906" s="17"/>
      <c r="BS906" s="17"/>
      <c r="BT906" s="17"/>
      <c r="BU906" s="17"/>
      <c r="BV906" s="17"/>
      <c r="BW906" s="17"/>
      <c r="BX906" s="17"/>
      <c r="BY906" s="17"/>
      <c r="BZ906" s="17"/>
      <c r="CA906" s="17"/>
      <c r="CB906" s="17"/>
      <c r="CC906" s="17"/>
      <c r="CD906" s="17"/>
      <c r="CE906" s="17"/>
      <c r="CF906" s="17"/>
      <c r="CG906" s="17"/>
      <c r="CH906" s="17"/>
    </row>
    <row r="907" spans="8:86" x14ac:dyDescent="0.15">
      <c r="H907" s="3">
        <f t="shared" si="367"/>
        <v>0.89500000000000068</v>
      </c>
      <c r="I907" s="3">
        <f t="shared" si="368"/>
        <v>360</v>
      </c>
      <c r="J907" s="14">
        <f t="shared" si="369"/>
        <v>500</v>
      </c>
      <c r="K907" s="3">
        <f t="shared" si="359"/>
        <v>0</v>
      </c>
      <c r="L907" s="3">
        <f t="shared" si="355"/>
        <v>500</v>
      </c>
      <c r="M907" s="15">
        <f t="shared" si="370"/>
        <v>7.0000000000000007E-2</v>
      </c>
      <c r="N907" s="3">
        <f t="shared" si="371"/>
        <v>39.605603002318283</v>
      </c>
      <c r="O907" s="3">
        <f t="shared" si="356"/>
        <v>39.605603002318283</v>
      </c>
      <c r="P907" s="3">
        <f t="shared" si="360"/>
        <v>42.586669894965901</v>
      </c>
      <c r="Q907" s="3">
        <f t="shared" si="361"/>
        <v>3.9540820938243617</v>
      </c>
      <c r="R907" s="3">
        <f t="shared" si="362"/>
        <v>23.270375994395131</v>
      </c>
      <c r="S907" s="3">
        <f t="shared" si="357"/>
        <v>1</v>
      </c>
      <c r="T907" s="3">
        <f t="shared" si="363"/>
        <v>19316.29390057077</v>
      </c>
      <c r="U907" s="3">
        <f t="shared" si="364"/>
        <v>0.5</v>
      </c>
      <c r="V907" s="3">
        <f t="shared" si="365"/>
        <v>0</v>
      </c>
      <c r="W907" s="3">
        <f t="shared" si="366"/>
        <v>14258.017080834581</v>
      </c>
      <c r="X907" s="3">
        <f t="shared" si="358"/>
        <v>1977.0410469121809</v>
      </c>
      <c r="AI907" s="3"/>
      <c r="AJ907" s="3"/>
      <c r="AK907" s="15">
        <f t="shared" si="375"/>
        <v>4</v>
      </c>
      <c r="AL907" s="11">
        <f t="shared" ref="AL907:AL970" si="379">AL906+$AB$15</f>
        <v>5388</v>
      </c>
      <c r="AM907" s="11" t="b">
        <f t="shared" si="374"/>
        <v>0</v>
      </c>
      <c r="AN907" s="11">
        <f t="shared" si="376"/>
        <v>36000</v>
      </c>
      <c r="AO907" s="11">
        <f t="shared" si="377"/>
        <v>0</v>
      </c>
      <c r="AP907" s="11">
        <f t="shared" si="378"/>
        <v>0.51571973195380294</v>
      </c>
      <c r="AQ907" s="11">
        <f t="shared" ref="AQ907:AQ970" si="380">IF(AO906&lt;=0,0,(AQ906*AO906-$AA$34*(AQ906-AP906)*$AB$15)/AO906)</f>
        <v>0</v>
      </c>
      <c r="AT907" s="3"/>
      <c r="AU907" s="17"/>
      <c r="AV907" s="19"/>
      <c r="AW907" s="17"/>
      <c r="AX907" s="17">
        <f t="shared" si="373"/>
        <v>898</v>
      </c>
      <c r="AY907" s="17">
        <f t="shared" si="372"/>
        <v>89.8</v>
      </c>
      <c r="AZ907" s="17">
        <v>51.571973195380295</v>
      </c>
      <c r="BA907" s="17"/>
      <c r="BB907" s="17">
        <v>36</v>
      </c>
      <c r="BC907" s="17"/>
      <c r="BD907" s="17"/>
      <c r="BE907" s="17"/>
      <c r="BF907" s="17"/>
      <c r="BG907" s="17"/>
      <c r="BH907" s="17"/>
      <c r="BI907" s="17"/>
      <c r="BJ907" s="17"/>
      <c r="BK907" s="17"/>
      <c r="BL907" s="17"/>
      <c r="BM907" s="17"/>
      <c r="BN907" s="17"/>
      <c r="BO907" s="17"/>
      <c r="BP907" s="17"/>
      <c r="BQ907" s="17"/>
      <c r="BR907" s="17"/>
      <c r="BS907" s="17"/>
      <c r="BT907" s="17"/>
      <c r="BU907" s="17"/>
      <c r="BV907" s="17"/>
      <c r="BW907" s="17"/>
      <c r="BX907" s="17"/>
      <c r="BY907" s="17"/>
      <c r="BZ907" s="17"/>
      <c r="CA907" s="17"/>
      <c r="CB907" s="17"/>
      <c r="CC907" s="17"/>
      <c r="CD907" s="17"/>
      <c r="CE907" s="17"/>
      <c r="CF907" s="17"/>
      <c r="CG907" s="17"/>
      <c r="CH907" s="17"/>
    </row>
    <row r="908" spans="8:86" x14ac:dyDescent="0.15">
      <c r="H908" s="3">
        <f t="shared" si="367"/>
        <v>0.89600000000000068</v>
      </c>
      <c r="I908" s="3">
        <f t="shared" si="368"/>
        <v>360</v>
      </c>
      <c r="J908" s="14">
        <f t="shared" si="369"/>
        <v>500</v>
      </c>
      <c r="K908" s="3">
        <f t="shared" si="359"/>
        <v>0</v>
      </c>
      <c r="L908" s="3">
        <f t="shared" ref="L908:L971" si="381">$L$8*$L$6/I908</f>
        <v>500</v>
      </c>
      <c r="M908" s="15">
        <f t="shared" si="370"/>
        <v>7.0000000000000007E-2</v>
      </c>
      <c r="N908" s="3">
        <f t="shared" si="371"/>
        <v>39.55194663037225</v>
      </c>
      <c r="O908" s="3">
        <f t="shared" ref="O908:O971" si="382">N908*S908</f>
        <v>39.55194663037225</v>
      </c>
      <c r="P908" s="3">
        <f t="shared" si="360"/>
        <v>42.528974871368014</v>
      </c>
      <c r="Q908" s="3">
        <f t="shared" si="361"/>
        <v>3.9154495060232204</v>
      </c>
      <c r="R908" s="3">
        <f t="shared" si="362"/>
        <v>23.222212188695618</v>
      </c>
      <c r="S908" s="3">
        <f t="shared" ref="S908:S971" si="383">IF($F$10=0,0,IF($F$10=1,1,(N908-L908-1/$I$5+((L908-N908+1/$I$5)^2+4*N908/$I$5)^0.5)/2/N908))</f>
        <v>1</v>
      </c>
      <c r="T908" s="3">
        <f t="shared" si="363"/>
        <v>19306.762682672397</v>
      </c>
      <c r="U908" s="3">
        <f t="shared" si="364"/>
        <v>0.5</v>
      </c>
      <c r="V908" s="3">
        <f t="shared" si="365"/>
        <v>0</v>
      </c>
      <c r="W908" s="3">
        <f t="shared" si="366"/>
        <v>14238.70078693401</v>
      </c>
      <c r="X908" s="3">
        <f t="shared" ref="X908:X971" si="384">IF($F$19,W908-W909+X909,J908*Q908)</f>
        <v>1957.7247530116101</v>
      </c>
      <c r="AI908" s="3"/>
      <c r="AJ908" s="3"/>
      <c r="AK908" s="15">
        <f t="shared" si="375"/>
        <v>4</v>
      </c>
      <c r="AL908" s="11">
        <f t="shared" si="379"/>
        <v>5394</v>
      </c>
      <c r="AM908" s="11" t="b">
        <f t="shared" si="374"/>
        <v>0</v>
      </c>
      <c r="AN908" s="11">
        <f t="shared" si="376"/>
        <v>36000</v>
      </c>
      <c r="AO908" s="11">
        <f t="shared" si="377"/>
        <v>0</v>
      </c>
      <c r="AP908" s="11">
        <f t="shared" si="378"/>
        <v>0.51682204676861776</v>
      </c>
      <c r="AQ908" s="11">
        <f t="shared" si="380"/>
        <v>0</v>
      </c>
      <c r="AT908" s="3"/>
      <c r="AU908" s="17"/>
      <c r="AV908" s="19"/>
      <c r="AW908" s="17"/>
      <c r="AX908" s="17">
        <f t="shared" si="373"/>
        <v>899</v>
      </c>
      <c r="AY908" s="17">
        <f t="shared" si="372"/>
        <v>89.9</v>
      </c>
      <c r="AZ908" s="17">
        <v>51.682204676861772</v>
      </c>
      <c r="BA908" s="17"/>
      <c r="BB908" s="17">
        <v>36</v>
      </c>
      <c r="BC908" s="17"/>
      <c r="BD908" s="17"/>
      <c r="BE908" s="17"/>
      <c r="BF908" s="17"/>
      <c r="BG908" s="17"/>
      <c r="BH908" s="17"/>
      <c r="BI908" s="17"/>
      <c r="BJ908" s="17"/>
      <c r="BK908" s="17"/>
      <c r="BL908" s="17"/>
      <c r="BM908" s="17"/>
      <c r="BN908" s="17"/>
      <c r="BO908" s="17"/>
      <c r="BP908" s="17"/>
      <c r="BQ908" s="17"/>
      <c r="BR908" s="17"/>
      <c r="BS908" s="17"/>
      <c r="BT908" s="17"/>
      <c r="BU908" s="17"/>
      <c r="BV908" s="17"/>
      <c r="BW908" s="17"/>
      <c r="BX908" s="17"/>
      <c r="BY908" s="17"/>
      <c r="BZ908" s="17"/>
      <c r="CA908" s="17"/>
      <c r="CB908" s="17"/>
      <c r="CC908" s="17"/>
      <c r="CD908" s="17"/>
      <c r="CE908" s="17"/>
      <c r="CF908" s="17"/>
      <c r="CG908" s="17"/>
      <c r="CH908" s="17"/>
    </row>
    <row r="909" spans="8:86" x14ac:dyDescent="0.15">
      <c r="H909" s="3">
        <f t="shared" si="367"/>
        <v>0.89700000000000069</v>
      </c>
      <c r="I909" s="3">
        <f t="shared" si="368"/>
        <v>360</v>
      </c>
      <c r="J909" s="14">
        <f t="shared" si="369"/>
        <v>500</v>
      </c>
      <c r="K909" s="3">
        <f t="shared" ref="K909:K972" si="385">2*$F$6*$I$6*H909+$F$6*$I$7</f>
        <v>0</v>
      </c>
      <c r="L909" s="3">
        <f t="shared" si="381"/>
        <v>500</v>
      </c>
      <c r="M909" s="15">
        <f t="shared" si="370"/>
        <v>7.0000000000000007E-2</v>
      </c>
      <c r="N909" s="3">
        <f t="shared" si="371"/>
        <v>39.498316734031498</v>
      </c>
      <c r="O909" s="3">
        <f t="shared" si="382"/>
        <v>39.498316734031498</v>
      </c>
      <c r="P909" s="3">
        <f t="shared" ref="P909:P972" si="386">O909/(1-M909)</f>
        <v>42.471308316162904</v>
      </c>
      <c r="Q909" s="3">
        <f t="shared" ref="Q909:Q972" si="387">IF($F$19,IF($F$20,0,X909/J909),(Q908*J908-T908*$I$4)/J909)</f>
        <v>3.8768359806578756</v>
      </c>
      <c r="R909" s="3">
        <f t="shared" ref="R909:R972" si="388">IF($F$19,P909,(1-U909)*P909+U909*Q909)</f>
        <v>23.174072148410389</v>
      </c>
      <c r="S909" s="3">
        <f t="shared" si="383"/>
        <v>1</v>
      </c>
      <c r="T909" s="3">
        <f t="shared" ref="T909:T972" si="389">IF($F$19,0,$F$8*(P909-Q909))+R909*K909*(1-$F$11)</f>
        <v>19297.236167752515</v>
      </c>
      <c r="U909" s="3">
        <f t="shared" ref="U909:U972" si="390">IF($F$8=0,0,IF(V909=0,0.5,IF(ISERROR(EXP(V909)),0,1/V909-1/(EXP(V909)-1))))</f>
        <v>0.5</v>
      </c>
      <c r="V909" s="3">
        <f t="shared" ref="V909:V972" si="391">K909*(1-$F$11)/$F$8</f>
        <v>0</v>
      </c>
      <c r="W909" s="3">
        <f t="shared" ref="W909:W972" si="392">(I909+$L$5)*N909</f>
        <v>14219.39402425134</v>
      </c>
      <c r="X909" s="3">
        <f t="shared" si="384"/>
        <v>1938.4179903289378</v>
      </c>
      <c r="AI909" s="3"/>
      <c r="AJ909" s="3"/>
      <c r="AK909" s="15">
        <f t="shared" si="375"/>
        <v>4</v>
      </c>
      <c r="AL909" s="11">
        <f t="shared" si="379"/>
        <v>5400</v>
      </c>
      <c r="AM909" s="11" t="b">
        <f t="shared" si="374"/>
        <v>0</v>
      </c>
      <c r="AN909" s="11">
        <f t="shared" si="376"/>
        <v>36000</v>
      </c>
      <c r="AO909" s="11">
        <f t="shared" si="377"/>
        <v>0</v>
      </c>
      <c r="AP909" s="11">
        <f t="shared" si="378"/>
        <v>0.51792436158343258</v>
      </c>
      <c r="AQ909" s="11">
        <f t="shared" si="380"/>
        <v>0</v>
      </c>
      <c r="AT909" s="3"/>
      <c r="AU909" s="17"/>
      <c r="AV909" s="19"/>
      <c r="AW909" s="17"/>
      <c r="AX909" s="17">
        <f t="shared" si="373"/>
        <v>900</v>
      </c>
      <c r="AY909" s="17">
        <f t="shared" si="372"/>
        <v>90</v>
      </c>
      <c r="AZ909" s="17">
        <v>51.792436158343257</v>
      </c>
      <c r="BA909" s="17"/>
      <c r="BB909" s="17">
        <v>36</v>
      </c>
      <c r="BC909" s="17"/>
      <c r="BD909" s="17"/>
      <c r="BE909" s="17"/>
      <c r="BF909" s="17"/>
      <c r="BG909" s="17"/>
      <c r="BH909" s="17"/>
      <c r="BI909" s="17"/>
      <c r="BJ909" s="17"/>
      <c r="BK909" s="17"/>
      <c r="BL909" s="17"/>
      <c r="BM909" s="17"/>
      <c r="BN909" s="17"/>
      <c r="BO909" s="17"/>
      <c r="BP909" s="17"/>
      <c r="BQ909" s="17"/>
      <c r="BR909" s="17"/>
      <c r="BS909" s="17"/>
      <c r="BT909" s="17"/>
      <c r="BU909" s="17"/>
      <c r="BV909" s="17"/>
      <c r="BW909" s="17"/>
      <c r="BX909" s="17"/>
      <c r="BY909" s="17"/>
      <c r="BZ909" s="17"/>
      <c r="CA909" s="17"/>
      <c r="CB909" s="17"/>
      <c r="CC909" s="17"/>
      <c r="CD909" s="17"/>
      <c r="CE909" s="17"/>
      <c r="CF909" s="17"/>
      <c r="CG909" s="17"/>
      <c r="CH909" s="17"/>
    </row>
    <row r="910" spans="8:86" x14ac:dyDescent="0.15">
      <c r="H910" s="3">
        <f t="shared" ref="H910:H973" si="393">H909+$I$4</f>
        <v>0.89800000000000069</v>
      </c>
      <c r="I910" s="3">
        <f t="shared" ref="I910:I973" si="394">$I$12-$F$6*($I$6*H910^2+$I$7*H910)</f>
        <v>360</v>
      </c>
      <c r="J910" s="14">
        <f t="shared" ref="J910:J973" si="395">$J$12-$F$6*($I$6*H910^2+$I$7*H910)</f>
        <v>500</v>
      </c>
      <c r="K910" s="3">
        <f t="shared" si="385"/>
        <v>0</v>
      </c>
      <c r="L910" s="3">
        <f t="shared" si="381"/>
        <v>500</v>
      </c>
      <c r="M910" s="15">
        <f t="shared" ref="M910:M973" si="396">$M$12*L910/$L$12</f>
        <v>7.0000000000000007E-2</v>
      </c>
      <c r="N910" s="3">
        <f t="shared" ref="N910:N973" si="397">(N909*I909+P909*$L$5-T909*$I$4)/(I910+$L$5/(1-M910))</f>
        <v>39.444713300232188</v>
      </c>
      <c r="O910" s="3">
        <f t="shared" si="382"/>
        <v>39.444713300232188</v>
      </c>
      <c r="P910" s="3">
        <f t="shared" si="386"/>
        <v>42.413670215303434</v>
      </c>
      <c r="Q910" s="3">
        <f t="shared" si="387"/>
        <v>3.8382415083223704</v>
      </c>
      <c r="R910" s="3">
        <f t="shared" si="388"/>
        <v>23.125955861812901</v>
      </c>
      <c r="S910" s="3">
        <f t="shared" si="383"/>
        <v>1</v>
      </c>
      <c r="T910" s="3">
        <f t="shared" si="389"/>
        <v>19287.714353490534</v>
      </c>
      <c r="U910" s="3">
        <f t="shared" si="390"/>
        <v>0.5</v>
      </c>
      <c r="V910" s="3">
        <f t="shared" si="391"/>
        <v>0</v>
      </c>
      <c r="W910" s="3">
        <f t="shared" si="392"/>
        <v>14200.096788083587</v>
      </c>
      <c r="X910" s="3">
        <f t="shared" si="384"/>
        <v>1919.1207541611852</v>
      </c>
      <c r="AI910" s="3"/>
      <c r="AJ910" s="3"/>
      <c r="AK910" s="15">
        <f t="shared" si="375"/>
        <v>4</v>
      </c>
      <c r="AL910" s="11">
        <f t="shared" si="379"/>
        <v>5406</v>
      </c>
      <c r="AM910" s="11" t="b">
        <f t="shared" si="374"/>
        <v>0</v>
      </c>
      <c r="AN910" s="11">
        <f t="shared" si="376"/>
        <v>36000</v>
      </c>
      <c r="AO910" s="11">
        <f t="shared" si="377"/>
        <v>0</v>
      </c>
      <c r="AP910" s="11">
        <f t="shared" si="378"/>
        <v>0.5190266763982474</v>
      </c>
      <c r="AQ910" s="11">
        <f t="shared" si="380"/>
        <v>0</v>
      </c>
      <c r="AT910" s="3"/>
      <c r="AU910" s="17"/>
      <c r="AV910" s="19"/>
      <c r="AW910" s="17"/>
      <c r="AX910" s="17">
        <f t="shared" si="373"/>
        <v>901</v>
      </c>
      <c r="AY910" s="17">
        <f t="shared" si="372"/>
        <v>90.1</v>
      </c>
      <c r="AZ910" s="17">
        <v>51.902667639824742</v>
      </c>
      <c r="BA910" s="17"/>
      <c r="BB910" s="17">
        <v>36</v>
      </c>
      <c r="BC910" s="17"/>
      <c r="BD910" s="17"/>
      <c r="BE910" s="17"/>
      <c r="BF910" s="17"/>
      <c r="BG910" s="17"/>
      <c r="BH910" s="17"/>
      <c r="BI910" s="17"/>
      <c r="BJ910" s="17"/>
      <c r="BK910" s="17"/>
      <c r="BL910" s="17"/>
      <c r="BM910" s="17"/>
      <c r="BN910" s="17"/>
      <c r="BO910" s="17"/>
      <c r="BP910" s="17"/>
      <c r="BQ910" s="17"/>
      <c r="BR910" s="17"/>
      <c r="BS910" s="17"/>
      <c r="BT910" s="17"/>
      <c r="BU910" s="17"/>
      <c r="BV910" s="17"/>
      <c r="BW910" s="17"/>
      <c r="BX910" s="17"/>
      <c r="BY910" s="17"/>
      <c r="BZ910" s="17"/>
      <c r="CA910" s="17"/>
      <c r="CB910" s="17"/>
      <c r="CC910" s="17"/>
      <c r="CD910" s="17"/>
      <c r="CE910" s="17"/>
      <c r="CF910" s="17"/>
      <c r="CG910" s="17"/>
      <c r="CH910" s="17"/>
    </row>
    <row r="911" spans="8:86" x14ac:dyDescent="0.15">
      <c r="H911" s="3">
        <f t="shared" si="393"/>
        <v>0.89900000000000069</v>
      </c>
      <c r="I911" s="3">
        <f t="shared" si="394"/>
        <v>360</v>
      </c>
      <c r="J911" s="14">
        <f t="shared" si="395"/>
        <v>500</v>
      </c>
      <c r="K911" s="3">
        <f t="shared" si="385"/>
        <v>0</v>
      </c>
      <c r="L911" s="3">
        <f t="shared" si="381"/>
        <v>500</v>
      </c>
      <c r="M911" s="15">
        <f t="shared" si="396"/>
        <v>7.0000000000000007E-2</v>
      </c>
      <c r="N911" s="3">
        <f t="shared" si="397"/>
        <v>39.391136315916938</v>
      </c>
      <c r="O911" s="3">
        <f t="shared" si="382"/>
        <v>39.391136315916938</v>
      </c>
      <c r="P911" s="3">
        <f t="shared" si="386"/>
        <v>42.356060554749398</v>
      </c>
      <c r="Q911" s="3">
        <f t="shared" si="387"/>
        <v>3.7996660796153892</v>
      </c>
      <c r="R911" s="3">
        <f t="shared" si="388"/>
        <v>23.077863317182395</v>
      </c>
      <c r="S911" s="3">
        <f t="shared" si="383"/>
        <v>1</v>
      </c>
      <c r="T911" s="3">
        <f t="shared" si="389"/>
        <v>19278.197237567005</v>
      </c>
      <c r="U911" s="3">
        <f t="shared" si="390"/>
        <v>0.5</v>
      </c>
      <c r="V911" s="3">
        <f t="shared" si="391"/>
        <v>0</v>
      </c>
      <c r="W911" s="3">
        <f t="shared" si="392"/>
        <v>14180.809073730097</v>
      </c>
      <c r="X911" s="3">
        <f t="shared" si="384"/>
        <v>1899.8330398076946</v>
      </c>
      <c r="AI911" s="3"/>
      <c r="AJ911" s="3"/>
      <c r="AK911" s="15">
        <f t="shared" si="375"/>
        <v>4</v>
      </c>
      <c r="AL911" s="11">
        <f t="shared" si="379"/>
        <v>5412</v>
      </c>
      <c r="AM911" s="11" t="b">
        <f t="shared" si="374"/>
        <v>0</v>
      </c>
      <c r="AN911" s="11">
        <f t="shared" si="376"/>
        <v>36000</v>
      </c>
      <c r="AO911" s="11">
        <f t="shared" si="377"/>
        <v>0</v>
      </c>
      <c r="AP911" s="11">
        <f t="shared" si="378"/>
        <v>0.52012899121306222</v>
      </c>
      <c r="AQ911" s="11">
        <f t="shared" si="380"/>
        <v>0</v>
      </c>
      <c r="AT911" s="3"/>
      <c r="AU911" s="17"/>
      <c r="AV911" s="19"/>
      <c r="AW911" s="17"/>
      <c r="AX911" s="17">
        <f t="shared" si="373"/>
        <v>902</v>
      </c>
      <c r="AY911" s="17">
        <f t="shared" si="372"/>
        <v>90.2</v>
      </c>
      <c r="AZ911" s="17">
        <v>52.012899121306219</v>
      </c>
      <c r="BA911" s="17"/>
      <c r="BB911" s="17">
        <v>36</v>
      </c>
      <c r="BC911" s="17"/>
      <c r="BD911" s="17"/>
      <c r="BE911" s="17"/>
      <c r="BF911" s="17"/>
      <c r="BG911" s="17"/>
      <c r="BH911" s="17"/>
      <c r="BI911" s="17"/>
      <c r="BJ911" s="17"/>
      <c r="BK911" s="17"/>
      <c r="BL911" s="17"/>
      <c r="BM911" s="17"/>
      <c r="BN911" s="17"/>
      <c r="BO911" s="17"/>
      <c r="BP911" s="17"/>
      <c r="BQ911" s="17"/>
      <c r="BR911" s="17"/>
      <c r="BS911" s="17"/>
      <c r="BT911" s="17"/>
      <c r="BU911" s="17"/>
      <c r="BV911" s="17"/>
      <c r="BW911" s="17"/>
      <c r="BX911" s="17"/>
      <c r="BY911" s="17"/>
      <c r="BZ911" s="17"/>
      <c r="CA911" s="17"/>
      <c r="CB911" s="17"/>
      <c r="CC911" s="17"/>
      <c r="CD911" s="17"/>
      <c r="CE911" s="17"/>
      <c r="CF911" s="17"/>
      <c r="CG911" s="17"/>
      <c r="CH911" s="17"/>
    </row>
    <row r="912" spans="8:86" x14ac:dyDescent="0.15">
      <c r="H912" s="3">
        <f t="shared" si="393"/>
        <v>0.90000000000000069</v>
      </c>
      <c r="I912" s="3">
        <f t="shared" si="394"/>
        <v>360</v>
      </c>
      <c r="J912" s="14">
        <f t="shared" si="395"/>
        <v>500</v>
      </c>
      <c r="K912" s="3">
        <f t="shared" si="385"/>
        <v>0</v>
      </c>
      <c r="L912" s="3">
        <f t="shared" si="381"/>
        <v>500</v>
      </c>
      <c r="M912" s="15">
        <f t="shared" si="396"/>
        <v>7.0000000000000007E-2</v>
      </c>
      <c r="N912" s="3">
        <f t="shared" si="397"/>
        <v>39.337585768034806</v>
      </c>
      <c r="O912" s="3">
        <f t="shared" si="382"/>
        <v>39.337585768034806</v>
      </c>
      <c r="P912" s="3">
        <f t="shared" si="386"/>
        <v>42.298479320467536</v>
      </c>
      <c r="Q912" s="3">
        <f t="shared" si="387"/>
        <v>3.7611096851402555</v>
      </c>
      <c r="R912" s="3">
        <f t="shared" si="388"/>
        <v>23.029794502803895</v>
      </c>
      <c r="S912" s="3">
        <f t="shared" si="383"/>
        <v>1</v>
      </c>
      <c r="T912" s="3">
        <f t="shared" si="389"/>
        <v>19268.684817663641</v>
      </c>
      <c r="U912" s="3">
        <f t="shared" si="390"/>
        <v>0.5</v>
      </c>
      <c r="V912" s="3">
        <f t="shared" si="391"/>
        <v>0</v>
      </c>
      <c r="W912" s="3">
        <f t="shared" si="392"/>
        <v>14161.53087649253</v>
      </c>
      <c r="X912" s="3">
        <f t="shared" si="384"/>
        <v>1880.5548425701277</v>
      </c>
      <c r="AI912" s="3"/>
      <c r="AJ912" s="3"/>
      <c r="AK912" s="15">
        <f t="shared" si="375"/>
        <v>4</v>
      </c>
      <c r="AL912" s="11">
        <f t="shared" si="379"/>
        <v>5418</v>
      </c>
      <c r="AM912" s="11" t="b">
        <f t="shared" si="374"/>
        <v>0</v>
      </c>
      <c r="AN912" s="11">
        <f t="shared" si="376"/>
        <v>36000</v>
      </c>
      <c r="AO912" s="11">
        <f t="shared" si="377"/>
        <v>0</v>
      </c>
      <c r="AP912" s="11">
        <f t="shared" si="378"/>
        <v>0.52123130602787715</v>
      </c>
      <c r="AQ912" s="11">
        <f t="shared" si="380"/>
        <v>0</v>
      </c>
      <c r="AT912" s="3"/>
      <c r="AU912" s="17"/>
      <c r="AV912" s="19"/>
      <c r="AW912" s="17"/>
      <c r="AX912" s="17">
        <f t="shared" si="373"/>
        <v>903</v>
      </c>
      <c r="AY912" s="17">
        <f t="shared" si="372"/>
        <v>90.3</v>
      </c>
      <c r="AZ912" s="17">
        <v>52.123130602787718</v>
      </c>
      <c r="BA912" s="17"/>
      <c r="BB912" s="17">
        <v>36</v>
      </c>
      <c r="BC912" s="17"/>
      <c r="BD912" s="17"/>
      <c r="BE912" s="17"/>
      <c r="BF912" s="17"/>
      <c r="BG912" s="17"/>
      <c r="BH912" s="17"/>
      <c r="BI912" s="17"/>
      <c r="BJ912" s="17"/>
      <c r="BK912" s="17"/>
      <c r="BL912" s="17"/>
      <c r="BM912" s="17"/>
      <c r="BN912" s="17"/>
      <c r="BO912" s="17"/>
      <c r="BP912" s="17"/>
      <c r="BQ912" s="17"/>
      <c r="BR912" s="17"/>
      <c r="BS912" s="17"/>
      <c r="BT912" s="17"/>
      <c r="BU912" s="17"/>
      <c r="BV912" s="17"/>
      <c r="BW912" s="17"/>
      <c r="BX912" s="17"/>
      <c r="BY912" s="17"/>
      <c r="BZ912" s="17"/>
      <c r="CA912" s="17"/>
      <c r="CB912" s="17"/>
      <c r="CC912" s="17"/>
      <c r="CD912" s="17"/>
      <c r="CE912" s="17"/>
      <c r="CF912" s="17"/>
      <c r="CG912" s="17"/>
      <c r="CH912" s="17"/>
    </row>
    <row r="913" spans="8:86" x14ac:dyDescent="0.15">
      <c r="H913" s="3">
        <f t="shared" si="393"/>
        <v>0.90100000000000069</v>
      </c>
      <c r="I913" s="3">
        <f t="shared" si="394"/>
        <v>360</v>
      </c>
      <c r="J913" s="14">
        <f t="shared" si="395"/>
        <v>500</v>
      </c>
      <c r="K913" s="3">
        <f t="shared" si="385"/>
        <v>0</v>
      </c>
      <c r="L913" s="3">
        <f t="shared" si="381"/>
        <v>500</v>
      </c>
      <c r="M913" s="15">
        <f t="shared" si="396"/>
        <v>7.0000000000000007E-2</v>
      </c>
      <c r="N913" s="3">
        <f t="shared" si="397"/>
        <v>39.2840616435413</v>
      </c>
      <c r="O913" s="3">
        <f t="shared" si="382"/>
        <v>39.2840616435413</v>
      </c>
      <c r="P913" s="3">
        <f t="shared" si="386"/>
        <v>42.240926498431506</v>
      </c>
      <c r="Q913" s="3">
        <f t="shared" si="387"/>
        <v>3.722572315504928</v>
      </c>
      <c r="R913" s="3">
        <f t="shared" si="388"/>
        <v>22.981749406968216</v>
      </c>
      <c r="S913" s="3">
        <f t="shared" si="383"/>
        <v>1</v>
      </c>
      <c r="T913" s="3">
        <f t="shared" si="389"/>
        <v>19259.177091463291</v>
      </c>
      <c r="U913" s="3">
        <f t="shared" si="390"/>
        <v>0.5</v>
      </c>
      <c r="V913" s="3">
        <f t="shared" si="391"/>
        <v>0</v>
      </c>
      <c r="W913" s="3">
        <f t="shared" si="392"/>
        <v>14142.262191674869</v>
      </c>
      <c r="X913" s="3">
        <f t="shared" si="384"/>
        <v>1861.2861577524641</v>
      </c>
      <c r="AI913" s="3"/>
      <c r="AJ913" s="3"/>
      <c r="AK913" s="15">
        <f t="shared" si="375"/>
        <v>4</v>
      </c>
      <c r="AL913" s="11">
        <f t="shared" si="379"/>
        <v>5424</v>
      </c>
      <c r="AM913" s="11" t="b">
        <f t="shared" si="374"/>
        <v>0</v>
      </c>
      <c r="AN913" s="11">
        <f t="shared" si="376"/>
        <v>36000</v>
      </c>
      <c r="AO913" s="11">
        <f t="shared" si="377"/>
        <v>0</v>
      </c>
      <c r="AP913" s="11">
        <f t="shared" si="378"/>
        <v>0.52233362084269197</v>
      </c>
      <c r="AQ913" s="11">
        <f t="shared" si="380"/>
        <v>0</v>
      </c>
      <c r="AT913" s="3"/>
      <c r="AU913" s="17"/>
      <c r="AV913" s="19"/>
      <c r="AW913" s="17"/>
      <c r="AX913" s="17">
        <f t="shared" si="373"/>
        <v>904</v>
      </c>
      <c r="AY913" s="17">
        <f t="shared" si="372"/>
        <v>90.4</v>
      </c>
      <c r="AZ913" s="17">
        <v>52.233362084269196</v>
      </c>
      <c r="BA913" s="17"/>
      <c r="BB913" s="17">
        <v>36</v>
      </c>
      <c r="BC913" s="17"/>
      <c r="BD913" s="17"/>
      <c r="BE913" s="17"/>
      <c r="BF913" s="17"/>
      <c r="BG913" s="17"/>
      <c r="BH913" s="17"/>
      <c r="BI913" s="17"/>
      <c r="BJ913" s="17"/>
      <c r="BK913" s="17"/>
      <c r="BL913" s="17"/>
      <c r="BM913" s="17"/>
      <c r="BN913" s="17"/>
      <c r="BO913" s="17"/>
      <c r="BP913" s="17"/>
      <c r="BQ913" s="17"/>
      <c r="BR913" s="17"/>
      <c r="BS913" s="17"/>
      <c r="BT913" s="17"/>
      <c r="BU913" s="17"/>
      <c r="BV913" s="17"/>
      <c r="BW913" s="17"/>
      <c r="BX913" s="17"/>
      <c r="BY913" s="17"/>
      <c r="BZ913" s="17"/>
      <c r="CA913" s="17"/>
      <c r="CB913" s="17"/>
      <c r="CC913" s="17"/>
      <c r="CD913" s="17"/>
      <c r="CE913" s="17"/>
      <c r="CF913" s="17"/>
      <c r="CG913" s="17"/>
      <c r="CH913" s="17"/>
    </row>
    <row r="914" spans="8:86" x14ac:dyDescent="0.15">
      <c r="H914" s="3">
        <f t="shared" si="393"/>
        <v>0.90200000000000069</v>
      </c>
      <c r="I914" s="3">
        <f t="shared" si="394"/>
        <v>360</v>
      </c>
      <c r="J914" s="14">
        <f t="shared" si="395"/>
        <v>500</v>
      </c>
      <c r="K914" s="3">
        <f t="shared" si="385"/>
        <v>0</v>
      </c>
      <c r="L914" s="3">
        <f t="shared" si="381"/>
        <v>500</v>
      </c>
      <c r="M914" s="15">
        <f t="shared" si="396"/>
        <v>7.0000000000000007E-2</v>
      </c>
      <c r="N914" s="3">
        <f t="shared" si="397"/>
        <v>39.230563929398343</v>
      </c>
      <c r="O914" s="3">
        <f t="shared" si="382"/>
        <v>39.230563929398343</v>
      </c>
      <c r="P914" s="3">
        <f t="shared" si="386"/>
        <v>42.183402074621874</v>
      </c>
      <c r="Q914" s="3">
        <f t="shared" si="387"/>
        <v>3.6840539613220016</v>
      </c>
      <c r="R914" s="3">
        <f t="shared" si="388"/>
        <v>22.933728017971937</v>
      </c>
      <c r="S914" s="3">
        <f t="shared" si="383"/>
        <v>1</v>
      </c>
      <c r="T914" s="3">
        <f t="shared" si="389"/>
        <v>19249.674056649936</v>
      </c>
      <c r="U914" s="3">
        <f t="shared" si="390"/>
        <v>0.5</v>
      </c>
      <c r="V914" s="3">
        <f t="shared" si="391"/>
        <v>0</v>
      </c>
      <c r="W914" s="3">
        <f t="shared" si="392"/>
        <v>14123.003014583404</v>
      </c>
      <c r="X914" s="3">
        <f t="shared" si="384"/>
        <v>1842.0269806610008</v>
      </c>
      <c r="AI914" s="3"/>
      <c r="AJ914" s="3"/>
      <c r="AK914" s="15">
        <f t="shared" si="375"/>
        <v>4</v>
      </c>
      <c r="AL914" s="11">
        <f t="shared" si="379"/>
        <v>5430</v>
      </c>
      <c r="AM914" s="11" t="b">
        <f t="shared" si="374"/>
        <v>0</v>
      </c>
      <c r="AN914" s="11">
        <f t="shared" si="376"/>
        <v>36000</v>
      </c>
      <c r="AO914" s="11">
        <f t="shared" si="377"/>
        <v>0</v>
      </c>
      <c r="AP914" s="11">
        <f t="shared" si="378"/>
        <v>0.52343593565750679</v>
      </c>
      <c r="AQ914" s="11">
        <f t="shared" si="380"/>
        <v>0</v>
      </c>
      <c r="AT914" s="3"/>
      <c r="AU914" s="17"/>
      <c r="AV914" s="19"/>
      <c r="AW914" s="17"/>
      <c r="AX914" s="17">
        <f t="shared" si="373"/>
        <v>905</v>
      </c>
      <c r="AY914" s="17">
        <f t="shared" si="372"/>
        <v>90.5</v>
      </c>
      <c r="AZ914" s="17">
        <v>52.34359356575068</v>
      </c>
      <c r="BA914" s="17"/>
      <c r="BB914" s="17">
        <v>36</v>
      </c>
      <c r="BC914" s="17"/>
      <c r="BD914" s="17"/>
      <c r="BE914" s="17"/>
      <c r="BF914" s="17"/>
      <c r="BG914" s="17"/>
      <c r="BH914" s="17"/>
      <c r="BI914" s="17"/>
      <c r="BJ914" s="17"/>
      <c r="BK914" s="17"/>
      <c r="BL914" s="17"/>
      <c r="BM914" s="17"/>
      <c r="BN914" s="17"/>
      <c r="BO914" s="17"/>
      <c r="BP914" s="17"/>
      <c r="BQ914" s="17"/>
      <c r="BR914" s="17"/>
      <c r="BS914" s="17"/>
      <c r="BT914" s="17"/>
      <c r="BU914" s="17"/>
      <c r="BV914" s="17"/>
      <c r="BW914" s="17"/>
      <c r="BX914" s="17"/>
      <c r="BY914" s="17"/>
      <c r="BZ914" s="17"/>
      <c r="CA914" s="17"/>
      <c r="CB914" s="17"/>
      <c r="CC914" s="17"/>
      <c r="CD914" s="17"/>
      <c r="CE914" s="17"/>
      <c r="CF914" s="17"/>
      <c r="CG914" s="17"/>
      <c r="CH914" s="17"/>
    </row>
    <row r="915" spans="8:86" x14ac:dyDescent="0.15">
      <c r="H915" s="3">
        <f t="shared" si="393"/>
        <v>0.90300000000000069</v>
      </c>
      <c r="I915" s="3">
        <f t="shared" si="394"/>
        <v>360</v>
      </c>
      <c r="J915" s="14">
        <f t="shared" si="395"/>
        <v>500</v>
      </c>
      <c r="K915" s="3">
        <f t="shared" si="385"/>
        <v>0</v>
      </c>
      <c r="L915" s="3">
        <f t="shared" si="381"/>
        <v>500</v>
      </c>
      <c r="M915" s="15">
        <f t="shared" si="396"/>
        <v>7.0000000000000007E-2</v>
      </c>
      <c r="N915" s="3">
        <f t="shared" si="397"/>
        <v>39.17709261257432</v>
      </c>
      <c r="O915" s="3">
        <f t="shared" si="382"/>
        <v>39.17709261257432</v>
      </c>
      <c r="P915" s="3">
        <f t="shared" si="386"/>
        <v>42.125906035026155</v>
      </c>
      <c r="Q915" s="3">
        <f t="shared" si="387"/>
        <v>3.6455546132087018</v>
      </c>
      <c r="R915" s="3">
        <f t="shared" si="388"/>
        <v>22.885730324117429</v>
      </c>
      <c r="S915" s="3">
        <f t="shared" si="383"/>
        <v>1</v>
      </c>
      <c r="T915" s="3">
        <f t="shared" si="389"/>
        <v>19240.175710908727</v>
      </c>
      <c r="U915" s="3">
        <f t="shared" si="390"/>
        <v>0.5</v>
      </c>
      <c r="V915" s="3">
        <f t="shared" si="391"/>
        <v>0</v>
      </c>
      <c r="W915" s="3">
        <f t="shared" si="392"/>
        <v>14103.753340526755</v>
      </c>
      <c r="X915" s="3">
        <f t="shared" si="384"/>
        <v>1822.777306604351</v>
      </c>
      <c r="AI915" s="3"/>
      <c r="AJ915" s="3"/>
      <c r="AK915" s="15">
        <f t="shared" si="375"/>
        <v>4</v>
      </c>
      <c r="AL915" s="11">
        <f t="shared" si="379"/>
        <v>5436</v>
      </c>
      <c r="AM915" s="11" t="b">
        <f t="shared" si="374"/>
        <v>0</v>
      </c>
      <c r="AN915" s="11">
        <f t="shared" si="376"/>
        <v>36000</v>
      </c>
      <c r="AO915" s="11">
        <f t="shared" si="377"/>
        <v>0</v>
      </c>
      <c r="AP915" s="11">
        <f t="shared" si="378"/>
        <v>0.52453825047232161</v>
      </c>
      <c r="AQ915" s="11">
        <f t="shared" si="380"/>
        <v>0</v>
      </c>
      <c r="AT915" s="3"/>
      <c r="AU915" s="17"/>
      <c r="AV915" s="19"/>
      <c r="AW915" s="17"/>
      <c r="AX915" s="17">
        <f t="shared" si="373"/>
        <v>906</v>
      </c>
      <c r="AY915" s="17">
        <f t="shared" si="372"/>
        <v>90.6</v>
      </c>
      <c r="AZ915" s="17">
        <v>52.453825047232158</v>
      </c>
      <c r="BA915" s="17"/>
      <c r="BB915" s="17">
        <v>36</v>
      </c>
      <c r="BC915" s="17"/>
      <c r="BD915" s="17"/>
      <c r="BE915" s="17"/>
      <c r="BF915" s="17"/>
      <c r="BG915" s="17"/>
      <c r="BH915" s="17"/>
      <c r="BI915" s="17"/>
      <c r="BJ915" s="17"/>
      <c r="BK915" s="17"/>
      <c r="BL915" s="17"/>
      <c r="BM915" s="17"/>
      <c r="BN915" s="17"/>
      <c r="BO915" s="17"/>
      <c r="BP915" s="17"/>
      <c r="BQ915" s="17"/>
      <c r="BR915" s="17"/>
      <c r="BS915" s="17"/>
      <c r="BT915" s="17"/>
      <c r="BU915" s="17"/>
      <c r="BV915" s="17"/>
      <c r="BW915" s="17"/>
      <c r="BX915" s="17"/>
      <c r="BY915" s="17"/>
      <c r="BZ915" s="17"/>
      <c r="CA915" s="17"/>
      <c r="CB915" s="17"/>
      <c r="CC915" s="17"/>
      <c r="CD915" s="17"/>
      <c r="CE915" s="17"/>
      <c r="CF915" s="17"/>
      <c r="CG915" s="17"/>
      <c r="CH915" s="17"/>
    </row>
    <row r="916" spans="8:86" x14ac:dyDescent="0.15">
      <c r="H916" s="3">
        <f t="shared" si="393"/>
        <v>0.90400000000000069</v>
      </c>
      <c r="I916" s="3">
        <f t="shared" si="394"/>
        <v>360</v>
      </c>
      <c r="J916" s="14">
        <f t="shared" si="395"/>
        <v>500</v>
      </c>
      <c r="K916" s="3">
        <f t="shared" si="385"/>
        <v>0</v>
      </c>
      <c r="L916" s="3">
        <f t="shared" si="381"/>
        <v>500</v>
      </c>
      <c r="M916" s="15">
        <f t="shared" si="396"/>
        <v>7.0000000000000007E-2</v>
      </c>
      <c r="N916" s="3">
        <f t="shared" si="397"/>
        <v>39.123647680044016</v>
      </c>
      <c r="O916" s="3">
        <f t="shared" si="382"/>
        <v>39.123647680044016</v>
      </c>
      <c r="P916" s="3">
        <f t="shared" si="386"/>
        <v>42.068438365638727</v>
      </c>
      <c r="Q916" s="3">
        <f t="shared" si="387"/>
        <v>3.6070742617868845</v>
      </c>
      <c r="R916" s="3">
        <f t="shared" si="388"/>
        <v>22.837756313712806</v>
      </c>
      <c r="S916" s="3">
        <f t="shared" si="383"/>
        <v>1</v>
      </c>
      <c r="T916" s="3">
        <f t="shared" si="389"/>
        <v>19230.68205192592</v>
      </c>
      <c r="U916" s="3">
        <f t="shared" si="390"/>
        <v>0.5</v>
      </c>
      <c r="V916" s="3">
        <f t="shared" si="391"/>
        <v>0</v>
      </c>
      <c r="W916" s="3">
        <f t="shared" si="392"/>
        <v>14084.513164815846</v>
      </c>
      <c r="X916" s="3">
        <f t="shared" si="384"/>
        <v>1803.5371308934423</v>
      </c>
      <c r="AI916" s="3"/>
      <c r="AJ916" s="3"/>
      <c r="AK916" s="15">
        <f t="shared" si="375"/>
        <v>4</v>
      </c>
      <c r="AL916" s="11">
        <f t="shared" si="379"/>
        <v>5442</v>
      </c>
      <c r="AM916" s="11" t="b">
        <f t="shared" si="374"/>
        <v>0</v>
      </c>
      <c r="AN916" s="11">
        <f t="shared" si="376"/>
        <v>36000</v>
      </c>
      <c r="AO916" s="11">
        <f t="shared" si="377"/>
        <v>0</v>
      </c>
      <c r="AP916" s="11">
        <f t="shared" si="378"/>
        <v>0.52564056528713643</v>
      </c>
      <c r="AQ916" s="11">
        <f t="shared" si="380"/>
        <v>0</v>
      </c>
      <c r="AT916" s="3"/>
      <c r="AU916" s="17"/>
      <c r="AV916" s="19"/>
      <c r="AW916" s="17"/>
      <c r="AX916" s="17">
        <f t="shared" si="373"/>
        <v>907</v>
      </c>
      <c r="AY916" s="17">
        <f t="shared" ref="AY916:AY979" si="398">IF(ISNUMBER(AX916),IF(ROUND((AX916)*$AG$15*$AB$15,0) &lt;= 10080, ROUND((AX916)*$AG$15,0)*$AB$15/60, 168),168)</f>
        <v>90.7</v>
      </c>
      <c r="AZ916" s="17">
        <v>52.564056528713643</v>
      </c>
      <c r="BA916" s="17"/>
      <c r="BB916" s="17">
        <v>36</v>
      </c>
      <c r="BC916" s="17"/>
      <c r="BD916" s="17"/>
      <c r="BE916" s="17"/>
      <c r="BF916" s="17"/>
      <c r="BG916" s="17"/>
      <c r="BH916" s="17"/>
      <c r="BI916" s="17"/>
      <c r="BJ916" s="17"/>
      <c r="BK916" s="17"/>
      <c r="BL916" s="17"/>
      <c r="BM916" s="17"/>
      <c r="BN916" s="17"/>
      <c r="BO916" s="17"/>
      <c r="BP916" s="17"/>
      <c r="BQ916" s="17"/>
      <c r="BR916" s="17"/>
      <c r="BS916" s="17"/>
      <c r="BT916" s="17"/>
      <c r="BU916" s="17"/>
      <c r="BV916" s="17"/>
      <c r="BW916" s="17"/>
      <c r="BX916" s="17"/>
      <c r="BY916" s="17"/>
      <c r="BZ916" s="17"/>
      <c r="CA916" s="17"/>
      <c r="CB916" s="17"/>
      <c r="CC916" s="17"/>
      <c r="CD916" s="17"/>
      <c r="CE916" s="17"/>
      <c r="CF916" s="17"/>
      <c r="CG916" s="17"/>
      <c r="CH916" s="17"/>
    </row>
    <row r="917" spans="8:86" x14ac:dyDescent="0.15">
      <c r="H917" s="3">
        <f t="shared" si="393"/>
        <v>0.90500000000000069</v>
      </c>
      <c r="I917" s="3">
        <f t="shared" si="394"/>
        <v>360</v>
      </c>
      <c r="J917" s="14">
        <f t="shared" si="395"/>
        <v>500</v>
      </c>
      <c r="K917" s="3">
        <f t="shared" si="385"/>
        <v>0</v>
      </c>
      <c r="L917" s="3">
        <f t="shared" si="381"/>
        <v>500</v>
      </c>
      <c r="M917" s="15">
        <f t="shared" si="396"/>
        <v>7.0000000000000007E-2</v>
      </c>
      <c r="N917" s="3">
        <f t="shared" si="397"/>
        <v>39.070229118788667</v>
      </c>
      <c r="O917" s="3">
        <f t="shared" si="382"/>
        <v>39.070229118788667</v>
      </c>
      <c r="P917" s="3">
        <f t="shared" si="386"/>
        <v>42.010999052460939</v>
      </c>
      <c r="Q917" s="3">
        <f t="shared" si="387"/>
        <v>3.5686128976830327</v>
      </c>
      <c r="R917" s="3">
        <f t="shared" si="388"/>
        <v>22.789805975071985</v>
      </c>
      <c r="S917" s="3">
        <f t="shared" si="383"/>
        <v>1</v>
      </c>
      <c r="T917" s="3">
        <f t="shared" si="389"/>
        <v>19221.193077388954</v>
      </c>
      <c r="U917" s="3">
        <f t="shared" si="390"/>
        <v>0.5</v>
      </c>
      <c r="V917" s="3">
        <f t="shared" si="391"/>
        <v>0</v>
      </c>
      <c r="W917" s="3">
        <f t="shared" si="392"/>
        <v>14065.28248276392</v>
      </c>
      <c r="X917" s="3">
        <f t="shared" si="384"/>
        <v>1784.3064488415164</v>
      </c>
      <c r="AI917" s="3"/>
      <c r="AJ917" s="3"/>
      <c r="AK917" s="15">
        <f t="shared" si="375"/>
        <v>4</v>
      </c>
      <c r="AL917" s="11">
        <f t="shared" si="379"/>
        <v>5448</v>
      </c>
      <c r="AM917" s="11" t="b">
        <f t="shared" si="374"/>
        <v>0</v>
      </c>
      <c r="AN917" s="11">
        <f t="shared" si="376"/>
        <v>36000</v>
      </c>
      <c r="AO917" s="11">
        <f t="shared" si="377"/>
        <v>0</v>
      </c>
      <c r="AP917" s="11">
        <f t="shared" si="378"/>
        <v>0.52674288010195136</v>
      </c>
      <c r="AQ917" s="11">
        <f t="shared" si="380"/>
        <v>0</v>
      </c>
      <c r="AT917" s="3"/>
      <c r="AU917" s="17"/>
      <c r="AV917" s="19"/>
      <c r="AW917" s="17"/>
      <c r="AX917" s="17">
        <f t="shared" si="373"/>
        <v>908</v>
      </c>
      <c r="AY917" s="17">
        <f t="shared" si="398"/>
        <v>90.8</v>
      </c>
      <c r="AZ917" s="17">
        <v>52.674288010195134</v>
      </c>
      <c r="BA917" s="17"/>
      <c r="BB917" s="17">
        <v>36</v>
      </c>
      <c r="BC917" s="17"/>
      <c r="BD917" s="17"/>
      <c r="BE917" s="17"/>
      <c r="BF917" s="17"/>
      <c r="BG917" s="17"/>
      <c r="BH917" s="17"/>
      <c r="BI917" s="17"/>
      <c r="BJ917" s="17"/>
      <c r="BK917" s="17"/>
      <c r="BL917" s="17"/>
      <c r="BM917" s="17"/>
      <c r="BN917" s="17"/>
      <c r="BO917" s="17"/>
      <c r="BP917" s="17"/>
      <c r="BQ917" s="17"/>
      <c r="BR917" s="17"/>
      <c r="BS917" s="17"/>
      <c r="BT917" s="17"/>
      <c r="BU917" s="17"/>
      <c r="BV917" s="17"/>
      <c r="BW917" s="17"/>
      <c r="BX917" s="17"/>
      <c r="BY917" s="17"/>
      <c r="BZ917" s="17"/>
      <c r="CA917" s="17"/>
      <c r="CB917" s="17"/>
      <c r="CC917" s="17"/>
      <c r="CD917" s="17"/>
      <c r="CE917" s="17"/>
      <c r="CF917" s="17"/>
      <c r="CG917" s="17"/>
      <c r="CH917" s="17"/>
    </row>
    <row r="918" spans="8:86" x14ac:dyDescent="0.15">
      <c r="H918" s="3">
        <f t="shared" si="393"/>
        <v>0.90600000000000069</v>
      </c>
      <c r="I918" s="3">
        <f t="shared" si="394"/>
        <v>360</v>
      </c>
      <c r="J918" s="14">
        <f t="shared" si="395"/>
        <v>500</v>
      </c>
      <c r="K918" s="3">
        <f t="shared" si="385"/>
        <v>0</v>
      </c>
      <c r="L918" s="3">
        <f t="shared" si="381"/>
        <v>500</v>
      </c>
      <c r="M918" s="15">
        <f t="shared" si="396"/>
        <v>7.0000000000000007E-2</v>
      </c>
      <c r="N918" s="3">
        <f t="shared" si="397"/>
        <v>39.016836915795921</v>
      </c>
      <c r="O918" s="3">
        <f t="shared" si="382"/>
        <v>39.016836915795921</v>
      </c>
      <c r="P918" s="3">
        <f t="shared" si="386"/>
        <v>41.953588081500996</v>
      </c>
      <c r="Q918" s="3">
        <f t="shared" si="387"/>
        <v>3.5301705115282549</v>
      </c>
      <c r="R918" s="3">
        <f t="shared" si="388"/>
        <v>22.741879296514625</v>
      </c>
      <c r="S918" s="3">
        <f t="shared" si="383"/>
        <v>1</v>
      </c>
      <c r="T918" s="3">
        <f t="shared" si="389"/>
        <v>19211.708784986371</v>
      </c>
      <c r="U918" s="3">
        <f t="shared" si="390"/>
        <v>0.5</v>
      </c>
      <c r="V918" s="3">
        <f t="shared" si="391"/>
        <v>0</v>
      </c>
      <c r="W918" s="3">
        <f t="shared" si="392"/>
        <v>14046.061289686531</v>
      </c>
      <c r="X918" s="3">
        <f t="shared" si="384"/>
        <v>1765.0852557641274</v>
      </c>
      <c r="AI918" s="3"/>
      <c r="AJ918" s="3"/>
      <c r="AK918" s="15">
        <f t="shared" si="375"/>
        <v>4</v>
      </c>
      <c r="AL918" s="11">
        <f t="shared" si="379"/>
        <v>5454</v>
      </c>
      <c r="AM918" s="11" t="b">
        <f t="shared" si="374"/>
        <v>0</v>
      </c>
      <c r="AN918" s="11">
        <f t="shared" si="376"/>
        <v>36000</v>
      </c>
      <c r="AO918" s="11">
        <f t="shared" si="377"/>
        <v>0</v>
      </c>
      <c r="AP918" s="11">
        <f t="shared" si="378"/>
        <v>0.52784519491676618</v>
      </c>
      <c r="AQ918" s="11">
        <f t="shared" si="380"/>
        <v>0</v>
      </c>
      <c r="AT918" s="3"/>
      <c r="AU918" s="17"/>
      <c r="AV918" s="19"/>
      <c r="AW918" s="17"/>
      <c r="AX918" s="17">
        <f t="shared" si="373"/>
        <v>909</v>
      </c>
      <c r="AY918" s="17">
        <f t="shared" si="398"/>
        <v>90.9</v>
      </c>
      <c r="AZ918" s="17">
        <v>52.784519491676619</v>
      </c>
      <c r="BA918" s="17"/>
      <c r="BB918" s="17">
        <v>36</v>
      </c>
      <c r="BC918" s="17"/>
      <c r="BD918" s="17"/>
      <c r="BE918" s="17"/>
      <c r="BF918" s="17"/>
      <c r="BG918" s="17"/>
      <c r="BH918" s="17"/>
      <c r="BI918" s="17"/>
      <c r="BJ918" s="17"/>
      <c r="BK918" s="17"/>
      <c r="BL918" s="17"/>
      <c r="BM918" s="17"/>
      <c r="BN918" s="17"/>
      <c r="BO918" s="17"/>
      <c r="BP918" s="17"/>
      <c r="BQ918" s="17"/>
      <c r="BR918" s="17"/>
      <c r="BS918" s="17"/>
      <c r="BT918" s="17"/>
      <c r="BU918" s="17"/>
      <c r="BV918" s="17"/>
      <c r="BW918" s="17"/>
      <c r="BX918" s="17"/>
      <c r="BY918" s="17"/>
      <c r="BZ918" s="17"/>
      <c r="CA918" s="17"/>
      <c r="CB918" s="17"/>
      <c r="CC918" s="17"/>
      <c r="CD918" s="17"/>
      <c r="CE918" s="17"/>
      <c r="CF918" s="17"/>
      <c r="CG918" s="17"/>
      <c r="CH918" s="17"/>
    </row>
    <row r="919" spans="8:86" x14ac:dyDescent="0.15">
      <c r="H919" s="3">
        <f t="shared" si="393"/>
        <v>0.90700000000000069</v>
      </c>
      <c r="I919" s="3">
        <f t="shared" si="394"/>
        <v>360</v>
      </c>
      <c r="J919" s="14">
        <f t="shared" si="395"/>
        <v>500</v>
      </c>
      <c r="K919" s="3">
        <f t="shared" si="385"/>
        <v>0</v>
      </c>
      <c r="L919" s="3">
        <f t="shared" si="381"/>
        <v>500</v>
      </c>
      <c r="M919" s="15">
        <f t="shared" si="396"/>
        <v>7.0000000000000007E-2</v>
      </c>
      <c r="N919" s="3">
        <f t="shared" si="397"/>
        <v>38.963471058059852</v>
      </c>
      <c r="O919" s="3">
        <f t="shared" si="382"/>
        <v>38.963471058059852</v>
      </c>
      <c r="P919" s="3">
        <f t="shared" si="386"/>
        <v>41.896205438774039</v>
      </c>
      <c r="Q919" s="3">
        <f t="shared" si="387"/>
        <v>3.4917470939582822</v>
      </c>
      <c r="R919" s="3">
        <f t="shared" si="388"/>
        <v>22.69397626636616</v>
      </c>
      <c r="S919" s="3">
        <f t="shared" si="383"/>
        <v>1</v>
      </c>
      <c r="T919" s="3">
        <f t="shared" si="389"/>
        <v>19202.229172407879</v>
      </c>
      <c r="U919" s="3">
        <f t="shared" si="390"/>
        <v>0.5</v>
      </c>
      <c r="V919" s="3">
        <f t="shared" si="391"/>
        <v>0</v>
      </c>
      <c r="W919" s="3">
        <f t="shared" si="392"/>
        <v>14026.849580901548</v>
      </c>
      <c r="X919" s="3">
        <f t="shared" si="384"/>
        <v>1745.8735469791411</v>
      </c>
      <c r="AI919" s="3"/>
      <c r="AJ919" s="3"/>
      <c r="AK919" s="15">
        <f t="shared" si="375"/>
        <v>4</v>
      </c>
      <c r="AL919" s="11">
        <f t="shared" si="379"/>
        <v>5460</v>
      </c>
      <c r="AM919" s="11" t="b">
        <f t="shared" si="374"/>
        <v>0</v>
      </c>
      <c r="AN919" s="11">
        <f t="shared" si="376"/>
        <v>36000</v>
      </c>
      <c r="AO919" s="11">
        <f t="shared" si="377"/>
        <v>0</v>
      </c>
      <c r="AP919" s="11">
        <f t="shared" si="378"/>
        <v>0.528947509731581</v>
      </c>
      <c r="AQ919" s="11">
        <f t="shared" si="380"/>
        <v>0</v>
      </c>
      <c r="AT919" s="3"/>
      <c r="AU919" s="17"/>
      <c r="AV919" s="19"/>
      <c r="AW919" s="17"/>
      <c r="AX919" s="17">
        <f t="shared" si="373"/>
        <v>910</v>
      </c>
      <c r="AY919" s="17">
        <f t="shared" si="398"/>
        <v>91</v>
      </c>
      <c r="AZ919" s="17">
        <v>52.894750973158096</v>
      </c>
      <c r="BA919" s="17"/>
      <c r="BB919" s="17">
        <v>36</v>
      </c>
      <c r="BC919" s="17"/>
      <c r="BD919" s="17"/>
      <c r="BE919" s="17"/>
      <c r="BF919" s="17"/>
      <c r="BG919" s="17"/>
      <c r="BH919" s="17"/>
      <c r="BI919" s="17"/>
      <c r="BJ919" s="17"/>
      <c r="BK919" s="17"/>
      <c r="BL919" s="17"/>
      <c r="BM919" s="17"/>
      <c r="BN919" s="17"/>
      <c r="BO919" s="17"/>
      <c r="BP919" s="17"/>
      <c r="BQ919" s="17"/>
      <c r="BR919" s="17"/>
      <c r="BS919" s="17"/>
      <c r="BT919" s="17"/>
      <c r="BU919" s="17"/>
      <c r="BV919" s="17"/>
      <c r="BW919" s="17"/>
      <c r="BX919" s="17"/>
      <c r="BY919" s="17"/>
      <c r="BZ919" s="17"/>
      <c r="CA919" s="17"/>
      <c r="CB919" s="17"/>
      <c r="CC919" s="17"/>
      <c r="CD919" s="17"/>
      <c r="CE919" s="17"/>
      <c r="CF919" s="17"/>
      <c r="CG919" s="17"/>
      <c r="CH919" s="17"/>
    </row>
    <row r="920" spans="8:86" x14ac:dyDescent="0.15">
      <c r="H920" s="3">
        <f t="shared" si="393"/>
        <v>0.9080000000000007</v>
      </c>
      <c r="I920" s="3">
        <f t="shared" si="394"/>
        <v>360</v>
      </c>
      <c r="J920" s="14">
        <f t="shared" si="395"/>
        <v>500</v>
      </c>
      <c r="K920" s="3">
        <f t="shared" si="385"/>
        <v>0</v>
      </c>
      <c r="L920" s="3">
        <f t="shared" si="381"/>
        <v>500</v>
      </c>
      <c r="M920" s="15">
        <f t="shared" si="396"/>
        <v>7.0000000000000007E-2</v>
      </c>
      <c r="N920" s="3">
        <f t="shared" si="397"/>
        <v>38.910131532580941</v>
      </c>
      <c r="O920" s="3">
        <f t="shared" si="382"/>
        <v>38.910131532580941</v>
      </c>
      <c r="P920" s="3">
        <f t="shared" si="386"/>
        <v>41.838851110302087</v>
      </c>
      <c r="Q920" s="3">
        <f t="shared" si="387"/>
        <v>3.4533426356134664</v>
      </c>
      <c r="R920" s="3">
        <f t="shared" si="388"/>
        <v>22.646096872957777</v>
      </c>
      <c r="S920" s="3">
        <f t="shared" si="383"/>
        <v>1</v>
      </c>
      <c r="T920" s="3">
        <f t="shared" si="389"/>
        <v>19192.75423734431</v>
      </c>
      <c r="U920" s="3">
        <f t="shared" si="390"/>
        <v>0.5</v>
      </c>
      <c r="V920" s="3">
        <f t="shared" si="391"/>
        <v>0</v>
      </c>
      <c r="W920" s="3">
        <f t="shared" si="392"/>
        <v>14007.647351729138</v>
      </c>
      <c r="X920" s="3">
        <f t="shared" si="384"/>
        <v>1726.6713178067332</v>
      </c>
      <c r="AI920" s="3"/>
      <c r="AJ920" s="3"/>
      <c r="AK920" s="15">
        <f t="shared" si="375"/>
        <v>4</v>
      </c>
      <c r="AL920" s="11">
        <f t="shared" si="379"/>
        <v>5466</v>
      </c>
      <c r="AM920" s="11" t="b">
        <f t="shared" si="374"/>
        <v>0</v>
      </c>
      <c r="AN920" s="11">
        <f t="shared" si="376"/>
        <v>36000</v>
      </c>
      <c r="AO920" s="11">
        <f t="shared" si="377"/>
        <v>0</v>
      </c>
      <c r="AP920" s="11">
        <f t="shared" si="378"/>
        <v>0.53004982454639582</v>
      </c>
      <c r="AQ920" s="11">
        <f t="shared" si="380"/>
        <v>0</v>
      </c>
      <c r="AT920" s="3"/>
      <c r="AU920" s="17"/>
      <c r="AV920" s="19"/>
      <c r="AW920" s="17"/>
      <c r="AX920" s="17">
        <f t="shared" si="373"/>
        <v>911</v>
      </c>
      <c r="AY920" s="17">
        <f t="shared" si="398"/>
        <v>91.1</v>
      </c>
      <c r="AZ920" s="17">
        <v>53.004982454639581</v>
      </c>
      <c r="BA920" s="17"/>
      <c r="BB920" s="17">
        <v>36</v>
      </c>
      <c r="BC920" s="17"/>
      <c r="BD920" s="17"/>
      <c r="BE920" s="17"/>
      <c r="BF920" s="17"/>
      <c r="BG920" s="17"/>
      <c r="BH920" s="17"/>
      <c r="BI920" s="17"/>
      <c r="BJ920" s="17"/>
      <c r="BK920" s="17"/>
      <c r="BL920" s="17"/>
      <c r="BM920" s="17"/>
      <c r="BN920" s="17"/>
      <c r="BO920" s="17"/>
      <c r="BP920" s="17"/>
      <c r="BQ920" s="17"/>
      <c r="BR920" s="17"/>
      <c r="BS920" s="17"/>
      <c r="BT920" s="17"/>
      <c r="BU920" s="17"/>
      <c r="BV920" s="17"/>
      <c r="BW920" s="17"/>
      <c r="BX920" s="17"/>
      <c r="BY920" s="17"/>
      <c r="BZ920" s="17"/>
      <c r="CA920" s="17"/>
      <c r="CB920" s="17"/>
      <c r="CC920" s="17"/>
      <c r="CD920" s="17"/>
      <c r="CE920" s="17"/>
      <c r="CF920" s="17"/>
      <c r="CG920" s="17"/>
      <c r="CH920" s="17"/>
    </row>
    <row r="921" spans="8:86" x14ac:dyDescent="0.15">
      <c r="H921" s="3">
        <f t="shared" si="393"/>
        <v>0.9090000000000007</v>
      </c>
      <c r="I921" s="3">
        <f t="shared" si="394"/>
        <v>360</v>
      </c>
      <c r="J921" s="14">
        <f t="shared" si="395"/>
        <v>500</v>
      </c>
      <c r="K921" s="3">
        <f t="shared" si="385"/>
        <v>0</v>
      </c>
      <c r="L921" s="3">
        <f t="shared" si="381"/>
        <v>500</v>
      </c>
      <c r="M921" s="15">
        <f t="shared" si="396"/>
        <v>7.0000000000000007E-2</v>
      </c>
      <c r="N921" s="3">
        <f t="shared" si="397"/>
        <v>38.856818326366088</v>
      </c>
      <c r="O921" s="3">
        <f t="shared" si="382"/>
        <v>38.856818326366088</v>
      </c>
      <c r="P921" s="3">
        <f t="shared" si="386"/>
        <v>41.781525082114079</v>
      </c>
      <c r="Q921" s="3">
        <f t="shared" si="387"/>
        <v>3.4149571271387775</v>
      </c>
      <c r="R921" s="3">
        <f t="shared" si="388"/>
        <v>22.598241104626428</v>
      </c>
      <c r="S921" s="3">
        <f t="shared" si="383"/>
        <v>1</v>
      </c>
      <c r="T921" s="3">
        <f t="shared" si="389"/>
        <v>19183.283977487652</v>
      </c>
      <c r="U921" s="3">
        <f t="shared" si="390"/>
        <v>0.5</v>
      </c>
      <c r="V921" s="3">
        <f t="shared" si="391"/>
        <v>0</v>
      </c>
      <c r="W921" s="3">
        <f t="shared" si="392"/>
        <v>13988.454597491791</v>
      </c>
      <c r="X921" s="3">
        <f t="shared" si="384"/>
        <v>1707.4785635693888</v>
      </c>
      <c r="AI921" s="3"/>
      <c r="AJ921" s="3"/>
      <c r="AK921" s="15">
        <f t="shared" si="375"/>
        <v>4</v>
      </c>
      <c r="AL921" s="11">
        <f t="shared" si="379"/>
        <v>5472</v>
      </c>
      <c r="AM921" s="11" t="b">
        <f t="shared" si="374"/>
        <v>0</v>
      </c>
      <c r="AN921" s="11">
        <f t="shared" si="376"/>
        <v>36000</v>
      </c>
      <c r="AO921" s="11">
        <f t="shared" si="377"/>
        <v>0</v>
      </c>
      <c r="AP921" s="11">
        <f t="shared" si="378"/>
        <v>0.53115213936121064</v>
      </c>
      <c r="AQ921" s="11">
        <f t="shared" si="380"/>
        <v>0</v>
      </c>
      <c r="AT921" s="3"/>
      <c r="AU921" s="17"/>
      <c r="AV921" s="19"/>
      <c r="AW921" s="17"/>
      <c r="AX921" s="17">
        <f t="shared" si="373"/>
        <v>912</v>
      </c>
      <c r="AY921" s="17">
        <f t="shared" si="398"/>
        <v>91.2</v>
      </c>
      <c r="AZ921" s="17">
        <v>53.115213936121066</v>
      </c>
      <c r="BA921" s="17"/>
      <c r="BB921" s="17">
        <v>36</v>
      </c>
      <c r="BC921" s="17"/>
      <c r="BD921" s="17"/>
      <c r="BE921" s="17"/>
      <c r="BF921" s="17"/>
      <c r="BG921" s="17"/>
      <c r="BH921" s="17"/>
      <c r="BI921" s="17"/>
      <c r="BJ921" s="17"/>
      <c r="BK921" s="17"/>
      <c r="BL921" s="17"/>
      <c r="BM921" s="17"/>
      <c r="BN921" s="17"/>
      <c r="BO921" s="17"/>
      <c r="BP921" s="17"/>
      <c r="BQ921" s="17"/>
      <c r="BR921" s="17"/>
      <c r="BS921" s="17"/>
      <c r="BT921" s="17"/>
      <c r="BU921" s="17"/>
      <c r="BV921" s="17"/>
      <c r="BW921" s="17"/>
      <c r="BX921" s="17"/>
      <c r="BY921" s="17"/>
      <c r="BZ921" s="17"/>
      <c r="CA921" s="17"/>
      <c r="CB921" s="17"/>
      <c r="CC921" s="17"/>
      <c r="CD921" s="17"/>
      <c r="CE921" s="17"/>
      <c r="CF921" s="17"/>
      <c r="CG921" s="17"/>
      <c r="CH921" s="17"/>
    </row>
    <row r="922" spans="8:86" x14ac:dyDescent="0.15">
      <c r="H922" s="3">
        <f t="shared" si="393"/>
        <v>0.9100000000000007</v>
      </c>
      <c r="I922" s="3">
        <f t="shared" si="394"/>
        <v>360</v>
      </c>
      <c r="J922" s="14">
        <f t="shared" si="395"/>
        <v>500</v>
      </c>
      <c r="K922" s="3">
        <f t="shared" si="385"/>
        <v>0</v>
      </c>
      <c r="L922" s="3">
        <f t="shared" si="381"/>
        <v>500</v>
      </c>
      <c r="M922" s="15">
        <f t="shared" si="396"/>
        <v>7.0000000000000007E-2</v>
      </c>
      <c r="N922" s="3">
        <f t="shared" si="397"/>
        <v>38.80353142642862</v>
      </c>
      <c r="O922" s="3">
        <f t="shared" si="382"/>
        <v>38.80353142642862</v>
      </c>
      <c r="P922" s="3">
        <f t="shared" si="386"/>
        <v>41.724227340245832</v>
      </c>
      <c r="Q922" s="3">
        <f t="shared" si="387"/>
        <v>3.3765905591838021</v>
      </c>
      <c r="R922" s="3">
        <f t="shared" si="388"/>
        <v>22.550408949714818</v>
      </c>
      <c r="S922" s="3">
        <f t="shared" si="383"/>
        <v>1</v>
      </c>
      <c r="T922" s="3">
        <f t="shared" si="389"/>
        <v>19173.818390531014</v>
      </c>
      <c r="U922" s="3">
        <f t="shared" si="390"/>
        <v>0.5</v>
      </c>
      <c r="V922" s="3">
        <f t="shared" si="391"/>
        <v>0</v>
      </c>
      <c r="W922" s="3">
        <f t="shared" si="392"/>
        <v>13969.271313514304</v>
      </c>
      <c r="X922" s="3">
        <f t="shared" si="384"/>
        <v>1688.2952795919011</v>
      </c>
      <c r="AI922" s="3"/>
      <c r="AJ922" s="3"/>
      <c r="AK922" s="15">
        <f t="shared" si="375"/>
        <v>4</v>
      </c>
      <c r="AL922" s="11">
        <f t="shared" si="379"/>
        <v>5478</v>
      </c>
      <c r="AM922" s="11" t="b">
        <f t="shared" si="374"/>
        <v>0</v>
      </c>
      <c r="AN922" s="11">
        <f t="shared" si="376"/>
        <v>36000</v>
      </c>
      <c r="AO922" s="11">
        <f t="shared" si="377"/>
        <v>0</v>
      </c>
      <c r="AP922" s="11">
        <f t="shared" si="378"/>
        <v>0.53225445417602557</v>
      </c>
      <c r="AQ922" s="11">
        <f t="shared" si="380"/>
        <v>0</v>
      </c>
      <c r="AT922" s="3"/>
      <c r="AU922" s="17"/>
      <c r="AV922" s="19"/>
      <c r="AW922" s="17"/>
      <c r="AX922" s="17">
        <f t="shared" si="373"/>
        <v>913</v>
      </c>
      <c r="AY922" s="17">
        <f t="shared" si="398"/>
        <v>91.3</v>
      </c>
      <c r="AZ922" s="17">
        <v>53.225445417602558</v>
      </c>
      <c r="BA922" s="17"/>
      <c r="BB922" s="17">
        <v>36</v>
      </c>
      <c r="BC922" s="17"/>
      <c r="BD922" s="17"/>
      <c r="BE922" s="17"/>
      <c r="BF922" s="17"/>
      <c r="BG922" s="17"/>
      <c r="BH922" s="17"/>
      <c r="BI922" s="17"/>
      <c r="BJ922" s="17"/>
      <c r="BK922" s="17"/>
      <c r="BL922" s="17"/>
      <c r="BM922" s="17"/>
      <c r="BN922" s="17"/>
      <c r="BO922" s="17"/>
      <c r="BP922" s="17"/>
      <c r="BQ922" s="17"/>
      <c r="BR922" s="17"/>
      <c r="BS922" s="17"/>
      <c r="BT922" s="17"/>
      <c r="BU922" s="17"/>
      <c r="BV922" s="17"/>
      <c r="BW922" s="17"/>
      <c r="BX922" s="17"/>
      <c r="BY922" s="17"/>
      <c r="BZ922" s="17"/>
      <c r="CA922" s="17"/>
      <c r="CB922" s="17"/>
      <c r="CC922" s="17"/>
      <c r="CD922" s="17"/>
      <c r="CE922" s="17"/>
      <c r="CF922" s="17"/>
      <c r="CG922" s="17"/>
      <c r="CH922" s="17"/>
    </row>
    <row r="923" spans="8:86" x14ac:dyDescent="0.15">
      <c r="H923" s="3">
        <f t="shared" si="393"/>
        <v>0.9110000000000007</v>
      </c>
      <c r="I923" s="3">
        <f t="shared" si="394"/>
        <v>360</v>
      </c>
      <c r="J923" s="14">
        <f t="shared" si="395"/>
        <v>500</v>
      </c>
      <c r="K923" s="3">
        <f t="shared" si="385"/>
        <v>0</v>
      </c>
      <c r="L923" s="3">
        <f t="shared" si="381"/>
        <v>500</v>
      </c>
      <c r="M923" s="15">
        <f t="shared" si="396"/>
        <v>7.0000000000000007E-2</v>
      </c>
      <c r="N923" s="3">
        <f t="shared" si="397"/>
        <v>38.750270819788255</v>
      </c>
      <c r="O923" s="3">
        <f t="shared" si="382"/>
        <v>38.750270819788255</v>
      </c>
      <c r="P923" s="3">
        <f t="shared" si="386"/>
        <v>41.666957870740063</v>
      </c>
      <c r="Q923" s="3">
        <f t="shared" si="387"/>
        <v>3.3382429224027401</v>
      </c>
      <c r="R923" s="3">
        <f t="shared" si="388"/>
        <v>22.502600396571403</v>
      </c>
      <c r="S923" s="3">
        <f t="shared" si="383"/>
        <v>1</v>
      </c>
      <c r="T923" s="3">
        <f t="shared" si="389"/>
        <v>19164.357474168661</v>
      </c>
      <c r="U923" s="3">
        <f t="shared" si="390"/>
        <v>0.5</v>
      </c>
      <c r="V923" s="3">
        <f t="shared" si="391"/>
        <v>0</v>
      </c>
      <c r="W923" s="3">
        <f t="shared" si="392"/>
        <v>13950.097495123771</v>
      </c>
      <c r="X923" s="3">
        <f t="shared" si="384"/>
        <v>1669.12146120137</v>
      </c>
      <c r="AI923" s="3"/>
      <c r="AJ923" s="3"/>
      <c r="AK923" s="15">
        <f t="shared" si="375"/>
        <v>4</v>
      </c>
      <c r="AL923" s="11">
        <f t="shared" si="379"/>
        <v>5484</v>
      </c>
      <c r="AM923" s="11" t="b">
        <f t="shared" si="374"/>
        <v>0</v>
      </c>
      <c r="AN923" s="11">
        <f t="shared" si="376"/>
        <v>36000</v>
      </c>
      <c r="AO923" s="11">
        <f t="shared" si="377"/>
        <v>0</v>
      </c>
      <c r="AP923" s="11">
        <f t="shared" si="378"/>
        <v>0.53335676899084039</v>
      </c>
      <c r="AQ923" s="11">
        <f t="shared" si="380"/>
        <v>0</v>
      </c>
      <c r="AT923" s="3"/>
      <c r="AU923" s="17"/>
      <c r="AV923" s="19"/>
      <c r="AW923" s="17"/>
      <c r="AX923" s="17">
        <f t="shared" si="373"/>
        <v>914</v>
      </c>
      <c r="AY923" s="17">
        <f t="shared" si="398"/>
        <v>91.4</v>
      </c>
      <c r="AZ923" s="17">
        <v>53.335676899084042</v>
      </c>
      <c r="BA923" s="17"/>
      <c r="BB923" s="17">
        <v>36</v>
      </c>
      <c r="BC923" s="17"/>
      <c r="BD923" s="17"/>
      <c r="BE923" s="17"/>
      <c r="BF923" s="17"/>
      <c r="BG923" s="17"/>
      <c r="BH923" s="17"/>
      <c r="BI923" s="17"/>
      <c r="BJ923" s="17"/>
      <c r="BK923" s="17"/>
      <c r="BL923" s="17"/>
      <c r="BM923" s="17"/>
      <c r="BN923" s="17"/>
      <c r="BO923" s="17"/>
      <c r="BP923" s="17"/>
      <c r="BQ923" s="17"/>
      <c r="BR923" s="17"/>
      <c r="BS923" s="17"/>
      <c r="BT923" s="17"/>
      <c r="BU923" s="17"/>
      <c r="BV923" s="17"/>
      <c r="BW923" s="17"/>
      <c r="BX923" s="17"/>
      <c r="BY923" s="17"/>
      <c r="BZ923" s="17"/>
      <c r="CA923" s="17"/>
      <c r="CB923" s="17"/>
      <c r="CC923" s="17"/>
      <c r="CD923" s="17"/>
      <c r="CE923" s="17"/>
      <c r="CF923" s="17"/>
      <c r="CG923" s="17"/>
      <c r="CH923" s="17"/>
    </row>
    <row r="924" spans="8:86" x14ac:dyDescent="0.15">
      <c r="H924" s="3">
        <f t="shared" si="393"/>
        <v>0.9120000000000007</v>
      </c>
      <c r="I924" s="3">
        <f t="shared" si="394"/>
        <v>360</v>
      </c>
      <c r="J924" s="14">
        <f t="shared" si="395"/>
        <v>500</v>
      </c>
      <c r="K924" s="3">
        <f t="shared" si="385"/>
        <v>0</v>
      </c>
      <c r="L924" s="3">
        <f t="shared" si="381"/>
        <v>500</v>
      </c>
      <c r="M924" s="15">
        <f t="shared" si="396"/>
        <v>7.0000000000000007E-2</v>
      </c>
      <c r="N924" s="3">
        <f t="shared" si="397"/>
        <v>38.697036493471117</v>
      </c>
      <c r="O924" s="3">
        <f t="shared" si="382"/>
        <v>38.697036493471117</v>
      </c>
      <c r="P924" s="3">
        <f t="shared" si="386"/>
        <v>41.609716659646367</v>
      </c>
      <c r="Q924" s="3">
        <f t="shared" si="387"/>
        <v>3.2999142074544028</v>
      </c>
      <c r="R924" s="3">
        <f t="shared" si="388"/>
        <v>22.454815433550383</v>
      </c>
      <c r="S924" s="3">
        <f t="shared" si="383"/>
        <v>1</v>
      </c>
      <c r="T924" s="3">
        <f t="shared" si="389"/>
        <v>19154.901226095983</v>
      </c>
      <c r="U924" s="3">
        <f t="shared" si="390"/>
        <v>0.5</v>
      </c>
      <c r="V924" s="3">
        <f t="shared" si="391"/>
        <v>0</v>
      </c>
      <c r="W924" s="3">
        <f t="shared" si="392"/>
        <v>13930.933137649603</v>
      </c>
      <c r="X924" s="3">
        <f t="shared" si="384"/>
        <v>1649.9571037272015</v>
      </c>
      <c r="AI924" s="3"/>
      <c r="AJ924" s="3"/>
      <c r="AK924" s="15">
        <f t="shared" si="375"/>
        <v>4</v>
      </c>
      <c r="AL924" s="11">
        <f t="shared" si="379"/>
        <v>5490</v>
      </c>
      <c r="AM924" s="11" t="b">
        <f t="shared" si="374"/>
        <v>0</v>
      </c>
      <c r="AN924" s="11">
        <f t="shared" si="376"/>
        <v>36000</v>
      </c>
      <c r="AO924" s="11">
        <f t="shared" si="377"/>
        <v>0</v>
      </c>
      <c r="AP924" s="11">
        <f t="shared" si="378"/>
        <v>0.53445908380565521</v>
      </c>
      <c r="AQ924" s="11">
        <f t="shared" si="380"/>
        <v>0</v>
      </c>
      <c r="AT924" s="3"/>
      <c r="AU924" s="17"/>
      <c r="AV924" s="19"/>
      <c r="AW924" s="17"/>
      <c r="AX924" s="17">
        <f t="shared" si="373"/>
        <v>915</v>
      </c>
      <c r="AY924" s="17">
        <f t="shared" si="398"/>
        <v>91.5</v>
      </c>
      <c r="AZ924" s="17">
        <v>53.44590838056552</v>
      </c>
      <c r="BA924" s="17"/>
      <c r="BB924" s="17">
        <v>36</v>
      </c>
      <c r="BC924" s="17"/>
      <c r="BD924" s="17"/>
      <c r="BE924" s="17"/>
      <c r="BF924" s="17"/>
      <c r="BG924" s="17"/>
      <c r="BH924" s="17"/>
      <c r="BI924" s="17"/>
      <c r="BJ924" s="17"/>
      <c r="BK924" s="17"/>
      <c r="BL924" s="17"/>
      <c r="BM924" s="17"/>
      <c r="BN924" s="17"/>
      <c r="BO924" s="17"/>
      <c r="BP924" s="17"/>
      <c r="BQ924" s="17"/>
      <c r="BR924" s="17"/>
      <c r="BS924" s="17"/>
      <c r="BT924" s="17"/>
      <c r="BU924" s="17"/>
      <c r="BV924" s="17"/>
      <c r="BW924" s="17"/>
      <c r="BX924" s="17"/>
      <c r="BY924" s="17"/>
      <c r="BZ924" s="17"/>
      <c r="CA924" s="17"/>
      <c r="CB924" s="17"/>
      <c r="CC924" s="17"/>
      <c r="CD924" s="17"/>
      <c r="CE924" s="17"/>
      <c r="CF924" s="17"/>
      <c r="CG924" s="17"/>
      <c r="CH924" s="17"/>
    </row>
    <row r="925" spans="8:86" x14ac:dyDescent="0.15">
      <c r="H925" s="3">
        <f t="shared" si="393"/>
        <v>0.9130000000000007</v>
      </c>
      <c r="I925" s="3">
        <f t="shared" si="394"/>
        <v>360</v>
      </c>
      <c r="J925" s="14">
        <f t="shared" si="395"/>
        <v>500</v>
      </c>
      <c r="K925" s="3">
        <f t="shared" si="385"/>
        <v>0</v>
      </c>
      <c r="L925" s="3">
        <f t="shared" si="381"/>
        <v>500</v>
      </c>
      <c r="M925" s="15">
        <f t="shared" si="396"/>
        <v>7.0000000000000007E-2</v>
      </c>
      <c r="N925" s="3">
        <f t="shared" si="397"/>
        <v>38.643828434509743</v>
      </c>
      <c r="O925" s="3">
        <f t="shared" si="382"/>
        <v>38.643828434509743</v>
      </c>
      <c r="P925" s="3">
        <f t="shared" si="386"/>
        <v>41.552503693021229</v>
      </c>
      <c r="Q925" s="3">
        <f t="shared" si="387"/>
        <v>3.261604405002211</v>
      </c>
      <c r="R925" s="3">
        <f t="shared" si="388"/>
        <v>22.40705404901172</v>
      </c>
      <c r="S925" s="3">
        <f t="shared" si="383"/>
        <v>1</v>
      </c>
      <c r="T925" s="3">
        <f t="shared" si="389"/>
        <v>19145.44964400951</v>
      </c>
      <c r="U925" s="3">
        <f t="shared" si="390"/>
        <v>0.5</v>
      </c>
      <c r="V925" s="3">
        <f t="shared" si="391"/>
        <v>0</v>
      </c>
      <c r="W925" s="3">
        <f t="shared" si="392"/>
        <v>13911.778236423508</v>
      </c>
      <c r="X925" s="3">
        <f t="shared" si="384"/>
        <v>1630.8022025011055</v>
      </c>
      <c r="AI925" s="3"/>
      <c r="AJ925" s="3"/>
      <c r="AK925" s="15">
        <f t="shared" si="375"/>
        <v>4</v>
      </c>
      <c r="AL925" s="11">
        <f t="shared" si="379"/>
        <v>5496</v>
      </c>
      <c r="AM925" s="11" t="b">
        <f t="shared" si="374"/>
        <v>0</v>
      </c>
      <c r="AN925" s="11">
        <f t="shared" si="376"/>
        <v>36000</v>
      </c>
      <c r="AO925" s="11">
        <f t="shared" si="377"/>
        <v>0</v>
      </c>
      <c r="AP925" s="11">
        <f t="shared" si="378"/>
        <v>0.53556139862047003</v>
      </c>
      <c r="AQ925" s="11">
        <f t="shared" si="380"/>
        <v>0</v>
      </c>
      <c r="AT925" s="3"/>
      <c r="AU925" s="17"/>
      <c r="AV925" s="19"/>
      <c r="AW925" s="17"/>
      <c r="AX925" s="17">
        <f t="shared" si="373"/>
        <v>916</v>
      </c>
      <c r="AY925" s="17">
        <f t="shared" si="398"/>
        <v>91.6</v>
      </c>
      <c r="AZ925" s="17">
        <v>53.556139862047004</v>
      </c>
      <c r="BA925" s="17"/>
      <c r="BB925" s="17">
        <v>36</v>
      </c>
      <c r="BC925" s="17"/>
      <c r="BD925" s="17"/>
      <c r="BE925" s="17"/>
      <c r="BF925" s="17"/>
      <c r="BG925" s="17"/>
      <c r="BH925" s="17"/>
      <c r="BI925" s="17"/>
      <c r="BJ925" s="17"/>
      <c r="BK925" s="17"/>
      <c r="BL925" s="17"/>
      <c r="BM925" s="17"/>
      <c r="BN925" s="17"/>
      <c r="BO925" s="17"/>
      <c r="BP925" s="17"/>
      <c r="BQ925" s="17"/>
      <c r="BR925" s="17"/>
      <c r="BS925" s="17"/>
      <c r="BT925" s="17"/>
      <c r="BU925" s="17"/>
      <c r="BV925" s="17"/>
      <c r="BW925" s="17"/>
      <c r="BX925" s="17"/>
      <c r="BY925" s="17"/>
      <c r="BZ925" s="17"/>
      <c r="CA925" s="17"/>
      <c r="CB925" s="17"/>
      <c r="CC925" s="17"/>
      <c r="CD925" s="17"/>
      <c r="CE925" s="17"/>
      <c r="CF925" s="17"/>
      <c r="CG925" s="17"/>
      <c r="CH925" s="17"/>
    </row>
    <row r="926" spans="8:86" x14ac:dyDescent="0.15">
      <c r="H926" s="3">
        <f t="shared" si="393"/>
        <v>0.9140000000000007</v>
      </c>
      <c r="I926" s="3">
        <f t="shared" si="394"/>
        <v>360</v>
      </c>
      <c r="J926" s="14">
        <f t="shared" si="395"/>
        <v>500</v>
      </c>
      <c r="K926" s="3">
        <f t="shared" si="385"/>
        <v>0</v>
      </c>
      <c r="L926" s="3">
        <f t="shared" si="381"/>
        <v>500</v>
      </c>
      <c r="M926" s="15">
        <f t="shared" si="396"/>
        <v>7.0000000000000007E-2</v>
      </c>
      <c r="N926" s="3">
        <f t="shared" si="397"/>
        <v>38.590646629943052</v>
      </c>
      <c r="O926" s="3">
        <f t="shared" si="382"/>
        <v>38.590646629943052</v>
      </c>
      <c r="P926" s="3">
        <f t="shared" si="386"/>
        <v>41.495318956928017</v>
      </c>
      <c r="Q926" s="3">
        <f t="shared" si="387"/>
        <v>3.223313505714192</v>
      </c>
      <c r="R926" s="3">
        <f t="shared" si="388"/>
        <v>22.359316231321106</v>
      </c>
      <c r="S926" s="3">
        <f t="shared" si="383"/>
        <v>1</v>
      </c>
      <c r="T926" s="3">
        <f t="shared" si="389"/>
        <v>19136.002725606912</v>
      </c>
      <c r="U926" s="3">
        <f t="shared" si="390"/>
        <v>0.5</v>
      </c>
      <c r="V926" s="3">
        <f t="shared" si="391"/>
        <v>0</v>
      </c>
      <c r="W926" s="3">
        <f t="shared" si="392"/>
        <v>13892.632786779499</v>
      </c>
      <c r="X926" s="3">
        <f t="shared" si="384"/>
        <v>1611.6567528570961</v>
      </c>
      <c r="AI926" s="3"/>
      <c r="AJ926" s="3"/>
      <c r="AK926" s="15">
        <f t="shared" si="375"/>
        <v>4</v>
      </c>
      <c r="AL926" s="11">
        <f t="shared" si="379"/>
        <v>5502</v>
      </c>
      <c r="AM926" s="11" t="b">
        <f t="shared" si="374"/>
        <v>0</v>
      </c>
      <c r="AN926" s="11">
        <f t="shared" si="376"/>
        <v>36000</v>
      </c>
      <c r="AO926" s="11">
        <f t="shared" si="377"/>
        <v>0</v>
      </c>
      <c r="AP926" s="11">
        <f t="shared" si="378"/>
        <v>0.53666371343528485</v>
      </c>
      <c r="AQ926" s="11">
        <f t="shared" si="380"/>
        <v>0</v>
      </c>
      <c r="AT926" s="3"/>
      <c r="AU926" s="17"/>
      <c r="AV926" s="19"/>
      <c r="AW926" s="17"/>
      <c r="AX926" s="17">
        <f t="shared" si="373"/>
        <v>917</v>
      </c>
      <c r="AY926" s="17">
        <f t="shared" si="398"/>
        <v>91.7</v>
      </c>
      <c r="AZ926" s="17">
        <v>53.666371343528482</v>
      </c>
      <c r="BA926" s="17"/>
      <c r="BB926" s="17">
        <v>36</v>
      </c>
      <c r="BC926" s="17"/>
      <c r="BD926" s="17"/>
      <c r="BE926" s="17"/>
      <c r="BF926" s="17"/>
      <c r="BG926" s="17"/>
      <c r="BH926" s="17"/>
      <c r="BI926" s="17"/>
      <c r="BJ926" s="17"/>
      <c r="BK926" s="17"/>
      <c r="BL926" s="17"/>
      <c r="BM926" s="17"/>
      <c r="BN926" s="17"/>
      <c r="BO926" s="17"/>
      <c r="BP926" s="17"/>
      <c r="BQ926" s="17"/>
      <c r="BR926" s="17"/>
      <c r="BS926" s="17"/>
      <c r="BT926" s="17"/>
      <c r="BU926" s="17"/>
      <c r="BV926" s="17"/>
      <c r="BW926" s="17"/>
      <c r="BX926" s="17"/>
      <c r="BY926" s="17"/>
      <c r="BZ926" s="17"/>
      <c r="CA926" s="17"/>
      <c r="CB926" s="17"/>
      <c r="CC926" s="17"/>
      <c r="CD926" s="17"/>
      <c r="CE926" s="17"/>
      <c r="CF926" s="17"/>
      <c r="CG926" s="17"/>
      <c r="CH926" s="17"/>
    </row>
    <row r="927" spans="8:86" x14ac:dyDescent="0.15">
      <c r="H927" s="3">
        <f t="shared" si="393"/>
        <v>0.9150000000000007</v>
      </c>
      <c r="I927" s="3">
        <f t="shared" si="394"/>
        <v>360</v>
      </c>
      <c r="J927" s="14">
        <f t="shared" si="395"/>
        <v>500</v>
      </c>
      <c r="K927" s="3">
        <f t="shared" si="385"/>
        <v>0</v>
      </c>
      <c r="L927" s="3">
        <f t="shared" si="381"/>
        <v>500</v>
      </c>
      <c r="M927" s="15">
        <f t="shared" si="396"/>
        <v>7.0000000000000007E-2</v>
      </c>
      <c r="N927" s="3">
        <f t="shared" si="397"/>
        <v>38.537491066816365</v>
      </c>
      <c r="O927" s="3">
        <f t="shared" si="382"/>
        <v>38.537491066816365</v>
      </c>
      <c r="P927" s="3">
        <f t="shared" si="386"/>
        <v>41.438162437436958</v>
      </c>
      <c r="Q927" s="3">
        <f t="shared" si="387"/>
        <v>3.1850415002629786</v>
      </c>
      <c r="R927" s="3">
        <f t="shared" si="388"/>
        <v>22.311601968849967</v>
      </c>
      <c r="S927" s="3">
        <f t="shared" si="383"/>
        <v>1</v>
      </c>
      <c r="T927" s="3">
        <f t="shared" si="389"/>
        <v>19126.560468586991</v>
      </c>
      <c r="U927" s="3">
        <f t="shared" si="390"/>
        <v>0.5</v>
      </c>
      <c r="V927" s="3">
        <f t="shared" si="391"/>
        <v>0</v>
      </c>
      <c r="W927" s="3">
        <f t="shared" si="392"/>
        <v>13873.496784053892</v>
      </c>
      <c r="X927" s="3">
        <f t="shared" si="384"/>
        <v>1592.5207501314892</v>
      </c>
      <c r="AI927" s="3"/>
      <c r="AJ927" s="3"/>
      <c r="AK927" s="15">
        <f t="shared" si="375"/>
        <v>4</v>
      </c>
      <c r="AL927" s="11">
        <f t="shared" si="379"/>
        <v>5508</v>
      </c>
      <c r="AM927" s="11" t="b">
        <f t="shared" si="374"/>
        <v>0</v>
      </c>
      <c r="AN927" s="11">
        <f t="shared" si="376"/>
        <v>36000</v>
      </c>
      <c r="AO927" s="11">
        <f t="shared" si="377"/>
        <v>0</v>
      </c>
      <c r="AP927" s="11">
        <f t="shared" si="378"/>
        <v>0.53776602825009978</v>
      </c>
      <c r="AQ927" s="11">
        <f t="shared" si="380"/>
        <v>0</v>
      </c>
      <c r="AT927" s="3"/>
      <c r="AU927" s="17"/>
      <c r="AV927" s="19"/>
      <c r="AW927" s="17"/>
      <c r="AX927" s="17">
        <f t="shared" si="373"/>
        <v>918</v>
      </c>
      <c r="AY927" s="17">
        <f t="shared" si="398"/>
        <v>91.8</v>
      </c>
      <c r="AZ927" s="17">
        <v>53.776602825009981</v>
      </c>
      <c r="BA927" s="17"/>
      <c r="BB927" s="17">
        <v>36</v>
      </c>
      <c r="BC927" s="17"/>
      <c r="BD927" s="17"/>
      <c r="BE927" s="17"/>
      <c r="BF927" s="17"/>
      <c r="BG927" s="17"/>
      <c r="BH927" s="17"/>
      <c r="BI927" s="17"/>
      <c r="BJ927" s="17"/>
      <c r="BK927" s="17"/>
      <c r="BL927" s="17"/>
      <c r="BM927" s="17"/>
      <c r="BN927" s="17"/>
      <c r="BO927" s="17"/>
      <c r="BP927" s="17"/>
      <c r="BQ927" s="17"/>
      <c r="BR927" s="17"/>
      <c r="BS927" s="17"/>
      <c r="BT927" s="17"/>
      <c r="BU927" s="17"/>
      <c r="BV927" s="17"/>
      <c r="BW927" s="17"/>
      <c r="BX927" s="17"/>
      <c r="BY927" s="17"/>
      <c r="BZ927" s="17"/>
      <c r="CA927" s="17"/>
      <c r="CB927" s="17"/>
      <c r="CC927" s="17"/>
      <c r="CD927" s="17"/>
      <c r="CE927" s="17"/>
      <c r="CF927" s="17"/>
      <c r="CG927" s="17"/>
      <c r="CH927" s="17"/>
    </row>
    <row r="928" spans="8:86" x14ac:dyDescent="0.15">
      <c r="H928" s="3">
        <f t="shared" si="393"/>
        <v>0.9160000000000007</v>
      </c>
      <c r="I928" s="3">
        <f t="shared" si="394"/>
        <v>360</v>
      </c>
      <c r="J928" s="14">
        <f t="shared" si="395"/>
        <v>500</v>
      </c>
      <c r="K928" s="3">
        <f t="shared" si="385"/>
        <v>0</v>
      </c>
      <c r="L928" s="3">
        <f t="shared" si="381"/>
        <v>500</v>
      </c>
      <c r="M928" s="15">
        <f t="shared" si="396"/>
        <v>7.0000000000000007E-2</v>
      </c>
      <c r="N928" s="3">
        <f t="shared" si="397"/>
        <v>38.484361732181405</v>
      </c>
      <c r="O928" s="3">
        <f t="shared" si="382"/>
        <v>38.484361732181405</v>
      </c>
      <c r="P928" s="3">
        <f t="shared" si="386"/>
        <v>41.381034120625166</v>
      </c>
      <c r="Q928" s="3">
        <f t="shared" si="387"/>
        <v>3.1467883793258045</v>
      </c>
      <c r="R928" s="3">
        <f t="shared" si="388"/>
        <v>22.263911249975486</v>
      </c>
      <c r="S928" s="3">
        <f t="shared" si="383"/>
        <v>1</v>
      </c>
      <c r="T928" s="3">
        <f t="shared" si="389"/>
        <v>19117.12287064968</v>
      </c>
      <c r="U928" s="3">
        <f t="shared" si="390"/>
        <v>0.5</v>
      </c>
      <c r="V928" s="3">
        <f t="shared" si="391"/>
        <v>0</v>
      </c>
      <c r="W928" s="3">
        <f t="shared" si="392"/>
        <v>13854.370223585305</v>
      </c>
      <c r="X928" s="3">
        <f t="shared" si="384"/>
        <v>1573.3941896629021</v>
      </c>
      <c r="AI928" s="3"/>
      <c r="AJ928" s="3"/>
      <c r="AK928" s="15">
        <f t="shared" si="375"/>
        <v>4</v>
      </c>
      <c r="AL928" s="11">
        <f t="shared" si="379"/>
        <v>5514</v>
      </c>
      <c r="AM928" s="11" t="b">
        <f t="shared" si="374"/>
        <v>0</v>
      </c>
      <c r="AN928" s="11">
        <f t="shared" si="376"/>
        <v>36000</v>
      </c>
      <c r="AO928" s="11">
        <f t="shared" si="377"/>
        <v>0</v>
      </c>
      <c r="AP928" s="11">
        <f t="shared" si="378"/>
        <v>0.53886834306491471</v>
      </c>
      <c r="AQ928" s="11">
        <f t="shared" si="380"/>
        <v>0</v>
      </c>
      <c r="AT928" s="3"/>
      <c r="AU928" s="17"/>
      <c r="AV928" s="19"/>
      <c r="AW928" s="17"/>
      <c r="AX928" s="17">
        <f t="shared" si="373"/>
        <v>919</v>
      </c>
      <c r="AY928" s="17">
        <f t="shared" si="398"/>
        <v>91.9</v>
      </c>
      <c r="AZ928" s="17">
        <v>53.886834306491473</v>
      </c>
      <c r="BA928" s="17"/>
      <c r="BB928" s="17">
        <v>36</v>
      </c>
      <c r="BC928" s="17"/>
      <c r="BD928" s="17"/>
      <c r="BE928" s="17"/>
      <c r="BF928" s="17"/>
      <c r="BG928" s="17"/>
      <c r="BH928" s="17"/>
      <c r="BI928" s="17"/>
      <c r="BJ928" s="17"/>
      <c r="BK928" s="17"/>
      <c r="BL928" s="17"/>
      <c r="BM928" s="17"/>
      <c r="BN928" s="17"/>
      <c r="BO928" s="17"/>
      <c r="BP928" s="17"/>
      <c r="BQ928" s="17"/>
      <c r="BR928" s="17"/>
      <c r="BS928" s="17"/>
      <c r="BT928" s="17"/>
      <c r="BU928" s="17"/>
      <c r="BV928" s="17"/>
      <c r="BW928" s="17"/>
      <c r="BX928" s="17"/>
      <c r="BY928" s="17"/>
      <c r="BZ928" s="17"/>
      <c r="CA928" s="17"/>
      <c r="CB928" s="17"/>
      <c r="CC928" s="17"/>
      <c r="CD928" s="17"/>
      <c r="CE928" s="17"/>
      <c r="CF928" s="17"/>
      <c r="CG928" s="17"/>
      <c r="CH928" s="17"/>
    </row>
    <row r="929" spans="8:86" x14ac:dyDescent="0.15">
      <c r="H929" s="3">
        <f t="shared" si="393"/>
        <v>0.9170000000000007</v>
      </c>
      <c r="I929" s="3">
        <f t="shared" si="394"/>
        <v>360</v>
      </c>
      <c r="J929" s="14">
        <f t="shared" si="395"/>
        <v>500</v>
      </c>
      <c r="K929" s="3">
        <f t="shared" si="385"/>
        <v>0</v>
      </c>
      <c r="L929" s="3">
        <f t="shared" si="381"/>
        <v>500</v>
      </c>
      <c r="M929" s="15">
        <f t="shared" si="396"/>
        <v>7.0000000000000007E-2</v>
      </c>
      <c r="N929" s="3">
        <f t="shared" si="397"/>
        <v>38.431258613096261</v>
      </c>
      <c r="O929" s="3">
        <f t="shared" si="382"/>
        <v>38.431258613096261</v>
      </c>
      <c r="P929" s="3">
        <f t="shared" si="386"/>
        <v>41.323933992576627</v>
      </c>
      <c r="Q929" s="3">
        <f t="shared" si="387"/>
        <v>3.1085541335845051</v>
      </c>
      <c r="R929" s="3">
        <f t="shared" si="388"/>
        <v>22.216244063080566</v>
      </c>
      <c r="S929" s="3">
        <f t="shared" si="383"/>
        <v>1</v>
      </c>
      <c r="T929" s="3">
        <f t="shared" si="389"/>
        <v>19107.68992949606</v>
      </c>
      <c r="U929" s="3">
        <f t="shared" si="390"/>
        <v>0.5</v>
      </c>
      <c r="V929" s="3">
        <f t="shared" si="391"/>
        <v>0</v>
      </c>
      <c r="W929" s="3">
        <f t="shared" si="392"/>
        <v>13835.253100714654</v>
      </c>
      <c r="X929" s="3">
        <f t="shared" si="384"/>
        <v>1554.2770667922525</v>
      </c>
      <c r="AI929" s="3"/>
      <c r="AJ929" s="3"/>
      <c r="AK929" s="15">
        <f t="shared" si="375"/>
        <v>4</v>
      </c>
      <c r="AL929" s="11">
        <f t="shared" si="379"/>
        <v>5520</v>
      </c>
      <c r="AM929" s="11" t="b">
        <f t="shared" si="374"/>
        <v>0</v>
      </c>
      <c r="AN929" s="11">
        <f t="shared" si="376"/>
        <v>36000</v>
      </c>
      <c r="AO929" s="11">
        <f t="shared" si="377"/>
        <v>0</v>
      </c>
      <c r="AP929" s="11">
        <f t="shared" si="378"/>
        <v>0.53997065787972953</v>
      </c>
      <c r="AQ929" s="11">
        <f t="shared" si="380"/>
        <v>0</v>
      </c>
      <c r="AT929" s="3"/>
      <c r="AU929" s="17"/>
      <c r="AV929" s="19"/>
      <c r="AW929" s="17"/>
      <c r="AX929" s="17">
        <f t="shared" si="373"/>
        <v>920</v>
      </c>
      <c r="AY929" s="17">
        <f t="shared" si="398"/>
        <v>92</v>
      </c>
      <c r="AZ929" s="17">
        <v>53.99706578797295</v>
      </c>
      <c r="BA929" s="17"/>
      <c r="BB929" s="17">
        <v>36</v>
      </c>
      <c r="BC929" s="17"/>
      <c r="BD929" s="17"/>
      <c r="BE929" s="17"/>
      <c r="BF929" s="17"/>
      <c r="BG929" s="17"/>
      <c r="BH929" s="17"/>
      <c r="BI929" s="17"/>
      <c r="BJ929" s="17"/>
      <c r="BK929" s="17"/>
      <c r="BL929" s="17"/>
      <c r="BM929" s="17"/>
      <c r="BN929" s="17"/>
      <c r="BO929" s="17"/>
      <c r="BP929" s="17"/>
      <c r="BQ929" s="17"/>
      <c r="BR929" s="17"/>
      <c r="BS929" s="17"/>
      <c r="BT929" s="17"/>
      <c r="BU929" s="17"/>
      <c r="BV929" s="17"/>
      <c r="BW929" s="17"/>
      <c r="BX929" s="17"/>
      <c r="BY929" s="17"/>
      <c r="BZ929" s="17"/>
      <c r="CA929" s="17"/>
      <c r="CB929" s="17"/>
      <c r="CC929" s="17"/>
      <c r="CD929" s="17"/>
      <c r="CE929" s="17"/>
      <c r="CF929" s="17"/>
      <c r="CG929" s="17"/>
      <c r="CH929" s="17"/>
    </row>
    <row r="930" spans="8:86" x14ac:dyDescent="0.15">
      <c r="H930" s="3">
        <f t="shared" si="393"/>
        <v>0.9180000000000007</v>
      </c>
      <c r="I930" s="3">
        <f t="shared" si="394"/>
        <v>360</v>
      </c>
      <c r="J930" s="14">
        <f t="shared" si="395"/>
        <v>500</v>
      </c>
      <c r="K930" s="3">
        <f t="shared" si="385"/>
        <v>0</v>
      </c>
      <c r="L930" s="3">
        <f t="shared" si="381"/>
        <v>500</v>
      </c>
      <c r="M930" s="15">
        <f t="shared" si="396"/>
        <v>7.0000000000000007E-2</v>
      </c>
      <c r="N930" s="3">
        <f t="shared" si="397"/>
        <v>38.378181696625433</v>
      </c>
      <c r="O930" s="3">
        <f t="shared" si="382"/>
        <v>38.378181696625433</v>
      </c>
      <c r="P930" s="3">
        <f t="shared" si="386"/>
        <v>41.26686203938219</v>
      </c>
      <c r="Q930" s="3">
        <f t="shared" si="387"/>
        <v>3.0703387537255131</v>
      </c>
      <c r="R930" s="3">
        <f t="shared" si="388"/>
        <v>22.168600396553853</v>
      </c>
      <c r="S930" s="3">
        <f t="shared" si="383"/>
        <v>1</v>
      </c>
      <c r="T930" s="3">
        <f t="shared" si="389"/>
        <v>19098.261642828336</v>
      </c>
      <c r="U930" s="3">
        <f t="shared" si="390"/>
        <v>0.5</v>
      </c>
      <c r="V930" s="3">
        <f t="shared" si="391"/>
        <v>0</v>
      </c>
      <c r="W930" s="3">
        <f t="shared" si="392"/>
        <v>13816.145410785155</v>
      </c>
      <c r="X930" s="3">
        <f t="shared" si="384"/>
        <v>1535.1693768627565</v>
      </c>
      <c r="AI930" s="3"/>
      <c r="AJ930" s="3"/>
      <c r="AK930" s="15">
        <f t="shared" si="375"/>
        <v>4</v>
      </c>
      <c r="AL930" s="11">
        <f t="shared" si="379"/>
        <v>5526</v>
      </c>
      <c r="AM930" s="11" t="b">
        <f t="shared" si="374"/>
        <v>0</v>
      </c>
      <c r="AN930" s="11">
        <f t="shared" si="376"/>
        <v>36000</v>
      </c>
      <c r="AO930" s="11">
        <f t="shared" si="377"/>
        <v>0</v>
      </c>
      <c r="AP930" s="11">
        <f t="shared" si="378"/>
        <v>0.54107297269454435</v>
      </c>
      <c r="AQ930" s="11">
        <f t="shared" si="380"/>
        <v>0</v>
      </c>
      <c r="AT930" s="3"/>
      <c r="AU930" s="17"/>
      <c r="AV930" s="19"/>
      <c r="AW930" s="17"/>
      <c r="AX930" s="17">
        <f t="shared" si="373"/>
        <v>921</v>
      </c>
      <c r="AY930" s="17">
        <f t="shared" si="398"/>
        <v>92.1</v>
      </c>
      <c r="AZ930" s="17">
        <v>54.107297269454435</v>
      </c>
      <c r="BA930" s="17"/>
      <c r="BB930" s="17">
        <v>36</v>
      </c>
      <c r="BC930" s="17"/>
      <c r="BD930" s="17"/>
      <c r="BE930" s="17"/>
      <c r="BF930" s="17"/>
      <c r="BG930" s="17"/>
      <c r="BH930" s="17"/>
      <c r="BI930" s="17"/>
      <c r="BJ930" s="17"/>
      <c r="BK930" s="17"/>
      <c r="BL930" s="17"/>
      <c r="BM930" s="17"/>
      <c r="BN930" s="17"/>
      <c r="BO930" s="17"/>
      <c r="BP930" s="17"/>
      <c r="BQ930" s="17"/>
      <c r="BR930" s="17"/>
      <c r="BS930" s="17"/>
      <c r="BT930" s="17"/>
      <c r="BU930" s="17"/>
      <c r="BV930" s="17"/>
      <c r="BW930" s="17"/>
      <c r="BX930" s="17"/>
      <c r="BY930" s="17"/>
      <c r="BZ930" s="17"/>
      <c r="CA930" s="17"/>
      <c r="CB930" s="17"/>
      <c r="CC930" s="17"/>
      <c r="CD930" s="17"/>
      <c r="CE930" s="17"/>
      <c r="CF930" s="17"/>
      <c r="CG930" s="17"/>
      <c r="CH930" s="17"/>
    </row>
    <row r="931" spans="8:86" x14ac:dyDescent="0.15">
      <c r="H931" s="3">
        <f t="shared" si="393"/>
        <v>0.91900000000000071</v>
      </c>
      <c r="I931" s="3">
        <f t="shared" si="394"/>
        <v>360</v>
      </c>
      <c r="J931" s="14">
        <f t="shared" si="395"/>
        <v>500</v>
      </c>
      <c r="K931" s="3">
        <f t="shared" si="385"/>
        <v>0</v>
      </c>
      <c r="L931" s="3">
        <f t="shared" si="381"/>
        <v>500</v>
      </c>
      <c r="M931" s="15">
        <f t="shared" si="396"/>
        <v>7.0000000000000007E-2</v>
      </c>
      <c r="N931" s="3">
        <f t="shared" si="397"/>
        <v>38.325130969839798</v>
      </c>
      <c r="O931" s="3">
        <f t="shared" si="382"/>
        <v>38.325130969839798</v>
      </c>
      <c r="P931" s="3">
        <f t="shared" si="386"/>
        <v>41.209818247139573</v>
      </c>
      <c r="Q931" s="3">
        <f t="shared" si="387"/>
        <v>3.032142230439856</v>
      </c>
      <c r="R931" s="3">
        <f t="shared" si="388"/>
        <v>22.120980238789713</v>
      </c>
      <c r="S931" s="3">
        <f t="shared" si="383"/>
        <v>1</v>
      </c>
      <c r="T931" s="3">
        <f t="shared" si="389"/>
        <v>19088.83800834986</v>
      </c>
      <c r="U931" s="3">
        <f t="shared" si="390"/>
        <v>0.5</v>
      </c>
      <c r="V931" s="3">
        <f t="shared" si="391"/>
        <v>0</v>
      </c>
      <c r="W931" s="3">
        <f t="shared" si="392"/>
        <v>13797.047149142327</v>
      </c>
      <c r="X931" s="3">
        <f t="shared" si="384"/>
        <v>1516.0711152199281</v>
      </c>
      <c r="AI931" s="3"/>
      <c r="AJ931" s="3"/>
      <c r="AK931" s="15">
        <f t="shared" si="375"/>
        <v>4</v>
      </c>
      <c r="AL931" s="11">
        <f t="shared" si="379"/>
        <v>5532</v>
      </c>
      <c r="AM931" s="11" t="b">
        <f t="shared" si="374"/>
        <v>0</v>
      </c>
      <c r="AN931" s="11">
        <f t="shared" si="376"/>
        <v>36000</v>
      </c>
      <c r="AO931" s="11">
        <f t="shared" si="377"/>
        <v>0</v>
      </c>
      <c r="AP931" s="11">
        <f t="shared" si="378"/>
        <v>0.54217528750935917</v>
      </c>
      <c r="AQ931" s="11">
        <f t="shared" si="380"/>
        <v>0</v>
      </c>
      <c r="AT931" s="3"/>
      <c r="AU931" s="17"/>
      <c r="AV931" s="19"/>
      <c r="AW931" s="17"/>
      <c r="AX931" s="17">
        <f t="shared" si="373"/>
        <v>922</v>
      </c>
      <c r="AY931" s="17">
        <f t="shared" si="398"/>
        <v>92.2</v>
      </c>
      <c r="AZ931" s="17">
        <v>54.217528750935919</v>
      </c>
      <c r="BA931" s="17"/>
      <c r="BB931" s="17">
        <v>36</v>
      </c>
      <c r="BC931" s="17"/>
      <c r="BD931" s="17"/>
      <c r="BE931" s="17"/>
      <c r="BF931" s="17"/>
      <c r="BG931" s="17"/>
      <c r="BH931" s="17"/>
      <c r="BI931" s="17"/>
      <c r="BJ931" s="17"/>
      <c r="BK931" s="17"/>
      <c r="BL931" s="17"/>
      <c r="BM931" s="17"/>
      <c r="BN931" s="17"/>
      <c r="BO931" s="17"/>
      <c r="BP931" s="17"/>
      <c r="BQ931" s="17"/>
      <c r="BR931" s="17"/>
      <c r="BS931" s="17"/>
      <c r="BT931" s="17"/>
      <c r="BU931" s="17"/>
      <c r="BV931" s="17"/>
      <c r="BW931" s="17"/>
      <c r="BX931" s="17"/>
      <c r="BY931" s="17"/>
      <c r="BZ931" s="17"/>
      <c r="CA931" s="17"/>
      <c r="CB931" s="17"/>
      <c r="CC931" s="17"/>
      <c r="CD931" s="17"/>
      <c r="CE931" s="17"/>
      <c r="CF931" s="17"/>
      <c r="CG931" s="17"/>
      <c r="CH931" s="17"/>
    </row>
    <row r="932" spans="8:86" x14ac:dyDescent="0.15">
      <c r="H932" s="3">
        <f t="shared" si="393"/>
        <v>0.92000000000000071</v>
      </c>
      <c r="I932" s="3">
        <f t="shared" si="394"/>
        <v>360</v>
      </c>
      <c r="J932" s="14">
        <f t="shared" si="395"/>
        <v>500</v>
      </c>
      <c r="K932" s="3">
        <f t="shared" si="385"/>
        <v>0</v>
      </c>
      <c r="L932" s="3">
        <f t="shared" si="381"/>
        <v>500</v>
      </c>
      <c r="M932" s="15">
        <f t="shared" si="396"/>
        <v>7.0000000000000007E-2</v>
      </c>
      <c r="N932" s="3">
        <f t="shared" si="397"/>
        <v>38.272106419816602</v>
      </c>
      <c r="O932" s="3">
        <f t="shared" si="382"/>
        <v>38.272106419816602</v>
      </c>
      <c r="P932" s="3">
        <f t="shared" si="386"/>
        <v>41.15280260195334</v>
      </c>
      <c r="Q932" s="3">
        <f t="shared" si="387"/>
        <v>2.9939645544231563</v>
      </c>
      <c r="R932" s="3">
        <f t="shared" si="388"/>
        <v>22.073383578188249</v>
      </c>
      <c r="S932" s="3">
        <f t="shared" si="383"/>
        <v>1</v>
      </c>
      <c r="T932" s="3">
        <f t="shared" si="389"/>
        <v>19079.419023765091</v>
      </c>
      <c r="U932" s="3">
        <f t="shared" si="390"/>
        <v>0.5</v>
      </c>
      <c r="V932" s="3">
        <f t="shared" si="391"/>
        <v>0</v>
      </c>
      <c r="W932" s="3">
        <f t="shared" si="392"/>
        <v>13777.958311133976</v>
      </c>
      <c r="X932" s="3">
        <f t="shared" si="384"/>
        <v>1496.9822772115781</v>
      </c>
      <c r="AI932" s="3"/>
      <c r="AJ932" s="3"/>
      <c r="AK932" s="15">
        <f t="shared" si="375"/>
        <v>4</v>
      </c>
      <c r="AL932" s="11">
        <f t="shared" si="379"/>
        <v>5538</v>
      </c>
      <c r="AM932" s="11" t="b">
        <f t="shared" si="374"/>
        <v>0</v>
      </c>
      <c r="AN932" s="11">
        <f t="shared" si="376"/>
        <v>36000</v>
      </c>
      <c r="AO932" s="11">
        <f t="shared" si="377"/>
        <v>0</v>
      </c>
      <c r="AP932" s="11">
        <f t="shared" si="378"/>
        <v>0.54327760232417399</v>
      </c>
      <c r="AQ932" s="11">
        <f t="shared" si="380"/>
        <v>0</v>
      </c>
      <c r="AT932" s="3"/>
      <c r="AU932" s="17"/>
      <c r="AV932" s="19"/>
      <c r="AW932" s="17"/>
      <c r="AX932" s="17">
        <f t="shared" si="373"/>
        <v>923</v>
      </c>
      <c r="AY932" s="17">
        <f t="shared" si="398"/>
        <v>92.3</v>
      </c>
      <c r="AZ932" s="17">
        <v>54.327760232417397</v>
      </c>
      <c r="BA932" s="17"/>
      <c r="BB932" s="17">
        <v>36</v>
      </c>
      <c r="BC932" s="17"/>
      <c r="BD932" s="17"/>
      <c r="BE932" s="17"/>
      <c r="BF932" s="17"/>
      <c r="BG932" s="17"/>
      <c r="BH932" s="17"/>
      <c r="BI932" s="17"/>
      <c r="BJ932" s="17"/>
      <c r="BK932" s="17"/>
      <c r="BL932" s="17"/>
      <c r="BM932" s="17"/>
      <c r="BN932" s="17"/>
      <c r="BO932" s="17"/>
      <c r="BP932" s="17"/>
      <c r="BQ932" s="17"/>
      <c r="BR932" s="17"/>
      <c r="BS932" s="17"/>
      <c r="BT932" s="17"/>
      <c r="BU932" s="17"/>
      <c r="BV932" s="17"/>
      <c r="BW932" s="17"/>
      <c r="BX932" s="17"/>
      <c r="BY932" s="17"/>
      <c r="BZ932" s="17"/>
      <c r="CA932" s="17"/>
      <c r="CB932" s="17"/>
      <c r="CC932" s="17"/>
      <c r="CD932" s="17"/>
      <c r="CE932" s="17"/>
      <c r="CF932" s="17"/>
      <c r="CG932" s="17"/>
      <c r="CH932" s="17"/>
    </row>
    <row r="933" spans="8:86" x14ac:dyDescent="0.15">
      <c r="H933" s="3">
        <f t="shared" si="393"/>
        <v>0.92100000000000071</v>
      </c>
      <c r="I933" s="3">
        <f t="shared" si="394"/>
        <v>360</v>
      </c>
      <c r="J933" s="14">
        <f t="shared" si="395"/>
        <v>500</v>
      </c>
      <c r="K933" s="3">
        <f t="shared" si="385"/>
        <v>0</v>
      </c>
      <c r="L933" s="3">
        <f t="shared" si="381"/>
        <v>500</v>
      </c>
      <c r="M933" s="15">
        <f t="shared" si="396"/>
        <v>7.0000000000000007E-2</v>
      </c>
      <c r="N933" s="3">
        <f t="shared" si="397"/>
        <v>38.219108033639479</v>
      </c>
      <c r="O933" s="3">
        <f t="shared" si="382"/>
        <v>38.219108033639479</v>
      </c>
      <c r="P933" s="3">
        <f t="shared" si="386"/>
        <v>41.095815089934923</v>
      </c>
      <c r="Q933" s="3">
        <f t="shared" si="387"/>
        <v>2.9558057163756262</v>
      </c>
      <c r="R933" s="3">
        <f t="shared" si="388"/>
        <v>22.025810403155276</v>
      </c>
      <c r="S933" s="3">
        <f t="shared" si="383"/>
        <v>1</v>
      </c>
      <c r="T933" s="3">
        <f t="shared" si="389"/>
        <v>19070.004686779648</v>
      </c>
      <c r="U933" s="3">
        <f t="shared" si="390"/>
        <v>0.5</v>
      </c>
      <c r="V933" s="3">
        <f t="shared" si="391"/>
        <v>0</v>
      </c>
      <c r="W933" s="3">
        <f t="shared" si="392"/>
        <v>13758.878892110213</v>
      </c>
      <c r="X933" s="3">
        <f t="shared" si="384"/>
        <v>1477.9028581878131</v>
      </c>
      <c r="AI933" s="3"/>
      <c r="AJ933" s="3"/>
      <c r="AK933" s="15">
        <f t="shared" si="375"/>
        <v>4</v>
      </c>
      <c r="AL933" s="11">
        <f t="shared" si="379"/>
        <v>5544</v>
      </c>
      <c r="AM933" s="11" t="b">
        <f t="shared" si="374"/>
        <v>0</v>
      </c>
      <c r="AN933" s="11">
        <f t="shared" si="376"/>
        <v>36000</v>
      </c>
      <c r="AO933" s="11">
        <f t="shared" si="377"/>
        <v>0</v>
      </c>
      <c r="AP933" s="11">
        <f t="shared" si="378"/>
        <v>0.54437991713898892</v>
      </c>
      <c r="AQ933" s="11">
        <f t="shared" si="380"/>
        <v>0</v>
      </c>
      <c r="AT933" s="3"/>
      <c r="AU933" s="17"/>
      <c r="AV933" s="19"/>
      <c r="AW933" s="17"/>
      <c r="AX933" s="17">
        <f t="shared" si="373"/>
        <v>924</v>
      </c>
      <c r="AY933" s="17">
        <f t="shared" si="398"/>
        <v>92.4</v>
      </c>
      <c r="AZ933" s="17">
        <v>54.437991713898896</v>
      </c>
      <c r="BA933" s="17"/>
      <c r="BB933" s="17">
        <v>36</v>
      </c>
      <c r="BC933" s="17"/>
      <c r="BD933" s="17"/>
      <c r="BE933" s="17"/>
      <c r="BF933" s="17"/>
      <c r="BG933" s="17"/>
      <c r="BH933" s="17"/>
      <c r="BI933" s="17"/>
      <c r="BJ933" s="17"/>
      <c r="BK933" s="17"/>
      <c r="BL933" s="17"/>
      <c r="BM933" s="17"/>
      <c r="BN933" s="17"/>
      <c r="BO933" s="17"/>
      <c r="BP933" s="17"/>
      <c r="BQ933" s="17"/>
      <c r="BR933" s="17"/>
      <c r="BS933" s="17"/>
      <c r="BT933" s="17"/>
      <c r="BU933" s="17"/>
      <c r="BV933" s="17"/>
      <c r="BW933" s="17"/>
      <c r="BX933" s="17"/>
      <c r="BY933" s="17"/>
      <c r="BZ933" s="17"/>
      <c r="CA933" s="17"/>
      <c r="CB933" s="17"/>
      <c r="CC933" s="17"/>
      <c r="CD933" s="17"/>
      <c r="CE933" s="17"/>
      <c r="CF933" s="17"/>
      <c r="CG933" s="17"/>
      <c r="CH933" s="17"/>
    </row>
    <row r="934" spans="8:86" x14ac:dyDescent="0.15">
      <c r="H934" s="3">
        <f t="shared" si="393"/>
        <v>0.92200000000000071</v>
      </c>
      <c r="I934" s="3">
        <f t="shared" si="394"/>
        <v>360</v>
      </c>
      <c r="J934" s="14">
        <f t="shared" si="395"/>
        <v>500</v>
      </c>
      <c r="K934" s="3">
        <f t="shared" si="385"/>
        <v>0</v>
      </c>
      <c r="L934" s="3">
        <f t="shared" si="381"/>
        <v>500</v>
      </c>
      <c r="M934" s="15">
        <f t="shared" si="396"/>
        <v>7.0000000000000007E-2</v>
      </c>
      <c r="N934" s="3">
        <f t="shared" si="397"/>
        <v>38.166135798398422</v>
      </c>
      <c r="O934" s="3">
        <f t="shared" si="382"/>
        <v>38.166135798398422</v>
      </c>
      <c r="P934" s="3">
        <f t="shared" si="386"/>
        <v>41.038855697202607</v>
      </c>
      <c r="Q934" s="3">
        <f t="shared" si="387"/>
        <v>2.9176657070020671</v>
      </c>
      <c r="R934" s="3">
        <f t="shared" si="388"/>
        <v>21.978260702102336</v>
      </c>
      <c r="S934" s="3">
        <f t="shared" si="383"/>
        <v>1</v>
      </c>
      <c r="T934" s="3">
        <f t="shared" si="389"/>
        <v>19060.594995100269</v>
      </c>
      <c r="U934" s="3">
        <f t="shared" si="390"/>
        <v>0.5</v>
      </c>
      <c r="V934" s="3">
        <f t="shared" si="391"/>
        <v>0</v>
      </c>
      <c r="W934" s="3">
        <f t="shared" si="392"/>
        <v>13739.808887423433</v>
      </c>
      <c r="X934" s="3">
        <f t="shared" si="384"/>
        <v>1458.8328535010335</v>
      </c>
      <c r="AI934" s="3"/>
      <c r="AJ934" s="3"/>
      <c r="AK934" s="15">
        <f t="shared" si="375"/>
        <v>4</v>
      </c>
      <c r="AL934" s="11">
        <f t="shared" si="379"/>
        <v>5550</v>
      </c>
      <c r="AM934" s="11" t="b">
        <f t="shared" si="374"/>
        <v>0</v>
      </c>
      <c r="AN934" s="11">
        <f t="shared" si="376"/>
        <v>36000</v>
      </c>
      <c r="AO934" s="11">
        <f t="shared" si="377"/>
        <v>0</v>
      </c>
      <c r="AP934" s="11">
        <f t="shared" si="378"/>
        <v>0.54548223195380374</v>
      </c>
      <c r="AQ934" s="11">
        <f t="shared" si="380"/>
        <v>0</v>
      </c>
      <c r="AT934" s="3"/>
      <c r="AU934" s="17"/>
      <c r="AV934" s="19"/>
      <c r="AW934" s="17"/>
      <c r="AX934" s="17">
        <f t="shared" si="373"/>
        <v>925</v>
      </c>
      <c r="AY934" s="17">
        <f t="shared" si="398"/>
        <v>92.5</v>
      </c>
      <c r="AZ934" s="17">
        <v>54.548223195380373</v>
      </c>
      <c r="BA934" s="17"/>
      <c r="BB934" s="17">
        <v>36</v>
      </c>
      <c r="BC934" s="17"/>
      <c r="BD934" s="17"/>
      <c r="BE934" s="17"/>
      <c r="BF934" s="17"/>
      <c r="BG934" s="17"/>
      <c r="BH934" s="17"/>
      <c r="BI934" s="17"/>
      <c r="BJ934" s="17"/>
      <c r="BK934" s="17"/>
      <c r="BL934" s="17"/>
      <c r="BM934" s="17"/>
      <c r="BN934" s="17"/>
      <c r="BO934" s="17"/>
      <c r="BP934" s="17"/>
      <c r="BQ934" s="17"/>
      <c r="BR934" s="17"/>
      <c r="BS934" s="17"/>
      <c r="BT934" s="17"/>
      <c r="BU934" s="17"/>
      <c r="BV934" s="17"/>
      <c r="BW934" s="17"/>
      <c r="BX934" s="17"/>
      <c r="BY934" s="17"/>
      <c r="BZ934" s="17"/>
      <c r="CA934" s="17"/>
      <c r="CB934" s="17"/>
      <c r="CC934" s="17"/>
      <c r="CD934" s="17"/>
      <c r="CE934" s="17"/>
      <c r="CF934" s="17"/>
      <c r="CG934" s="17"/>
      <c r="CH934" s="17"/>
    </row>
    <row r="935" spans="8:86" x14ac:dyDescent="0.15">
      <c r="H935" s="3">
        <f t="shared" si="393"/>
        <v>0.92300000000000071</v>
      </c>
      <c r="I935" s="3">
        <f t="shared" si="394"/>
        <v>360</v>
      </c>
      <c r="J935" s="14">
        <f t="shared" si="395"/>
        <v>500</v>
      </c>
      <c r="K935" s="3">
        <f t="shared" si="385"/>
        <v>0</v>
      </c>
      <c r="L935" s="3">
        <f t="shared" si="381"/>
        <v>500</v>
      </c>
      <c r="M935" s="15">
        <f t="shared" si="396"/>
        <v>7.0000000000000007E-2</v>
      </c>
      <c r="N935" s="3">
        <f t="shared" si="397"/>
        <v>38.11318970118981</v>
      </c>
      <c r="O935" s="3">
        <f t="shared" si="382"/>
        <v>38.11318970118981</v>
      </c>
      <c r="P935" s="3">
        <f t="shared" si="386"/>
        <v>40.981924409881522</v>
      </c>
      <c r="Q935" s="3">
        <f t="shared" si="387"/>
        <v>2.8795445170118663</v>
      </c>
      <c r="R935" s="3">
        <f t="shared" si="388"/>
        <v>21.930734463446694</v>
      </c>
      <c r="S935" s="3">
        <f t="shared" si="383"/>
        <v>1</v>
      </c>
      <c r="T935" s="3">
        <f t="shared" si="389"/>
        <v>19051.189946434828</v>
      </c>
      <c r="U935" s="3">
        <f t="shared" si="390"/>
        <v>0.5</v>
      </c>
      <c r="V935" s="3">
        <f t="shared" si="391"/>
        <v>0</v>
      </c>
      <c r="W935" s="3">
        <f t="shared" si="392"/>
        <v>13720.748292428332</v>
      </c>
      <c r="X935" s="3">
        <f t="shared" si="384"/>
        <v>1439.7722585059332</v>
      </c>
      <c r="AI935" s="3"/>
      <c r="AJ935" s="3"/>
      <c r="AK935" s="15">
        <f t="shared" si="375"/>
        <v>4</v>
      </c>
      <c r="AL935" s="11">
        <f t="shared" si="379"/>
        <v>5556</v>
      </c>
      <c r="AM935" s="11" t="b">
        <f t="shared" si="374"/>
        <v>0</v>
      </c>
      <c r="AN935" s="11">
        <f t="shared" si="376"/>
        <v>36000</v>
      </c>
      <c r="AO935" s="11">
        <f t="shared" si="377"/>
        <v>0</v>
      </c>
      <c r="AP935" s="11">
        <f t="shared" si="378"/>
        <v>0.54658454676861856</v>
      </c>
      <c r="AQ935" s="11">
        <f t="shared" si="380"/>
        <v>0</v>
      </c>
      <c r="AT935" s="3"/>
      <c r="AU935" s="17"/>
      <c r="AV935" s="19"/>
      <c r="AW935" s="17"/>
      <c r="AX935" s="17">
        <f t="shared" si="373"/>
        <v>926</v>
      </c>
      <c r="AY935" s="17">
        <f t="shared" si="398"/>
        <v>92.6</v>
      </c>
      <c r="AZ935" s="17">
        <v>54.658454676861858</v>
      </c>
      <c r="BA935" s="17"/>
      <c r="BB935" s="17">
        <v>36</v>
      </c>
      <c r="BC935" s="17"/>
      <c r="BD935" s="17"/>
      <c r="BE935" s="17"/>
      <c r="BF935" s="17"/>
      <c r="BG935" s="17"/>
      <c r="BH935" s="17"/>
      <c r="BI935" s="17"/>
      <c r="BJ935" s="17"/>
      <c r="BK935" s="17"/>
      <c r="BL935" s="17"/>
      <c r="BM935" s="17"/>
      <c r="BN935" s="17"/>
      <c r="BO935" s="17"/>
      <c r="BP935" s="17"/>
      <c r="BQ935" s="17"/>
      <c r="BR935" s="17"/>
      <c r="BS935" s="17"/>
      <c r="BT935" s="17"/>
      <c r="BU935" s="17"/>
      <c r="BV935" s="17"/>
      <c r="BW935" s="17"/>
      <c r="BX935" s="17"/>
      <c r="BY935" s="17"/>
      <c r="BZ935" s="17"/>
      <c r="CA935" s="17"/>
      <c r="CB935" s="17"/>
      <c r="CC935" s="17"/>
      <c r="CD935" s="17"/>
      <c r="CE935" s="17"/>
      <c r="CF935" s="17"/>
      <c r="CG935" s="17"/>
      <c r="CH935" s="17"/>
    </row>
    <row r="936" spans="8:86" x14ac:dyDescent="0.15">
      <c r="H936" s="3">
        <f t="shared" si="393"/>
        <v>0.92400000000000071</v>
      </c>
      <c r="I936" s="3">
        <f t="shared" si="394"/>
        <v>360</v>
      </c>
      <c r="J936" s="14">
        <f t="shared" si="395"/>
        <v>500</v>
      </c>
      <c r="K936" s="3">
        <f t="shared" si="385"/>
        <v>0</v>
      </c>
      <c r="L936" s="3">
        <f t="shared" si="381"/>
        <v>500</v>
      </c>
      <c r="M936" s="15">
        <f t="shared" si="396"/>
        <v>7.0000000000000007E-2</v>
      </c>
      <c r="N936" s="3">
        <f t="shared" si="397"/>
        <v>38.060269729116385</v>
      </c>
      <c r="O936" s="3">
        <f t="shared" si="382"/>
        <v>38.060269729116385</v>
      </c>
      <c r="P936" s="3">
        <f t="shared" si="386"/>
        <v>40.925021214103644</v>
      </c>
      <c r="Q936" s="3">
        <f t="shared" si="387"/>
        <v>2.8414421371189968</v>
      </c>
      <c r="R936" s="3">
        <f t="shared" si="388"/>
        <v>21.88323167561132</v>
      </c>
      <c r="S936" s="3">
        <f t="shared" si="383"/>
        <v>1</v>
      </c>
      <c r="T936" s="3">
        <f t="shared" si="389"/>
        <v>19041.789538492325</v>
      </c>
      <c r="U936" s="3">
        <f t="shared" si="390"/>
        <v>0.5</v>
      </c>
      <c r="V936" s="3">
        <f t="shared" si="391"/>
        <v>0</v>
      </c>
      <c r="W936" s="3">
        <f t="shared" si="392"/>
        <v>13701.697102481899</v>
      </c>
      <c r="X936" s="3">
        <f t="shared" si="384"/>
        <v>1420.7210685594985</v>
      </c>
      <c r="AI936" s="3"/>
      <c r="AJ936" s="3"/>
      <c r="AK936" s="15">
        <f t="shared" si="375"/>
        <v>4</v>
      </c>
      <c r="AL936" s="11">
        <f t="shared" si="379"/>
        <v>5562</v>
      </c>
      <c r="AM936" s="11" t="b">
        <f t="shared" si="374"/>
        <v>0</v>
      </c>
      <c r="AN936" s="11">
        <f t="shared" si="376"/>
        <v>36000</v>
      </c>
      <c r="AO936" s="11">
        <f t="shared" si="377"/>
        <v>0</v>
      </c>
      <c r="AP936" s="11">
        <f t="shared" si="378"/>
        <v>0.54768686158343338</v>
      </c>
      <c r="AQ936" s="11">
        <f t="shared" si="380"/>
        <v>0</v>
      </c>
      <c r="AT936" s="3"/>
      <c r="AU936" s="17"/>
      <c r="AV936" s="19"/>
      <c r="AW936" s="17"/>
      <c r="AX936" s="17">
        <f t="shared" si="373"/>
        <v>927</v>
      </c>
      <c r="AY936" s="17">
        <f t="shared" si="398"/>
        <v>92.7</v>
      </c>
      <c r="AZ936" s="17">
        <v>54.768686158343336</v>
      </c>
      <c r="BA936" s="17"/>
      <c r="BB936" s="17">
        <v>36</v>
      </c>
      <c r="BC936" s="17"/>
      <c r="BD936" s="17"/>
      <c r="BE936" s="17"/>
      <c r="BF936" s="17"/>
      <c r="BG936" s="17"/>
      <c r="BH936" s="17"/>
      <c r="BI936" s="17"/>
      <c r="BJ936" s="17"/>
      <c r="BK936" s="17"/>
      <c r="BL936" s="17"/>
      <c r="BM936" s="17"/>
      <c r="BN936" s="17"/>
      <c r="BO936" s="17"/>
      <c r="BP936" s="17"/>
      <c r="BQ936" s="17"/>
      <c r="BR936" s="17"/>
      <c r="BS936" s="17"/>
      <c r="BT936" s="17"/>
      <c r="BU936" s="17"/>
      <c r="BV936" s="17"/>
      <c r="BW936" s="17"/>
      <c r="BX936" s="17"/>
      <c r="BY936" s="17"/>
      <c r="BZ936" s="17"/>
      <c r="CA936" s="17"/>
      <c r="CB936" s="17"/>
      <c r="CC936" s="17"/>
      <c r="CD936" s="17"/>
      <c r="CE936" s="17"/>
      <c r="CF936" s="17"/>
      <c r="CG936" s="17"/>
      <c r="CH936" s="17"/>
    </row>
    <row r="937" spans="8:86" x14ac:dyDescent="0.15">
      <c r="H937" s="3">
        <f t="shared" si="393"/>
        <v>0.92500000000000071</v>
      </c>
      <c r="I937" s="3">
        <f t="shared" si="394"/>
        <v>360</v>
      </c>
      <c r="J937" s="14">
        <f t="shared" si="395"/>
        <v>500</v>
      </c>
      <c r="K937" s="3">
        <f t="shared" si="385"/>
        <v>0</v>
      </c>
      <c r="L937" s="3">
        <f t="shared" si="381"/>
        <v>500</v>
      </c>
      <c r="M937" s="15">
        <f t="shared" si="396"/>
        <v>7.0000000000000007E-2</v>
      </c>
      <c r="N937" s="3">
        <f t="shared" si="397"/>
        <v>38.007375869287245</v>
      </c>
      <c r="O937" s="3">
        <f t="shared" si="382"/>
        <v>38.007375869287245</v>
      </c>
      <c r="P937" s="3">
        <f t="shared" si="386"/>
        <v>40.868146096007791</v>
      </c>
      <c r="Q937" s="3">
        <f t="shared" si="387"/>
        <v>2.8033585580420124</v>
      </c>
      <c r="R937" s="3">
        <f t="shared" si="388"/>
        <v>21.835752327024903</v>
      </c>
      <c r="S937" s="3">
        <f t="shared" si="383"/>
        <v>1</v>
      </c>
      <c r="T937" s="3">
        <f t="shared" si="389"/>
        <v>19032.393768982889</v>
      </c>
      <c r="U937" s="3">
        <f t="shared" si="390"/>
        <v>0.5</v>
      </c>
      <c r="V937" s="3">
        <f t="shared" si="391"/>
        <v>0</v>
      </c>
      <c r="W937" s="3">
        <f t="shared" si="392"/>
        <v>13682.655312943409</v>
      </c>
      <c r="X937" s="3">
        <f t="shared" si="384"/>
        <v>1401.6792790210061</v>
      </c>
      <c r="AI937" s="3"/>
      <c r="AJ937" s="3"/>
      <c r="AK937" s="15">
        <f t="shared" si="375"/>
        <v>4</v>
      </c>
      <c r="AL937" s="11">
        <f t="shared" si="379"/>
        <v>5568</v>
      </c>
      <c r="AM937" s="11" t="b">
        <f t="shared" si="374"/>
        <v>0</v>
      </c>
      <c r="AN937" s="11">
        <f t="shared" si="376"/>
        <v>36000</v>
      </c>
      <c r="AO937" s="11">
        <f t="shared" si="377"/>
        <v>0</v>
      </c>
      <c r="AP937" s="11">
        <f t="shared" si="378"/>
        <v>0.5487891763982482</v>
      </c>
      <c r="AQ937" s="11">
        <f t="shared" si="380"/>
        <v>0</v>
      </c>
      <c r="AT937" s="3"/>
      <c r="AU937" s="17"/>
      <c r="AV937" s="19"/>
      <c r="AW937" s="17"/>
      <c r="AX937" s="17">
        <f t="shared" si="373"/>
        <v>928</v>
      </c>
      <c r="AY937" s="17">
        <f t="shared" si="398"/>
        <v>92.8</v>
      </c>
      <c r="AZ937" s="17">
        <v>54.87891763982482</v>
      </c>
      <c r="BA937" s="17"/>
      <c r="BB937" s="17">
        <v>36</v>
      </c>
      <c r="BC937" s="17"/>
      <c r="BD937" s="17"/>
      <c r="BE937" s="17"/>
      <c r="BF937" s="17"/>
      <c r="BG937" s="17"/>
      <c r="BH937" s="17"/>
      <c r="BI937" s="17"/>
      <c r="BJ937" s="17"/>
      <c r="BK937" s="17"/>
      <c r="BL937" s="17"/>
      <c r="BM937" s="17"/>
      <c r="BN937" s="17"/>
      <c r="BO937" s="17"/>
      <c r="BP937" s="17"/>
      <c r="BQ937" s="17"/>
      <c r="BR937" s="17"/>
      <c r="BS937" s="17"/>
      <c r="BT937" s="17"/>
      <c r="BU937" s="17"/>
      <c r="BV937" s="17"/>
      <c r="BW937" s="17"/>
      <c r="BX937" s="17"/>
      <c r="BY937" s="17"/>
      <c r="BZ937" s="17"/>
      <c r="CA937" s="17"/>
      <c r="CB937" s="17"/>
      <c r="CC937" s="17"/>
      <c r="CD937" s="17"/>
      <c r="CE937" s="17"/>
      <c r="CF937" s="17"/>
      <c r="CG937" s="17"/>
      <c r="CH937" s="17"/>
    </row>
    <row r="938" spans="8:86" x14ac:dyDescent="0.15">
      <c r="H938" s="3">
        <f t="shared" si="393"/>
        <v>0.92600000000000071</v>
      </c>
      <c r="I938" s="3">
        <f t="shared" si="394"/>
        <v>360</v>
      </c>
      <c r="J938" s="14">
        <f t="shared" si="395"/>
        <v>500</v>
      </c>
      <c r="K938" s="3">
        <f t="shared" si="385"/>
        <v>0</v>
      </c>
      <c r="L938" s="3">
        <f t="shared" si="381"/>
        <v>500</v>
      </c>
      <c r="M938" s="15">
        <f t="shared" si="396"/>
        <v>7.0000000000000007E-2</v>
      </c>
      <c r="N938" s="3">
        <f t="shared" si="397"/>
        <v>37.954508108817848</v>
      </c>
      <c r="O938" s="3">
        <f t="shared" si="382"/>
        <v>37.954508108817848</v>
      </c>
      <c r="P938" s="3">
        <f t="shared" si="386"/>
        <v>40.811299041739623</v>
      </c>
      <c r="Q938" s="3">
        <f t="shared" si="387"/>
        <v>2.7652937705040461</v>
      </c>
      <c r="R938" s="3">
        <f t="shared" si="388"/>
        <v>21.788296406121834</v>
      </c>
      <c r="S938" s="3">
        <f t="shared" si="383"/>
        <v>1</v>
      </c>
      <c r="T938" s="3">
        <f t="shared" si="389"/>
        <v>19023.002635617788</v>
      </c>
      <c r="U938" s="3">
        <f t="shared" si="390"/>
        <v>0.5</v>
      </c>
      <c r="V938" s="3">
        <f t="shared" si="391"/>
        <v>0</v>
      </c>
      <c r="W938" s="3">
        <f t="shared" si="392"/>
        <v>13663.622919174426</v>
      </c>
      <c r="X938" s="3">
        <f t="shared" si="384"/>
        <v>1382.6468852520231</v>
      </c>
      <c r="AI938" s="3"/>
      <c r="AJ938" s="3"/>
      <c r="AK938" s="15">
        <f t="shared" si="375"/>
        <v>4</v>
      </c>
      <c r="AL938" s="11">
        <f t="shared" si="379"/>
        <v>5574</v>
      </c>
      <c r="AM938" s="11" t="b">
        <f t="shared" si="374"/>
        <v>0</v>
      </c>
      <c r="AN938" s="11">
        <f t="shared" si="376"/>
        <v>36000</v>
      </c>
      <c r="AO938" s="11">
        <f t="shared" si="377"/>
        <v>0</v>
      </c>
      <c r="AP938" s="11">
        <f t="shared" si="378"/>
        <v>0.54989149121306313</v>
      </c>
      <c r="AQ938" s="11">
        <f t="shared" si="380"/>
        <v>0</v>
      </c>
      <c r="AT938" s="3"/>
      <c r="AU938" s="17"/>
      <c r="AV938" s="19"/>
      <c r="AW938" s="17"/>
      <c r="AX938" s="17">
        <f t="shared" si="373"/>
        <v>929</v>
      </c>
      <c r="AY938" s="17">
        <f t="shared" si="398"/>
        <v>92.9</v>
      </c>
      <c r="AZ938" s="17">
        <v>54.989149121306312</v>
      </c>
      <c r="BA938" s="17"/>
      <c r="BB938" s="17">
        <v>36</v>
      </c>
      <c r="BC938" s="17"/>
      <c r="BD938" s="17"/>
      <c r="BE938" s="17"/>
      <c r="BF938" s="17"/>
      <c r="BG938" s="17"/>
      <c r="BH938" s="17"/>
      <c r="BI938" s="17"/>
      <c r="BJ938" s="17"/>
      <c r="BK938" s="17"/>
      <c r="BL938" s="17"/>
      <c r="BM938" s="17"/>
      <c r="BN938" s="17"/>
      <c r="BO938" s="17"/>
      <c r="BP938" s="17"/>
      <c r="BQ938" s="17"/>
      <c r="BR938" s="17"/>
      <c r="BS938" s="17"/>
      <c r="BT938" s="17"/>
      <c r="BU938" s="17"/>
      <c r="BV938" s="17"/>
      <c r="BW938" s="17"/>
      <c r="BX938" s="17"/>
      <c r="BY938" s="17"/>
      <c r="BZ938" s="17"/>
      <c r="CA938" s="17"/>
      <c r="CB938" s="17"/>
      <c r="CC938" s="17"/>
      <c r="CD938" s="17"/>
      <c r="CE938" s="17"/>
      <c r="CF938" s="17"/>
      <c r="CG938" s="17"/>
      <c r="CH938" s="17"/>
    </row>
    <row r="939" spans="8:86" x14ac:dyDescent="0.15">
      <c r="H939" s="3">
        <f t="shared" si="393"/>
        <v>0.92700000000000071</v>
      </c>
      <c r="I939" s="3">
        <f t="shared" si="394"/>
        <v>360</v>
      </c>
      <c r="J939" s="14">
        <f t="shared" si="395"/>
        <v>500</v>
      </c>
      <c r="K939" s="3">
        <f t="shared" si="385"/>
        <v>0</v>
      </c>
      <c r="L939" s="3">
        <f t="shared" si="381"/>
        <v>500</v>
      </c>
      <c r="M939" s="15">
        <f t="shared" si="396"/>
        <v>7.0000000000000007E-2</v>
      </c>
      <c r="N939" s="3">
        <f t="shared" si="397"/>
        <v>37.90166643483002</v>
      </c>
      <c r="O939" s="3">
        <f t="shared" si="382"/>
        <v>37.90166643483002</v>
      </c>
      <c r="P939" s="3">
        <f t="shared" si="386"/>
        <v>40.754480037451636</v>
      </c>
      <c r="Q939" s="3">
        <f t="shared" si="387"/>
        <v>2.7272477652328107</v>
      </c>
      <c r="R939" s="3">
        <f t="shared" si="388"/>
        <v>21.740863901342223</v>
      </c>
      <c r="S939" s="3">
        <f t="shared" si="383"/>
        <v>1</v>
      </c>
      <c r="T939" s="3">
        <f t="shared" si="389"/>
        <v>19013.616136109413</v>
      </c>
      <c r="U939" s="3">
        <f t="shared" si="390"/>
        <v>0.5</v>
      </c>
      <c r="V939" s="3">
        <f t="shared" si="391"/>
        <v>0</v>
      </c>
      <c r="W939" s="3">
        <f t="shared" si="392"/>
        <v>13644.599916538808</v>
      </c>
      <c r="X939" s="3">
        <f t="shared" si="384"/>
        <v>1363.6238826164054</v>
      </c>
      <c r="AI939" s="3"/>
      <c r="AJ939" s="3"/>
      <c r="AK939" s="15">
        <f t="shared" si="375"/>
        <v>4</v>
      </c>
      <c r="AL939" s="11">
        <f t="shared" si="379"/>
        <v>5580</v>
      </c>
      <c r="AM939" s="11" t="b">
        <f t="shared" si="374"/>
        <v>0</v>
      </c>
      <c r="AN939" s="11">
        <f t="shared" si="376"/>
        <v>36000</v>
      </c>
      <c r="AO939" s="11">
        <f t="shared" si="377"/>
        <v>0</v>
      </c>
      <c r="AP939" s="11">
        <f t="shared" si="378"/>
        <v>0.55099380602787795</v>
      </c>
      <c r="AQ939" s="11">
        <f t="shared" si="380"/>
        <v>0</v>
      </c>
      <c r="AT939" s="3"/>
      <c r="AU939" s="17"/>
      <c r="AV939" s="19"/>
      <c r="AW939" s="17"/>
      <c r="AX939" s="17">
        <f t="shared" si="373"/>
        <v>930</v>
      </c>
      <c r="AY939" s="17">
        <f t="shared" si="398"/>
        <v>93</v>
      </c>
      <c r="AZ939" s="17">
        <v>55.099380602787797</v>
      </c>
      <c r="BA939" s="17"/>
      <c r="BB939" s="17">
        <v>36</v>
      </c>
      <c r="BC939" s="17"/>
      <c r="BD939" s="17"/>
      <c r="BE939" s="17"/>
      <c r="BF939" s="17"/>
      <c r="BG939" s="17"/>
      <c r="BH939" s="17"/>
      <c r="BI939" s="17"/>
      <c r="BJ939" s="17"/>
      <c r="BK939" s="17"/>
      <c r="BL939" s="17"/>
      <c r="BM939" s="17"/>
      <c r="BN939" s="17"/>
      <c r="BO939" s="17"/>
      <c r="BP939" s="17"/>
      <c r="BQ939" s="17"/>
      <c r="BR939" s="17"/>
      <c r="BS939" s="17"/>
      <c r="BT939" s="17"/>
      <c r="BU939" s="17"/>
      <c r="BV939" s="17"/>
      <c r="BW939" s="17"/>
      <c r="BX939" s="17"/>
      <c r="BY939" s="17"/>
      <c r="BZ939" s="17"/>
      <c r="CA939" s="17"/>
      <c r="CB939" s="17"/>
      <c r="CC939" s="17"/>
      <c r="CD939" s="17"/>
      <c r="CE939" s="17"/>
      <c r="CF939" s="17"/>
      <c r="CG939" s="17"/>
      <c r="CH939" s="17"/>
    </row>
    <row r="940" spans="8:86" x14ac:dyDescent="0.15">
      <c r="H940" s="3">
        <f t="shared" si="393"/>
        <v>0.92800000000000071</v>
      </c>
      <c r="I940" s="3">
        <f t="shared" si="394"/>
        <v>360</v>
      </c>
      <c r="J940" s="14">
        <f t="shared" si="395"/>
        <v>500</v>
      </c>
      <c r="K940" s="3">
        <f t="shared" si="385"/>
        <v>0</v>
      </c>
      <c r="L940" s="3">
        <f t="shared" si="381"/>
        <v>500</v>
      </c>
      <c r="M940" s="15">
        <f t="shared" si="396"/>
        <v>7.0000000000000007E-2</v>
      </c>
      <c r="N940" s="3">
        <f t="shared" si="397"/>
        <v>37.848850834451937</v>
      </c>
      <c r="O940" s="3">
        <f t="shared" si="382"/>
        <v>37.848850834451937</v>
      </c>
      <c r="P940" s="3">
        <f t="shared" si="386"/>
        <v>40.697689069303159</v>
      </c>
      <c r="Q940" s="3">
        <f t="shared" si="387"/>
        <v>2.6892205329605918</v>
      </c>
      <c r="R940" s="3">
        <f t="shared" si="388"/>
        <v>21.693454801131875</v>
      </c>
      <c r="S940" s="3">
        <f t="shared" si="383"/>
        <v>1</v>
      </c>
      <c r="T940" s="3">
        <f t="shared" si="389"/>
        <v>19004.234268171283</v>
      </c>
      <c r="U940" s="3">
        <f t="shared" si="390"/>
        <v>0.5</v>
      </c>
      <c r="V940" s="3">
        <f t="shared" si="391"/>
        <v>0</v>
      </c>
      <c r="W940" s="3">
        <f t="shared" si="392"/>
        <v>13625.586300402698</v>
      </c>
      <c r="X940" s="3">
        <f t="shared" si="384"/>
        <v>1344.6102664802959</v>
      </c>
      <c r="AI940" s="3"/>
      <c r="AJ940" s="3"/>
      <c r="AK940" s="15">
        <f t="shared" si="375"/>
        <v>4</v>
      </c>
      <c r="AL940" s="11">
        <f t="shared" si="379"/>
        <v>5586</v>
      </c>
      <c r="AM940" s="11" t="b">
        <f t="shared" si="374"/>
        <v>0</v>
      </c>
      <c r="AN940" s="11">
        <f t="shared" si="376"/>
        <v>36000</v>
      </c>
      <c r="AO940" s="11">
        <f t="shared" si="377"/>
        <v>0</v>
      </c>
      <c r="AP940" s="11">
        <f t="shared" si="378"/>
        <v>0.55209612084269277</v>
      </c>
      <c r="AQ940" s="11">
        <f t="shared" si="380"/>
        <v>0</v>
      </c>
      <c r="AT940" s="3"/>
      <c r="AU940" s="17"/>
      <c r="AV940" s="19"/>
      <c r="AW940" s="17"/>
      <c r="AX940" s="17">
        <f t="shared" si="373"/>
        <v>931</v>
      </c>
      <c r="AY940" s="17">
        <f t="shared" si="398"/>
        <v>93.1</v>
      </c>
      <c r="AZ940" s="17">
        <v>55.209612084269274</v>
      </c>
      <c r="BA940" s="17"/>
      <c r="BB940" s="17">
        <v>36</v>
      </c>
      <c r="BC940" s="17"/>
      <c r="BD940" s="17"/>
      <c r="BE940" s="17"/>
      <c r="BF940" s="17"/>
      <c r="BG940" s="17"/>
      <c r="BH940" s="17"/>
      <c r="BI940" s="17"/>
      <c r="BJ940" s="17"/>
      <c r="BK940" s="17"/>
      <c r="BL940" s="17"/>
      <c r="BM940" s="17"/>
      <c r="BN940" s="17"/>
      <c r="BO940" s="17"/>
      <c r="BP940" s="17"/>
      <c r="BQ940" s="17"/>
      <c r="BR940" s="17"/>
      <c r="BS940" s="17"/>
      <c r="BT940" s="17"/>
      <c r="BU940" s="17"/>
      <c r="BV940" s="17"/>
      <c r="BW940" s="17"/>
      <c r="BX940" s="17"/>
      <c r="BY940" s="17"/>
      <c r="BZ940" s="17"/>
      <c r="CA940" s="17"/>
      <c r="CB940" s="17"/>
      <c r="CC940" s="17"/>
      <c r="CD940" s="17"/>
      <c r="CE940" s="17"/>
      <c r="CF940" s="17"/>
      <c r="CG940" s="17"/>
      <c r="CH940" s="17"/>
    </row>
    <row r="941" spans="8:86" x14ac:dyDescent="0.15">
      <c r="H941" s="3">
        <f t="shared" si="393"/>
        <v>0.92900000000000071</v>
      </c>
      <c r="I941" s="3">
        <f t="shared" si="394"/>
        <v>360</v>
      </c>
      <c r="J941" s="14">
        <f t="shared" si="395"/>
        <v>500</v>
      </c>
      <c r="K941" s="3">
        <f t="shared" si="385"/>
        <v>0</v>
      </c>
      <c r="L941" s="3">
        <f t="shared" si="381"/>
        <v>500</v>
      </c>
      <c r="M941" s="15">
        <f t="shared" si="396"/>
        <v>7.0000000000000007E-2</v>
      </c>
      <c r="N941" s="3">
        <f t="shared" si="397"/>
        <v>37.796061294818131</v>
      </c>
      <c r="O941" s="3">
        <f t="shared" si="382"/>
        <v>37.796061294818131</v>
      </c>
      <c r="P941" s="3">
        <f t="shared" si="386"/>
        <v>40.64092612346036</v>
      </c>
      <c r="Q941" s="3">
        <f t="shared" si="387"/>
        <v>2.6512120644242492</v>
      </c>
      <c r="R941" s="3">
        <f t="shared" si="388"/>
        <v>21.646069093942305</v>
      </c>
      <c r="S941" s="3">
        <f t="shared" si="383"/>
        <v>1</v>
      </c>
      <c r="T941" s="3">
        <f t="shared" si="389"/>
        <v>18994.857029518054</v>
      </c>
      <c r="U941" s="3">
        <f t="shared" si="390"/>
        <v>0.5</v>
      </c>
      <c r="V941" s="3">
        <f t="shared" si="391"/>
        <v>0</v>
      </c>
      <c r="W941" s="3">
        <f t="shared" si="392"/>
        <v>13606.582066134528</v>
      </c>
      <c r="X941" s="3">
        <f t="shared" si="384"/>
        <v>1325.6060322121245</v>
      </c>
      <c r="AI941" s="3"/>
      <c r="AJ941" s="3"/>
      <c r="AK941" s="15">
        <f t="shared" si="375"/>
        <v>4</v>
      </c>
      <c r="AL941" s="11">
        <f t="shared" si="379"/>
        <v>5592</v>
      </c>
      <c r="AM941" s="11" t="b">
        <f t="shared" si="374"/>
        <v>0</v>
      </c>
      <c r="AN941" s="11">
        <f t="shared" si="376"/>
        <v>36000</v>
      </c>
      <c r="AO941" s="11">
        <f t="shared" si="377"/>
        <v>0</v>
      </c>
      <c r="AP941" s="11">
        <f t="shared" si="378"/>
        <v>0.55319843565750759</v>
      </c>
      <c r="AQ941" s="11">
        <f t="shared" si="380"/>
        <v>0</v>
      </c>
      <c r="AT941" s="3"/>
      <c r="AU941" s="17"/>
      <c r="AV941" s="19"/>
      <c r="AW941" s="17"/>
      <c r="AX941" s="17">
        <f t="shared" si="373"/>
        <v>932</v>
      </c>
      <c r="AY941" s="17">
        <f t="shared" si="398"/>
        <v>93.2</v>
      </c>
      <c r="AZ941" s="17">
        <v>55.319843565750759</v>
      </c>
      <c r="BA941" s="17"/>
      <c r="BB941" s="17">
        <v>36</v>
      </c>
      <c r="BC941" s="17"/>
      <c r="BD941" s="17"/>
      <c r="BE941" s="17"/>
      <c r="BF941" s="17"/>
      <c r="BG941" s="17"/>
      <c r="BH941" s="17"/>
      <c r="BI941" s="17"/>
      <c r="BJ941" s="17"/>
      <c r="BK941" s="17"/>
      <c r="BL941" s="17"/>
      <c r="BM941" s="17"/>
      <c r="BN941" s="17"/>
      <c r="BO941" s="17"/>
      <c r="BP941" s="17"/>
      <c r="BQ941" s="17"/>
      <c r="BR941" s="17"/>
      <c r="BS941" s="17"/>
      <c r="BT941" s="17"/>
      <c r="BU941" s="17"/>
      <c r="BV941" s="17"/>
      <c r="BW941" s="17"/>
      <c r="BX941" s="17"/>
      <c r="BY941" s="17"/>
      <c r="BZ941" s="17"/>
      <c r="CA941" s="17"/>
      <c r="CB941" s="17"/>
      <c r="CC941" s="17"/>
      <c r="CD941" s="17"/>
      <c r="CE941" s="17"/>
      <c r="CF941" s="17"/>
      <c r="CG941" s="17"/>
      <c r="CH941" s="17"/>
    </row>
    <row r="942" spans="8:86" x14ac:dyDescent="0.15">
      <c r="H942" s="3">
        <f t="shared" si="393"/>
        <v>0.93000000000000071</v>
      </c>
      <c r="I942" s="3">
        <f t="shared" si="394"/>
        <v>360</v>
      </c>
      <c r="J942" s="14">
        <f t="shared" si="395"/>
        <v>500</v>
      </c>
      <c r="K942" s="3">
        <f t="shared" si="385"/>
        <v>0</v>
      </c>
      <c r="L942" s="3">
        <f t="shared" si="381"/>
        <v>500</v>
      </c>
      <c r="M942" s="15">
        <f t="shared" si="396"/>
        <v>7.0000000000000007E-2</v>
      </c>
      <c r="N942" s="3">
        <f t="shared" si="397"/>
        <v>37.743297803069474</v>
      </c>
      <c r="O942" s="3">
        <f t="shared" si="382"/>
        <v>37.743297803069474</v>
      </c>
      <c r="P942" s="3">
        <f t="shared" si="386"/>
        <v>40.584191186096213</v>
      </c>
      <c r="Q942" s="3">
        <f t="shared" si="387"/>
        <v>2.6132223503652132</v>
      </c>
      <c r="R942" s="3">
        <f t="shared" si="388"/>
        <v>21.598706768230713</v>
      </c>
      <c r="S942" s="3">
        <f t="shared" si="383"/>
        <v>1</v>
      </c>
      <c r="T942" s="3">
        <f t="shared" si="389"/>
        <v>18985.4844178655</v>
      </c>
      <c r="U942" s="3">
        <f t="shared" si="390"/>
        <v>0.5</v>
      </c>
      <c r="V942" s="3">
        <f t="shared" si="391"/>
        <v>0</v>
      </c>
      <c r="W942" s="3">
        <f t="shared" si="392"/>
        <v>13587.587209105011</v>
      </c>
      <c r="X942" s="3">
        <f t="shared" si="384"/>
        <v>1306.6111751826065</v>
      </c>
      <c r="AI942" s="3"/>
      <c r="AJ942" s="3"/>
      <c r="AK942" s="15">
        <f t="shared" si="375"/>
        <v>4</v>
      </c>
      <c r="AL942" s="11">
        <f t="shared" si="379"/>
        <v>5598</v>
      </c>
      <c r="AM942" s="11" t="b">
        <f t="shared" si="374"/>
        <v>0</v>
      </c>
      <c r="AN942" s="11">
        <f t="shared" si="376"/>
        <v>36000</v>
      </c>
      <c r="AO942" s="11">
        <f t="shared" si="377"/>
        <v>0</v>
      </c>
      <c r="AP942" s="11">
        <f t="shared" si="378"/>
        <v>0.55430075047232241</v>
      </c>
      <c r="AQ942" s="11">
        <f t="shared" si="380"/>
        <v>0</v>
      </c>
      <c r="AT942" s="3"/>
      <c r="AU942" s="17"/>
      <c r="AV942" s="19"/>
      <c r="AW942" s="17"/>
      <c r="AX942" s="17">
        <f t="shared" ref="AX942:AX1005" si="399">IF(AX941&gt;=$AG$14,$AG$14,AX941+1)</f>
        <v>933</v>
      </c>
      <c r="AY942" s="17">
        <f t="shared" si="398"/>
        <v>93.3</v>
      </c>
      <c r="AZ942" s="17">
        <v>55.430075047232243</v>
      </c>
      <c r="BA942" s="17"/>
      <c r="BB942" s="17">
        <v>36</v>
      </c>
      <c r="BC942" s="17"/>
      <c r="BD942" s="17"/>
      <c r="BE942" s="17"/>
      <c r="BF942" s="17"/>
      <c r="BG942" s="17"/>
      <c r="BH942" s="17"/>
      <c r="BI942" s="17"/>
      <c r="BJ942" s="17"/>
      <c r="BK942" s="17"/>
      <c r="BL942" s="17"/>
      <c r="BM942" s="17"/>
      <c r="BN942" s="17"/>
      <c r="BO942" s="17"/>
      <c r="BP942" s="17"/>
      <c r="BQ942" s="17"/>
      <c r="BR942" s="17"/>
      <c r="BS942" s="17"/>
      <c r="BT942" s="17"/>
      <c r="BU942" s="17"/>
      <c r="BV942" s="17"/>
      <c r="BW942" s="17"/>
      <c r="BX942" s="17"/>
      <c r="BY942" s="17"/>
      <c r="BZ942" s="17"/>
      <c r="CA942" s="17"/>
      <c r="CB942" s="17"/>
      <c r="CC942" s="17"/>
      <c r="CD942" s="17"/>
      <c r="CE942" s="17"/>
      <c r="CF942" s="17"/>
      <c r="CG942" s="17"/>
      <c r="CH942" s="17"/>
    </row>
    <row r="943" spans="8:86" x14ac:dyDescent="0.15">
      <c r="H943" s="3">
        <f t="shared" si="393"/>
        <v>0.93100000000000072</v>
      </c>
      <c r="I943" s="3">
        <f t="shared" si="394"/>
        <v>360</v>
      </c>
      <c r="J943" s="14">
        <f t="shared" si="395"/>
        <v>500</v>
      </c>
      <c r="K943" s="3">
        <f t="shared" si="385"/>
        <v>0</v>
      </c>
      <c r="L943" s="3">
        <f t="shared" si="381"/>
        <v>500</v>
      </c>
      <c r="M943" s="15">
        <f t="shared" si="396"/>
        <v>7.0000000000000007E-2</v>
      </c>
      <c r="N943" s="3">
        <f t="shared" si="397"/>
        <v>37.69056034635318</v>
      </c>
      <c r="O943" s="3">
        <f t="shared" si="382"/>
        <v>37.69056034635318</v>
      </c>
      <c r="P943" s="3">
        <f t="shared" si="386"/>
        <v>40.527484243390518</v>
      </c>
      <c r="Q943" s="3">
        <f t="shared" si="387"/>
        <v>2.575251381529482</v>
      </c>
      <c r="R943" s="3">
        <f t="shared" si="388"/>
        <v>21.551367812460001</v>
      </c>
      <c r="S943" s="3">
        <f t="shared" si="383"/>
        <v>1</v>
      </c>
      <c r="T943" s="3">
        <f t="shared" si="389"/>
        <v>18976.116430930517</v>
      </c>
      <c r="U943" s="3">
        <f t="shared" si="390"/>
        <v>0.5</v>
      </c>
      <c r="V943" s="3">
        <f t="shared" si="391"/>
        <v>0</v>
      </c>
      <c r="W943" s="3">
        <f t="shared" si="392"/>
        <v>13568.601724687145</v>
      </c>
      <c r="X943" s="3">
        <f t="shared" si="384"/>
        <v>1287.625690764741</v>
      </c>
      <c r="AI943" s="3"/>
      <c r="AJ943" s="3"/>
      <c r="AK943" s="15">
        <f t="shared" si="375"/>
        <v>4</v>
      </c>
      <c r="AL943" s="11">
        <f t="shared" si="379"/>
        <v>5604</v>
      </c>
      <c r="AM943" s="11" t="b">
        <f t="shared" si="374"/>
        <v>0</v>
      </c>
      <c r="AN943" s="11">
        <f t="shared" si="376"/>
        <v>36000</v>
      </c>
      <c r="AO943" s="11">
        <f t="shared" si="377"/>
        <v>0</v>
      </c>
      <c r="AP943" s="11">
        <f t="shared" si="378"/>
        <v>0.55540306528713734</v>
      </c>
      <c r="AQ943" s="11">
        <f t="shared" si="380"/>
        <v>0</v>
      </c>
      <c r="AT943" s="3"/>
      <c r="AU943" s="17"/>
      <c r="AV943" s="19"/>
      <c r="AW943" s="17"/>
      <c r="AX943" s="17">
        <f t="shared" si="399"/>
        <v>934</v>
      </c>
      <c r="AY943" s="17">
        <f t="shared" si="398"/>
        <v>93.4</v>
      </c>
      <c r="AZ943" s="17">
        <v>55.540306528713735</v>
      </c>
      <c r="BA943" s="17"/>
      <c r="BB943" s="17">
        <v>36</v>
      </c>
      <c r="BC943" s="17"/>
      <c r="BD943" s="17"/>
      <c r="BE943" s="17"/>
      <c r="BF943" s="17"/>
      <c r="BG943" s="17"/>
      <c r="BH943" s="17"/>
      <c r="BI943" s="17"/>
      <c r="BJ943" s="17"/>
      <c r="BK943" s="17"/>
      <c r="BL943" s="17"/>
      <c r="BM943" s="17"/>
      <c r="BN943" s="17"/>
      <c r="BO943" s="17"/>
      <c r="BP943" s="17"/>
      <c r="BQ943" s="17"/>
      <c r="BR943" s="17"/>
      <c r="BS943" s="17"/>
      <c r="BT943" s="17"/>
      <c r="BU943" s="17"/>
      <c r="BV943" s="17"/>
      <c r="BW943" s="17"/>
      <c r="BX943" s="17"/>
      <c r="BY943" s="17"/>
      <c r="BZ943" s="17"/>
      <c r="CA943" s="17"/>
      <c r="CB943" s="17"/>
      <c r="CC943" s="17"/>
      <c r="CD943" s="17"/>
      <c r="CE943" s="17"/>
      <c r="CF943" s="17"/>
      <c r="CG943" s="17"/>
      <c r="CH943" s="17"/>
    </row>
    <row r="944" spans="8:86" x14ac:dyDescent="0.15">
      <c r="H944" s="3">
        <f t="shared" si="393"/>
        <v>0.93200000000000072</v>
      </c>
      <c r="I944" s="3">
        <f t="shared" si="394"/>
        <v>360</v>
      </c>
      <c r="J944" s="14">
        <f t="shared" si="395"/>
        <v>500</v>
      </c>
      <c r="K944" s="3">
        <f t="shared" si="385"/>
        <v>0</v>
      </c>
      <c r="L944" s="3">
        <f t="shared" si="381"/>
        <v>500</v>
      </c>
      <c r="M944" s="15">
        <f t="shared" si="396"/>
        <v>7.0000000000000007E-2</v>
      </c>
      <c r="N944" s="3">
        <f t="shared" si="397"/>
        <v>37.637848911822815</v>
      </c>
      <c r="O944" s="3">
        <f t="shared" si="382"/>
        <v>37.637848911822815</v>
      </c>
      <c r="P944" s="3">
        <f t="shared" si="386"/>
        <v>40.470805281529913</v>
      </c>
      <c r="Q944" s="3">
        <f t="shared" si="387"/>
        <v>2.5372991486676209</v>
      </c>
      <c r="R944" s="3">
        <f t="shared" si="388"/>
        <v>21.504052215098767</v>
      </c>
      <c r="S944" s="3">
        <f t="shared" si="383"/>
        <v>1</v>
      </c>
      <c r="T944" s="3">
        <f t="shared" si="389"/>
        <v>18966.753066431145</v>
      </c>
      <c r="U944" s="3">
        <f t="shared" si="390"/>
        <v>0.5</v>
      </c>
      <c r="V944" s="3">
        <f t="shared" si="391"/>
        <v>0</v>
      </c>
      <c r="W944" s="3">
        <f t="shared" si="392"/>
        <v>13549.625608256214</v>
      </c>
      <c r="X944" s="3">
        <f t="shared" si="384"/>
        <v>1268.6495743338105</v>
      </c>
      <c r="AI944" s="3"/>
      <c r="AJ944" s="3"/>
      <c r="AK944" s="15">
        <f t="shared" si="375"/>
        <v>4</v>
      </c>
      <c r="AL944" s="11">
        <f t="shared" si="379"/>
        <v>5610</v>
      </c>
      <c r="AM944" s="11" t="b">
        <f t="shared" si="374"/>
        <v>0</v>
      </c>
      <c r="AN944" s="11">
        <f t="shared" si="376"/>
        <v>36000</v>
      </c>
      <c r="AO944" s="11">
        <f t="shared" si="377"/>
        <v>0</v>
      </c>
      <c r="AP944" s="11">
        <f t="shared" si="378"/>
        <v>0.55650538010195216</v>
      </c>
      <c r="AQ944" s="11">
        <f t="shared" si="380"/>
        <v>0</v>
      </c>
      <c r="AT944" s="3"/>
      <c r="AU944" s="17"/>
      <c r="AV944" s="19"/>
      <c r="AW944" s="17"/>
      <c r="AX944" s="17">
        <f t="shared" si="399"/>
        <v>935</v>
      </c>
      <c r="AY944" s="17">
        <f t="shared" si="398"/>
        <v>93.5</v>
      </c>
      <c r="AZ944" s="17">
        <v>55.65053801019522</v>
      </c>
      <c r="BA944" s="17"/>
      <c r="BB944" s="17">
        <v>36</v>
      </c>
      <c r="BC944" s="17"/>
      <c r="BD944" s="17"/>
      <c r="BE944" s="17"/>
      <c r="BF944" s="17"/>
      <c r="BG944" s="17"/>
      <c r="BH944" s="17"/>
      <c r="BI944" s="17"/>
      <c r="BJ944" s="17"/>
      <c r="BK944" s="17"/>
      <c r="BL944" s="17"/>
      <c r="BM944" s="17"/>
      <c r="BN944" s="17"/>
      <c r="BO944" s="17"/>
      <c r="BP944" s="17"/>
      <c r="BQ944" s="17"/>
      <c r="BR944" s="17"/>
      <c r="BS944" s="17"/>
      <c r="BT944" s="17"/>
      <c r="BU944" s="17"/>
      <c r="BV944" s="17"/>
      <c r="BW944" s="17"/>
      <c r="BX944" s="17"/>
      <c r="BY944" s="17"/>
      <c r="BZ944" s="17"/>
      <c r="CA944" s="17"/>
      <c r="CB944" s="17"/>
      <c r="CC944" s="17"/>
      <c r="CD944" s="17"/>
      <c r="CE944" s="17"/>
      <c r="CF944" s="17"/>
      <c r="CG944" s="17"/>
      <c r="CH944" s="17"/>
    </row>
    <row r="945" spans="8:86" x14ac:dyDescent="0.15">
      <c r="H945" s="3">
        <f t="shared" si="393"/>
        <v>0.93300000000000072</v>
      </c>
      <c r="I945" s="3">
        <f t="shared" si="394"/>
        <v>360</v>
      </c>
      <c r="J945" s="14">
        <f t="shared" si="395"/>
        <v>500</v>
      </c>
      <c r="K945" s="3">
        <f t="shared" si="385"/>
        <v>0</v>
      </c>
      <c r="L945" s="3">
        <f t="shared" si="381"/>
        <v>500</v>
      </c>
      <c r="M945" s="15">
        <f t="shared" si="396"/>
        <v>7.0000000000000007E-2</v>
      </c>
      <c r="N945" s="3">
        <f t="shared" si="397"/>
        <v>37.585163486638287</v>
      </c>
      <c r="O945" s="3">
        <f t="shared" si="382"/>
        <v>37.585163486638287</v>
      </c>
      <c r="P945" s="3">
        <f t="shared" si="386"/>
        <v>40.414154286707834</v>
      </c>
      <c r="Q945" s="3">
        <f t="shared" si="387"/>
        <v>2.4993656425347583</v>
      </c>
      <c r="R945" s="3">
        <f t="shared" si="388"/>
        <v>21.456759964621295</v>
      </c>
      <c r="S945" s="3">
        <f t="shared" si="383"/>
        <v>1</v>
      </c>
      <c r="T945" s="3">
        <f t="shared" si="389"/>
        <v>18957.39432208654</v>
      </c>
      <c r="U945" s="3">
        <f t="shared" si="390"/>
        <v>0.5</v>
      </c>
      <c r="V945" s="3">
        <f t="shared" si="391"/>
        <v>0</v>
      </c>
      <c r="W945" s="3">
        <f t="shared" si="392"/>
        <v>13530.658855189784</v>
      </c>
      <c r="X945" s="3">
        <f t="shared" si="384"/>
        <v>1249.6828212673793</v>
      </c>
      <c r="AI945" s="3"/>
      <c r="AJ945" s="3"/>
      <c r="AK945" s="15">
        <f t="shared" si="375"/>
        <v>4</v>
      </c>
      <c r="AL945" s="11">
        <f t="shared" si="379"/>
        <v>5616</v>
      </c>
      <c r="AM945" s="11" t="b">
        <f t="shared" si="374"/>
        <v>0</v>
      </c>
      <c r="AN945" s="11">
        <f t="shared" si="376"/>
        <v>36000</v>
      </c>
      <c r="AO945" s="11">
        <f t="shared" si="377"/>
        <v>0</v>
      </c>
      <c r="AP945" s="11">
        <f t="shared" si="378"/>
        <v>0.55760769491676698</v>
      </c>
      <c r="AQ945" s="11">
        <f t="shared" si="380"/>
        <v>0</v>
      </c>
      <c r="AT945" s="3"/>
      <c r="AU945" s="17"/>
      <c r="AV945" s="19"/>
      <c r="AW945" s="17"/>
      <c r="AX945" s="17">
        <f t="shared" si="399"/>
        <v>936</v>
      </c>
      <c r="AY945" s="17">
        <f t="shared" si="398"/>
        <v>93.6</v>
      </c>
      <c r="AZ945" s="17">
        <v>55.760769491676697</v>
      </c>
      <c r="BA945" s="17"/>
      <c r="BB945" s="17">
        <v>36</v>
      </c>
      <c r="BC945" s="17"/>
      <c r="BD945" s="17"/>
      <c r="BE945" s="17"/>
      <c r="BF945" s="17"/>
      <c r="BG945" s="17"/>
      <c r="BH945" s="17"/>
      <c r="BI945" s="17"/>
      <c r="BJ945" s="17"/>
      <c r="BK945" s="17"/>
      <c r="BL945" s="17"/>
      <c r="BM945" s="17"/>
      <c r="BN945" s="17"/>
      <c r="BO945" s="17"/>
      <c r="BP945" s="17"/>
      <c r="BQ945" s="17"/>
      <c r="BR945" s="17"/>
      <c r="BS945" s="17"/>
      <c r="BT945" s="17"/>
      <c r="BU945" s="17"/>
      <c r="BV945" s="17"/>
      <c r="BW945" s="17"/>
      <c r="BX945" s="17"/>
      <c r="BY945" s="17"/>
      <c r="BZ945" s="17"/>
      <c r="CA945" s="17"/>
      <c r="CB945" s="17"/>
      <c r="CC945" s="17"/>
      <c r="CD945" s="17"/>
      <c r="CE945" s="17"/>
      <c r="CF945" s="17"/>
      <c r="CG945" s="17"/>
      <c r="CH945" s="17"/>
    </row>
    <row r="946" spans="8:86" x14ac:dyDescent="0.15">
      <c r="H946" s="3">
        <f t="shared" si="393"/>
        <v>0.93400000000000072</v>
      </c>
      <c r="I946" s="3">
        <f t="shared" si="394"/>
        <v>360</v>
      </c>
      <c r="J946" s="14">
        <f t="shared" si="395"/>
        <v>500</v>
      </c>
      <c r="K946" s="3">
        <f t="shared" si="385"/>
        <v>0</v>
      </c>
      <c r="L946" s="3">
        <f t="shared" si="381"/>
        <v>500</v>
      </c>
      <c r="M946" s="15">
        <f t="shared" si="396"/>
        <v>7.0000000000000007E-2</v>
      </c>
      <c r="N946" s="3">
        <f t="shared" si="397"/>
        <v>37.532504057965831</v>
      </c>
      <c r="O946" s="3">
        <f t="shared" si="382"/>
        <v>37.532504057965831</v>
      </c>
      <c r="P946" s="3">
        <f t="shared" si="386"/>
        <v>40.357531245124555</v>
      </c>
      <c r="Q946" s="3">
        <f t="shared" si="387"/>
        <v>2.4614508538905855</v>
      </c>
      <c r="R946" s="3">
        <f t="shared" si="388"/>
        <v>21.409491049507569</v>
      </c>
      <c r="S946" s="3">
        <f t="shared" si="383"/>
        <v>1</v>
      </c>
      <c r="T946" s="3">
        <f t="shared" si="389"/>
        <v>18948.040195616988</v>
      </c>
      <c r="U946" s="3">
        <f t="shared" si="390"/>
        <v>0.5</v>
      </c>
      <c r="V946" s="3">
        <f t="shared" si="391"/>
        <v>0</v>
      </c>
      <c r="W946" s="3">
        <f t="shared" si="392"/>
        <v>13511.701460867698</v>
      </c>
      <c r="X946" s="3">
        <f t="shared" si="384"/>
        <v>1230.7254269452928</v>
      </c>
      <c r="AI946" s="3"/>
      <c r="AJ946" s="3"/>
      <c r="AK946" s="15">
        <f t="shared" si="375"/>
        <v>4</v>
      </c>
      <c r="AL946" s="11">
        <f t="shared" si="379"/>
        <v>5622</v>
      </c>
      <c r="AM946" s="11" t="b">
        <f t="shared" si="374"/>
        <v>0</v>
      </c>
      <c r="AN946" s="11">
        <f t="shared" si="376"/>
        <v>36000</v>
      </c>
      <c r="AO946" s="11">
        <f t="shared" si="377"/>
        <v>0</v>
      </c>
      <c r="AP946" s="11">
        <f t="shared" si="378"/>
        <v>0.5587100097315818</v>
      </c>
      <c r="AQ946" s="11">
        <f t="shared" si="380"/>
        <v>0</v>
      </c>
      <c r="AT946" s="3"/>
      <c r="AU946" s="17"/>
      <c r="AV946" s="19"/>
      <c r="AW946" s="17"/>
      <c r="AX946" s="17">
        <f t="shared" si="399"/>
        <v>937</v>
      </c>
      <c r="AY946" s="17">
        <f t="shared" si="398"/>
        <v>93.7</v>
      </c>
      <c r="AZ946" s="17">
        <v>55.871000973158182</v>
      </c>
      <c r="BA946" s="17"/>
      <c r="BB946" s="17">
        <v>36</v>
      </c>
      <c r="BC946" s="17"/>
      <c r="BD946" s="17"/>
      <c r="BE946" s="17"/>
      <c r="BF946" s="17"/>
      <c r="BG946" s="17"/>
      <c r="BH946" s="17"/>
      <c r="BI946" s="17"/>
      <c r="BJ946" s="17"/>
      <c r="BK946" s="17"/>
      <c r="BL946" s="17"/>
      <c r="BM946" s="17"/>
      <c r="BN946" s="17"/>
      <c r="BO946" s="17"/>
      <c r="BP946" s="17"/>
      <c r="BQ946" s="17"/>
      <c r="BR946" s="17"/>
      <c r="BS946" s="17"/>
      <c r="BT946" s="17"/>
      <c r="BU946" s="17"/>
      <c r="BV946" s="17"/>
      <c r="BW946" s="17"/>
      <c r="BX946" s="17"/>
      <c r="BY946" s="17"/>
      <c r="BZ946" s="17"/>
      <c r="CA946" s="17"/>
      <c r="CB946" s="17"/>
      <c r="CC946" s="17"/>
      <c r="CD946" s="17"/>
      <c r="CE946" s="17"/>
      <c r="CF946" s="17"/>
      <c r="CG946" s="17"/>
      <c r="CH946" s="17"/>
    </row>
    <row r="947" spans="8:86" x14ac:dyDescent="0.15">
      <c r="H947" s="3">
        <f t="shared" si="393"/>
        <v>0.93500000000000072</v>
      </c>
      <c r="I947" s="3">
        <f t="shared" si="394"/>
        <v>360</v>
      </c>
      <c r="J947" s="14">
        <f t="shared" si="395"/>
        <v>500</v>
      </c>
      <c r="K947" s="3">
        <f t="shared" si="385"/>
        <v>0</v>
      </c>
      <c r="L947" s="3">
        <f t="shared" si="381"/>
        <v>500</v>
      </c>
      <c r="M947" s="15">
        <f t="shared" si="396"/>
        <v>7.0000000000000007E-2</v>
      </c>
      <c r="N947" s="3">
        <f t="shared" si="397"/>
        <v>37.479870612978004</v>
      </c>
      <c r="O947" s="3">
        <f t="shared" si="382"/>
        <v>37.479870612978004</v>
      </c>
      <c r="P947" s="3">
        <f t="shared" si="386"/>
        <v>40.300936142987105</v>
      </c>
      <c r="Q947" s="3">
        <f t="shared" si="387"/>
        <v>2.4235547734993514</v>
      </c>
      <c r="R947" s="3">
        <f t="shared" si="388"/>
        <v>21.36224545824323</v>
      </c>
      <c r="S947" s="3">
        <f t="shared" si="383"/>
        <v>1</v>
      </c>
      <c r="T947" s="3">
        <f t="shared" si="389"/>
        <v>18938.690684743877</v>
      </c>
      <c r="U947" s="3">
        <f t="shared" si="390"/>
        <v>0.5</v>
      </c>
      <c r="V947" s="3">
        <f t="shared" si="391"/>
        <v>0</v>
      </c>
      <c r="W947" s="3">
        <f t="shared" si="392"/>
        <v>13492.753420672081</v>
      </c>
      <c r="X947" s="3">
        <f t="shared" si="384"/>
        <v>1211.7773867496758</v>
      </c>
      <c r="AI947" s="3"/>
      <c r="AJ947" s="3"/>
      <c r="AK947" s="15">
        <f t="shared" si="375"/>
        <v>4</v>
      </c>
      <c r="AL947" s="11">
        <f t="shared" si="379"/>
        <v>5628</v>
      </c>
      <c r="AM947" s="11" t="b">
        <f t="shared" si="374"/>
        <v>0</v>
      </c>
      <c r="AN947" s="11">
        <f t="shared" si="376"/>
        <v>36000</v>
      </c>
      <c r="AO947" s="11">
        <f t="shared" si="377"/>
        <v>0</v>
      </c>
      <c r="AP947" s="11">
        <f t="shared" si="378"/>
        <v>0.55981232454639662</v>
      </c>
      <c r="AQ947" s="11">
        <f t="shared" si="380"/>
        <v>0</v>
      </c>
      <c r="AT947" s="3"/>
      <c r="AU947" s="17"/>
      <c r="AV947" s="19"/>
      <c r="AW947" s="17"/>
      <c r="AX947" s="17">
        <f t="shared" si="399"/>
        <v>938</v>
      </c>
      <c r="AY947" s="17">
        <f t="shared" si="398"/>
        <v>93.8</v>
      </c>
      <c r="AZ947" s="17">
        <v>55.98123245463966</v>
      </c>
      <c r="BA947" s="17"/>
      <c r="BB947" s="17">
        <v>36</v>
      </c>
      <c r="BC947" s="17"/>
      <c r="BD947" s="17"/>
      <c r="BE947" s="17"/>
      <c r="BF947" s="17"/>
      <c r="BG947" s="17"/>
      <c r="BH947" s="17"/>
      <c r="BI947" s="17"/>
      <c r="BJ947" s="17"/>
      <c r="BK947" s="17"/>
      <c r="BL947" s="17"/>
      <c r="BM947" s="17"/>
      <c r="BN947" s="17"/>
      <c r="BO947" s="17"/>
      <c r="BP947" s="17"/>
      <c r="BQ947" s="17"/>
      <c r="BR947" s="17"/>
      <c r="BS947" s="17"/>
      <c r="BT947" s="17"/>
      <c r="BU947" s="17"/>
      <c r="BV947" s="17"/>
      <c r="BW947" s="17"/>
      <c r="BX947" s="17"/>
      <c r="BY947" s="17"/>
      <c r="BZ947" s="17"/>
      <c r="CA947" s="17"/>
      <c r="CB947" s="17"/>
      <c r="CC947" s="17"/>
      <c r="CD947" s="17"/>
      <c r="CE947" s="17"/>
      <c r="CF947" s="17"/>
      <c r="CG947" s="17"/>
      <c r="CH947" s="17"/>
    </row>
    <row r="948" spans="8:86" x14ac:dyDescent="0.15">
      <c r="H948" s="3">
        <f t="shared" si="393"/>
        <v>0.93600000000000072</v>
      </c>
      <c r="I948" s="3">
        <f t="shared" si="394"/>
        <v>360</v>
      </c>
      <c r="J948" s="14">
        <f t="shared" si="395"/>
        <v>500</v>
      </c>
      <c r="K948" s="3">
        <f t="shared" si="385"/>
        <v>0</v>
      </c>
      <c r="L948" s="3">
        <f t="shared" si="381"/>
        <v>500</v>
      </c>
      <c r="M948" s="15">
        <f t="shared" si="396"/>
        <v>7.0000000000000007E-2</v>
      </c>
      <c r="N948" s="3">
        <f t="shared" si="397"/>
        <v>37.427263138853718</v>
      </c>
      <c r="O948" s="3">
        <f t="shared" si="382"/>
        <v>37.427263138853718</v>
      </c>
      <c r="P948" s="3">
        <f t="shared" si="386"/>
        <v>40.244368966509377</v>
      </c>
      <c r="Q948" s="3">
        <f t="shared" si="387"/>
        <v>2.3856773921298635</v>
      </c>
      <c r="R948" s="3">
        <f t="shared" si="388"/>
        <v>21.315023179319621</v>
      </c>
      <c r="S948" s="3">
        <f t="shared" si="383"/>
        <v>1</v>
      </c>
      <c r="T948" s="3">
        <f t="shared" si="389"/>
        <v>18929.345787189755</v>
      </c>
      <c r="U948" s="3">
        <f t="shared" si="390"/>
        <v>0.5</v>
      </c>
      <c r="V948" s="3">
        <f t="shared" si="391"/>
        <v>0</v>
      </c>
      <c r="W948" s="3">
        <f t="shared" si="392"/>
        <v>13473.814729987338</v>
      </c>
      <c r="X948" s="3">
        <f t="shared" si="384"/>
        <v>1192.8386960649318</v>
      </c>
      <c r="AI948" s="3"/>
      <c r="AJ948" s="3"/>
      <c r="AK948" s="15">
        <f t="shared" si="375"/>
        <v>4</v>
      </c>
      <c r="AL948" s="11">
        <f t="shared" si="379"/>
        <v>5634</v>
      </c>
      <c r="AM948" s="11" t="b">
        <f t="shared" si="374"/>
        <v>0</v>
      </c>
      <c r="AN948" s="11">
        <f t="shared" si="376"/>
        <v>36000</v>
      </c>
      <c r="AO948" s="11">
        <f t="shared" si="377"/>
        <v>0</v>
      </c>
      <c r="AP948" s="11">
        <f t="shared" si="378"/>
        <v>0.56091463936121155</v>
      </c>
      <c r="AQ948" s="11">
        <f t="shared" si="380"/>
        <v>0</v>
      </c>
      <c r="AT948" s="3"/>
      <c r="AU948" s="17"/>
      <c r="AV948" s="19"/>
      <c r="AW948" s="17"/>
      <c r="AX948" s="17">
        <f t="shared" si="399"/>
        <v>939</v>
      </c>
      <c r="AY948" s="17">
        <f t="shared" si="398"/>
        <v>93.9</v>
      </c>
      <c r="AZ948" s="17">
        <v>56.091463936121158</v>
      </c>
      <c r="BA948" s="17"/>
      <c r="BB948" s="17">
        <v>36</v>
      </c>
      <c r="BC948" s="17"/>
      <c r="BD948" s="17"/>
      <c r="BE948" s="17"/>
      <c r="BF948" s="17"/>
      <c r="BG948" s="17"/>
      <c r="BH948" s="17"/>
      <c r="BI948" s="17"/>
      <c r="BJ948" s="17"/>
      <c r="BK948" s="17"/>
      <c r="BL948" s="17"/>
      <c r="BM948" s="17"/>
      <c r="BN948" s="17"/>
      <c r="BO948" s="17"/>
      <c r="BP948" s="17"/>
      <c r="BQ948" s="17"/>
      <c r="BR948" s="17"/>
      <c r="BS948" s="17"/>
      <c r="BT948" s="17"/>
      <c r="BU948" s="17"/>
      <c r="BV948" s="17"/>
      <c r="BW948" s="17"/>
      <c r="BX948" s="17"/>
      <c r="BY948" s="17"/>
      <c r="BZ948" s="17"/>
      <c r="CA948" s="17"/>
      <c r="CB948" s="17"/>
      <c r="CC948" s="17"/>
      <c r="CD948" s="17"/>
      <c r="CE948" s="17"/>
      <c r="CF948" s="17"/>
      <c r="CG948" s="17"/>
      <c r="CH948" s="17"/>
    </row>
    <row r="949" spans="8:86" x14ac:dyDescent="0.15">
      <c r="H949" s="3">
        <f t="shared" si="393"/>
        <v>0.93700000000000072</v>
      </c>
      <c r="I949" s="3">
        <f t="shared" si="394"/>
        <v>360</v>
      </c>
      <c r="J949" s="14">
        <f t="shared" si="395"/>
        <v>500</v>
      </c>
      <c r="K949" s="3">
        <f t="shared" si="385"/>
        <v>0</v>
      </c>
      <c r="L949" s="3">
        <f t="shared" si="381"/>
        <v>500</v>
      </c>
      <c r="M949" s="15">
        <f t="shared" si="396"/>
        <v>7.0000000000000007E-2</v>
      </c>
      <c r="N949" s="3">
        <f t="shared" si="397"/>
        <v>37.374681622778191</v>
      </c>
      <c r="O949" s="3">
        <f t="shared" si="382"/>
        <v>37.374681622778191</v>
      </c>
      <c r="P949" s="3">
        <f t="shared" si="386"/>
        <v>40.187829701912037</v>
      </c>
      <c r="Q949" s="3">
        <f t="shared" si="387"/>
        <v>2.347818700555484</v>
      </c>
      <c r="R949" s="3">
        <f t="shared" si="388"/>
        <v>21.267824201233761</v>
      </c>
      <c r="S949" s="3">
        <f t="shared" si="383"/>
        <v>1</v>
      </c>
      <c r="T949" s="3">
        <f t="shared" si="389"/>
        <v>18920.005500678275</v>
      </c>
      <c r="U949" s="3">
        <f t="shared" si="390"/>
        <v>0.5</v>
      </c>
      <c r="V949" s="3">
        <f t="shared" si="391"/>
        <v>0</v>
      </c>
      <c r="W949" s="3">
        <f t="shared" si="392"/>
        <v>13454.885384200148</v>
      </c>
      <c r="X949" s="3">
        <f t="shared" si="384"/>
        <v>1173.9093502777421</v>
      </c>
      <c r="AI949" s="3"/>
      <c r="AJ949" s="3"/>
      <c r="AK949" s="15">
        <f t="shared" si="375"/>
        <v>4</v>
      </c>
      <c r="AL949" s="11">
        <f t="shared" si="379"/>
        <v>5640</v>
      </c>
      <c r="AM949" s="11" t="b">
        <f t="shared" si="374"/>
        <v>0</v>
      </c>
      <c r="AN949" s="11">
        <f t="shared" si="376"/>
        <v>36000</v>
      </c>
      <c r="AO949" s="11">
        <f t="shared" si="377"/>
        <v>0</v>
      </c>
      <c r="AP949" s="11">
        <f t="shared" si="378"/>
        <v>0.56201695417602637</v>
      </c>
      <c r="AQ949" s="11">
        <f t="shared" si="380"/>
        <v>0</v>
      </c>
      <c r="AT949" s="3"/>
      <c r="AU949" s="17"/>
      <c r="AV949" s="19"/>
      <c r="AW949" s="17"/>
      <c r="AX949" s="17">
        <f t="shared" si="399"/>
        <v>940</v>
      </c>
      <c r="AY949" s="17">
        <f t="shared" si="398"/>
        <v>94</v>
      </c>
      <c r="AZ949" s="17">
        <v>56.201695417602636</v>
      </c>
      <c r="BA949" s="17"/>
      <c r="BB949" s="17">
        <v>36</v>
      </c>
      <c r="BC949" s="17"/>
      <c r="BD949" s="17"/>
      <c r="BE949" s="17"/>
      <c r="BF949" s="17"/>
      <c r="BG949" s="17"/>
      <c r="BH949" s="17"/>
      <c r="BI949" s="17"/>
      <c r="BJ949" s="17"/>
      <c r="BK949" s="17"/>
      <c r="BL949" s="17"/>
      <c r="BM949" s="17"/>
      <c r="BN949" s="17"/>
      <c r="BO949" s="17"/>
      <c r="BP949" s="17"/>
      <c r="BQ949" s="17"/>
      <c r="BR949" s="17"/>
      <c r="BS949" s="17"/>
      <c r="BT949" s="17"/>
      <c r="BU949" s="17"/>
      <c r="BV949" s="17"/>
      <c r="BW949" s="17"/>
      <c r="BX949" s="17"/>
      <c r="BY949" s="17"/>
      <c r="BZ949" s="17"/>
      <c r="CA949" s="17"/>
      <c r="CB949" s="17"/>
      <c r="CC949" s="17"/>
      <c r="CD949" s="17"/>
      <c r="CE949" s="17"/>
      <c r="CF949" s="17"/>
      <c r="CG949" s="17"/>
      <c r="CH949" s="17"/>
    </row>
    <row r="950" spans="8:86" x14ac:dyDescent="0.15">
      <c r="H950" s="3">
        <f t="shared" si="393"/>
        <v>0.93800000000000072</v>
      </c>
      <c r="I950" s="3">
        <f t="shared" si="394"/>
        <v>360</v>
      </c>
      <c r="J950" s="14">
        <f t="shared" si="395"/>
        <v>500</v>
      </c>
      <c r="K950" s="3">
        <f t="shared" si="385"/>
        <v>0</v>
      </c>
      <c r="L950" s="3">
        <f t="shared" si="381"/>
        <v>500</v>
      </c>
      <c r="M950" s="15">
        <f t="shared" si="396"/>
        <v>7.0000000000000007E-2</v>
      </c>
      <c r="N950" s="3">
        <f t="shared" si="397"/>
        <v>37.322126051942973</v>
      </c>
      <c r="O950" s="3">
        <f t="shared" si="382"/>
        <v>37.322126051942973</v>
      </c>
      <c r="P950" s="3">
        <f t="shared" si="386"/>
        <v>40.131318335422556</v>
      </c>
      <c r="Q950" s="3">
        <f t="shared" si="387"/>
        <v>2.3099786895541272</v>
      </c>
      <c r="R950" s="3">
        <f t="shared" si="388"/>
        <v>21.220648512488342</v>
      </c>
      <c r="S950" s="3">
        <f t="shared" si="383"/>
        <v>1</v>
      </c>
      <c r="T950" s="3">
        <f t="shared" si="389"/>
        <v>18910.669822934215</v>
      </c>
      <c r="U950" s="3">
        <f t="shared" si="390"/>
        <v>0.5</v>
      </c>
      <c r="V950" s="3">
        <f t="shared" si="391"/>
        <v>0</v>
      </c>
      <c r="W950" s="3">
        <f t="shared" si="392"/>
        <v>13435.965378699471</v>
      </c>
      <c r="X950" s="3">
        <f t="shared" si="384"/>
        <v>1154.9893447770637</v>
      </c>
      <c r="AI950" s="3"/>
      <c r="AJ950" s="3"/>
      <c r="AK950" s="15">
        <f t="shared" si="375"/>
        <v>4</v>
      </c>
      <c r="AL950" s="11">
        <f t="shared" si="379"/>
        <v>5646</v>
      </c>
      <c r="AM950" s="11" t="b">
        <f t="shared" si="374"/>
        <v>0</v>
      </c>
      <c r="AN950" s="11">
        <f t="shared" si="376"/>
        <v>36000</v>
      </c>
      <c r="AO950" s="11">
        <f t="shared" si="377"/>
        <v>0</v>
      </c>
      <c r="AP950" s="11">
        <f t="shared" si="378"/>
        <v>0.56311926899084119</v>
      </c>
      <c r="AQ950" s="11">
        <f t="shared" si="380"/>
        <v>0</v>
      </c>
      <c r="AT950" s="3"/>
      <c r="AU950" s="17"/>
      <c r="AV950" s="19"/>
      <c r="AW950" s="17"/>
      <c r="AX950" s="17">
        <f t="shared" si="399"/>
        <v>941</v>
      </c>
      <c r="AY950" s="17">
        <f t="shared" si="398"/>
        <v>94.1</v>
      </c>
      <c r="AZ950" s="17">
        <v>56.311926899084121</v>
      </c>
      <c r="BA950" s="17"/>
      <c r="BB950" s="17">
        <v>36</v>
      </c>
      <c r="BC950" s="17"/>
      <c r="BD950" s="17"/>
      <c r="BE950" s="17"/>
      <c r="BF950" s="17"/>
      <c r="BG950" s="17"/>
      <c r="BH950" s="17"/>
      <c r="BI950" s="17"/>
      <c r="BJ950" s="17"/>
      <c r="BK950" s="17"/>
      <c r="BL950" s="17"/>
      <c r="BM950" s="17"/>
      <c r="BN950" s="17"/>
      <c r="BO950" s="17"/>
      <c r="BP950" s="17"/>
      <c r="BQ950" s="17"/>
      <c r="BR950" s="17"/>
      <c r="BS950" s="17"/>
      <c r="BT950" s="17"/>
      <c r="BU950" s="17"/>
      <c r="BV950" s="17"/>
      <c r="BW950" s="17"/>
      <c r="BX950" s="17"/>
      <c r="BY950" s="17"/>
      <c r="BZ950" s="17"/>
      <c r="CA950" s="17"/>
      <c r="CB950" s="17"/>
      <c r="CC950" s="17"/>
      <c r="CD950" s="17"/>
      <c r="CE950" s="17"/>
      <c r="CF950" s="17"/>
      <c r="CG950" s="17"/>
      <c r="CH950" s="17"/>
    </row>
    <row r="951" spans="8:86" x14ac:dyDescent="0.15">
      <c r="H951" s="3">
        <f t="shared" si="393"/>
        <v>0.93900000000000072</v>
      </c>
      <c r="I951" s="3">
        <f t="shared" si="394"/>
        <v>360</v>
      </c>
      <c r="J951" s="14">
        <f t="shared" si="395"/>
        <v>500</v>
      </c>
      <c r="K951" s="3">
        <f t="shared" si="385"/>
        <v>0</v>
      </c>
      <c r="L951" s="3">
        <f t="shared" si="381"/>
        <v>500</v>
      </c>
      <c r="M951" s="15">
        <f t="shared" si="396"/>
        <v>7.0000000000000007E-2</v>
      </c>
      <c r="N951" s="3">
        <f t="shared" si="397"/>
        <v>37.269596413545941</v>
      </c>
      <c r="O951" s="3">
        <f t="shared" si="382"/>
        <v>37.269596413545941</v>
      </c>
      <c r="P951" s="3">
        <f t="shared" si="386"/>
        <v>40.074834853275206</v>
      </c>
      <c r="Q951" s="3">
        <f t="shared" si="387"/>
        <v>2.2721573499082588</v>
      </c>
      <c r="R951" s="3">
        <f t="shared" si="388"/>
        <v>21.173496101591731</v>
      </c>
      <c r="S951" s="3">
        <f t="shared" si="383"/>
        <v>1</v>
      </c>
      <c r="T951" s="3">
        <f t="shared" si="389"/>
        <v>18901.338751683474</v>
      </c>
      <c r="U951" s="3">
        <f t="shared" si="390"/>
        <v>0.5</v>
      </c>
      <c r="V951" s="3">
        <f t="shared" si="391"/>
        <v>0</v>
      </c>
      <c r="W951" s="3">
        <f t="shared" si="392"/>
        <v>13417.054708876538</v>
      </c>
      <c r="X951" s="3">
        <f t="shared" si="384"/>
        <v>1136.0786749541294</v>
      </c>
      <c r="AI951" s="3"/>
      <c r="AJ951" s="3"/>
      <c r="AK951" s="15">
        <f t="shared" si="375"/>
        <v>4</v>
      </c>
      <c r="AL951" s="11">
        <f t="shared" si="379"/>
        <v>5652</v>
      </c>
      <c r="AM951" s="11" t="b">
        <f t="shared" si="374"/>
        <v>0</v>
      </c>
      <c r="AN951" s="11">
        <f t="shared" si="376"/>
        <v>36000</v>
      </c>
      <c r="AO951" s="11">
        <f t="shared" si="377"/>
        <v>0</v>
      </c>
      <c r="AP951" s="11">
        <f t="shared" si="378"/>
        <v>0.56422158380565601</v>
      </c>
      <c r="AQ951" s="11">
        <f t="shared" si="380"/>
        <v>0</v>
      </c>
      <c r="AT951" s="3"/>
      <c r="AU951" s="17"/>
      <c r="AV951" s="19"/>
      <c r="AW951" s="17"/>
      <c r="AX951" s="17">
        <f t="shared" si="399"/>
        <v>942</v>
      </c>
      <c r="AY951" s="17">
        <f t="shared" si="398"/>
        <v>94.2</v>
      </c>
      <c r="AZ951" s="17">
        <v>56.422158380565598</v>
      </c>
      <c r="BA951" s="17"/>
      <c r="BB951" s="17">
        <v>36</v>
      </c>
      <c r="BC951" s="17"/>
      <c r="BD951" s="17"/>
      <c r="BE951" s="17"/>
      <c r="BF951" s="17"/>
      <c r="BG951" s="17"/>
      <c r="BH951" s="17"/>
      <c r="BI951" s="17"/>
      <c r="BJ951" s="17"/>
      <c r="BK951" s="17"/>
      <c r="BL951" s="17"/>
      <c r="BM951" s="17"/>
      <c r="BN951" s="17"/>
      <c r="BO951" s="17"/>
      <c r="BP951" s="17"/>
      <c r="BQ951" s="17"/>
      <c r="BR951" s="17"/>
      <c r="BS951" s="17"/>
      <c r="BT951" s="17"/>
      <c r="BU951" s="17"/>
      <c r="BV951" s="17"/>
      <c r="BW951" s="17"/>
      <c r="BX951" s="17"/>
      <c r="BY951" s="17"/>
      <c r="BZ951" s="17"/>
      <c r="CA951" s="17"/>
      <c r="CB951" s="17"/>
      <c r="CC951" s="17"/>
      <c r="CD951" s="17"/>
      <c r="CE951" s="17"/>
      <c r="CF951" s="17"/>
      <c r="CG951" s="17"/>
      <c r="CH951" s="17"/>
    </row>
    <row r="952" spans="8:86" x14ac:dyDescent="0.15">
      <c r="H952" s="3">
        <f t="shared" si="393"/>
        <v>0.94000000000000072</v>
      </c>
      <c r="I952" s="3">
        <f t="shared" si="394"/>
        <v>360</v>
      </c>
      <c r="J952" s="14">
        <f t="shared" si="395"/>
        <v>500</v>
      </c>
      <c r="K952" s="3">
        <f t="shared" si="385"/>
        <v>0</v>
      </c>
      <c r="L952" s="3">
        <f t="shared" si="381"/>
        <v>500</v>
      </c>
      <c r="M952" s="15">
        <f t="shared" si="396"/>
        <v>7.0000000000000007E-2</v>
      </c>
      <c r="N952" s="3">
        <f t="shared" si="397"/>
        <v>37.217092694791262</v>
      </c>
      <c r="O952" s="3">
        <f t="shared" si="382"/>
        <v>37.217092694791262</v>
      </c>
      <c r="P952" s="3">
        <f t="shared" si="386"/>
        <v>40.018379241711038</v>
      </c>
      <c r="Q952" s="3">
        <f t="shared" si="387"/>
        <v>2.2343546724048919</v>
      </c>
      <c r="R952" s="3">
        <f t="shared" si="388"/>
        <v>21.126366957057964</v>
      </c>
      <c r="S952" s="3">
        <f t="shared" si="383"/>
        <v>1</v>
      </c>
      <c r="T952" s="3">
        <f t="shared" si="389"/>
        <v>18892.012284653072</v>
      </c>
      <c r="U952" s="3">
        <f t="shared" si="390"/>
        <v>0.5</v>
      </c>
      <c r="V952" s="3">
        <f t="shared" si="391"/>
        <v>0</v>
      </c>
      <c r="W952" s="3">
        <f t="shared" si="392"/>
        <v>13398.153370124854</v>
      </c>
      <c r="X952" s="3">
        <f t="shared" si="384"/>
        <v>1117.177336202446</v>
      </c>
      <c r="AI952" s="3"/>
      <c r="AJ952" s="3"/>
      <c r="AK952" s="15">
        <f t="shared" si="375"/>
        <v>4</v>
      </c>
      <c r="AL952" s="11">
        <f t="shared" si="379"/>
        <v>5658</v>
      </c>
      <c r="AM952" s="11" t="b">
        <f t="shared" si="374"/>
        <v>0</v>
      </c>
      <c r="AN952" s="11">
        <f t="shared" si="376"/>
        <v>36000</v>
      </c>
      <c r="AO952" s="11">
        <f t="shared" si="377"/>
        <v>0</v>
      </c>
      <c r="AP952" s="11">
        <f t="shared" si="378"/>
        <v>0.56532389862047083</v>
      </c>
      <c r="AQ952" s="11">
        <f t="shared" si="380"/>
        <v>0</v>
      </c>
      <c r="AT952" s="3"/>
      <c r="AU952" s="17"/>
      <c r="AV952" s="19"/>
      <c r="AW952" s="17"/>
      <c r="AX952" s="17">
        <f t="shared" si="399"/>
        <v>943</v>
      </c>
      <c r="AY952" s="17">
        <f t="shared" si="398"/>
        <v>94.3</v>
      </c>
      <c r="AZ952" s="17">
        <v>56.532389862047083</v>
      </c>
      <c r="BA952" s="17"/>
      <c r="BB952" s="17">
        <v>36</v>
      </c>
      <c r="BC952" s="17"/>
      <c r="BD952" s="17"/>
      <c r="BE952" s="17"/>
      <c r="BF952" s="17"/>
      <c r="BG952" s="17"/>
      <c r="BH952" s="17"/>
      <c r="BI952" s="17"/>
      <c r="BJ952" s="17"/>
      <c r="BK952" s="17"/>
      <c r="BL952" s="17"/>
      <c r="BM952" s="17"/>
      <c r="BN952" s="17"/>
      <c r="BO952" s="17"/>
      <c r="BP952" s="17"/>
      <c r="BQ952" s="17"/>
      <c r="BR952" s="17"/>
      <c r="BS952" s="17"/>
      <c r="BT952" s="17"/>
      <c r="BU952" s="17"/>
      <c r="BV952" s="17"/>
      <c r="BW952" s="17"/>
      <c r="BX952" s="17"/>
      <c r="BY952" s="17"/>
      <c r="BZ952" s="17"/>
      <c r="CA952" s="17"/>
      <c r="CB952" s="17"/>
      <c r="CC952" s="17"/>
      <c r="CD952" s="17"/>
      <c r="CE952" s="17"/>
      <c r="CF952" s="17"/>
      <c r="CG952" s="17"/>
      <c r="CH952" s="17"/>
    </row>
    <row r="953" spans="8:86" x14ac:dyDescent="0.15">
      <c r="H953" s="3">
        <f t="shared" si="393"/>
        <v>0.94100000000000072</v>
      </c>
      <c r="I953" s="3">
        <f t="shared" si="394"/>
        <v>360</v>
      </c>
      <c r="J953" s="14">
        <f t="shared" si="395"/>
        <v>500</v>
      </c>
      <c r="K953" s="3">
        <f t="shared" si="385"/>
        <v>0</v>
      </c>
      <c r="L953" s="3">
        <f t="shared" si="381"/>
        <v>500</v>
      </c>
      <c r="M953" s="15">
        <f t="shared" si="396"/>
        <v>7.0000000000000007E-2</v>
      </c>
      <c r="N953" s="3">
        <f t="shared" si="397"/>
        <v>37.164614882889445</v>
      </c>
      <c r="O953" s="3">
        <f t="shared" si="382"/>
        <v>37.164614882889445</v>
      </c>
      <c r="P953" s="3">
        <f t="shared" si="386"/>
        <v>39.961951486977902</v>
      </c>
      <c r="Q953" s="3">
        <f t="shared" si="387"/>
        <v>2.196570647835586</v>
      </c>
      <c r="R953" s="3">
        <f t="shared" si="388"/>
        <v>21.079261067406744</v>
      </c>
      <c r="S953" s="3">
        <f t="shared" si="383"/>
        <v>1</v>
      </c>
      <c r="T953" s="3">
        <f t="shared" si="389"/>
        <v>18882.690419571158</v>
      </c>
      <c r="U953" s="3">
        <f t="shared" si="390"/>
        <v>0.5</v>
      </c>
      <c r="V953" s="3">
        <f t="shared" si="391"/>
        <v>0</v>
      </c>
      <c r="W953" s="3">
        <f t="shared" si="392"/>
        <v>13379.2613578402</v>
      </c>
      <c r="X953" s="3">
        <f t="shared" si="384"/>
        <v>1098.285323917793</v>
      </c>
      <c r="AI953" s="3"/>
      <c r="AJ953" s="3"/>
      <c r="AK953" s="15">
        <f t="shared" si="375"/>
        <v>4</v>
      </c>
      <c r="AL953" s="11">
        <f t="shared" si="379"/>
        <v>5664</v>
      </c>
      <c r="AM953" s="11" t="b">
        <f t="shared" si="374"/>
        <v>0</v>
      </c>
      <c r="AN953" s="11">
        <f t="shared" si="376"/>
        <v>36000</v>
      </c>
      <c r="AO953" s="11">
        <f t="shared" si="377"/>
        <v>0</v>
      </c>
      <c r="AP953" s="11">
        <f t="shared" si="378"/>
        <v>0.56642621343528576</v>
      </c>
      <c r="AQ953" s="11">
        <f t="shared" si="380"/>
        <v>0</v>
      </c>
      <c r="AT953" s="3"/>
      <c r="AU953" s="17"/>
      <c r="AV953" s="19"/>
      <c r="AW953" s="17"/>
      <c r="AX953" s="17">
        <f t="shared" si="399"/>
        <v>944</v>
      </c>
      <c r="AY953" s="17">
        <f t="shared" si="398"/>
        <v>94.4</v>
      </c>
      <c r="AZ953" s="17">
        <v>56.642621343528575</v>
      </c>
      <c r="BA953" s="17"/>
      <c r="BB953" s="17">
        <v>36</v>
      </c>
      <c r="BC953" s="17"/>
      <c r="BD953" s="17"/>
      <c r="BE953" s="17"/>
      <c r="BF953" s="17"/>
      <c r="BG953" s="17"/>
      <c r="BH953" s="17"/>
      <c r="BI953" s="17"/>
      <c r="BJ953" s="17"/>
      <c r="BK953" s="17"/>
      <c r="BL953" s="17"/>
      <c r="BM953" s="17"/>
      <c r="BN953" s="17"/>
      <c r="BO953" s="17"/>
      <c r="BP953" s="17"/>
      <c r="BQ953" s="17"/>
      <c r="BR953" s="17"/>
      <c r="BS953" s="17"/>
      <c r="BT953" s="17"/>
      <c r="BU953" s="17"/>
      <c r="BV953" s="17"/>
      <c r="BW953" s="17"/>
      <c r="BX953" s="17"/>
      <c r="BY953" s="17"/>
      <c r="BZ953" s="17"/>
      <c r="CA953" s="17"/>
      <c r="CB953" s="17"/>
      <c r="CC953" s="17"/>
      <c r="CD953" s="17"/>
      <c r="CE953" s="17"/>
      <c r="CF953" s="17"/>
      <c r="CG953" s="17"/>
      <c r="CH953" s="17"/>
    </row>
    <row r="954" spans="8:86" x14ac:dyDescent="0.15">
      <c r="H954" s="3">
        <f t="shared" si="393"/>
        <v>0.94200000000000073</v>
      </c>
      <c r="I954" s="3">
        <f t="shared" si="394"/>
        <v>360</v>
      </c>
      <c r="J954" s="14">
        <f t="shared" si="395"/>
        <v>500</v>
      </c>
      <c r="K954" s="3">
        <f t="shared" si="385"/>
        <v>0</v>
      </c>
      <c r="L954" s="3">
        <f t="shared" si="381"/>
        <v>500</v>
      </c>
      <c r="M954" s="15">
        <f t="shared" si="396"/>
        <v>7.0000000000000007E-2</v>
      </c>
      <c r="N954" s="3">
        <f t="shared" si="397"/>
        <v>37.112162965057301</v>
      </c>
      <c r="O954" s="3">
        <f t="shared" si="382"/>
        <v>37.112162965057301</v>
      </c>
      <c r="P954" s="3">
        <f t="shared" si="386"/>
        <v>39.905551575330435</v>
      </c>
      <c r="Q954" s="3">
        <f t="shared" si="387"/>
        <v>2.1588052669964437</v>
      </c>
      <c r="R954" s="3">
        <f t="shared" si="388"/>
        <v>21.03217842116344</v>
      </c>
      <c r="S954" s="3">
        <f t="shared" si="383"/>
        <v>1</v>
      </c>
      <c r="T954" s="3">
        <f t="shared" si="389"/>
        <v>18873.373154166995</v>
      </c>
      <c r="U954" s="3">
        <f t="shared" si="390"/>
        <v>0.5</v>
      </c>
      <c r="V954" s="3">
        <f t="shared" si="391"/>
        <v>0</v>
      </c>
      <c r="W954" s="3">
        <f t="shared" si="392"/>
        <v>13360.378667420628</v>
      </c>
      <c r="X954" s="3">
        <f t="shared" si="384"/>
        <v>1079.4026334982218</v>
      </c>
      <c r="AI954" s="3"/>
      <c r="AJ954" s="3"/>
      <c r="AK954" s="15">
        <f t="shared" si="375"/>
        <v>4</v>
      </c>
      <c r="AL954" s="11">
        <f t="shared" si="379"/>
        <v>5670</v>
      </c>
      <c r="AM954" s="11" t="b">
        <f t="shared" si="374"/>
        <v>0</v>
      </c>
      <c r="AN954" s="11">
        <f t="shared" si="376"/>
        <v>36000</v>
      </c>
      <c r="AO954" s="11">
        <f t="shared" si="377"/>
        <v>0</v>
      </c>
      <c r="AP954" s="11">
        <f t="shared" si="378"/>
        <v>0.56752852825010058</v>
      </c>
      <c r="AQ954" s="11">
        <f t="shared" si="380"/>
        <v>0</v>
      </c>
      <c r="AT954" s="3"/>
      <c r="AU954" s="17"/>
      <c r="AV954" s="19"/>
      <c r="AW954" s="17"/>
      <c r="AX954" s="17">
        <f t="shared" si="399"/>
        <v>945</v>
      </c>
      <c r="AY954" s="17">
        <f t="shared" si="398"/>
        <v>94.5</v>
      </c>
      <c r="AZ954" s="17">
        <v>56.752852825010059</v>
      </c>
      <c r="BA954" s="17"/>
      <c r="BB954" s="17">
        <v>36</v>
      </c>
      <c r="BC954" s="17"/>
      <c r="BD954" s="17"/>
      <c r="BE954" s="17"/>
      <c r="BF954" s="17"/>
      <c r="BG954" s="17"/>
      <c r="BH954" s="17"/>
      <c r="BI954" s="17"/>
      <c r="BJ954" s="17"/>
      <c r="BK954" s="17"/>
      <c r="BL954" s="17"/>
      <c r="BM954" s="17"/>
      <c r="BN954" s="17"/>
      <c r="BO954" s="17"/>
      <c r="BP954" s="17"/>
      <c r="BQ954" s="17"/>
      <c r="BR954" s="17"/>
      <c r="BS954" s="17"/>
      <c r="BT954" s="17"/>
      <c r="BU954" s="17"/>
      <c r="BV954" s="17"/>
      <c r="BW954" s="17"/>
      <c r="BX954" s="17"/>
      <c r="BY954" s="17"/>
      <c r="BZ954" s="17"/>
      <c r="CA954" s="17"/>
      <c r="CB954" s="17"/>
      <c r="CC954" s="17"/>
      <c r="CD954" s="17"/>
      <c r="CE954" s="17"/>
      <c r="CF954" s="17"/>
      <c r="CG954" s="17"/>
      <c r="CH954" s="17"/>
    </row>
    <row r="955" spans="8:86" x14ac:dyDescent="0.15">
      <c r="H955" s="3">
        <f t="shared" si="393"/>
        <v>0.94300000000000073</v>
      </c>
      <c r="I955" s="3">
        <f t="shared" si="394"/>
        <v>360</v>
      </c>
      <c r="J955" s="14">
        <f t="shared" si="395"/>
        <v>500</v>
      </c>
      <c r="K955" s="3">
        <f t="shared" si="385"/>
        <v>0</v>
      </c>
      <c r="L955" s="3">
        <f t="shared" si="381"/>
        <v>500</v>
      </c>
      <c r="M955" s="15">
        <f t="shared" si="396"/>
        <v>7.0000000000000007E-2</v>
      </c>
      <c r="N955" s="3">
        <f t="shared" si="397"/>
        <v>37.05973692851795</v>
      </c>
      <c r="O955" s="3">
        <f t="shared" si="382"/>
        <v>37.05973692851795</v>
      </c>
      <c r="P955" s="3">
        <f t="shared" si="386"/>
        <v>39.849179493030057</v>
      </c>
      <c r="Q955" s="3">
        <f t="shared" si="387"/>
        <v>2.1210585206881096</v>
      </c>
      <c r="R955" s="3">
        <f t="shared" si="388"/>
        <v>20.985119006859083</v>
      </c>
      <c r="S955" s="3">
        <f t="shared" si="383"/>
        <v>1</v>
      </c>
      <c r="T955" s="3">
        <f t="shared" si="389"/>
        <v>18864.060486170973</v>
      </c>
      <c r="U955" s="3">
        <f t="shared" si="390"/>
        <v>0.5</v>
      </c>
      <c r="V955" s="3">
        <f t="shared" si="391"/>
        <v>0</v>
      </c>
      <c r="W955" s="3">
        <f t="shared" si="392"/>
        <v>13341.505294266462</v>
      </c>
      <c r="X955" s="3">
        <f t="shared" si="384"/>
        <v>1060.5292603440548</v>
      </c>
      <c r="AI955" s="3"/>
      <c r="AJ955" s="3"/>
      <c r="AK955" s="15">
        <f t="shared" si="375"/>
        <v>4</v>
      </c>
      <c r="AL955" s="11">
        <f t="shared" si="379"/>
        <v>5676</v>
      </c>
      <c r="AM955" s="11" t="b">
        <f t="shared" si="374"/>
        <v>0</v>
      </c>
      <c r="AN955" s="11">
        <f t="shared" si="376"/>
        <v>36000</v>
      </c>
      <c r="AO955" s="11">
        <f t="shared" si="377"/>
        <v>0</v>
      </c>
      <c r="AP955" s="11">
        <f t="shared" si="378"/>
        <v>0.5686308430649154</v>
      </c>
      <c r="AQ955" s="11">
        <f t="shared" si="380"/>
        <v>0</v>
      </c>
      <c r="AT955" s="3"/>
      <c r="AU955" s="17"/>
      <c r="AV955" s="19"/>
      <c r="AW955" s="17"/>
      <c r="AX955" s="17">
        <f t="shared" si="399"/>
        <v>946</v>
      </c>
      <c r="AY955" s="17">
        <f t="shared" si="398"/>
        <v>94.6</v>
      </c>
      <c r="AZ955" s="17">
        <v>56.863084306491544</v>
      </c>
      <c r="BA955" s="17"/>
      <c r="BB955" s="17">
        <v>36</v>
      </c>
      <c r="BC955" s="17"/>
      <c r="BD955" s="17"/>
      <c r="BE955" s="17"/>
      <c r="BF955" s="17"/>
      <c r="BG955" s="17"/>
      <c r="BH955" s="17"/>
      <c r="BI955" s="17"/>
      <c r="BJ955" s="17"/>
      <c r="BK955" s="17"/>
      <c r="BL955" s="17"/>
      <c r="BM955" s="17"/>
      <c r="BN955" s="17"/>
      <c r="BO955" s="17"/>
      <c r="BP955" s="17"/>
      <c r="BQ955" s="17"/>
      <c r="BR955" s="17"/>
      <c r="BS955" s="17"/>
      <c r="BT955" s="17"/>
      <c r="BU955" s="17"/>
      <c r="BV955" s="17"/>
      <c r="BW955" s="17"/>
      <c r="BX955" s="17"/>
      <c r="BY955" s="17"/>
      <c r="BZ955" s="17"/>
      <c r="CA955" s="17"/>
      <c r="CB955" s="17"/>
      <c r="CC955" s="17"/>
      <c r="CD955" s="17"/>
      <c r="CE955" s="17"/>
      <c r="CF955" s="17"/>
      <c r="CG955" s="17"/>
      <c r="CH955" s="17"/>
    </row>
    <row r="956" spans="8:86" x14ac:dyDescent="0.15">
      <c r="H956" s="3">
        <f t="shared" si="393"/>
        <v>0.94400000000000073</v>
      </c>
      <c r="I956" s="3">
        <f t="shared" si="394"/>
        <v>360</v>
      </c>
      <c r="J956" s="14">
        <f t="shared" si="395"/>
        <v>500</v>
      </c>
      <c r="K956" s="3">
        <f t="shared" si="385"/>
        <v>0</v>
      </c>
      <c r="L956" s="3">
        <f t="shared" si="381"/>
        <v>500</v>
      </c>
      <c r="M956" s="15">
        <f t="shared" si="396"/>
        <v>7.0000000000000007E-2</v>
      </c>
      <c r="N956" s="3">
        <f t="shared" si="397"/>
        <v>37.007336760500813</v>
      </c>
      <c r="O956" s="3">
        <f t="shared" si="382"/>
        <v>37.007336760500813</v>
      </c>
      <c r="P956" s="3">
        <f t="shared" si="386"/>
        <v>39.792835226344963</v>
      </c>
      <c r="Q956" s="3">
        <f t="shared" si="387"/>
        <v>2.0833303997157677</v>
      </c>
      <c r="R956" s="3">
        <f t="shared" si="388"/>
        <v>20.938082813030366</v>
      </c>
      <c r="S956" s="3">
        <f t="shared" si="383"/>
        <v>1</v>
      </c>
      <c r="T956" s="3">
        <f t="shared" si="389"/>
        <v>18854.752413314596</v>
      </c>
      <c r="U956" s="3">
        <f t="shared" si="390"/>
        <v>0.5</v>
      </c>
      <c r="V956" s="3">
        <f t="shared" si="391"/>
        <v>0</v>
      </c>
      <c r="W956" s="3">
        <f t="shared" si="392"/>
        <v>13322.641233780292</v>
      </c>
      <c r="X956" s="3">
        <f t="shared" si="384"/>
        <v>1041.6651998578839</v>
      </c>
      <c r="AI956" s="3"/>
      <c r="AJ956" s="3"/>
      <c r="AK956" s="15">
        <f t="shared" si="375"/>
        <v>4</v>
      </c>
      <c r="AL956" s="11">
        <f t="shared" si="379"/>
        <v>5682</v>
      </c>
      <c r="AM956" s="11" t="b">
        <f t="shared" si="374"/>
        <v>0</v>
      </c>
      <c r="AN956" s="11">
        <f t="shared" si="376"/>
        <v>36000</v>
      </c>
      <c r="AO956" s="11">
        <f t="shared" si="377"/>
        <v>0</v>
      </c>
      <c r="AP956" s="11">
        <f t="shared" si="378"/>
        <v>0.56973315787973022</v>
      </c>
      <c r="AQ956" s="11">
        <f t="shared" si="380"/>
        <v>0</v>
      </c>
      <c r="AT956" s="3"/>
      <c r="AU956" s="17"/>
      <c r="AV956" s="19"/>
      <c r="AW956" s="17"/>
      <c r="AX956" s="17">
        <f t="shared" si="399"/>
        <v>947</v>
      </c>
      <c r="AY956" s="17">
        <f t="shared" si="398"/>
        <v>94.7</v>
      </c>
      <c r="AZ956" s="17">
        <v>56.973315787973021</v>
      </c>
      <c r="BA956" s="17"/>
      <c r="BB956" s="17">
        <v>36</v>
      </c>
      <c r="BC956" s="17"/>
      <c r="BD956" s="17"/>
      <c r="BE956" s="17"/>
      <c r="BF956" s="17"/>
      <c r="BG956" s="17"/>
      <c r="BH956" s="17"/>
      <c r="BI956" s="17"/>
      <c r="BJ956" s="17"/>
      <c r="BK956" s="17"/>
      <c r="BL956" s="17"/>
      <c r="BM956" s="17"/>
      <c r="BN956" s="17"/>
      <c r="BO956" s="17"/>
      <c r="BP956" s="17"/>
      <c r="BQ956" s="17"/>
      <c r="BR956" s="17"/>
      <c r="BS956" s="17"/>
      <c r="BT956" s="17"/>
      <c r="BU956" s="17"/>
      <c r="BV956" s="17"/>
      <c r="BW956" s="17"/>
      <c r="BX956" s="17"/>
      <c r="BY956" s="17"/>
      <c r="BZ956" s="17"/>
      <c r="CA956" s="17"/>
      <c r="CB956" s="17"/>
      <c r="CC956" s="17"/>
      <c r="CD956" s="17"/>
      <c r="CE956" s="17"/>
      <c r="CF956" s="17"/>
      <c r="CG956" s="17"/>
      <c r="CH956" s="17"/>
    </row>
    <row r="957" spans="8:86" x14ac:dyDescent="0.15">
      <c r="H957" s="3">
        <f t="shared" si="393"/>
        <v>0.94500000000000073</v>
      </c>
      <c r="I957" s="3">
        <f t="shared" si="394"/>
        <v>360</v>
      </c>
      <c r="J957" s="14">
        <f t="shared" si="395"/>
        <v>500</v>
      </c>
      <c r="K957" s="3">
        <f t="shared" si="385"/>
        <v>0</v>
      </c>
      <c r="L957" s="3">
        <f t="shared" si="381"/>
        <v>500</v>
      </c>
      <c r="M957" s="15">
        <f t="shared" si="396"/>
        <v>7.0000000000000007E-2</v>
      </c>
      <c r="N957" s="3">
        <f t="shared" si="397"/>
        <v>36.954962448241609</v>
      </c>
      <c r="O957" s="3">
        <f t="shared" si="382"/>
        <v>36.954962448241609</v>
      </c>
      <c r="P957" s="3">
        <f t="shared" si="386"/>
        <v>39.736518761550123</v>
      </c>
      <c r="Q957" s="3">
        <f t="shared" si="387"/>
        <v>2.0456208948891383</v>
      </c>
      <c r="R957" s="3">
        <f t="shared" si="388"/>
        <v>20.891069828219631</v>
      </c>
      <c r="S957" s="3">
        <f t="shared" si="383"/>
        <v>1</v>
      </c>
      <c r="T957" s="3">
        <f t="shared" si="389"/>
        <v>18845.448933330492</v>
      </c>
      <c r="U957" s="3">
        <f t="shared" si="390"/>
        <v>0.5</v>
      </c>
      <c r="V957" s="3">
        <f t="shared" si="391"/>
        <v>0</v>
      </c>
      <c r="W957" s="3">
        <f t="shared" si="392"/>
        <v>13303.786481366978</v>
      </c>
      <c r="X957" s="3">
        <f t="shared" si="384"/>
        <v>1022.8104474445691</v>
      </c>
      <c r="AI957" s="3"/>
      <c r="AJ957" s="3"/>
      <c r="AK957" s="15">
        <f t="shared" si="375"/>
        <v>4</v>
      </c>
      <c r="AL957" s="11">
        <f t="shared" si="379"/>
        <v>5688</v>
      </c>
      <c r="AM957" s="11" t="b">
        <f t="shared" si="374"/>
        <v>0</v>
      </c>
      <c r="AN957" s="11">
        <f t="shared" si="376"/>
        <v>36000</v>
      </c>
      <c r="AO957" s="11">
        <f t="shared" si="377"/>
        <v>0</v>
      </c>
      <c r="AP957" s="11">
        <f t="shared" si="378"/>
        <v>0.57083547269454504</v>
      </c>
      <c r="AQ957" s="11">
        <f t="shared" si="380"/>
        <v>0</v>
      </c>
      <c r="AT957" s="3"/>
      <c r="AU957" s="17"/>
      <c r="AV957" s="19"/>
      <c r="AW957" s="17"/>
      <c r="AX957" s="17">
        <f t="shared" si="399"/>
        <v>948</v>
      </c>
      <c r="AY957" s="17">
        <f t="shared" si="398"/>
        <v>94.8</v>
      </c>
      <c r="AZ957" s="17">
        <v>57.083547269454506</v>
      </c>
      <c r="BA957" s="17"/>
      <c r="BB957" s="17">
        <v>36</v>
      </c>
      <c r="BC957" s="17"/>
      <c r="BD957" s="17"/>
      <c r="BE957" s="17"/>
      <c r="BF957" s="17"/>
      <c r="BG957" s="17"/>
      <c r="BH957" s="17"/>
      <c r="BI957" s="17"/>
      <c r="BJ957" s="17"/>
      <c r="BK957" s="17"/>
      <c r="BL957" s="17"/>
      <c r="BM957" s="17"/>
      <c r="BN957" s="17"/>
      <c r="BO957" s="17"/>
      <c r="BP957" s="17"/>
      <c r="BQ957" s="17"/>
      <c r="BR957" s="17"/>
      <c r="BS957" s="17"/>
      <c r="BT957" s="17"/>
      <c r="BU957" s="17"/>
      <c r="BV957" s="17"/>
      <c r="BW957" s="17"/>
      <c r="BX957" s="17"/>
      <c r="BY957" s="17"/>
      <c r="BZ957" s="17"/>
      <c r="CA957" s="17"/>
      <c r="CB957" s="17"/>
      <c r="CC957" s="17"/>
      <c r="CD957" s="17"/>
      <c r="CE957" s="17"/>
      <c r="CF957" s="17"/>
      <c r="CG957" s="17"/>
      <c r="CH957" s="17"/>
    </row>
    <row r="958" spans="8:86" x14ac:dyDescent="0.15">
      <c r="H958" s="3">
        <f t="shared" si="393"/>
        <v>0.94600000000000073</v>
      </c>
      <c r="I958" s="3">
        <f t="shared" si="394"/>
        <v>360</v>
      </c>
      <c r="J958" s="14">
        <f t="shared" si="395"/>
        <v>500</v>
      </c>
      <c r="K958" s="3">
        <f t="shared" si="385"/>
        <v>0</v>
      </c>
      <c r="L958" s="3">
        <f t="shared" si="381"/>
        <v>500</v>
      </c>
      <c r="M958" s="15">
        <f t="shared" si="396"/>
        <v>7.0000000000000007E-2</v>
      </c>
      <c r="N958" s="3">
        <f t="shared" si="397"/>
        <v>36.902613978982352</v>
      </c>
      <c r="O958" s="3">
        <f t="shared" si="382"/>
        <v>36.902613978982352</v>
      </c>
      <c r="P958" s="3">
        <f t="shared" si="386"/>
        <v>39.68023008492726</v>
      </c>
      <c r="Q958" s="3">
        <f t="shared" si="387"/>
        <v>2.0079299970224773</v>
      </c>
      <c r="R958" s="3">
        <f t="shared" si="388"/>
        <v>20.84408004097487</v>
      </c>
      <c r="S958" s="3">
        <f t="shared" si="383"/>
        <v>1</v>
      </c>
      <c r="T958" s="3">
        <f t="shared" si="389"/>
        <v>18836.150043952392</v>
      </c>
      <c r="U958" s="3">
        <f t="shared" si="390"/>
        <v>0.5</v>
      </c>
      <c r="V958" s="3">
        <f t="shared" si="391"/>
        <v>0</v>
      </c>
      <c r="W958" s="3">
        <f t="shared" si="392"/>
        <v>13284.941032433646</v>
      </c>
      <c r="X958" s="3">
        <f t="shared" si="384"/>
        <v>1003.9649985112386</v>
      </c>
      <c r="AI958" s="3"/>
      <c r="AJ958" s="3"/>
      <c r="AK958" s="15">
        <f t="shared" si="375"/>
        <v>4</v>
      </c>
      <c r="AL958" s="11">
        <f t="shared" si="379"/>
        <v>5694</v>
      </c>
      <c r="AM958" s="11" t="b">
        <f t="shared" si="374"/>
        <v>0</v>
      </c>
      <c r="AN958" s="11">
        <f t="shared" si="376"/>
        <v>36000</v>
      </c>
      <c r="AO958" s="11">
        <f t="shared" si="377"/>
        <v>0</v>
      </c>
      <c r="AP958" s="11">
        <f t="shared" si="378"/>
        <v>0.57193778750935997</v>
      </c>
      <c r="AQ958" s="11">
        <f t="shared" si="380"/>
        <v>0</v>
      </c>
      <c r="AT958" s="3"/>
      <c r="AU958" s="17"/>
      <c r="AV958" s="19"/>
      <c r="AW958" s="17"/>
      <c r="AX958" s="17">
        <f t="shared" si="399"/>
        <v>949</v>
      </c>
      <c r="AY958" s="17">
        <f t="shared" si="398"/>
        <v>94.9</v>
      </c>
      <c r="AZ958" s="17">
        <v>57.193778750935998</v>
      </c>
      <c r="BA958" s="17"/>
      <c r="BB958" s="17">
        <v>36</v>
      </c>
      <c r="BC958" s="17"/>
      <c r="BD958" s="17"/>
      <c r="BE958" s="17"/>
      <c r="BF958" s="17"/>
      <c r="BG958" s="17"/>
      <c r="BH958" s="17"/>
      <c r="BI958" s="17"/>
      <c r="BJ958" s="17"/>
      <c r="BK958" s="17"/>
      <c r="BL958" s="17"/>
      <c r="BM958" s="17"/>
      <c r="BN958" s="17"/>
      <c r="BO958" s="17"/>
      <c r="BP958" s="17"/>
      <c r="BQ958" s="17"/>
      <c r="BR958" s="17"/>
      <c r="BS958" s="17"/>
      <c r="BT958" s="17"/>
      <c r="BU958" s="17"/>
      <c r="BV958" s="17"/>
      <c r="BW958" s="17"/>
      <c r="BX958" s="17"/>
      <c r="BY958" s="17"/>
      <c r="BZ958" s="17"/>
      <c r="CA958" s="17"/>
      <c r="CB958" s="17"/>
      <c r="CC958" s="17"/>
      <c r="CD958" s="17"/>
      <c r="CE958" s="17"/>
      <c r="CF958" s="17"/>
      <c r="CG958" s="17"/>
      <c r="CH958" s="17"/>
    </row>
    <row r="959" spans="8:86" x14ac:dyDescent="0.15">
      <c r="H959" s="3">
        <f t="shared" si="393"/>
        <v>0.94700000000000073</v>
      </c>
      <c r="I959" s="3">
        <f t="shared" si="394"/>
        <v>360</v>
      </c>
      <c r="J959" s="14">
        <f t="shared" si="395"/>
        <v>500</v>
      </c>
      <c r="K959" s="3">
        <f t="shared" si="385"/>
        <v>0</v>
      </c>
      <c r="L959" s="3">
        <f t="shared" si="381"/>
        <v>500</v>
      </c>
      <c r="M959" s="15">
        <f t="shared" si="396"/>
        <v>7.0000000000000007E-2</v>
      </c>
      <c r="N959" s="3">
        <f t="shared" si="397"/>
        <v>36.850291339971371</v>
      </c>
      <c r="O959" s="3">
        <f t="shared" si="382"/>
        <v>36.850291339971371</v>
      </c>
      <c r="P959" s="3">
        <f t="shared" si="386"/>
        <v>39.623969182764917</v>
      </c>
      <c r="Q959" s="3">
        <f t="shared" si="387"/>
        <v>1.9702576969345724</v>
      </c>
      <c r="R959" s="3">
        <f t="shared" si="388"/>
        <v>20.797113439849745</v>
      </c>
      <c r="S959" s="3">
        <f t="shared" si="383"/>
        <v>1</v>
      </c>
      <c r="T959" s="3">
        <f t="shared" si="389"/>
        <v>18826.85574291517</v>
      </c>
      <c r="U959" s="3">
        <f t="shared" si="390"/>
        <v>0.5</v>
      </c>
      <c r="V959" s="3">
        <f t="shared" si="391"/>
        <v>0</v>
      </c>
      <c r="W959" s="3">
        <f t="shared" si="392"/>
        <v>13266.104882389693</v>
      </c>
      <c r="X959" s="3">
        <f t="shared" si="384"/>
        <v>985.12884846728616</v>
      </c>
      <c r="AI959" s="3"/>
      <c r="AJ959" s="3"/>
      <c r="AK959" s="15">
        <f t="shared" si="375"/>
        <v>4</v>
      </c>
      <c r="AL959" s="11">
        <f t="shared" si="379"/>
        <v>5700</v>
      </c>
      <c r="AM959" s="11" t="b">
        <f t="shared" si="374"/>
        <v>0</v>
      </c>
      <c r="AN959" s="11">
        <f t="shared" si="376"/>
        <v>36000</v>
      </c>
      <c r="AO959" s="11">
        <f t="shared" si="377"/>
        <v>0</v>
      </c>
      <c r="AP959" s="11">
        <f t="shared" si="378"/>
        <v>0.57304010232417479</v>
      </c>
      <c r="AQ959" s="11">
        <f t="shared" si="380"/>
        <v>0</v>
      </c>
      <c r="AT959" s="3"/>
      <c r="AU959" s="17"/>
      <c r="AV959" s="19"/>
      <c r="AW959" s="17"/>
      <c r="AX959" s="17">
        <f t="shared" si="399"/>
        <v>950</v>
      </c>
      <c r="AY959" s="17">
        <f t="shared" si="398"/>
        <v>95</v>
      </c>
      <c r="AZ959" s="17">
        <v>57.304010232417482</v>
      </c>
      <c r="BA959" s="17"/>
      <c r="BB959" s="17">
        <v>36</v>
      </c>
      <c r="BC959" s="17"/>
      <c r="BD959" s="17"/>
      <c r="BE959" s="17"/>
      <c r="BF959" s="17"/>
      <c r="BG959" s="17"/>
      <c r="BH959" s="17"/>
      <c r="BI959" s="17"/>
      <c r="BJ959" s="17"/>
      <c r="BK959" s="17"/>
      <c r="BL959" s="17"/>
      <c r="BM959" s="17"/>
      <c r="BN959" s="17"/>
      <c r="BO959" s="17"/>
      <c r="BP959" s="17"/>
      <c r="BQ959" s="17"/>
      <c r="BR959" s="17"/>
      <c r="BS959" s="17"/>
      <c r="BT959" s="17"/>
      <c r="BU959" s="17"/>
      <c r="BV959" s="17"/>
      <c r="BW959" s="17"/>
      <c r="BX959" s="17"/>
      <c r="BY959" s="17"/>
      <c r="BZ959" s="17"/>
      <c r="CA959" s="17"/>
      <c r="CB959" s="17"/>
      <c r="CC959" s="17"/>
      <c r="CD959" s="17"/>
      <c r="CE959" s="17"/>
      <c r="CF959" s="17"/>
      <c r="CG959" s="17"/>
      <c r="CH959" s="17"/>
    </row>
    <row r="960" spans="8:86" x14ac:dyDescent="0.15">
      <c r="H960" s="3">
        <f t="shared" si="393"/>
        <v>0.94800000000000073</v>
      </c>
      <c r="I960" s="3">
        <f t="shared" si="394"/>
        <v>360</v>
      </c>
      <c r="J960" s="14">
        <f t="shared" si="395"/>
        <v>500</v>
      </c>
      <c r="K960" s="3">
        <f t="shared" si="385"/>
        <v>0</v>
      </c>
      <c r="L960" s="3">
        <f t="shared" si="381"/>
        <v>500</v>
      </c>
      <c r="M960" s="15">
        <f t="shared" si="396"/>
        <v>7.0000000000000007E-2</v>
      </c>
      <c r="N960" s="3">
        <f t="shared" si="397"/>
        <v>36.79799451846327</v>
      </c>
      <c r="O960" s="3">
        <f t="shared" si="382"/>
        <v>36.79799451846327</v>
      </c>
      <c r="P960" s="3">
        <f t="shared" si="386"/>
        <v>39.567736041358359</v>
      </c>
      <c r="Q960" s="3">
        <f t="shared" si="387"/>
        <v>1.932603985448742</v>
      </c>
      <c r="R960" s="3">
        <f t="shared" si="388"/>
        <v>20.750170013403551</v>
      </c>
      <c r="S960" s="3">
        <f t="shared" si="383"/>
        <v>1</v>
      </c>
      <c r="T960" s="3">
        <f t="shared" si="389"/>
        <v>18817.566027954806</v>
      </c>
      <c r="U960" s="3">
        <f t="shared" si="390"/>
        <v>0.5</v>
      </c>
      <c r="V960" s="3">
        <f t="shared" si="391"/>
        <v>0</v>
      </c>
      <c r="W960" s="3">
        <f t="shared" si="392"/>
        <v>13247.278026646778</v>
      </c>
      <c r="X960" s="3">
        <f t="shared" si="384"/>
        <v>966.30199272437096</v>
      </c>
      <c r="AI960" s="3"/>
      <c r="AJ960" s="3"/>
      <c r="AK960" s="15">
        <f t="shared" si="375"/>
        <v>4</v>
      </c>
      <c r="AL960" s="11">
        <f t="shared" si="379"/>
        <v>5706</v>
      </c>
      <c r="AM960" s="11" t="b">
        <f t="shared" si="374"/>
        <v>0</v>
      </c>
      <c r="AN960" s="11">
        <f t="shared" si="376"/>
        <v>36000</v>
      </c>
      <c r="AO960" s="11">
        <f t="shared" si="377"/>
        <v>0</v>
      </c>
      <c r="AP960" s="11">
        <f t="shared" si="378"/>
        <v>0.57414241713898961</v>
      </c>
      <c r="AQ960" s="11">
        <f t="shared" si="380"/>
        <v>0</v>
      </c>
      <c r="AT960" s="3"/>
      <c r="AU960" s="17"/>
      <c r="AV960" s="19"/>
      <c r="AW960" s="17"/>
      <c r="AX960" s="17">
        <f t="shared" si="399"/>
        <v>951</v>
      </c>
      <c r="AY960" s="17">
        <f t="shared" si="398"/>
        <v>95.1</v>
      </c>
      <c r="AZ960" s="17">
        <v>57.41424171389896</v>
      </c>
      <c r="BA960" s="17"/>
      <c r="BB960" s="17">
        <v>36</v>
      </c>
      <c r="BC960" s="17"/>
      <c r="BD960" s="17"/>
      <c r="BE960" s="17"/>
      <c r="BF960" s="17"/>
      <c r="BG960" s="17"/>
      <c r="BH960" s="17"/>
      <c r="BI960" s="17"/>
      <c r="BJ960" s="17"/>
      <c r="BK960" s="17"/>
      <c r="BL960" s="17"/>
      <c r="BM960" s="17"/>
      <c r="BN960" s="17"/>
      <c r="BO960" s="17"/>
      <c r="BP960" s="17"/>
      <c r="BQ960" s="17"/>
      <c r="BR960" s="17"/>
      <c r="BS960" s="17"/>
      <c r="BT960" s="17"/>
      <c r="BU960" s="17"/>
      <c r="BV960" s="17"/>
      <c r="BW960" s="17"/>
      <c r="BX960" s="17"/>
      <c r="BY960" s="17"/>
      <c r="BZ960" s="17"/>
      <c r="CA960" s="17"/>
      <c r="CB960" s="17"/>
      <c r="CC960" s="17"/>
      <c r="CD960" s="17"/>
      <c r="CE960" s="17"/>
      <c r="CF960" s="17"/>
      <c r="CG960" s="17"/>
      <c r="CH960" s="17"/>
    </row>
    <row r="961" spans="8:86" x14ac:dyDescent="0.15">
      <c r="H961" s="3">
        <f t="shared" si="393"/>
        <v>0.94900000000000073</v>
      </c>
      <c r="I961" s="3">
        <f t="shared" si="394"/>
        <v>360</v>
      </c>
      <c r="J961" s="14">
        <f t="shared" si="395"/>
        <v>500</v>
      </c>
      <c r="K961" s="3">
        <f t="shared" si="385"/>
        <v>0</v>
      </c>
      <c r="L961" s="3">
        <f t="shared" si="381"/>
        <v>500</v>
      </c>
      <c r="M961" s="15">
        <f t="shared" si="396"/>
        <v>7.0000000000000007E-2</v>
      </c>
      <c r="N961" s="3">
        <f t="shared" si="397"/>
        <v>36.745723501718956</v>
      </c>
      <c r="O961" s="3">
        <f t="shared" si="382"/>
        <v>36.745723501718956</v>
      </c>
      <c r="P961" s="3">
        <f t="shared" si="386"/>
        <v>39.511530647009636</v>
      </c>
      <c r="Q961" s="3">
        <f t="shared" si="387"/>
        <v>1.8949688533928322</v>
      </c>
      <c r="R961" s="3">
        <f t="shared" si="388"/>
        <v>20.703249750201234</v>
      </c>
      <c r="S961" s="3">
        <f t="shared" si="383"/>
        <v>1</v>
      </c>
      <c r="T961" s="3">
        <f t="shared" si="389"/>
        <v>18808.280896808403</v>
      </c>
      <c r="U961" s="3">
        <f t="shared" si="390"/>
        <v>0.5</v>
      </c>
      <c r="V961" s="3">
        <f t="shared" si="391"/>
        <v>0</v>
      </c>
      <c r="W961" s="3">
        <f t="shared" si="392"/>
        <v>13228.460460618824</v>
      </c>
      <c r="X961" s="3">
        <f t="shared" si="384"/>
        <v>947.48442669641611</v>
      </c>
      <c r="AI961" s="3"/>
      <c r="AJ961" s="3"/>
      <c r="AK961" s="15">
        <f t="shared" si="375"/>
        <v>4</v>
      </c>
      <c r="AL961" s="11">
        <f t="shared" si="379"/>
        <v>5712</v>
      </c>
      <c r="AM961" s="11" t="b">
        <f t="shared" si="374"/>
        <v>0</v>
      </c>
      <c r="AN961" s="11">
        <f t="shared" si="376"/>
        <v>36000</v>
      </c>
      <c r="AO961" s="11">
        <f t="shared" si="377"/>
        <v>0</v>
      </c>
      <c r="AP961" s="11">
        <f t="shared" si="378"/>
        <v>0.57524473195380443</v>
      </c>
      <c r="AQ961" s="11">
        <f t="shared" si="380"/>
        <v>0</v>
      </c>
      <c r="AT961" s="3"/>
      <c r="AU961" s="17"/>
      <c r="AV961" s="19"/>
      <c r="AW961" s="17"/>
      <c r="AX961" s="17">
        <f t="shared" si="399"/>
        <v>952</v>
      </c>
      <c r="AY961" s="17">
        <f t="shared" si="398"/>
        <v>95.2</v>
      </c>
      <c r="AZ961" s="17">
        <v>57.524473195380445</v>
      </c>
      <c r="BA961" s="17"/>
      <c r="BB961" s="17">
        <v>36</v>
      </c>
      <c r="BC961" s="17"/>
      <c r="BD961" s="17"/>
      <c r="BE961" s="17"/>
      <c r="BF961" s="17"/>
      <c r="BG961" s="17"/>
      <c r="BH961" s="17"/>
      <c r="BI961" s="17"/>
      <c r="BJ961" s="17"/>
      <c r="BK961" s="17"/>
      <c r="BL961" s="17"/>
      <c r="BM961" s="17"/>
      <c r="BN961" s="17"/>
      <c r="BO961" s="17"/>
      <c r="BP961" s="17"/>
      <c r="BQ961" s="17"/>
      <c r="BR961" s="17"/>
      <c r="BS961" s="17"/>
      <c r="BT961" s="17"/>
      <c r="BU961" s="17"/>
      <c r="BV961" s="17"/>
      <c r="BW961" s="17"/>
      <c r="BX961" s="17"/>
      <c r="BY961" s="17"/>
      <c r="BZ961" s="17"/>
      <c r="CA961" s="17"/>
      <c r="CB961" s="17"/>
      <c r="CC961" s="17"/>
      <c r="CD961" s="17"/>
      <c r="CE961" s="17"/>
      <c r="CF961" s="17"/>
      <c r="CG961" s="17"/>
      <c r="CH961" s="17"/>
    </row>
    <row r="962" spans="8:86" x14ac:dyDescent="0.15">
      <c r="H962" s="3">
        <f t="shared" si="393"/>
        <v>0.95000000000000073</v>
      </c>
      <c r="I962" s="3">
        <f t="shared" si="394"/>
        <v>360</v>
      </c>
      <c r="J962" s="14">
        <f t="shared" si="395"/>
        <v>500</v>
      </c>
      <c r="K962" s="3">
        <f t="shared" si="385"/>
        <v>0</v>
      </c>
      <c r="L962" s="3">
        <f t="shared" si="381"/>
        <v>500</v>
      </c>
      <c r="M962" s="15">
        <f t="shared" si="396"/>
        <v>7.0000000000000007E-2</v>
      </c>
      <c r="N962" s="3">
        <f t="shared" si="397"/>
        <v>36.693478277005596</v>
      </c>
      <c r="O962" s="3">
        <f t="shared" si="382"/>
        <v>36.693478277005596</v>
      </c>
      <c r="P962" s="3">
        <f t="shared" si="386"/>
        <v>39.455352986027528</v>
      </c>
      <c r="Q962" s="3">
        <f t="shared" si="387"/>
        <v>1.8573522915992156</v>
      </c>
      <c r="R962" s="3">
        <f t="shared" si="388"/>
        <v>20.65635263881337</v>
      </c>
      <c r="S962" s="3">
        <f t="shared" si="383"/>
        <v>1</v>
      </c>
      <c r="T962" s="3">
        <f t="shared" si="389"/>
        <v>18799.000347214158</v>
      </c>
      <c r="U962" s="3">
        <f t="shared" si="390"/>
        <v>0.5</v>
      </c>
      <c r="V962" s="3">
        <f t="shared" si="391"/>
        <v>0</v>
      </c>
      <c r="W962" s="3">
        <f t="shared" si="392"/>
        <v>13209.652179722014</v>
      </c>
      <c r="X962" s="3">
        <f t="shared" si="384"/>
        <v>928.67614579960775</v>
      </c>
      <c r="AI962" s="3"/>
      <c r="AJ962" s="3"/>
      <c r="AK962" s="15">
        <f t="shared" si="375"/>
        <v>4</v>
      </c>
      <c r="AL962" s="11">
        <f t="shared" si="379"/>
        <v>5718</v>
      </c>
      <c r="AM962" s="11" t="b">
        <f t="shared" si="374"/>
        <v>0</v>
      </c>
      <c r="AN962" s="11">
        <f t="shared" si="376"/>
        <v>36000</v>
      </c>
      <c r="AO962" s="11">
        <f t="shared" si="377"/>
        <v>0</v>
      </c>
      <c r="AP962" s="11">
        <f t="shared" si="378"/>
        <v>0.57634704676861925</v>
      </c>
      <c r="AQ962" s="11">
        <f t="shared" si="380"/>
        <v>0</v>
      </c>
      <c r="AT962" s="3"/>
      <c r="AU962" s="17"/>
      <c r="AV962" s="19"/>
      <c r="AW962" s="17"/>
      <c r="AX962" s="17">
        <f t="shared" si="399"/>
        <v>953</v>
      </c>
      <c r="AY962" s="17">
        <f t="shared" si="398"/>
        <v>95.3</v>
      </c>
      <c r="AZ962" s="17">
        <v>57.634704676861922</v>
      </c>
      <c r="BA962" s="17"/>
      <c r="BB962" s="17">
        <v>36</v>
      </c>
      <c r="BC962" s="17"/>
      <c r="BD962" s="17"/>
      <c r="BE962" s="17"/>
      <c r="BF962" s="17"/>
      <c r="BG962" s="17"/>
      <c r="BH962" s="17"/>
      <c r="BI962" s="17"/>
      <c r="BJ962" s="17"/>
      <c r="BK962" s="17"/>
      <c r="BL962" s="17"/>
      <c r="BM962" s="17"/>
      <c r="BN962" s="17"/>
      <c r="BO962" s="17"/>
      <c r="BP962" s="17"/>
      <c r="BQ962" s="17"/>
      <c r="BR962" s="17"/>
      <c r="BS962" s="17"/>
      <c r="BT962" s="17"/>
      <c r="BU962" s="17"/>
      <c r="BV962" s="17"/>
      <c r="BW962" s="17"/>
      <c r="BX962" s="17"/>
      <c r="BY962" s="17"/>
      <c r="BZ962" s="17"/>
      <c r="CA962" s="17"/>
      <c r="CB962" s="17"/>
      <c r="CC962" s="17"/>
      <c r="CD962" s="17"/>
      <c r="CE962" s="17"/>
      <c r="CF962" s="17"/>
      <c r="CG962" s="17"/>
      <c r="CH962" s="17"/>
    </row>
    <row r="963" spans="8:86" x14ac:dyDescent="0.15">
      <c r="H963" s="3">
        <f t="shared" si="393"/>
        <v>0.95100000000000073</v>
      </c>
      <c r="I963" s="3">
        <f t="shared" si="394"/>
        <v>360</v>
      </c>
      <c r="J963" s="14">
        <f t="shared" si="395"/>
        <v>500</v>
      </c>
      <c r="K963" s="3">
        <f t="shared" si="385"/>
        <v>0</v>
      </c>
      <c r="L963" s="3">
        <f t="shared" si="381"/>
        <v>500</v>
      </c>
      <c r="M963" s="15">
        <f t="shared" si="396"/>
        <v>7.0000000000000007E-2</v>
      </c>
      <c r="N963" s="3">
        <f t="shared" si="397"/>
        <v>36.641258831596666</v>
      </c>
      <c r="O963" s="3">
        <f t="shared" si="382"/>
        <v>36.641258831596666</v>
      </c>
      <c r="P963" s="3">
        <f t="shared" si="386"/>
        <v>39.399203044727599</v>
      </c>
      <c r="Q963" s="3">
        <f t="shared" si="387"/>
        <v>1.8197542909047872</v>
      </c>
      <c r="R963" s="3">
        <f t="shared" si="388"/>
        <v>20.609478667816195</v>
      </c>
      <c r="S963" s="3">
        <f t="shared" si="383"/>
        <v>1</v>
      </c>
      <c r="T963" s="3">
        <f t="shared" si="389"/>
        <v>18789.724376911407</v>
      </c>
      <c r="U963" s="3">
        <f t="shared" si="390"/>
        <v>0.5</v>
      </c>
      <c r="V963" s="3">
        <f t="shared" si="391"/>
        <v>0</v>
      </c>
      <c r="W963" s="3">
        <f t="shared" si="392"/>
        <v>13190.853179374799</v>
      </c>
      <c r="X963" s="3">
        <f t="shared" si="384"/>
        <v>909.87714545239362</v>
      </c>
      <c r="AI963" s="3"/>
      <c r="AJ963" s="3"/>
      <c r="AK963" s="15">
        <f t="shared" si="375"/>
        <v>4</v>
      </c>
      <c r="AL963" s="11">
        <f t="shared" si="379"/>
        <v>5724</v>
      </c>
      <c r="AM963" s="11" t="b">
        <f t="shared" si="374"/>
        <v>0</v>
      </c>
      <c r="AN963" s="11">
        <f t="shared" si="376"/>
        <v>36000</v>
      </c>
      <c r="AO963" s="11">
        <f t="shared" si="377"/>
        <v>0</v>
      </c>
      <c r="AP963" s="11">
        <f t="shared" si="378"/>
        <v>0.57744936158343418</v>
      </c>
      <c r="AQ963" s="11">
        <f t="shared" si="380"/>
        <v>0</v>
      </c>
      <c r="AT963" s="3"/>
      <c r="AU963" s="17"/>
      <c r="AV963" s="19"/>
      <c r="AW963" s="17"/>
      <c r="AX963" s="17">
        <f t="shared" si="399"/>
        <v>954</v>
      </c>
      <c r="AY963" s="17">
        <f t="shared" si="398"/>
        <v>95.4</v>
      </c>
      <c r="AZ963" s="17">
        <v>57.744936158343421</v>
      </c>
      <c r="BA963" s="17"/>
      <c r="BB963" s="17">
        <v>36</v>
      </c>
      <c r="BC963" s="17"/>
      <c r="BD963" s="17"/>
      <c r="BE963" s="17"/>
      <c r="BF963" s="17"/>
      <c r="BG963" s="17"/>
      <c r="BH963" s="17"/>
      <c r="BI963" s="17"/>
      <c r="BJ963" s="17"/>
      <c r="BK963" s="17"/>
      <c r="BL963" s="17"/>
      <c r="BM963" s="17"/>
      <c r="BN963" s="17"/>
      <c r="BO963" s="17"/>
      <c r="BP963" s="17"/>
      <c r="BQ963" s="17"/>
      <c r="BR963" s="17"/>
      <c r="BS963" s="17"/>
      <c r="BT963" s="17"/>
      <c r="BU963" s="17"/>
      <c r="BV963" s="17"/>
      <c r="BW963" s="17"/>
      <c r="BX963" s="17"/>
      <c r="BY963" s="17"/>
      <c r="BZ963" s="17"/>
      <c r="CA963" s="17"/>
      <c r="CB963" s="17"/>
      <c r="CC963" s="17"/>
      <c r="CD963" s="17"/>
      <c r="CE963" s="17"/>
      <c r="CF963" s="17"/>
      <c r="CG963" s="17"/>
      <c r="CH963" s="17"/>
    </row>
    <row r="964" spans="8:86" x14ac:dyDescent="0.15">
      <c r="H964" s="3">
        <f t="shared" si="393"/>
        <v>0.95200000000000073</v>
      </c>
      <c r="I964" s="3">
        <f t="shared" si="394"/>
        <v>360</v>
      </c>
      <c r="J964" s="14">
        <f t="shared" si="395"/>
        <v>500</v>
      </c>
      <c r="K964" s="3">
        <f t="shared" si="385"/>
        <v>0</v>
      </c>
      <c r="L964" s="3">
        <f t="shared" si="381"/>
        <v>500</v>
      </c>
      <c r="M964" s="15">
        <f t="shared" si="396"/>
        <v>7.0000000000000007E-2</v>
      </c>
      <c r="N964" s="3">
        <f t="shared" si="397"/>
        <v>36.589065152771909</v>
      </c>
      <c r="O964" s="3">
        <f t="shared" si="382"/>
        <v>36.589065152771909</v>
      </c>
      <c r="P964" s="3">
        <f t="shared" si="386"/>
        <v>39.343080809432159</v>
      </c>
      <c r="Q964" s="3">
        <f t="shared" si="387"/>
        <v>1.7821748421509644</v>
      </c>
      <c r="R964" s="3">
        <f t="shared" si="388"/>
        <v>20.562627825791562</v>
      </c>
      <c r="S964" s="3">
        <f t="shared" si="383"/>
        <v>1</v>
      </c>
      <c r="T964" s="3">
        <f t="shared" si="389"/>
        <v>18780.452983640596</v>
      </c>
      <c r="U964" s="3">
        <f t="shared" si="390"/>
        <v>0.5</v>
      </c>
      <c r="V964" s="3">
        <f t="shared" si="391"/>
        <v>0</v>
      </c>
      <c r="W964" s="3">
        <f t="shared" si="392"/>
        <v>13172.063454997888</v>
      </c>
      <c r="X964" s="3">
        <f t="shared" si="384"/>
        <v>891.08742107548221</v>
      </c>
      <c r="AI964" s="3"/>
      <c r="AJ964" s="3"/>
      <c r="AK964" s="15">
        <f t="shared" si="375"/>
        <v>4</v>
      </c>
      <c r="AL964" s="11">
        <f t="shared" si="379"/>
        <v>5730</v>
      </c>
      <c r="AM964" s="11" t="b">
        <f t="shared" si="374"/>
        <v>0</v>
      </c>
      <c r="AN964" s="11">
        <f t="shared" si="376"/>
        <v>36000</v>
      </c>
      <c r="AO964" s="11">
        <f t="shared" si="377"/>
        <v>0</v>
      </c>
      <c r="AP964" s="11">
        <f t="shared" si="378"/>
        <v>0.578551676398249</v>
      </c>
      <c r="AQ964" s="11">
        <f t="shared" si="380"/>
        <v>0</v>
      </c>
      <c r="AT964" s="3"/>
      <c r="AU964" s="17"/>
      <c r="AV964" s="19"/>
      <c r="AW964" s="17"/>
      <c r="AX964" s="17">
        <f t="shared" si="399"/>
        <v>955</v>
      </c>
      <c r="AY964" s="17">
        <f t="shared" si="398"/>
        <v>95.5</v>
      </c>
      <c r="AZ964" s="17">
        <v>57.855167639824899</v>
      </c>
      <c r="BA964" s="17"/>
      <c r="BB964" s="17">
        <v>36</v>
      </c>
      <c r="BC964" s="17"/>
      <c r="BD964" s="17"/>
      <c r="BE964" s="17"/>
      <c r="BF964" s="17"/>
      <c r="BG964" s="17"/>
      <c r="BH964" s="17"/>
      <c r="BI964" s="17"/>
      <c r="BJ964" s="17"/>
      <c r="BK964" s="17"/>
      <c r="BL964" s="17"/>
      <c r="BM964" s="17"/>
      <c r="BN964" s="17"/>
      <c r="BO964" s="17"/>
      <c r="BP964" s="17"/>
      <c r="BQ964" s="17"/>
      <c r="BR964" s="17"/>
      <c r="BS964" s="17"/>
      <c r="BT964" s="17"/>
      <c r="BU964" s="17"/>
      <c r="BV964" s="17"/>
      <c r="BW964" s="17"/>
      <c r="BX964" s="17"/>
      <c r="BY964" s="17"/>
      <c r="BZ964" s="17"/>
      <c r="CA964" s="17"/>
      <c r="CB964" s="17"/>
      <c r="CC964" s="17"/>
      <c r="CD964" s="17"/>
      <c r="CE964" s="17"/>
      <c r="CF964" s="17"/>
      <c r="CG964" s="17"/>
      <c r="CH964" s="17"/>
    </row>
    <row r="965" spans="8:86" x14ac:dyDescent="0.15">
      <c r="H965" s="3">
        <f t="shared" si="393"/>
        <v>0.95300000000000074</v>
      </c>
      <c r="I965" s="3">
        <f t="shared" si="394"/>
        <v>360</v>
      </c>
      <c r="J965" s="14">
        <f t="shared" si="395"/>
        <v>500</v>
      </c>
      <c r="K965" s="3">
        <f t="shared" si="385"/>
        <v>0</v>
      </c>
      <c r="L965" s="3">
        <f t="shared" si="381"/>
        <v>500</v>
      </c>
      <c r="M965" s="15">
        <f t="shared" si="396"/>
        <v>7.0000000000000007E-2</v>
      </c>
      <c r="N965" s="3">
        <f t="shared" si="397"/>
        <v>36.536897227817349</v>
      </c>
      <c r="O965" s="3">
        <f t="shared" si="382"/>
        <v>36.536897227817349</v>
      </c>
      <c r="P965" s="3">
        <f t="shared" si="386"/>
        <v>39.286986266470272</v>
      </c>
      <c r="Q965" s="3">
        <f t="shared" si="387"/>
        <v>1.7446139361836834</v>
      </c>
      <c r="R965" s="3">
        <f t="shared" si="388"/>
        <v>20.515800101326978</v>
      </c>
      <c r="S965" s="3">
        <f t="shared" si="383"/>
        <v>1</v>
      </c>
      <c r="T965" s="3">
        <f t="shared" si="389"/>
        <v>18771.186165143296</v>
      </c>
      <c r="U965" s="3">
        <f t="shared" si="390"/>
        <v>0.5</v>
      </c>
      <c r="V965" s="3">
        <f t="shared" si="391"/>
        <v>0</v>
      </c>
      <c r="W965" s="3">
        <f t="shared" si="392"/>
        <v>13153.283002014246</v>
      </c>
      <c r="X965" s="3">
        <f t="shared" si="384"/>
        <v>872.30696809184167</v>
      </c>
      <c r="AI965" s="3"/>
      <c r="AJ965" s="3"/>
      <c r="AK965" s="15">
        <f t="shared" si="375"/>
        <v>4</v>
      </c>
      <c r="AL965" s="11">
        <f t="shared" si="379"/>
        <v>5736</v>
      </c>
      <c r="AM965" s="11" t="b">
        <f t="shared" si="374"/>
        <v>0</v>
      </c>
      <c r="AN965" s="11">
        <f t="shared" si="376"/>
        <v>36000</v>
      </c>
      <c r="AO965" s="11">
        <f t="shared" si="377"/>
        <v>0</v>
      </c>
      <c r="AP965" s="11">
        <f t="shared" si="378"/>
        <v>0.57965399121306382</v>
      </c>
      <c r="AQ965" s="11">
        <f t="shared" si="380"/>
        <v>0</v>
      </c>
      <c r="AT965" s="3"/>
      <c r="AU965" s="17"/>
      <c r="AV965" s="19"/>
      <c r="AW965" s="17"/>
      <c r="AX965" s="17">
        <f t="shared" si="399"/>
        <v>956</v>
      </c>
      <c r="AY965" s="17">
        <f t="shared" si="398"/>
        <v>95.6</v>
      </c>
      <c r="AZ965" s="17">
        <v>57.965399121306383</v>
      </c>
      <c r="BA965" s="17"/>
      <c r="BB965" s="17">
        <v>36</v>
      </c>
      <c r="BC965" s="17"/>
      <c r="BD965" s="17"/>
      <c r="BE965" s="17"/>
      <c r="BF965" s="17"/>
      <c r="BG965" s="17"/>
      <c r="BH965" s="17"/>
      <c r="BI965" s="17"/>
      <c r="BJ965" s="17"/>
      <c r="BK965" s="17"/>
      <c r="BL965" s="17"/>
      <c r="BM965" s="17"/>
      <c r="BN965" s="17"/>
      <c r="BO965" s="17"/>
      <c r="BP965" s="17"/>
      <c r="BQ965" s="17"/>
      <c r="BR965" s="17"/>
      <c r="BS965" s="17"/>
      <c r="BT965" s="17"/>
      <c r="BU965" s="17"/>
      <c r="BV965" s="17"/>
      <c r="BW965" s="17"/>
      <c r="BX965" s="17"/>
      <c r="BY965" s="17"/>
      <c r="BZ965" s="17"/>
      <c r="CA965" s="17"/>
      <c r="CB965" s="17"/>
      <c r="CC965" s="17"/>
      <c r="CD965" s="17"/>
      <c r="CE965" s="17"/>
      <c r="CF965" s="17"/>
      <c r="CG965" s="17"/>
      <c r="CH965" s="17"/>
    </row>
    <row r="966" spans="8:86" x14ac:dyDescent="0.15">
      <c r="H966" s="3">
        <f t="shared" si="393"/>
        <v>0.95400000000000074</v>
      </c>
      <c r="I966" s="3">
        <f t="shared" si="394"/>
        <v>360</v>
      </c>
      <c r="J966" s="14">
        <f t="shared" si="395"/>
        <v>500</v>
      </c>
      <c r="K966" s="3">
        <f t="shared" si="385"/>
        <v>0</v>
      </c>
      <c r="L966" s="3">
        <f t="shared" si="381"/>
        <v>500</v>
      </c>
      <c r="M966" s="15">
        <f t="shared" si="396"/>
        <v>7.0000000000000007E-2</v>
      </c>
      <c r="N966" s="3">
        <f t="shared" si="397"/>
        <v>36.484755044025285</v>
      </c>
      <c r="O966" s="3">
        <f t="shared" si="382"/>
        <v>36.484755044025285</v>
      </c>
      <c r="P966" s="3">
        <f t="shared" si="386"/>
        <v>39.230919402177726</v>
      </c>
      <c r="Q966" s="3">
        <f t="shared" si="387"/>
        <v>1.7070715638533969</v>
      </c>
      <c r="R966" s="3">
        <f t="shared" si="388"/>
        <v>20.468995483015561</v>
      </c>
      <c r="S966" s="3">
        <f t="shared" si="383"/>
        <v>1</v>
      </c>
      <c r="T966" s="3">
        <f t="shared" si="389"/>
        <v>18761.923919162164</v>
      </c>
      <c r="U966" s="3">
        <f t="shared" si="390"/>
        <v>0.5</v>
      </c>
      <c r="V966" s="3">
        <f t="shared" si="391"/>
        <v>0</v>
      </c>
      <c r="W966" s="3">
        <f t="shared" si="392"/>
        <v>13134.511815849102</v>
      </c>
      <c r="X966" s="3">
        <f t="shared" si="384"/>
        <v>853.53578192669841</v>
      </c>
      <c r="AI966" s="3"/>
      <c r="AJ966" s="3"/>
      <c r="AK966" s="15">
        <f t="shared" si="375"/>
        <v>4</v>
      </c>
      <c r="AL966" s="11">
        <f t="shared" si="379"/>
        <v>5742</v>
      </c>
      <c r="AM966" s="11" t="b">
        <f t="shared" si="374"/>
        <v>0</v>
      </c>
      <c r="AN966" s="11">
        <f t="shared" si="376"/>
        <v>36000</v>
      </c>
      <c r="AO966" s="11">
        <f t="shared" si="377"/>
        <v>0</v>
      </c>
      <c r="AP966" s="11">
        <f t="shared" si="378"/>
        <v>0.58075630602787864</v>
      </c>
      <c r="AQ966" s="11">
        <f t="shared" si="380"/>
        <v>0</v>
      </c>
      <c r="AT966" s="3"/>
      <c r="AU966" s="17"/>
      <c r="AV966" s="19"/>
      <c r="AW966" s="17"/>
      <c r="AX966" s="17">
        <f t="shared" si="399"/>
        <v>957</v>
      </c>
      <c r="AY966" s="17">
        <f t="shared" si="398"/>
        <v>95.7</v>
      </c>
      <c r="AZ966" s="17">
        <v>58.075630602787868</v>
      </c>
      <c r="BA966" s="17"/>
      <c r="BB966" s="17">
        <v>36</v>
      </c>
      <c r="BC966" s="17"/>
      <c r="BD966" s="17"/>
      <c r="BE966" s="17"/>
      <c r="BF966" s="17"/>
      <c r="BG966" s="17"/>
      <c r="BH966" s="17"/>
      <c r="BI966" s="17"/>
      <c r="BJ966" s="17"/>
      <c r="BK966" s="17"/>
      <c r="BL966" s="17"/>
      <c r="BM966" s="17"/>
      <c r="BN966" s="17"/>
      <c r="BO966" s="17"/>
      <c r="BP966" s="17"/>
      <c r="BQ966" s="17"/>
      <c r="BR966" s="17"/>
      <c r="BS966" s="17"/>
      <c r="BT966" s="17"/>
      <c r="BU966" s="17"/>
      <c r="BV966" s="17"/>
      <c r="BW966" s="17"/>
      <c r="BX966" s="17"/>
      <c r="BY966" s="17"/>
      <c r="BZ966" s="17"/>
      <c r="CA966" s="17"/>
      <c r="CB966" s="17"/>
      <c r="CC966" s="17"/>
      <c r="CD966" s="17"/>
      <c r="CE966" s="17"/>
      <c r="CF966" s="17"/>
      <c r="CG966" s="17"/>
      <c r="CH966" s="17"/>
    </row>
    <row r="967" spans="8:86" x14ac:dyDescent="0.15">
      <c r="H967" s="3">
        <f t="shared" si="393"/>
        <v>0.95500000000000074</v>
      </c>
      <c r="I967" s="3">
        <f t="shared" si="394"/>
        <v>360</v>
      </c>
      <c r="J967" s="14">
        <f t="shared" si="395"/>
        <v>500</v>
      </c>
      <c r="K967" s="3">
        <f t="shared" si="385"/>
        <v>0</v>
      </c>
      <c r="L967" s="3">
        <f t="shared" si="381"/>
        <v>500</v>
      </c>
      <c r="M967" s="15">
        <f t="shared" si="396"/>
        <v>7.0000000000000007E-2</v>
      </c>
      <c r="N967" s="3">
        <f t="shared" si="397"/>
        <v>36.432638588694275</v>
      </c>
      <c r="O967" s="3">
        <f t="shared" si="382"/>
        <v>36.432638588694275</v>
      </c>
      <c r="P967" s="3">
        <f t="shared" si="386"/>
        <v>39.174880202897072</v>
      </c>
      <c r="Q967" s="3">
        <f t="shared" si="387"/>
        <v>1.6695477160150725</v>
      </c>
      <c r="R967" s="3">
        <f t="shared" si="388"/>
        <v>20.422213959456073</v>
      </c>
      <c r="S967" s="3">
        <f t="shared" si="383"/>
        <v>1</v>
      </c>
      <c r="T967" s="3">
        <f t="shared" si="389"/>
        <v>18752.666243440999</v>
      </c>
      <c r="U967" s="3">
        <f t="shared" si="390"/>
        <v>0.5</v>
      </c>
      <c r="V967" s="3">
        <f t="shared" si="391"/>
        <v>0</v>
      </c>
      <c r="W967" s="3">
        <f t="shared" si="392"/>
        <v>13115.74989192994</v>
      </c>
      <c r="X967" s="3">
        <f t="shared" si="384"/>
        <v>834.77385800753621</v>
      </c>
      <c r="AI967" s="3"/>
      <c r="AJ967" s="3"/>
      <c r="AK967" s="15">
        <f t="shared" si="375"/>
        <v>4</v>
      </c>
      <c r="AL967" s="11">
        <f t="shared" si="379"/>
        <v>5748</v>
      </c>
      <c r="AM967" s="11" t="b">
        <f t="shared" si="374"/>
        <v>0</v>
      </c>
      <c r="AN967" s="11">
        <f t="shared" si="376"/>
        <v>36000</v>
      </c>
      <c r="AO967" s="11">
        <f t="shared" si="377"/>
        <v>0</v>
      </c>
      <c r="AP967" s="11">
        <f t="shared" si="378"/>
        <v>0.58185862084269346</v>
      </c>
      <c r="AQ967" s="11">
        <f t="shared" si="380"/>
        <v>0</v>
      </c>
      <c r="AT967" s="3"/>
      <c r="AU967" s="17"/>
      <c r="AV967" s="19"/>
      <c r="AW967" s="17"/>
      <c r="AX967" s="17">
        <f t="shared" si="399"/>
        <v>958</v>
      </c>
      <c r="AY967" s="17">
        <f t="shared" si="398"/>
        <v>95.8</v>
      </c>
      <c r="AZ967" s="17">
        <v>58.185862084269345</v>
      </c>
      <c r="BA967" s="17"/>
      <c r="BB967" s="17">
        <v>36</v>
      </c>
      <c r="BC967" s="17"/>
      <c r="BD967" s="17"/>
      <c r="BE967" s="17"/>
      <c r="BF967" s="17"/>
      <c r="BG967" s="17"/>
      <c r="BH967" s="17"/>
      <c r="BI967" s="17"/>
      <c r="BJ967" s="17"/>
      <c r="BK967" s="17"/>
      <c r="BL967" s="17"/>
      <c r="BM967" s="17"/>
      <c r="BN967" s="17"/>
      <c r="BO967" s="17"/>
      <c r="BP967" s="17"/>
      <c r="BQ967" s="17"/>
      <c r="BR967" s="17"/>
      <c r="BS967" s="17"/>
      <c r="BT967" s="17"/>
      <c r="BU967" s="17"/>
      <c r="BV967" s="17"/>
      <c r="BW967" s="17"/>
      <c r="BX967" s="17"/>
      <c r="BY967" s="17"/>
      <c r="BZ967" s="17"/>
      <c r="CA967" s="17"/>
      <c r="CB967" s="17"/>
      <c r="CC967" s="17"/>
      <c r="CD967" s="17"/>
      <c r="CE967" s="17"/>
      <c r="CF967" s="17"/>
      <c r="CG967" s="17"/>
      <c r="CH967" s="17"/>
    </row>
    <row r="968" spans="8:86" x14ac:dyDescent="0.15">
      <c r="H968" s="3">
        <f t="shared" si="393"/>
        <v>0.95600000000000074</v>
      </c>
      <c r="I968" s="3">
        <f t="shared" si="394"/>
        <v>360</v>
      </c>
      <c r="J968" s="14">
        <f t="shared" si="395"/>
        <v>500</v>
      </c>
      <c r="K968" s="3">
        <f t="shared" si="385"/>
        <v>0</v>
      </c>
      <c r="L968" s="3">
        <f t="shared" si="381"/>
        <v>500</v>
      </c>
      <c r="M968" s="15">
        <f t="shared" si="396"/>
        <v>7.0000000000000007E-2</v>
      </c>
      <c r="N968" s="3">
        <f t="shared" si="397"/>
        <v>36.380547849129165</v>
      </c>
      <c r="O968" s="3">
        <f t="shared" si="382"/>
        <v>36.380547849129165</v>
      </c>
      <c r="P968" s="3">
        <f t="shared" si="386"/>
        <v>39.118868654977597</v>
      </c>
      <c r="Q968" s="3">
        <f t="shared" si="387"/>
        <v>1.6320423835281903</v>
      </c>
      <c r="R968" s="3">
        <f t="shared" si="388"/>
        <v>20.375455519252892</v>
      </c>
      <c r="S968" s="3">
        <f t="shared" si="383"/>
        <v>1</v>
      </c>
      <c r="T968" s="3">
        <f t="shared" si="389"/>
        <v>18743.413135724706</v>
      </c>
      <c r="U968" s="3">
        <f t="shared" si="390"/>
        <v>0.5</v>
      </c>
      <c r="V968" s="3">
        <f t="shared" si="391"/>
        <v>0</v>
      </c>
      <c r="W968" s="3">
        <f t="shared" si="392"/>
        <v>13096.9972256865</v>
      </c>
      <c r="X968" s="3">
        <f t="shared" si="384"/>
        <v>816.02119176409519</v>
      </c>
      <c r="AI968" s="3"/>
      <c r="AJ968" s="3"/>
      <c r="AK968" s="15">
        <f t="shared" si="375"/>
        <v>4</v>
      </c>
      <c r="AL968" s="11">
        <f t="shared" si="379"/>
        <v>5754</v>
      </c>
      <c r="AM968" s="11" t="b">
        <f t="shared" si="374"/>
        <v>0</v>
      </c>
      <c r="AN968" s="11">
        <f t="shared" si="376"/>
        <v>36000</v>
      </c>
      <c r="AO968" s="11">
        <f t="shared" si="377"/>
        <v>0</v>
      </c>
      <c r="AP968" s="11">
        <f t="shared" si="378"/>
        <v>0.58296093565750839</v>
      </c>
      <c r="AQ968" s="11">
        <f t="shared" si="380"/>
        <v>0</v>
      </c>
      <c r="AT968" s="3"/>
      <c r="AU968" s="17"/>
      <c r="AV968" s="19"/>
      <c r="AW968" s="17"/>
      <c r="AX968" s="17">
        <f t="shared" si="399"/>
        <v>959</v>
      </c>
      <c r="AY968" s="17">
        <f t="shared" si="398"/>
        <v>95.9</v>
      </c>
      <c r="AZ968" s="17">
        <v>58.296093565750837</v>
      </c>
      <c r="BA968" s="17"/>
      <c r="BB968" s="17">
        <v>36</v>
      </c>
      <c r="BC968" s="17"/>
      <c r="BD968" s="17"/>
      <c r="BE968" s="17"/>
      <c r="BF968" s="17"/>
      <c r="BG968" s="17"/>
      <c r="BH968" s="17"/>
      <c r="BI968" s="17"/>
      <c r="BJ968" s="17"/>
      <c r="BK968" s="17"/>
      <c r="BL968" s="17"/>
      <c r="BM968" s="17"/>
      <c r="BN968" s="17"/>
      <c r="BO968" s="17"/>
      <c r="BP968" s="17"/>
      <c r="BQ968" s="17"/>
      <c r="BR968" s="17"/>
      <c r="BS968" s="17"/>
      <c r="BT968" s="17"/>
      <c r="BU968" s="17"/>
      <c r="BV968" s="17"/>
      <c r="BW968" s="17"/>
      <c r="BX968" s="17"/>
      <c r="BY968" s="17"/>
      <c r="BZ968" s="17"/>
      <c r="CA968" s="17"/>
      <c r="CB968" s="17"/>
      <c r="CC968" s="17"/>
      <c r="CD968" s="17"/>
      <c r="CE968" s="17"/>
      <c r="CF968" s="17"/>
      <c r="CG968" s="17"/>
      <c r="CH968" s="17"/>
    </row>
    <row r="969" spans="8:86" x14ac:dyDescent="0.15">
      <c r="H969" s="3">
        <f t="shared" si="393"/>
        <v>0.95700000000000074</v>
      </c>
      <c r="I969" s="3">
        <f t="shared" si="394"/>
        <v>360</v>
      </c>
      <c r="J969" s="14">
        <f t="shared" si="395"/>
        <v>500</v>
      </c>
      <c r="K969" s="3">
        <f t="shared" si="385"/>
        <v>0</v>
      </c>
      <c r="L969" s="3">
        <f t="shared" si="381"/>
        <v>500</v>
      </c>
      <c r="M969" s="15">
        <f t="shared" si="396"/>
        <v>7.0000000000000007E-2</v>
      </c>
      <c r="N969" s="3">
        <f t="shared" si="397"/>
        <v>36.328482812641042</v>
      </c>
      <c r="O969" s="3">
        <f t="shared" si="382"/>
        <v>36.328482812641042</v>
      </c>
      <c r="P969" s="3">
        <f t="shared" si="386"/>
        <v>39.062884744775317</v>
      </c>
      <c r="Q969" s="3">
        <f t="shared" si="387"/>
        <v>1.5945555572567409</v>
      </c>
      <c r="R969" s="3">
        <f t="shared" si="388"/>
        <v>20.328720151016029</v>
      </c>
      <c r="S969" s="3">
        <f t="shared" si="383"/>
        <v>1</v>
      </c>
      <c r="T969" s="3">
        <f t="shared" si="389"/>
        <v>18734.164593759288</v>
      </c>
      <c r="U969" s="3">
        <f t="shared" si="390"/>
        <v>0.5</v>
      </c>
      <c r="V969" s="3">
        <f t="shared" si="391"/>
        <v>0</v>
      </c>
      <c r="W969" s="3">
        <f t="shared" si="392"/>
        <v>13078.253812550774</v>
      </c>
      <c r="X969" s="3">
        <f t="shared" si="384"/>
        <v>797.27777862837047</v>
      </c>
      <c r="AI969" s="3"/>
      <c r="AJ969" s="3"/>
      <c r="AK969" s="15">
        <f t="shared" si="375"/>
        <v>4</v>
      </c>
      <c r="AL969" s="11">
        <f t="shared" si="379"/>
        <v>5760</v>
      </c>
      <c r="AM969" s="11" t="b">
        <f t="shared" ref="AM969:AM1032" si="400">OR(AND(AL969&gt;=$AC$5,AL969&lt;=$AD$5),AND(AL969&gt;=$AC$6,AL969&lt;=$AD$6),AND(AL969&gt;=$AC$7,AL969&lt;=$AD$7),AND(AL969&gt;=$AC$8,AL969&lt;=$AD$8),AND(AL969&gt;=$AC$9,AL969&lt;=$AD$9),AND(AL969&gt;=$AC$10,AL969&lt;=$AD$10),AND(AL969&gt;=$AC$11,AL969&lt;=$AD$11),AND($AD$11&lt;$AC$11,OR(AL969&lt;$AD$11,AL969&gt;$AC$11)))</f>
        <v>0</v>
      </c>
      <c r="AN969" s="11">
        <f t="shared" si="376"/>
        <v>36000</v>
      </c>
      <c r="AO969" s="11">
        <f t="shared" si="377"/>
        <v>0</v>
      </c>
      <c r="AP969" s="11">
        <f t="shared" si="378"/>
        <v>0.58406325047232333</v>
      </c>
      <c r="AQ969" s="11">
        <f t="shared" si="380"/>
        <v>0</v>
      </c>
      <c r="AT969" s="3"/>
      <c r="AU969" s="17"/>
      <c r="AV969" s="19"/>
      <c r="AW969" s="17"/>
      <c r="AX969" s="17">
        <f t="shared" si="399"/>
        <v>960</v>
      </c>
      <c r="AY969" s="17">
        <f t="shared" si="398"/>
        <v>96</v>
      </c>
      <c r="AZ969" s="17">
        <v>58.406325047232329</v>
      </c>
      <c r="BA969" s="17"/>
      <c r="BB969" s="17">
        <v>36</v>
      </c>
      <c r="BC969" s="17"/>
      <c r="BD969" s="17"/>
      <c r="BE969" s="17"/>
      <c r="BF969" s="17"/>
      <c r="BG969" s="17"/>
      <c r="BH969" s="17"/>
      <c r="BI969" s="17"/>
      <c r="BJ969" s="17"/>
      <c r="BK969" s="17"/>
      <c r="BL969" s="17"/>
      <c r="BM969" s="17"/>
      <c r="BN969" s="17"/>
      <c r="BO969" s="17"/>
      <c r="BP969" s="17"/>
      <c r="BQ969" s="17"/>
      <c r="BR969" s="17"/>
      <c r="BS969" s="17"/>
      <c r="BT969" s="17"/>
      <c r="BU969" s="17"/>
      <c r="BV969" s="17"/>
      <c r="BW969" s="17"/>
      <c r="BX969" s="17"/>
      <c r="BY969" s="17"/>
      <c r="BZ969" s="17"/>
      <c r="CA969" s="17"/>
      <c r="CB969" s="17"/>
      <c r="CC969" s="17"/>
      <c r="CD969" s="17"/>
      <c r="CE969" s="17"/>
      <c r="CF969" s="17"/>
      <c r="CG969" s="17"/>
      <c r="CH969" s="17"/>
    </row>
    <row r="970" spans="8:86" x14ac:dyDescent="0.15">
      <c r="H970" s="3">
        <f t="shared" si="393"/>
        <v>0.95800000000000074</v>
      </c>
      <c r="I970" s="3">
        <f t="shared" si="394"/>
        <v>360</v>
      </c>
      <c r="J970" s="14">
        <f t="shared" si="395"/>
        <v>500</v>
      </c>
      <c r="K970" s="3">
        <f t="shared" si="385"/>
        <v>0</v>
      </c>
      <c r="L970" s="3">
        <f t="shared" si="381"/>
        <v>500</v>
      </c>
      <c r="M970" s="15">
        <f t="shared" si="396"/>
        <v>7.0000000000000007E-2</v>
      </c>
      <c r="N970" s="3">
        <f t="shared" si="397"/>
        <v>36.276443466547263</v>
      </c>
      <c r="O970" s="3">
        <f t="shared" si="382"/>
        <v>36.276443466547263</v>
      </c>
      <c r="P970" s="3">
        <f t="shared" si="386"/>
        <v>39.006928458652972</v>
      </c>
      <c r="Q970" s="3">
        <f t="shared" si="387"/>
        <v>1.5570872280692225</v>
      </c>
      <c r="R970" s="3">
        <f t="shared" si="388"/>
        <v>20.282007843361097</v>
      </c>
      <c r="S970" s="3">
        <f t="shared" si="383"/>
        <v>1</v>
      </c>
      <c r="T970" s="3">
        <f t="shared" si="389"/>
        <v>18724.920615291874</v>
      </c>
      <c r="U970" s="3">
        <f t="shared" si="390"/>
        <v>0.5</v>
      </c>
      <c r="V970" s="3">
        <f t="shared" si="391"/>
        <v>0</v>
      </c>
      <c r="W970" s="3">
        <f t="shared" si="392"/>
        <v>13059.519647957015</v>
      </c>
      <c r="X970" s="3">
        <f t="shared" si="384"/>
        <v>778.54361403461121</v>
      </c>
      <c r="AI970" s="3"/>
      <c r="AJ970" s="3"/>
      <c r="AK970" s="15">
        <f t="shared" ref="AK970:AK1033" si="401">1+INT(MOD(AL970/60/24-0.5,7))</f>
        <v>4</v>
      </c>
      <c r="AL970" s="11">
        <f t="shared" si="379"/>
        <v>5766</v>
      </c>
      <c r="AM970" s="11" t="b">
        <f t="shared" si="400"/>
        <v>0</v>
      </c>
      <c r="AN970" s="11">
        <f t="shared" ref="AN970:AN1033" si="402">IF(AND(AM970,NOT(AM971)),$AB$26,AN969+($AB$28-IF(AND(AM969,AM970),CHOOSE(AK970,$AG$5,$AG$6,$AG$7,$AG$8,$AG$9,$AG$10,$AG$11)*$AA$22/$AA$24,0))*$AB$15)</f>
        <v>36000</v>
      </c>
      <c r="AO970" s="11">
        <f t="shared" ref="AO970:AO1033" si="403">IF(AND(AM970,NOT(AM971)),$AB$27,AO969+($AB$29-IF(AND(AM969,AM970),CHOOSE(AK970,$AG$5,$AG$6,$AG$7,$AG$8,$AG$9,$AG$10,$AG$11)*$AA$23/$AA$24,0))*$AB$15)</f>
        <v>0</v>
      </c>
      <c r="AP970" s="11">
        <f t="shared" ref="AP970:AP1033" si="404">IF(AN969&lt;=0,0,(AP969*AN969-(IF(AND(AM969,AM970),CHOOSE(AK970,$AI$5,$AI$6,$AI$7,$AI$8,$AI$9,$AI$10,$AI$11),$AA$37))*AP969*$AB$15+$AA$34*(AQ969-AP969)*$AB$15+$AA$33*$AB$15)/AN969)</f>
        <v>0.58516556528713815</v>
      </c>
      <c r="AQ970" s="11">
        <f t="shared" si="380"/>
        <v>0</v>
      </c>
      <c r="AT970" s="3"/>
      <c r="AU970" s="17"/>
      <c r="AV970" s="19"/>
      <c r="AW970" s="17"/>
      <c r="AX970" s="17">
        <f t="shared" si="399"/>
        <v>961</v>
      </c>
      <c r="AY970" s="17">
        <f t="shared" si="398"/>
        <v>96.1</v>
      </c>
      <c r="AZ970" s="17">
        <v>58.516556528713814</v>
      </c>
      <c r="BA970" s="17"/>
      <c r="BB970" s="17">
        <v>36</v>
      </c>
      <c r="BC970" s="17"/>
      <c r="BD970" s="17"/>
      <c r="BE970" s="17"/>
      <c r="BF970" s="17"/>
      <c r="BG970" s="17"/>
      <c r="BH970" s="17"/>
      <c r="BI970" s="17"/>
      <c r="BJ970" s="17"/>
      <c r="BK970" s="17"/>
      <c r="BL970" s="17"/>
      <c r="BM970" s="17"/>
      <c r="BN970" s="17"/>
      <c r="BO970" s="17"/>
      <c r="BP970" s="17"/>
      <c r="BQ970" s="17"/>
      <c r="BR970" s="17"/>
      <c r="BS970" s="17"/>
      <c r="BT970" s="17"/>
      <c r="BU970" s="17"/>
      <c r="BV970" s="17"/>
      <c r="BW970" s="17"/>
      <c r="BX970" s="17"/>
      <c r="BY970" s="17"/>
      <c r="BZ970" s="17"/>
      <c r="CA970" s="17"/>
      <c r="CB970" s="17"/>
      <c r="CC970" s="17"/>
      <c r="CD970" s="17"/>
      <c r="CE970" s="17"/>
      <c r="CF970" s="17"/>
      <c r="CG970" s="17"/>
      <c r="CH970" s="17"/>
    </row>
    <row r="971" spans="8:86" x14ac:dyDescent="0.15">
      <c r="H971" s="3">
        <f t="shared" si="393"/>
        <v>0.95900000000000074</v>
      </c>
      <c r="I971" s="3">
        <f t="shared" si="394"/>
        <v>360</v>
      </c>
      <c r="J971" s="14">
        <f t="shared" si="395"/>
        <v>500</v>
      </c>
      <c r="K971" s="3">
        <f t="shared" si="385"/>
        <v>0</v>
      </c>
      <c r="L971" s="3">
        <f t="shared" si="381"/>
        <v>500</v>
      </c>
      <c r="M971" s="15">
        <f t="shared" si="396"/>
        <v>7.0000000000000007E-2</v>
      </c>
      <c r="N971" s="3">
        <f t="shared" si="397"/>
        <v>36.22442979817145</v>
      </c>
      <c r="O971" s="3">
        <f t="shared" si="382"/>
        <v>36.22442979817145</v>
      </c>
      <c r="P971" s="3">
        <f t="shared" si="386"/>
        <v>38.950999782980055</v>
      </c>
      <c r="Q971" s="3">
        <f t="shared" si="387"/>
        <v>1.5196373868386386</v>
      </c>
      <c r="R971" s="3">
        <f t="shared" si="388"/>
        <v>20.235318584909347</v>
      </c>
      <c r="S971" s="3">
        <f t="shared" si="383"/>
        <v>1</v>
      </c>
      <c r="T971" s="3">
        <f t="shared" si="389"/>
        <v>18715.68119807071</v>
      </c>
      <c r="U971" s="3">
        <f t="shared" si="390"/>
        <v>0.5</v>
      </c>
      <c r="V971" s="3">
        <f t="shared" si="391"/>
        <v>0</v>
      </c>
      <c r="W971" s="3">
        <f t="shared" si="392"/>
        <v>13040.794727341721</v>
      </c>
      <c r="X971" s="3">
        <f t="shared" si="384"/>
        <v>759.81869341931929</v>
      </c>
      <c r="AI971" s="3"/>
      <c r="AJ971" s="3"/>
      <c r="AK971" s="15">
        <f t="shared" si="401"/>
        <v>4</v>
      </c>
      <c r="AL971" s="11">
        <f t="shared" ref="AL971:AL1002" si="405">AL970+$AB$15</f>
        <v>5772</v>
      </c>
      <c r="AM971" s="11" t="b">
        <f t="shared" si="400"/>
        <v>0</v>
      </c>
      <c r="AN971" s="11">
        <f t="shared" si="402"/>
        <v>36000</v>
      </c>
      <c r="AO971" s="11">
        <f t="shared" si="403"/>
        <v>0</v>
      </c>
      <c r="AP971" s="11">
        <f t="shared" si="404"/>
        <v>0.58626788010195297</v>
      </c>
      <c r="AQ971" s="11">
        <f t="shared" ref="AQ971:AQ1002" si="406">IF(AO970&lt;=0,0,(AQ970*AO970-$AA$34*(AQ970-AP970)*$AB$15)/AO970)</f>
        <v>0</v>
      </c>
      <c r="AT971" s="3"/>
      <c r="AU971" s="17"/>
      <c r="AV971" s="19"/>
      <c r="AW971" s="17"/>
      <c r="AX971" s="17">
        <f t="shared" si="399"/>
        <v>962</v>
      </c>
      <c r="AY971" s="17">
        <f t="shared" si="398"/>
        <v>96.2</v>
      </c>
      <c r="AZ971" s="17">
        <v>58.626788010195298</v>
      </c>
      <c r="BA971" s="17"/>
      <c r="BB971" s="17">
        <v>36</v>
      </c>
      <c r="BC971" s="17"/>
      <c r="BD971" s="17"/>
      <c r="BE971" s="17"/>
      <c r="BF971" s="17"/>
      <c r="BG971" s="17"/>
      <c r="BH971" s="17"/>
      <c r="BI971" s="17"/>
      <c r="BJ971" s="17"/>
      <c r="BK971" s="17"/>
      <c r="BL971" s="17"/>
      <c r="BM971" s="17"/>
      <c r="BN971" s="17"/>
      <c r="BO971" s="17"/>
      <c r="BP971" s="17"/>
      <c r="BQ971" s="17"/>
      <c r="BR971" s="17"/>
      <c r="BS971" s="17"/>
      <c r="BT971" s="17"/>
      <c r="BU971" s="17"/>
      <c r="BV971" s="17"/>
      <c r="BW971" s="17"/>
      <c r="BX971" s="17"/>
      <c r="BY971" s="17"/>
      <c r="BZ971" s="17"/>
      <c r="CA971" s="17"/>
      <c r="CB971" s="17"/>
      <c r="CC971" s="17"/>
      <c r="CD971" s="17"/>
      <c r="CE971" s="17"/>
      <c r="CF971" s="17"/>
      <c r="CG971" s="17"/>
      <c r="CH971" s="17"/>
    </row>
    <row r="972" spans="8:86" x14ac:dyDescent="0.15">
      <c r="H972" s="3">
        <f t="shared" si="393"/>
        <v>0.96000000000000074</v>
      </c>
      <c r="I972" s="3">
        <f t="shared" si="394"/>
        <v>360</v>
      </c>
      <c r="J972" s="14">
        <f t="shared" si="395"/>
        <v>500</v>
      </c>
      <c r="K972" s="3">
        <f t="shared" si="385"/>
        <v>0</v>
      </c>
      <c r="L972" s="3">
        <f t="shared" ref="L972:L1012" si="407">$L$8*$L$6/I972</f>
        <v>500</v>
      </c>
      <c r="M972" s="15">
        <f t="shared" si="396"/>
        <v>7.0000000000000007E-2</v>
      </c>
      <c r="N972" s="3">
        <f t="shared" si="397"/>
        <v>36.172441794843472</v>
      </c>
      <c r="O972" s="3">
        <f t="shared" ref="O972:O1012" si="408">N972*S972</f>
        <v>36.172441794843472</v>
      </c>
      <c r="P972" s="3">
        <f t="shared" si="386"/>
        <v>38.895098704132771</v>
      </c>
      <c r="Q972" s="3">
        <f t="shared" si="387"/>
        <v>1.4822060244424973</v>
      </c>
      <c r="R972" s="3">
        <f t="shared" si="388"/>
        <v>20.188652364287634</v>
      </c>
      <c r="S972" s="3">
        <f t="shared" ref="S972:S1012" si="409">IF($F$10=0,0,IF($F$10=1,1,(N972-L972-1/$I$5+((L972-N972+1/$I$5)^2+4*N972/$I$5)^0.5)/2/N972))</f>
        <v>1</v>
      </c>
      <c r="T972" s="3">
        <f t="shared" si="389"/>
        <v>18706.446339845137</v>
      </c>
      <c r="U972" s="3">
        <f t="shared" si="390"/>
        <v>0.5</v>
      </c>
      <c r="V972" s="3">
        <f t="shared" si="391"/>
        <v>0</v>
      </c>
      <c r="W972" s="3">
        <f t="shared" si="392"/>
        <v>13022.07904614365</v>
      </c>
      <c r="X972" s="3">
        <f t="shared" ref="X972:X1011" si="410">IF($F$19,W972-W973+X973,J972*Q972)</f>
        <v>741.1030122212486</v>
      </c>
      <c r="AI972" s="3"/>
      <c r="AJ972" s="3"/>
      <c r="AK972" s="15">
        <f t="shared" si="401"/>
        <v>4</v>
      </c>
      <c r="AL972" s="11">
        <f t="shared" si="405"/>
        <v>5778</v>
      </c>
      <c r="AM972" s="11" t="b">
        <f t="shared" si="400"/>
        <v>0</v>
      </c>
      <c r="AN972" s="11">
        <f t="shared" si="402"/>
        <v>36000</v>
      </c>
      <c r="AO972" s="11">
        <f t="shared" si="403"/>
        <v>0</v>
      </c>
      <c r="AP972" s="11">
        <f t="shared" si="404"/>
        <v>0.58737019491676778</v>
      </c>
      <c r="AQ972" s="11">
        <f t="shared" si="406"/>
        <v>0</v>
      </c>
      <c r="AT972" s="3"/>
      <c r="AU972" s="17"/>
      <c r="AV972" s="19"/>
      <c r="AW972" s="17"/>
      <c r="AX972" s="17">
        <f t="shared" si="399"/>
        <v>963</v>
      </c>
      <c r="AY972" s="17">
        <f t="shared" si="398"/>
        <v>96.3</v>
      </c>
      <c r="AZ972" s="17">
        <v>58.737019491676776</v>
      </c>
      <c r="BA972" s="17"/>
      <c r="BB972" s="17">
        <v>36</v>
      </c>
      <c r="BC972" s="17"/>
      <c r="BD972" s="17"/>
      <c r="BE972" s="17"/>
      <c r="BF972" s="17"/>
      <c r="BG972" s="17"/>
      <c r="BH972" s="17"/>
      <c r="BI972" s="17"/>
      <c r="BJ972" s="17"/>
      <c r="BK972" s="17"/>
      <c r="BL972" s="17"/>
      <c r="BM972" s="17"/>
      <c r="BN972" s="17"/>
      <c r="BO972" s="17"/>
      <c r="BP972" s="17"/>
      <c r="BQ972" s="17"/>
      <c r="BR972" s="17"/>
      <c r="BS972" s="17"/>
      <c r="BT972" s="17"/>
      <c r="BU972" s="17"/>
      <c r="BV972" s="17"/>
      <c r="BW972" s="17"/>
      <c r="BX972" s="17"/>
      <c r="BY972" s="17"/>
      <c r="BZ972" s="17"/>
      <c r="CA972" s="17"/>
      <c r="CB972" s="17"/>
      <c r="CC972" s="17"/>
      <c r="CD972" s="17"/>
      <c r="CE972" s="17"/>
      <c r="CF972" s="17"/>
      <c r="CG972" s="17"/>
      <c r="CH972" s="17"/>
    </row>
    <row r="973" spans="8:86" x14ac:dyDescent="0.15">
      <c r="H973" s="3">
        <f t="shared" si="393"/>
        <v>0.96100000000000074</v>
      </c>
      <c r="I973" s="3">
        <f t="shared" si="394"/>
        <v>360</v>
      </c>
      <c r="J973" s="14">
        <f t="shared" si="395"/>
        <v>500</v>
      </c>
      <c r="K973" s="3">
        <f t="shared" ref="K973:K1012" si="411">2*$F$6*$I$6*H973+$F$6*$I$7</f>
        <v>0</v>
      </c>
      <c r="L973" s="3">
        <f t="shared" si="407"/>
        <v>500</v>
      </c>
      <c r="M973" s="15">
        <f t="shared" si="396"/>
        <v>7.0000000000000007E-2</v>
      </c>
      <c r="N973" s="3">
        <f t="shared" si="397"/>
        <v>36.120479443899455</v>
      </c>
      <c r="O973" s="3">
        <f t="shared" si="408"/>
        <v>36.120479443899455</v>
      </c>
      <c r="P973" s="3">
        <f t="shared" ref="P973:P1012" si="412">O973/(1-M973)</f>
        <v>38.839225208494042</v>
      </c>
      <c r="Q973" s="3">
        <f t="shared" ref="Q973:Q1011" si="413">IF($F$19,IF($F$20,0,X973/J973),(Q972*J972-T972*$I$4)/J973)</f>
        <v>1.4447931317628069</v>
      </c>
      <c r="R973" s="3">
        <f t="shared" ref="R973:R1012" si="414">IF($F$19,P973,(1-U973)*P973+U973*Q973)</f>
        <v>20.142009170128425</v>
      </c>
      <c r="S973" s="3">
        <f t="shared" si="409"/>
        <v>1</v>
      </c>
      <c r="T973" s="3">
        <f t="shared" ref="T973:T1012" si="415">IF($F$19,0,$F$8*(P973-Q973))+R973*K973*(1-$F$11)</f>
        <v>18697.216038365619</v>
      </c>
      <c r="U973" s="3">
        <f t="shared" ref="U973:U1012" si="416">IF($F$8=0,0,IF(V973=0,0.5,IF(ISERROR(EXP(V973)),0,1/V973-1/(EXP(V973)-1))))</f>
        <v>0.5</v>
      </c>
      <c r="V973" s="3">
        <f t="shared" ref="V973:V1012" si="417">K973*(1-$F$11)/$F$8</f>
        <v>0</v>
      </c>
      <c r="W973" s="3">
        <f t="shared" ref="W973:W1012" si="418">(I973+$L$5)*N973</f>
        <v>13003.372599803804</v>
      </c>
      <c r="X973" s="3">
        <f t="shared" si="410"/>
        <v>722.39656588140349</v>
      </c>
      <c r="AI973" s="3"/>
      <c r="AJ973" s="3"/>
      <c r="AK973" s="15">
        <f t="shared" si="401"/>
        <v>4</v>
      </c>
      <c r="AL973" s="11">
        <f t="shared" si="405"/>
        <v>5784</v>
      </c>
      <c r="AM973" s="11" t="b">
        <f t="shared" si="400"/>
        <v>0</v>
      </c>
      <c r="AN973" s="11">
        <f t="shared" si="402"/>
        <v>36000</v>
      </c>
      <c r="AO973" s="11">
        <f t="shared" si="403"/>
        <v>0</v>
      </c>
      <c r="AP973" s="11">
        <f t="shared" si="404"/>
        <v>0.5884725097315826</v>
      </c>
      <c r="AQ973" s="11">
        <f t="shared" si="406"/>
        <v>0</v>
      </c>
      <c r="AT973" s="3"/>
      <c r="AU973" s="17"/>
      <c r="AV973" s="19"/>
      <c r="AW973" s="17"/>
      <c r="AX973" s="17">
        <f t="shared" si="399"/>
        <v>964</v>
      </c>
      <c r="AY973" s="17">
        <f t="shared" si="398"/>
        <v>96.4</v>
      </c>
      <c r="AZ973" s="17">
        <v>58.84725097315826</v>
      </c>
      <c r="BA973" s="17"/>
      <c r="BB973" s="17">
        <v>36</v>
      </c>
      <c r="BC973" s="17"/>
      <c r="BD973" s="17"/>
      <c r="BE973" s="17"/>
      <c r="BF973" s="17"/>
      <c r="BG973" s="17"/>
      <c r="BH973" s="17"/>
      <c r="BI973" s="17"/>
      <c r="BJ973" s="17"/>
      <c r="BK973" s="17"/>
      <c r="BL973" s="17"/>
      <c r="BM973" s="17"/>
      <c r="BN973" s="17"/>
      <c r="BO973" s="17"/>
      <c r="BP973" s="17"/>
      <c r="BQ973" s="17"/>
      <c r="BR973" s="17"/>
      <c r="BS973" s="17"/>
      <c r="BT973" s="17"/>
      <c r="BU973" s="17"/>
      <c r="BV973" s="17"/>
      <c r="BW973" s="17"/>
      <c r="BX973" s="17"/>
      <c r="BY973" s="17"/>
      <c r="BZ973" s="17"/>
      <c r="CA973" s="17"/>
      <c r="CB973" s="17"/>
      <c r="CC973" s="17"/>
      <c r="CD973" s="17"/>
      <c r="CE973" s="17"/>
      <c r="CF973" s="17"/>
      <c r="CG973" s="17"/>
      <c r="CH973" s="17"/>
    </row>
    <row r="974" spans="8:86" x14ac:dyDescent="0.15">
      <c r="H974" s="3">
        <f t="shared" ref="H974:H1012" si="419">H973+$I$4</f>
        <v>0.96200000000000074</v>
      </c>
      <c r="I974" s="3">
        <f t="shared" ref="I974:I1012" si="420">$I$12-$F$6*($I$6*H974^2+$I$7*H974)</f>
        <v>360</v>
      </c>
      <c r="J974" s="14">
        <f t="shared" ref="J974:J1012" si="421">$J$12-$F$6*($I$6*H974^2+$I$7*H974)</f>
        <v>500</v>
      </c>
      <c r="K974" s="3">
        <f t="shared" si="411"/>
        <v>0</v>
      </c>
      <c r="L974" s="3">
        <f t="shared" si="407"/>
        <v>500</v>
      </c>
      <c r="M974" s="15">
        <f t="shared" ref="M974:M1012" si="422">$M$12*L974/$L$12</f>
        <v>7.0000000000000007E-2</v>
      </c>
      <c r="N974" s="3">
        <f t="shared" ref="N974:N1012" si="423">(N973*I973+P973*$L$5-T973*$I$4)/(I974+$L$5/(1-M974))</f>
        <v>36.068542732681777</v>
      </c>
      <c r="O974" s="3">
        <f t="shared" si="408"/>
        <v>36.068542732681777</v>
      </c>
      <c r="P974" s="3">
        <f t="shared" si="412"/>
        <v>38.783379282453524</v>
      </c>
      <c r="Q974" s="3">
        <f t="shared" si="413"/>
        <v>1.4073986996860759</v>
      </c>
      <c r="R974" s="3">
        <f t="shared" si="414"/>
        <v>20.0953889910698</v>
      </c>
      <c r="S974" s="3">
        <f t="shared" si="409"/>
        <v>1</v>
      </c>
      <c r="T974" s="3">
        <f t="shared" si="415"/>
        <v>18687.990291383725</v>
      </c>
      <c r="U974" s="3">
        <f t="shared" si="416"/>
        <v>0.5</v>
      </c>
      <c r="V974" s="3">
        <f t="shared" si="417"/>
        <v>0</v>
      </c>
      <c r="W974" s="3">
        <f t="shared" si="418"/>
        <v>12984.67538376544</v>
      </c>
      <c r="X974" s="3">
        <f t="shared" si="410"/>
        <v>703.69934984303791</v>
      </c>
      <c r="AI974" s="3"/>
      <c r="AJ974" s="3"/>
      <c r="AK974" s="15">
        <f t="shared" si="401"/>
        <v>4</v>
      </c>
      <c r="AL974" s="11">
        <f t="shared" si="405"/>
        <v>5790</v>
      </c>
      <c r="AM974" s="11" t="b">
        <f t="shared" si="400"/>
        <v>0</v>
      </c>
      <c r="AN974" s="11">
        <f t="shared" si="402"/>
        <v>36000</v>
      </c>
      <c r="AO974" s="11">
        <f t="shared" si="403"/>
        <v>0</v>
      </c>
      <c r="AP974" s="11">
        <f t="shared" si="404"/>
        <v>0.58957482454639754</v>
      </c>
      <c r="AQ974" s="11">
        <f t="shared" si="406"/>
        <v>0</v>
      </c>
      <c r="AT974" s="3"/>
      <c r="AU974" s="17"/>
      <c r="AV974" s="19"/>
      <c r="AW974" s="17"/>
      <c r="AX974" s="17">
        <f t="shared" si="399"/>
        <v>965</v>
      </c>
      <c r="AY974" s="17">
        <f t="shared" si="398"/>
        <v>96.5</v>
      </c>
      <c r="AZ974" s="17">
        <v>58.957482454639752</v>
      </c>
      <c r="BA974" s="17"/>
      <c r="BB974" s="17">
        <v>36</v>
      </c>
      <c r="BC974" s="17"/>
      <c r="BD974" s="17"/>
      <c r="BE974" s="17"/>
      <c r="BF974" s="17"/>
      <c r="BG974" s="17"/>
      <c r="BH974" s="17"/>
      <c r="BI974" s="17"/>
      <c r="BJ974" s="17"/>
      <c r="BK974" s="17"/>
      <c r="BL974" s="17"/>
      <c r="BM974" s="17"/>
      <c r="BN974" s="17"/>
      <c r="BO974" s="17"/>
      <c r="BP974" s="17"/>
      <c r="BQ974" s="17"/>
      <c r="BR974" s="17"/>
      <c r="BS974" s="17"/>
      <c r="BT974" s="17"/>
      <c r="BU974" s="17"/>
      <c r="BV974" s="17"/>
      <c r="BW974" s="17"/>
      <c r="BX974" s="17"/>
      <c r="BY974" s="17"/>
      <c r="BZ974" s="17"/>
      <c r="CA974" s="17"/>
      <c r="CB974" s="17"/>
      <c r="CC974" s="17"/>
      <c r="CD974" s="17"/>
      <c r="CE974" s="17"/>
      <c r="CF974" s="17"/>
      <c r="CG974" s="17"/>
      <c r="CH974" s="17"/>
    </row>
    <row r="975" spans="8:86" x14ac:dyDescent="0.15">
      <c r="H975" s="3">
        <f t="shared" si="419"/>
        <v>0.96300000000000074</v>
      </c>
      <c r="I975" s="3">
        <f t="shared" si="420"/>
        <v>360</v>
      </c>
      <c r="J975" s="14">
        <f t="shared" si="421"/>
        <v>500</v>
      </c>
      <c r="K975" s="3">
        <f t="shared" si="411"/>
        <v>0</v>
      </c>
      <c r="L975" s="3">
        <f t="shared" si="407"/>
        <v>500</v>
      </c>
      <c r="M975" s="15">
        <f t="shared" si="422"/>
        <v>7.0000000000000007E-2</v>
      </c>
      <c r="N975" s="3">
        <f t="shared" si="423"/>
        <v>36.01663164853904</v>
      </c>
      <c r="O975" s="3">
        <f t="shared" si="408"/>
        <v>36.01663164853904</v>
      </c>
      <c r="P975" s="3">
        <f t="shared" si="412"/>
        <v>38.727560912407569</v>
      </c>
      <c r="Q975" s="3">
        <f t="shared" si="413"/>
        <v>1.3700227191033085</v>
      </c>
      <c r="R975" s="3">
        <f t="shared" si="414"/>
        <v>20.04879181575544</v>
      </c>
      <c r="S975" s="3">
        <f t="shared" si="409"/>
        <v>1</v>
      </c>
      <c r="T975" s="3">
        <f t="shared" si="415"/>
        <v>18678.76909665213</v>
      </c>
      <c r="U975" s="3">
        <f t="shared" si="416"/>
        <v>0.5</v>
      </c>
      <c r="V975" s="3">
        <f t="shared" si="417"/>
        <v>0</v>
      </c>
      <c r="W975" s="3">
        <f t="shared" si="418"/>
        <v>12965.987393474054</v>
      </c>
      <c r="X975" s="3">
        <f t="shared" si="410"/>
        <v>685.01135955165421</v>
      </c>
      <c r="AI975" s="3"/>
      <c r="AJ975" s="3"/>
      <c r="AK975" s="15">
        <f t="shared" si="401"/>
        <v>4</v>
      </c>
      <c r="AL975" s="11">
        <f t="shared" si="405"/>
        <v>5796</v>
      </c>
      <c r="AM975" s="11" t="b">
        <f t="shared" si="400"/>
        <v>0</v>
      </c>
      <c r="AN975" s="11">
        <f t="shared" si="402"/>
        <v>36000</v>
      </c>
      <c r="AO975" s="11">
        <f t="shared" si="403"/>
        <v>0</v>
      </c>
      <c r="AP975" s="11">
        <f t="shared" si="404"/>
        <v>0.59067713936121236</v>
      </c>
      <c r="AQ975" s="11">
        <f t="shared" si="406"/>
        <v>0</v>
      </c>
      <c r="AT975" s="3"/>
      <c r="AU975" s="17"/>
      <c r="AV975" s="19"/>
      <c r="AW975" s="17"/>
      <c r="AX975" s="17">
        <f t="shared" si="399"/>
        <v>966</v>
      </c>
      <c r="AY975" s="17">
        <f t="shared" si="398"/>
        <v>96.6</v>
      </c>
      <c r="AZ975" s="17">
        <v>59.067713936121237</v>
      </c>
      <c r="BA975" s="17"/>
      <c r="BB975" s="17">
        <v>36</v>
      </c>
      <c r="BC975" s="17"/>
      <c r="BD975" s="17"/>
      <c r="BE975" s="17"/>
      <c r="BF975" s="17"/>
      <c r="BG975" s="17"/>
      <c r="BH975" s="17"/>
      <c r="BI975" s="17"/>
      <c r="BJ975" s="17"/>
      <c r="BK975" s="17"/>
      <c r="BL975" s="17"/>
      <c r="BM975" s="17"/>
      <c r="BN975" s="17"/>
      <c r="BO975" s="17"/>
      <c r="BP975" s="17"/>
      <c r="BQ975" s="17"/>
      <c r="BR975" s="17"/>
      <c r="BS975" s="17"/>
      <c r="BT975" s="17"/>
      <c r="BU975" s="17"/>
      <c r="BV975" s="17"/>
      <c r="BW975" s="17"/>
      <c r="BX975" s="17"/>
      <c r="BY975" s="17"/>
      <c r="BZ975" s="17"/>
      <c r="CA975" s="17"/>
      <c r="CB975" s="17"/>
      <c r="CC975" s="17"/>
      <c r="CD975" s="17"/>
      <c r="CE975" s="17"/>
      <c r="CF975" s="17"/>
      <c r="CG975" s="17"/>
      <c r="CH975" s="17"/>
    </row>
    <row r="976" spans="8:86" x14ac:dyDescent="0.15">
      <c r="H976" s="3">
        <f t="shared" si="419"/>
        <v>0.96400000000000075</v>
      </c>
      <c r="I976" s="3">
        <f t="shared" si="420"/>
        <v>360</v>
      </c>
      <c r="J976" s="14">
        <f t="shared" si="421"/>
        <v>500</v>
      </c>
      <c r="K976" s="3">
        <f t="shared" si="411"/>
        <v>0</v>
      </c>
      <c r="L976" s="3">
        <f t="shared" si="407"/>
        <v>500</v>
      </c>
      <c r="M976" s="15">
        <f t="shared" si="422"/>
        <v>7.0000000000000007E-2</v>
      </c>
      <c r="N976" s="3">
        <f t="shared" si="423"/>
        <v>35.964746178826118</v>
      </c>
      <c r="O976" s="3">
        <f t="shared" si="408"/>
        <v>35.964746178826118</v>
      </c>
      <c r="P976" s="3">
        <f t="shared" si="412"/>
        <v>38.671770084759267</v>
      </c>
      <c r="Q976" s="3">
        <f t="shared" si="413"/>
        <v>1.3326651809100043</v>
      </c>
      <c r="R976" s="3">
        <f t="shared" si="414"/>
        <v>20.002217632834636</v>
      </c>
      <c r="S976" s="3">
        <f t="shared" si="409"/>
        <v>1</v>
      </c>
      <c r="T976" s="3">
        <f t="shared" si="415"/>
        <v>18669.552451924632</v>
      </c>
      <c r="U976" s="3">
        <f t="shared" si="416"/>
        <v>0.5</v>
      </c>
      <c r="V976" s="3">
        <f t="shared" si="417"/>
        <v>0</v>
      </c>
      <c r="W976" s="3">
        <f t="shared" si="418"/>
        <v>12947.308624377403</v>
      </c>
      <c r="X976" s="3">
        <f t="shared" si="410"/>
        <v>666.33259045500211</v>
      </c>
      <c r="AI976" s="3"/>
      <c r="AJ976" s="3"/>
      <c r="AK976" s="15">
        <f t="shared" si="401"/>
        <v>4</v>
      </c>
      <c r="AL976" s="11">
        <f t="shared" si="405"/>
        <v>5802</v>
      </c>
      <c r="AM976" s="11" t="b">
        <f t="shared" si="400"/>
        <v>0</v>
      </c>
      <c r="AN976" s="11">
        <f t="shared" si="402"/>
        <v>36000</v>
      </c>
      <c r="AO976" s="11">
        <f t="shared" si="403"/>
        <v>0</v>
      </c>
      <c r="AP976" s="11">
        <f t="shared" si="404"/>
        <v>0.59177945417602718</v>
      </c>
      <c r="AQ976" s="11">
        <f t="shared" si="406"/>
        <v>0</v>
      </c>
      <c r="AT976" s="3"/>
      <c r="AU976" s="17"/>
      <c r="AV976" s="19"/>
      <c r="AW976" s="17"/>
      <c r="AX976" s="17">
        <f t="shared" si="399"/>
        <v>967</v>
      </c>
      <c r="AY976" s="17">
        <f t="shared" si="398"/>
        <v>96.7</v>
      </c>
      <c r="AZ976" s="17">
        <v>59.177945417602714</v>
      </c>
      <c r="BA976" s="17"/>
      <c r="BB976" s="17">
        <v>36</v>
      </c>
      <c r="BC976" s="17"/>
      <c r="BD976" s="17"/>
      <c r="BE976" s="17"/>
      <c r="BF976" s="17"/>
      <c r="BG976" s="17"/>
      <c r="BH976" s="17"/>
      <c r="BI976" s="17"/>
      <c r="BJ976" s="17"/>
      <c r="BK976" s="17"/>
      <c r="BL976" s="17"/>
      <c r="BM976" s="17"/>
      <c r="BN976" s="17"/>
      <c r="BO976" s="17"/>
      <c r="BP976" s="17"/>
      <c r="BQ976" s="17"/>
      <c r="BR976" s="17"/>
      <c r="BS976" s="17"/>
      <c r="BT976" s="17"/>
      <c r="BU976" s="17"/>
      <c r="BV976" s="17"/>
      <c r="BW976" s="17"/>
      <c r="BX976" s="17"/>
      <c r="BY976" s="17"/>
      <c r="BZ976" s="17"/>
      <c r="CA976" s="17"/>
      <c r="CB976" s="17"/>
      <c r="CC976" s="17"/>
      <c r="CD976" s="17"/>
      <c r="CE976" s="17"/>
      <c r="CF976" s="17"/>
      <c r="CG976" s="17"/>
      <c r="CH976" s="17"/>
    </row>
    <row r="977" spans="8:86" x14ac:dyDescent="0.15">
      <c r="H977" s="3">
        <f t="shared" si="419"/>
        <v>0.96500000000000075</v>
      </c>
      <c r="I977" s="3">
        <f t="shared" si="420"/>
        <v>360</v>
      </c>
      <c r="J977" s="14">
        <f t="shared" si="421"/>
        <v>500</v>
      </c>
      <c r="K977" s="3">
        <f t="shared" si="411"/>
        <v>0</v>
      </c>
      <c r="L977" s="3">
        <f t="shared" si="407"/>
        <v>500</v>
      </c>
      <c r="M977" s="15">
        <f t="shared" si="422"/>
        <v>7.0000000000000007E-2</v>
      </c>
      <c r="N977" s="3">
        <f t="shared" si="423"/>
        <v>35.912886310904106</v>
      </c>
      <c r="O977" s="3">
        <f t="shared" si="408"/>
        <v>35.912886310904106</v>
      </c>
      <c r="P977" s="3">
        <f t="shared" si="412"/>
        <v>38.616006785918394</v>
      </c>
      <c r="Q977" s="3">
        <f t="shared" si="413"/>
        <v>1.2953260760061549</v>
      </c>
      <c r="R977" s="3">
        <f t="shared" si="414"/>
        <v>19.955666430962275</v>
      </c>
      <c r="S977" s="3">
        <f t="shared" si="409"/>
        <v>1</v>
      </c>
      <c r="T977" s="3">
        <f t="shared" si="415"/>
        <v>18660.340354956119</v>
      </c>
      <c r="U977" s="3">
        <f t="shared" si="416"/>
        <v>0.5</v>
      </c>
      <c r="V977" s="3">
        <f t="shared" si="417"/>
        <v>0</v>
      </c>
      <c r="W977" s="3">
        <f t="shared" si="418"/>
        <v>12928.639071925478</v>
      </c>
      <c r="X977" s="3">
        <f t="shared" si="410"/>
        <v>647.66303800307742</v>
      </c>
      <c r="AI977" s="3"/>
      <c r="AJ977" s="3"/>
      <c r="AK977" s="15">
        <f t="shared" si="401"/>
        <v>4</v>
      </c>
      <c r="AL977" s="11">
        <f t="shared" si="405"/>
        <v>5808</v>
      </c>
      <c r="AM977" s="11" t="b">
        <f t="shared" si="400"/>
        <v>0</v>
      </c>
      <c r="AN977" s="11">
        <f t="shared" si="402"/>
        <v>36000</v>
      </c>
      <c r="AO977" s="11">
        <f t="shared" si="403"/>
        <v>0</v>
      </c>
      <c r="AP977" s="11">
        <f t="shared" si="404"/>
        <v>0.592881768990842</v>
      </c>
      <c r="AQ977" s="11">
        <f t="shared" si="406"/>
        <v>0</v>
      </c>
      <c r="AT977" s="3"/>
      <c r="AU977" s="17"/>
      <c r="AV977" s="19"/>
      <c r="AW977" s="17"/>
      <c r="AX977" s="17">
        <f t="shared" si="399"/>
        <v>968</v>
      </c>
      <c r="AY977" s="17">
        <f t="shared" si="398"/>
        <v>96.8</v>
      </c>
      <c r="AZ977" s="17">
        <v>59.288176899084199</v>
      </c>
      <c r="BA977" s="17"/>
      <c r="BB977" s="17">
        <v>36</v>
      </c>
      <c r="BC977" s="17"/>
      <c r="BD977" s="17"/>
      <c r="BE977" s="17"/>
      <c r="BF977" s="17"/>
      <c r="BG977" s="17"/>
      <c r="BH977" s="17"/>
      <c r="BI977" s="17"/>
      <c r="BJ977" s="17"/>
      <c r="BK977" s="17"/>
      <c r="BL977" s="17"/>
      <c r="BM977" s="17"/>
      <c r="BN977" s="17"/>
      <c r="BO977" s="17"/>
      <c r="BP977" s="17"/>
      <c r="BQ977" s="17"/>
      <c r="BR977" s="17"/>
      <c r="BS977" s="17"/>
      <c r="BT977" s="17"/>
      <c r="BU977" s="17"/>
      <c r="BV977" s="17"/>
      <c r="BW977" s="17"/>
      <c r="BX977" s="17"/>
      <c r="BY977" s="17"/>
      <c r="BZ977" s="17"/>
      <c r="CA977" s="17"/>
      <c r="CB977" s="17"/>
      <c r="CC977" s="17"/>
      <c r="CD977" s="17"/>
      <c r="CE977" s="17"/>
      <c r="CF977" s="17"/>
      <c r="CG977" s="17"/>
      <c r="CH977" s="17"/>
    </row>
    <row r="978" spans="8:86" x14ac:dyDescent="0.15">
      <c r="H978" s="3">
        <f t="shared" si="419"/>
        <v>0.96600000000000075</v>
      </c>
      <c r="I978" s="3">
        <f t="shared" si="420"/>
        <v>360</v>
      </c>
      <c r="J978" s="14">
        <f t="shared" si="421"/>
        <v>500</v>
      </c>
      <c r="K978" s="3">
        <f t="shared" si="411"/>
        <v>0</v>
      </c>
      <c r="L978" s="3">
        <f t="shared" si="407"/>
        <v>500</v>
      </c>
      <c r="M978" s="15">
        <f t="shared" si="422"/>
        <v>7.0000000000000007E-2</v>
      </c>
      <c r="N978" s="3">
        <f t="shared" si="423"/>
        <v>35.861052032140336</v>
      </c>
      <c r="O978" s="3">
        <f t="shared" si="408"/>
        <v>35.861052032140336</v>
      </c>
      <c r="P978" s="3">
        <f t="shared" si="412"/>
        <v>38.560271002301441</v>
      </c>
      <c r="Q978" s="3">
        <f t="shared" si="413"/>
        <v>1.2580053952962427</v>
      </c>
      <c r="R978" s="3">
        <f t="shared" si="414"/>
        <v>19.909138198798843</v>
      </c>
      <c r="S978" s="3">
        <f t="shared" si="409"/>
        <v>1</v>
      </c>
      <c r="T978" s="3">
        <f t="shared" si="415"/>
        <v>18651.132803502598</v>
      </c>
      <c r="U978" s="3">
        <f t="shared" si="416"/>
        <v>0.5</v>
      </c>
      <c r="V978" s="3">
        <f t="shared" si="417"/>
        <v>0</v>
      </c>
      <c r="W978" s="3">
        <f t="shared" si="418"/>
        <v>12909.978731570522</v>
      </c>
      <c r="X978" s="3">
        <f t="shared" si="410"/>
        <v>629.00269764812128</v>
      </c>
      <c r="AI978" s="3"/>
      <c r="AJ978" s="3"/>
      <c r="AK978" s="15">
        <f t="shared" si="401"/>
        <v>4</v>
      </c>
      <c r="AL978" s="11">
        <f t="shared" si="405"/>
        <v>5814</v>
      </c>
      <c r="AM978" s="11" t="b">
        <f t="shared" si="400"/>
        <v>0</v>
      </c>
      <c r="AN978" s="11">
        <f t="shared" si="402"/>
        <v>36000</v>
      </c>
      <c r="AO978" s="11">
        <f t="shared" si="403"/>
        <v>0</v>
      </c>
      <c r="AP978" s="11">
        <f t="shared" si="404"/>
        <v>0.59398408380565682</v>
      </c>
      <c r="AQ978" s="11">
        <f t="shared" si="406"/>
        <v>0</v>
      </c>
      <c r="AT978" s="3"/>
      <c r="AU978" s="17"/>
      <c r="AV978" s="19"/>
      <c r="AW978" s="17"/>
      <c r="AX978" s="17">
        <f t="shared" si="399"/>
        <v>969</v>
      </c>
      <c r="AY978" s="17">
        <f t="shared" si="398"/>
        <v>96.9</v>
      </c>
      <c r="AZ978" s="17">
        <v>59.398408380565684</v>
      </c>
      <c r="BA978" s="17"/>
      <c r="BB978" s="17">
        <v>36</v>
      </c>
      <c r="BC978" s="17"/>
      <c r="BD978" s="17"/>
      <c r="BE978" s="17"/>
      <c r="BF978" s="17"/>
      <c r="BG978" s="17"/>
      <c r="BH978" s="17"/>
      <c r="BI978" s="17"/>
      <c r="BJ978" s="17"/>
      <c r="BK978" s="17"/>
      <c r="BL978" s="17"/>
      <c r="BM978" s="17"/>
      <c r="BN978" s="17"/>
      <c r="BO978" s="17"/>
      <c r="BP978" s="17"/>
      <c r="BQ978" s="17"/>
      <c r="BR978" s="17"/>
      <c r="BS978" s="17"/>
      <c r="BT978" s="17"/>
      <c r="BU978" s="17"/>
      <c r="BV978" s="17"/>
      <c r="BW978" s="17"/>
      <c r="BX978" s="17"/>
      <c r="BY978" s="17"/>
      <c r="BZ978" s="17"/>
      <c r="CA978" s="17"/>
      <c r="CB978" s="17"/>
      <c r="CC978" s="17"/>
      <c r="CD978" s="17"/>
      <c r="CE978" s="17"/>
      <c r="CF978" s="17"/>
      <c r="CG978" s="17"/>
      <c r="CH978" s="17"/>
    </row>
    <row r="979" spans="8:86" x14ac:dyDescent="0.15">
      <c r="H979" s="3">
        <f t="shared" si="419"/>
        <v>0.96700000000000075</v>
      </c>
      <c r="I979" s="3">
        <f t="shared" si="420"/>
        <v>360</v>
      </c>
      <c r="J979" s="14">
        <f t="shared" si="421"/>
        <v>500</v>
      </c>
      <c r="K979" s="3">
        <f t="shared" si="411"/>
        <v>0</v>
      </c>
      <c r="L979" s="3">
        <f t="shared" si="407"/>
        <v>500</v>
      </c>
      <c r="M979" s="15">
        <f t="shared" si="422"/>
        <v>7.0000000000000007E-2</v>
      </c>
      <c r="N979" s="3">
        <f t="shared" si="423"/>
        <v>35.809243329908384</v>
      </c>
      <c r="O979" s="3">
        <f t="shared" si="408"/>
        <v>35.809243329908384</v>
      </c>
      <c r="P979" s="3">
        <f t="shared" si="412"/>
        <v>38.504562720331599</v>
      </c>
      <c r="Q979" s="3">
        <f t="shared" si="413"/>
        <v>1.2207031296892374</v>
      </c>
      <c r="R979" s="3">
        <f t="shared" si="414"/>
        <v>19.862632925010416</v>
      </c>
      <c r="S979" s="3">
        <f t="shared" si="409"/>
        <v>1</v>
      </c>
      <c r="T979" s="3">
        <f t="shared" si="415"/>
        <v>18641.929795321183</v>
      </c>
      <c r="U979" s="3">
        <f t="shared" si="416"/>
        <v>0.5</v>
      </c>
      <c r="V979" s="3">
        <f t="shared" si="417"/>
        <v>0</v>
      </c>
      <c r="W979" s="3">
        <f t="shared" si="418"/>
        <v>12891.327598767019</v>
      </c>
      <c r="X979" s="3">
        <f t="shared" si="410"/>
        <v>610.35156484461868</v>
      </c>
      <c r="AI979" s="3"/>
      <c r="AJ979" s="3"/>
      <c r="AK979" s="15">
        <f t="shared" si="401"/>
        <v>4</v>
      </c>
      <c r="AL979" s="11">
        <f t="shared" si="405"/>
        <v>5820</v>
      </c>
      <c r="AM979" s="11" t="b">
        <f t="shared" si="400"/>
        <v>0</v>
      </c>
      <c r="AN979" s="11">
        <f t="shared" si="402"/>
        <v>36000</v>
      </c>
      <c r="AO979" s="11">
        <f t="shared" si="403"/>
        <v>0</v>
      </c>
      <c r="AP979" s="11">
        <f t="shared" si="404"/>
        <v>0.59508639862047175</v>
      </c>
      <c r="AQ979" s="11">
        <f t="shared" si="406"/>
        <v>0</v>
      </c>
      <c r="AT979" s="3"/>
      <c r="AU979" s="17"/>
      <c r="AV979" s="19"/>
      <c r="AW979" s="17"/>
      <c r="AX979" s="17">
        <f t="shared" si="399"/>
        <v>970</v>
      </c>
      <c r="AY979" s="17">
        <f t="shared" si="398"/>
        <v>97</v>
      </c>
      <c r="AZ979" s="17">
        <v>59.508639862047175</v>
      </c>
      <c r="BA979" s="17"/>
      <c r="BB979" s="17">
        <v>36</v>
      </c>
      <c r="BC979" s="17"/>
      <c r="BD979" s="17"/>
      <c r="BE979" s="17"/>
      <c r="BF979" s="17"/>
      <c r="BG979" s="17"/>
      <c r="BH979" s="17"/>
      <c r="BI979" s="17"/>
      <c r="BJ979" s="17"/>
      <c r="BK979" s="17"/>
      <c r="BL979" s="17"/>
      <c r="BM979" s="17"/>
      <c r="BN979" s="17"/>
      <c r="BO979" s="17"/>
      <c r="BP979" s="17"/>
      <c r="BQ979" s="17"/>
      <c r="BR979" s="17"/>
      <c r="BS979" s="17"/>
      <c r="BT979" s="17"/>
      <c r="BU979" s="17"/>
      <c r="BV979" s="17"/>
      <c r="BW979" s="17"/>
      <c r="BX979" s="17"/>
      <c r="BY979" s="17"/>
      <c r="BZ979" s="17"/>
      <c r="CA979" s="17"/>
      <c r="CB979" s="17"/>
      <c r="CC979" s="17"/>
      <c r="CD979" s="17"/>
      <c r="CE979" s="17"/>
      <c r="CF979" s="17"/>
      <c r="CG979" s="17"/>
      <c r="CH979" s="17"/>
    </row>
    <row r="980" spans="8:86" x14ac:dyDescent="0.15">
      <c r="H980" s="3">
        <f t="shared" si="419"/>
        <v>0.96800000000000075</v>
      </c>
      <c r="I980" s="3">
        <f t="shared" si="420"/>
        <v>360</v>
      </c>
      <c r="J980" s="14">
        <f t="shared" si="421"/>
        <v>500</v>
      </c>
      <c r="K980" s="3">
        <f t="shared" si="411"/>
        <v>0</v>
      </c>
      <c r="L980" s="3">
        <f t="shared" si="407"/>
        <v>500</v>
      </c>
      <c r="M980" s="15">
        <f t="shared" si="422"/>
        <v>7.0000000000000007E-2</v>
      </c>
      <c r="N980" s="3">
        <f t="shared" si="423"/>
        <v>35.757460191588045</v>
      </c>
      <c r="O980" s="3">
        <f t="shared" si="408"/>
        <v>35.757460191588045</v>
      </c>
      <c r="P980" s="3">
        <f t="shared" si="412"/>
        <v>38.448881926438759</v>
      </c>
      <c r="Q980" s="3">
        <f t="shared" si="413"/>
        <v>1.183419270098595</v>
      </c>
      <c r="R980" s="3">
        <f t="shared" si="414"/>
        <v>19.816150598268678</v>
      </c>
      <c r="S980" s="3">
        <f t="shared" si="409"/>
        <v>1</v>
      </c>
      <c r="T980" s="3">
        <f t="shared" si="415"/>
        <v>18632.731328170081</v>
      </c>
      <c r="U980" s="3">
        <f t="shared" si="416"/>
        <v>0.5</v>
      </c>
      <c r="V980" s="3">
        <f t="shared" si="417"/>
        <v>0</v>
      </c>
      <c r="W980" s="3">
        <f t="shared" si="418"/>
        <v>12872.685668971697</v>
      </c>
      <c r="X980" s="3">
        <f t="shared" si="410"/>
        <v>591.7096350492975</v>
      </c>
      <c r="AI980" s="3"/>
      <c r="AJ980" s="3"/>
      <c r="AK980" s="15">
        <f t="shared" si="401"/>
        <v>4</v>
      </c>
      <c r="AL980" s="11">
        <f t="shared" si="405"/>
        <v>5826</v>
      </c>
      <c r="AM980" s="11" t="b">
        <f t="shared" si="400"/>
        <v>0</v>
      </c>
      <c r="AN980" s="11">
        <f t="shared" si="402"/>
        <v>36000</v>
      </c>
      <c r="AO980" s="11">
        <f t="shared" si="403"/>
        <v>0</v>
      </c>
      <c r="AP980" s="11">
        <f t="shared" si="404"/>
        <v>0.59618871343528657</v>
      </c>
      <c r="AQ980" s="11">
        <f t="shared" si="406"/>
        <v>0</v>
      </c>
      <c r="AT980" s="3"/>
      <c r="AU980" s="17"/>
      <c r="AV980" s="19"/>
      <c r="AW980" s="17"/>
      <c r="AX980" s="17">
        <f t="shared" si="399"/>
        <v>971</v>
      </c>
      <c r="AY980" s="17">
        <f t="shared" ref="AY980:AY1011" si="424">IF(ISNUMBER(AX980),IF(ROUND((AX980)*$AG$15*$AB$15,0) &lt;= 10080, ROUND((AX980)*$AG$15,0)*$AB$15/60, 168),168)</f>
        <v>97.1</v>
      </c>
      <c r="AZ980" s="17">
        <v>59.618871343528653</v>
      </c>
      <c r="BA980" s="17"/>
      <c r="BB980" s="17">
        <v>36</v>
      </c>
      <c r="BC980" s="17"/>
      <c r="BD980" s="17"/>
      <c r="BE980" s="17"/>
      <c r="BF980" s="17"/>
      <c r="BG980" s="17"/>
      <c r="BH980" s="17"/>
      <c r="BI980" s="17"/>
      <c r="BJ980" s="17"/>
      <c r="BK980" s="17"/>
      <c r="BL980" s="17"/>
      <c r="BM980" s="17"/>
      <c r="BN980" s="17"/>
      <c r="BO980" s="17"/>
      <c r="BP980" s="17"/>
      <c r="BQ980" s="17"/>
      <c r="BR980" s="17"/>
      <c r="BS980" s="17"/>
      <c r="BT980" s="17"/>
      <c r="BU980" s="17"/>
      <c r="BV980" s="17"/>
      <c r="BW980" s="17"/>
      <c r="BX980" s="17"/>
      <c r="BY980" s="17"/>
      <c r="BZ980" s="17"/>
      <c r="CA980" s="17"/>
      <c r="CB980" s="17"/>
      <c r="CC980" s="17"/>
      <c r="CD980" s="17"/>
      <c r="CE980" s="17"/>
      <c r="CF980" s="17"/>
      <c r="CG980" s="17"/>
      <c r="CH980" s="17"/>
    </row>
    <row r="981" spans="8:86" x14ac:dyDescent="0.15">
      <c r="H981" s="3">
        <f t="shared" si="419"/>
        <v>0.96900000000000075</v>
      </c>
      <c r="I981" s="3">
        <f t="shared" si="420"/>
        <v>360</v>
      </c>
      <c r="J981" s="14">
        <f t="shared" si="421"/>
        <v>500</v>
      </c>
      <c r="K981" s="3">
        <f t="shared" si="411"/>
        <v>0</v>
      </c>
      <c r="L981" s="3">
        <f t="shared" si="407"/>
        <v>500</v>
      </c>
      <c r="M981" s="15">
        <f t="shared" si="422"/>
        <v>7.0000000000000007E-2</v>
      </c>
      <c r="N981" s="3">
        <f t="shared" si="423"/>
        <v>35.705702604565353</v>
      </c>
      <c r="O981" s="3">
        <f t="shared" si="408"/>
        <v>35.705702604565353</v>
      </c>
      <c r="P981" s="3">
        <f t="shared" si="412"/>
        <v>38.39322860705952</v>
      </c>
      <c r="Q981" s="3">
        <f t="shared" si="413"/>
        <v>1.1461538074422548</v>
      </c>
      <c r="R981" s="3">
        <f t="shared" si="414"/>
        <v>19.769691207250887</v>
      </c>
      <c r="S981" s="3">
        <f t="shared" si="409"/>
        <v>1</v>
      </c>
      <c r="T981" s="3">
        <f t="shared" si="415"/>
        <v>18623.537399808632</v>
      </c>
      <c r="U981" s="3">
        <f t="shared" si="416"/>
        <v>0.5</v>
      </c>
      <c r="V981" s="3">
        <f t="shared" si="417"/>
        <v>0</v>
      </c>
      <c r="W981" s="3">
        <f t="shared" si="418"/>
        <v>12854.052937643528</v>
      </c>
      <c r="X981" s="3">
        <f t="shared" si="410"/>
        <v>573.07690372112745</v>
      </c>
      <c r="AI981" s="3"/>
      <c r="AJ981" s="3"/>
      <c r="AK981" s="15">
        <f t="shared" si="401"/>
        <v>4</v>
      </c>
      <c r="AL981" s="11">
        <f t="shared" si="405"/>
        <v>5832</v>
      </c>
      <c r="AM981" s="11" t="b">
        <f t="shared" si="400"/>
        <v>0</v>
      </c>
      <c r="AN981" s="11">
        <f t="shared" si="402"/>
        <v>36000</v>
      </c>
      <c r="AO981" s="11">
        <f t="shared" si="403"/>
        <v>0</v>
      </c>
      <c r="AP981" s="11">
        <f t="shared" si="404"/>
        <v>0.59729102825010139</v>
      </c>
      <c r="AQ981" s="11">
        <f t="shared" si="406"/>
        <v>0</v>
      </c>
      <c r="AT981" s="3"/>
      <c r="AU981" s="17"/>
      <c r="AV981" s="19"/>
      <c r="AW981" s="17"/>
      <c r="AX981" s="17">
        <f t="shared" si="399"/>
        <v>972</v>
      </c>
      <c r="AY981" s="17">
        <f t="shared" si="424"/>
        <v>97.2</v>
      </c>
      <c r="AZ981" s="17">
        <v>59.729102825010138</v>
      </c>
      <c r="BA981" s="17"/>
      <c r="BB981" s="17">
        <v>36</v>
      </c>
      <c r="BC981" s="17"/>
      <c r="BD981" s="17"/>
      <c r="BE981" s="17"/>
      <c r="BF981" s="17"/>
      <c r="BG981" s="17"/>
      <c r="BH981" s="17"/>
      <c r="BI981" s="17"/>
      <c r="BJ981" s="17"/>
      <c r="BK981" s="17"/>
      <c r="BL981" s="17"/>
      <c r="BM981" s="17"/>
      <c r="BN981" s="17"/>
      <c r="BO981" s="17"/>
      <c r="BP981" s="17"/>
      <c r="BQ981" s="17"/>
      <c r="BR981" s="17"/>
      <c r="BS981" s="17"/>
      <c r="BT981" s="17"/>
      <c r="BU981" s="17"/>
      <c r="BV981" s="17"/>
      <c r="BW981" s="17"/>
      <c r="BX981" s="17"/>
      <c r="BY981" s="17"/>
      <c r="BZ981" s="17"/>
      <c r="CA981" s="17"/>
      <c r="CB981" s="17"/>
      <c r="CC981" s="17"/>
      <c r="CD981" s="17"/>
      <c r="CE981" s="17"/>
      <c r="CF981" s="17"/>
      <c r="CG981" s="17"/>
      <c r="CH981" s="17"/>
    </row>
    <row r="982" spans="8:86" x14ac:dyDescent="0.15">
      <c r="H982" s="3">
        <f t="shared" si="419"/>
        <v>0.97000000000000075</v>
      </c>
      <c r="I982" s="3">
        <f t="shared" si="420"/>
        <v>360</v>
      </c>
      <c r="J982" s="14">
        <f t="shared" si="421"/>
        <v>500</v>
      </c>
      <c r="K982" s="3">
        <f t="shared" si="411"/>
        <v>0</v>
      </c>
      <c r="L982" s="3">
        <f t="shared" si="407"/>
        <v>500</v>
      </c>
      <c r="M982" s="15">
        <f t="shared" si="422"/>
        <v>7.0000000000000007E-2</v>
      </c>
      <c r="N982" s="3">
        <f t="shared" si="423"/>
        <v>35.653970556232558</v>
      </c>
      <c r="O982" s="3">
        <f t="shared" si="408"/>
        <v>35.653970556232558</v>
      </c>
      <c r="P982" s="3">
        <f t="shared" si="412"/>
        <v>38.33760274863716</v>
      </c>
      <c r="Q982" s="3">
        <f t="shared" si="413"/>
        <v>1.1089067326426378</v>
      </c>
      <c r="R982" s="3">
        <f t="shared" si="414"/>
        <v>19.723254740639899</v>
      </c>
      <c r="S982" s="3">
        <f t="shared" si="409"/>
        <v>1</v>
      </c>
      <c r="T982" s="3">
        <f t="shared" si="415"/>
        <v>18614.348007997261</v>
      </c>
      <c r="U982" s="3">
        <f t="shared" si="416"/>
        <v>0.5</v>
      </c>
      <c r="V982" s="3">
        <f t="shared" si="417"/>
        <v>0</v>
      </c>
      <c r="W982" s="3">
        <f t="shared" si="418"/>
        <v>12835.42940024372</v>
      </c>
      <c r="X982" s="3">
        <f t="shared" si="410"/>
        <v>554.45336632131887</v>
      </c>
      <c r="AI982" s="3"/>
      <c r="AJ982" s="3"/>
      <c r="AK982" s="15">
        <f t="shared" si="401"/>
        <v>4</v>
      </c>
      <c r="AL982" s="11">
        <f t="shared" si="405"/>
        <v>5838</v>
      </c>
      <c r="AM982" s="11" t="b">
        <f t="shared" si="400"/>
        <v>0</v>
      </c>
      <c r="AN982" s="11">
        <f t="shared" si="402"/>
        <v>36000</v>
      </c>
      <c r="AO982" s="11">
        <f t="shared" si="403"/>
        <v>0</v>
      </c>
      <c r="AP982" s="11">
        <f t="shared" si="404"/>
        <v>0.59839334306491621</v>
      </c>
      <c r="AQ982" s="11">
        <f t="shared" si="406"/>
        <v>0</v>
      </c>
      <c r="AT982" s="3"/>
      <c r="AU982" s="17"/>
      <c r="AV982" s="19"/>
      <c r="AW982" s="17"/>
      <c r="AX982" s="17">
        <f t="shared" si="399"/>
        <v>973</v>
      </c>
      <c r="AY982" s="17">
        <f t="shared" si="424"/>
        <v>97.3</v>
      </c>
      <c r="AZ982" s="17">
        <v>59.839334306491622</v>
      </c>
      <c r="BA982" s="17"/>
      <c r="BB982" s="17">
        <v>36</v>
      </c>
      <c r="BC982" s="17"/>
      <c r="BD982" s="17"/>
      <c r="BE982" s="17"/>
      <c r="BF982" s="17"/>
      <c r="BG982" s="17"/>
      <c r="BH982" s="17"/>
      <c r="BI982" s="17"/>
      <c r="BJ982" s="17"/>
      <c r="BK982" s="17"/>
      <c r="BL982" s="17"/>
      <c r="BM982" s="17"/>
      <c r="BN982" s="17"/>
      <c r="BO982" s="17"/>
      <c r="BP982" s="17"/>
      <c r="BQ982" s="17"/>
      <c r="BR982" s="17"/>
      <c r="BS982" s="17"/>
      <c r="BT982" s="17"/>
      <c r="BU982" s="17"/>
      <c r="BV982" s="17"/>
      <c r="BW982" s="17"/>
      <c r="BX982" s="17"/>
      <c r="BY982" s="17"/>
      <c r="BZ982" s="17"/>
      <c r="CA982" s="17"/>
      <c r="CB982" s="17"/>
      <c r="CC982" s="17"/>
      <c r="CD982" s="17"/>
      <c r="CE982" s="17"/>
      <c r="CF982" s="17"/>
      <c r="CG982" s="17"/>
      <c r="CH982" s="17"/>
    </row>
    <row r="983" spans="8:86" x14ac:dyDescent="0.15">
      <c r="H983" s="3">
        <f t="shared" si="419"/>
        <v>0.97100000000000075</v>
      </c>
      <c r="I983" s="3">
        <f t="shared" si="420"/>
        <v>360</v>
      </c>
      <c r="J983" s="14">
        <f t="shared" si="421"/>
        <v>500</v>
      </c>
      <c r="K983" s="3">
        <f t="shared" si="411"/>
        <v>0</v>
      </c>
      <c r="L983" s="3">
        <f t="shared" si="407"/>
        <v>500</v>
      </c>
      <c r="M983" s="15">
        <f t="shared" si="422"/>
        <v>7.0000000000000007E-2</v>
      </c>
      <c r="N983" s="3">
        <f t="shared" si="423"/>
        <v>35.602264033988121</v>
      </c>
      <c r="O983" s="3">
        <f t="shared" si="408"/>
        <v>35.602264033988121</v>
      </c>
      <c r="P983" s="3">
        <f t="shared" si="412"/>
        <v>38.282004337621636</v>
      </c>
      <c r="Q983" s="3">
        <f t="shared" si="413"/>
        <v>1.0716780366266432</v>
      </c>
      <c r="R983" s="3">
        <f t="shared" si="414"/>
        <v>19.67684118712414</v>
      </c>
      <c r="S983" s="3">
        <f t="shared" si="409"/>
        <v>1</v>
      </c>
      <c r="T983" s="3">
        <f t="shared" si="415"/>
        <v>18605.163150497498</v>
      </c>
      <c r="U983" s="3">
        <f t="shared" si="416"/>
        <v>0.5</v>
      </c>
      <c r="V983" s="3">
        <f t="shared" si="417"/>
        <v>0</v>
      </c>
      <c r="W983" s="3">
        <f t="shared" si="418"/>
        <v>12816.815052235723</v>
      </c>
      <c r="X983" s="3">
        <f t="shared" si="410"/>
        <v>535.83901831332162</v>
      </c>
      <c r="AI983" s="3"/>
      <c r="AJ983" s="3"/>
      <c r="AK983" s="15">
        <f t="shared" si="401"/>
        <v>4</v>
      </c>
      <c r="AL983" s="11">
        <f t="shared" si="405"/>
        <v>5844</v>
      </c>
      <c r="AM983" s="11" t="b">
        <f t="shared" si="400"/>
        <v>0</v>
      </c>
      <c r="AN983" s="11">
        <f t="shared" si="402"/>
        <v>36000</v>
      </c>
      <c r="AO983" s="11">
        <f t="shared" si="403"/>
        <v>0</v>
      </c>
      <c r="AP983" s="11">
        <f t="shared" si="404"/>
        <v>0.59949565787973103</v>
      </c>
      <c r="AQ983" s="11">
        <f t="shared" si="406"/>
        <v>0</v>
      </c>
      <c r="AT983" s="3"/>
      <c r="AU983" s="17"/>
      <c r="AV983" s="19"/>
      <c r="AW983" s="17"/>
      <c r="AX983" s="17">
        <f t="shared" si="399"/>
        <v>974</v>
      </c>
      <c r="AY983" s="17">
        <f t="shared" si="424"/>
        <v>97.4</v>
      </c>
      <c r="AZ983" s="17">
        <v>59.9495657879731</v>
      </c>
      <c r="BA983" s="17"/>
      <c r="BB983" s="17">
        <v>36</v>
      </c>
      <c r="BC983" s="17"/>
      <c r="BD983" s="17"/>
      <c r="BE983" s="17"/>
      <c r="BF983" s="17"/>
      <c r="BG983" s="17"/>
      <c r="BH983" s="17"/>
      <c r="BI983" s="17"/>
      <c r="BJ983" s="17"/>
      <c r="BK983" s="17"/>
      <c r="BL983" s="17"/>
      <c r="BM983" s="17"/>
      <c r="BN983" s="17"/>
      <c r="BO983" s="17"/>
      <c r="BP983" s="17"/>
      <c r="BQ983" s="17"/>
      <c r="BR983" s="17"/>
      <c r="BS983" s="17"/>
      <c r="BT983" s="17"/>
      <c r="BU983" s="17"/>
      <c r="BV983" s="17"/>
      <c r="BW983" s="17"/>
      <c r="BX983" s="17"/>
      <c r="BY983" s="17"/>
      <c r="BZ983" s="17"/>
      <c r="CA983" s="17"/>
      <c r="CB983" s="17"/>
      <c r="CC983" s="17"/>
      <c r="CD983" s="17"/>
      <c r="CE983" s="17"/>
      <c r="CF983" s="17"/>
      <c r="CG983" s="17"/>
      <c r="CH983" s="17"/>
    </row>
    <row r="984" spans="8:86" x14ac:dyDescent="0.15">
      <c r="H984" s="3">
        <f t="shared" si="419"/>
        <v>0.97200000000000075</v>
      </c>
      <c r="I984" s="3">
        <f t="shared" si="420"/>
        <v>360</v>
      </c>
      <c r="J984" s="14">
        <f t="shared" si="421"/>
        <v>500</v>
      </c>
      <c r="K984" s="3">
        <f t="shared" si="411"/>
        <v>0</v>
      </c>
      <c r="L984" s="3">
        <f t="shared" si="407"/>
        <v>500</v>
      </c>
      <c r="M984" s="15">
        <f t="shared" si="422"/>
        <v>7.0000000000000007E-2</v>
      </c>
      <c r="N984" s="3">
        <f t="shared" si="423"/>
        <v>35.550583025236733</v>
      </c>
      <c r="O984" s="3">
        <f t="shared" si="408"/>
        <v>35.550583025236733</v>
      </c>
      <c r="P984" s="3">
        <f t="shared" si="412"/>
        <v>38.226433360469606</v>
      </c>
      <c r="Q984" s="3">
        <f t="shared" si="413"/>
        <v>1.0344677103256483</v>
      </c>
      <c r="R984" s="3">
        <f t="shared" si="414"/>
        <v>19.630450535397628</v>
      </c>
      <c r="S984" s="3">
        <f t="shared" si="409"/>
        <v>1</v>
      </c>
      <c r="T984" s="3">
        <f t="shared" si="415"/>
        <v>18595.982825071977</v>
      </c>
      <c r="U984" s="3">
        <f t="shared" si="416"/>
        <v>0.5</v>
      </c>
      <c r="V984" s="3">
        <f t="shared" si="417"/>
        <v>0</v>
      </c>
      <c r="W984" s="3">
        <f t="shared" si="418"/>
        <v>12798.209889085225</v>
      </c>
      <c r="X984" s="3">
        <f t="shared" si="410"/>
        <v>517.23385516282417</v>
      </c>
      <c r="AI984" s="3"/>
      <c r="AJ984" s="3"/>
      <c r="AK984" s="15">
        <f t="shared" si="401"/>
        <v>4</v>
      </c>
      <c r="AL984" s="11">
        <f t="shared" si="405"/>
        <v>5850</v>
      </c>
      <c r="AM984" s="11" t="b">
        <f t="shared" si="400"/>
        <v>0</v>
      </c>
      <c r="AN984" s="11">
        <f t="shared" si="402"/>
        <v>36000</v>
      </c>
      <c r="AO984" s="11">
        <f t="shared" si="403"/>
        <v>0</v>
      </c>
      <c r="AP984" s="11">
        <f t="shared" si="404"/>
        <v>0.60059797269454596</v>
      </c>
      <c r="AQ984" s="11">
        <f t="shared" si="406"/>
        <v>0</v>
      </c>
      <c r="AT984" s="3"/>
      <c r="AU984" s="17"/>
      <c r="AV984" s="19"/>
      <c r="AW984" s="17"/>
      <c r="AX984" s="17">
        <f t="shared" si="399"/>
        <v>975</v>
      </c>
      <c r="AY984" s="17">
        <f t="shared" si="424"/>
        <v>97.5</v>
      </c>
      <c r="AZ984" s="17">
        <v>60.059797269454599</v>
      </c>
      <c r="BA984" s="17"/>
      <c r="BB984" s="17">
        <v>36</v>
      </c>
      <c r="BC984" s="17"/>
      <c r="BD984" s="17"/>
      <c r="BE984" s="17"/>
      <c r="BF984" s="17"/>
      <c r="BG984" s="17"/>
      <c r="BH984" s="17"/>
      <c r="BI984" s="17"/>
      <c r="BJ984" s="17"/>
      <c r="BK984" s="17"/>
      <c r="BL984" s="17"/>
      <c r="BM984" s="17"/>
      <c r="BN984" s="17"/>
      <c r="BO984" s="17"/>
      <c r="BP984" s="17"/>
      <c r="BQ984" s="17"/>
      <c r="BR984" s="17"/>
      <c r="BS984" s="17"/>
      <c r="BT984" s="17"/>
      <c r="BU984" s="17"/>
      <c r="BV984" s="17"/>
      <c r="BW984" s="17"/>
      <c r="BX984" s="17"/>
      <c r="BY984" s="17"/>
      <c r="BZ984" s="17"/>
      <c r="CA984" s="17"/>
      <c r="CB984" s="17"/>
      <c r="CC984" s="17"/>
      <c r="CD984" s="17"/>
      <c r="CE984" s="17"/>
      <c r="CF984" s="17"/>
      <c r="CG984" s="17"/>
      <c r="CH984" s="17"/>
    </row>
    <row r="985" spans="8:86" x14ac:dyDescent="0.15">
      <c r="H985" s="3">
        <f t="shared" si="419"/>
        <v>0.97300000000000075</v>
      </c>
      <c r="I985" s="3">
        <f t="shared" si="420"/>
        <v>360</v>
      </c>
      <c r="J985" s="14">
        <f t="shared" si="421"/>
        <v>500</v>
      </c>
      <c r="K985" s="3">
        <f t="shared" si="411"/>
        <v>0</v>
      </c>
      <c r="L985" s="3">
        <f t="shared" si="407"/>
        <v>500</v>
      </c>
      <c r="M985" s="15">
        <f t="shared" si="422"/>
        <v>7.0000000000000007E-2</v>
      </c>
      <c r="N985" s="3">
        <f t="shared" si="423"/>
        <v>35.498927517389312</v>
      </c>
      <c r="O985" s="3">
        <f t="shared" si="408"/>
        <v>35.498927517389312</v>
      </c>
      <c r="P985" s="3">
        <f t="shared" si="412"/>
        <v>38.170889803644421</v>
      </c>
      <c r="Q985" s="3">
        <f t="shared" si="413"/>
        <v>0.99727574467550439</v>
      </c>
      <c r="R985" s="3">
        <f t="shared" si="414"/>
        <v>19.584082774159963</v>
      </c>
      <c r="S985" s="3">
        <f t="shared" si="409"/>
        <v>1</v>
      </c>
      <c r="T985" s="3">
        <f t="shared" si="415"/>
        <v>18586.807029484458</v>
      </c>
      <c r="U985" s="3">
        <f t="shared" si="416"/>
        <v>0.5</v>
      </c>
      <c r="V985" s="3">
        <f t="shared" si="417"/>
        <v>0</v>
      </c>
      <c r="W985" s="3">
        <f t="shared" si="418"/>
        <v>12779.613906260152</v>
      </c>
      <c r="X985" s="3">
        <f t="shared" si="410"/>
        <v>498.63787233775219</v>
      </c>
      <c r="AI985" s="3"/>
      <c r="AJ985" s="3"/>
      <c r="AK985" s="15">
        <f t="shared" si="401"/>
        <v>4</v>
      </c>
      <c r="AL985" s="11">
        <f t="shared" si="405"/>
        <v>5856</v>
      </c>
      <c r="AM985" s="11" t="b">
        <f t="shared" si="400"/>
        <v>0</v>
      </c>
      <c r="AN985" s="11">
        <f t="shared" si="402"/>
        <v>36000</v>
      </c>
      <c r="AO985" s="11">
        <f t="shared" si="403"/>
        <v>0</v>
      </c>
      <c r="AP985" s="11">
        <f t="shared" si="404"/>
        <v>0.60170028750936078</v>
      </c>
      <c r="AQ985" s="11">
        <f t="shared" si="406"/>
        <v>0</v>
      </c>
      <c r="AT985" s="3"/>
      <c r="AU985" s="17"/>
      <c r="AV985" s="19"/>
      <c r="AW985" s="17"/>
      <c r="AX985" s="17">
        <f t="shared" si="399"/>
        <v>976</v>
      </c>
      <c r="AY985" s="17">
        <f t="shared" si="424"/>
        <v>97.6</v>
      </c>
      <c r="AZ985" s="17">
        <v>60.170028750936076</v>
      </c>
      <c r="BA985" s="17"/>
      <c r="BB985" s="17">
        <v>36</v>
      </c>
      <c r="BC985" s="17"/>
      <c r="BD985" s="17"/>
      <c r="BE985" s="17"/>
      <c r="BF985" s="17"/>
      <c r="BG985" s="17"/>
      <c r="BH985" s="17"/>
      <c r="BI985" s="17"/>
      <c r="BJ985" s="17"/>
      <c r="BK985" s="17"/>
      <c r="BL985" s="17"/>
      <c r="BM985" s="17"/>
      <c r="BN985" s="17"/>
      <c r="BO985" s="17"/>
      <c r="BP985" s="17"/>
      <c r="BQ985" s="17"/>
      <c r="BR985" s="17"/>
      <c r="BS985" s="17"/>
      <c r="BT985" s="17"/>
      <c r="BU985" s="17"/>
      <c r="BV985" s="17"/>
      <c r="BW985" s="17"/>
      <c r="BX985" s="17"/>
      <c r="BY985" s="17"/>
      <c r="BZ985" s="17"/>
      <c r="CA985" s="17"/>
      <c r="CB985" s="17"/>
      <c r="CC985" s="17"/>
      <c r="CD985" s="17"/>
      <c r="CE985" s="17"/>
      <c r="CF985" s="17"/>
      <c r="CG985" s="17"/>
      <c r="CH985" s="17"/>
    </row>
    <row r="986" spans="8:86" x14ac:dyDescent="0.15">
      <c r="H986" s="3">
        <f t="shared" si="419"/>
        <v>0.97400000000000075</v>
      </c>
      <c r="I986" s="3">
        <f t="shared" si="420"/>
        <v>360</v>
      </c>
      <c r="J986" s="14">
        <f t="shared" si="421"/>
        <v>500</v>
      </c>
      <c r="K986" s="3">
        <f t="shared" si="411"/>
        <v>0</v>
      </c>
      <c r="L986" s="3">
        <f t="shared" si="407"/>
        <v>500</v>
      </c>
      <c r="M986" s="15">
        <f t="shared" si="422"/>
        <v>7.0000000000000007E-2</v>
      </c>
      <c r="N986" s="3">
        <f t="shared" si="423"/>
        <v>35.447297497862969</v>
      </c>
      <c r="O986" s="3">
        <f t="shared" si="408"/>
        <v>35.447297497862969</v>
      </c>
      <c r="P986" s="3">
        <f t="shared" si="412"/>
        <v>38.115373653616096</v>
      </c>
      <c r="Q986" s="3">
        <f t="shared" si="413"/>
        <v>0.96010213061653538</v>
      </c>
      <c r="R986" s="3">
        <f t="shared" si="414"/>
        <v>19.537737892116315</v>
      </c>
      <c r="S986" s="3">
        <f t="shared" si="409"/>
        <v>1</v>
      </c>
      <c r="T986" s="3">
        <f t="shared" si="415"/>
        <v>18577.63576149978</v>
      </c>
      <c r="U986" s="3">
        <f t="shared" si="416"/>
        <v>0.5</v>
      </c>
      <c r="V986" s="3">
        <f t="shared" si="417"/>
        <v>0</v>
      </c>
      <c r="W986" s="3">
        <f t="shared" si="418"/>
        <v>12761.027099230669</v>
      </c>
      <c r="X986" s="3">
        <f t="shared" si="410"/>
        <v>480.05106530826771</v>
      </c>
      <c r="AI986" s="3"/>
      <c r="AJ986" s="3"/>
      <c r="AK986" s="15">
        <f t="shared" si="401"/>
        <v>4</v>
      </c>
      <c r="AL986" s="11">
        <f t="shared" si="405"/>
        <v>5862</v>
      </c>
      <c r="AM986" s="11" t="b">
        <f t="shared" si="400"/>
        <v>0</v>
      </c>
      <c r="AN986" s="11">
        <f t="shared" si="402"/>
        <v>36000</v>
      </c>
      <c r="AO986" s="11">
        <f t="shared" si="403"/>
        <v>0</v>
      </c>
      <c r="AP986" s="11">
        <f t="shared" si="404"/>
        <v>0.6028026023241756</v>
      </c>
      <c r="AQ986" s="11">
        <f t="shared" si="406"/>
        <v>0</v>
      </c>
      <c r="AT986" s="3"/>
      <c r="AU986" s="17"/>
      <c r="AV986" s="19"/>
      <c r="AW986" s="17"/>
      <c r="AX986" s="17">
        <f t="shared" si="399"/>
        <v>977</v>
      </c>
      <c r="AY986" s="17">
        <f t="shared" si="424"/>
        <v>97.7</v>
      </c>
      <c r="AZ986" s="17">
        <v>60.280260232417561</v>
      </c>
      <c r="BA986" s="17"/>
      <c r="BB986" s="17">
        <v>36</v>
      </c>
      <c r="BC986" s="17"/>
      <c r="BD986" s="17"/>
      <c r="BE986" s="17"/>
      <c r="BF986" s="17"/>
      <c r="BG986" s="17"/>
      <c r="BH986" s="17"/>
      <c r="BI986" s="17"/>
      <c r="BJ986" s="17"/>
      <c r="BK986" s="17"/>
      <c r="BL986" s="17"/>
      <c r="BM986" s="17"/>
      <c r="BN986" s="17"/>
      <c r="BO986" s="17"/>
      <c r="BP986" s="17"/>
      <c r="BQ986" s="17"/>
      <c r="BR986" s="17"/>
      <c r="BS986" s="17"/>
      <c r="BT986" s="17"/>
      <c r="BU986" s="17"/>
      <c r="BV986" s="17"/>
      <c r="BW986" s="17"/>
      <c r="BX986" s="17"/>
      <c r="BY986" s="17"/>
      <c r="BZ986" s="17"/>
      <c r="CA986" s="17"/>
      <c r="CB986" s="17"/>
      <c r="CC986" s="17"/>
      <c r="CD986" s="17"/>
      <c r="CE986" s="17"/>
      <c r="CF986" s="17"/>
      <c r="CG986" s="17"/>
      <c r="CH986" s="17"/>
    </row>
    <row r="987" spans="8:86" x14ac:dyDescent="0.15">
      <c r="H987" s="3">
        <f t="shared" si="419"/>
        <v>0.97500000000000075</v>
      </c>
      <c r="I987" s="3">
        <f t="shared" si="420"/>
        <v>360</v>
      </c>
      <c r="J987" s="14">
        <f t="shared" si="421"/>
        <v>500</v>
      </c>
      <c r="K987" s="3">
        <f t="shared" si="411"/>
        <v>0</v>
      </c>
      <c r="L987" s="3">
        <f t="shared" si="407"/>
        <v>500</v>
      </c>
      <c r="M987" s="15">
        <f t="shared" si="422"/>
        <v>7.0000000000000007E-2</v>
      </c>
      <c r="N987" s="3">
        <f t="shared" si="423"/>
        <v>35.395692954081028</v>
      </c>
      <c r="O987" s="3">
        <f t="shared" si="408"/>
        <v>35.395692954081028</v>
      </c>
      <c r="P987" s="3">
        <f t="shared" si="412"/>
        <v>38.05988489686132</v>
      </c>
      <c r="Q987" s="3">
        <f t="shared" si="413"/>
        <v>0.92294685909353591</v>
      </c>
      <c r="R987" s="3">
        <f t="shared" si="414"/>
        <v>19.491415877977428</v>
      </c>
      <c r="S987" s="3">
        <f t="shared" si="409"/>
        <v>1</v>
      </c>
      <c r="T987" s="3">
        <f t="shared" si="415"/>
        <v>18568.46901888389</v>
      </c>
      <c r="U987" s="3">
        <f t="shared" si="416"/>
        <v>0.5</v>
      </c>
      <c r="V987" s="3">
        <f t="shared" si="417"/>
        <v>0</v>
      </c>
      <c r="W987" s="3">
        <f t="shared" si="418"/>
        <v>12742.449463469169</v>
      </c>
      <c r="X987" s="3">
        <f t="shared" si="410"/>
        <v>461.47342954676793</v>
      </c>
      <c r="AI987" s="3"/>
      <c r="AJ987" s="3"/>
      <c r="AK987" s="15">
        <f t="shared" si="401"/>
        <v>4</v>
      </c>
      <c r="AL987" s="11">
        <f t="shared" si="405"/>
        <v>5868</v>
      </c>
      <c r="AM987" s="11" t="b">
        <f t="shared" si="400"/>
        <v>0</v>
      </c>
      <c r="AN987" s="11">
        <f t="shared" si="402"/>
        <v>36000</v>
      </c>
      <c r="AO987" s="11">
        <f t="shared" si="403"/>
        <v>0</v>
      </c>
      <c r="AP987" s="11">
        <f t="shared" si="404"/>
        <v>0.60390491713899042</v>
      </c>
      <c r="AQ987" s="11">
        <f t="shared" si="406"/>
        <v>0</v>
      </c>
      <c r="AT987" s="3"/>
      <c r="AU987" s="17"/>
      <c r="AV987" s="19"/>
      <c r="AW987" s="17"/>
      <c r="AX987" s="17">
        <f t="shared" si="399"/>
        <v>978</v>
      </c>
      <c r="AY987" s="17">
        <f t="shared" si="424"/>
        <v>97.8</v>
      </c>
      <c r="AZ987" s="17">
        <v>60.390491713899038</v>
      </c>
      <c r="BA987" s="17"/>
      <c r="BB987" s="17">
        <v>36</v>
      </c>
      <c r="BC987" s="17"/>
      <c r="BD987" s="17"/>
      <c r="BE987" s="17"/>
      <c r="BF987" s="17"/>
      <c r="BG987" s="17"/>
      <c r="BH987" s="17"/>
      <c r="BI987" s="17"/>
      <c r="BJ987" s="17"/>
      <c r="BK987" s="17"/>
      <c r="BL987" s="17"/>
      <c r="BM987" s="17"/>
      <c r="BN987" s="17"/>
      <c r="BO987" s="17"/>
      <c r="BP987" s="17"/>
      <c r="BQ987" s="17"/>
      <c r="BR987" s="17"/>
      <c r="BS987" s="17"/>
      <c r="BT987" s="17"/>
      <c r="BU987" s="17"/>
      <c r="BV987" s="17"/>
      <c r="BW987" s="17"/>
      <c r="BX987" s="17"/>
      <c r="BY987" s="17"/>
      <c r="BZ987" s="17"/>
      <c r="CA987" s="17"/>
      <c r="CB987" s="17"/>
      <c r="CC987" s="17"/>
      <c r="CD987" s="17"/>
      <c r="CE987" s="17"/>
      <c r="CF987" s="17"/>
      <c r="CG987" s="17"/>
      <c r="CH987" s="17"/>
    </row>
    <row r="988" spans="8:86" x14ac:dyDescent="0.15">
      <c r="H988" s="3">
        <f t="shared" si="419"/>
        <v>0.97600000000000076</v>
      </c>
      <c r="I988" s="3">
        <f t="shared" si="420"/>
        <v>360</v>
      </c>
      <c r="J988" s="14">
        <f t="shared" si="421"/>
        <v>500</v>
      </c>
      <c r="K988" s="3">
        <f t="shared" si="411"/>
        <v>0</v>
      </c>
      <c r="L988" s="3">
        <f t="shared" si="407"/>
        <v>500</v>
      </c>
      <c r="M988" s="15">
        <f t="shared" si="422"/>
        <v>7.0000000000000007E-2</v>
      </c>
      <c r="N988" s="3">
        <f t="shared" si="423"/>
        <v>35.344113873473013</v>
      </c>
      <c r="O988" s="3">
        <f t="shared" si="408"/>
        <v>35.344113873473013</v>
      </c>
      <c r="P988" s="3">
        <f t="shared" si="412"/>
        <v>38.004423519863458</v>
      </c>
      <c r="Q988" s="3">
        <f t="shared" si="413"/>
        <v>0.88580992105576806</v>
      </c>
      <c r="R988" s="3">
        <f t="shared" si="414"/>
        <v>19.445116720459612</v>
      </c>
      <c r="S988" s="3">
        <f t="shared" si="409"/>
        <v>1</v>
      </c>
      <c r="T988" s="3">
        <f t="shared" si="415"/>
        <v>18559.306799403847</v>
      </c>
      <c r="U988" s="3">
        <f t="shared" si="416"/>
        <v>0.5</v>
      </c>
      <c r="V988" s="3">
        <f t="shared" si="417"/>
        <v>0</v>
      </c>
      <c r="W988" s="3">
        <f t="shared" si="418"/>
        <v>12723.880994450285</v>
      </c>
      <c r="X988" s="3">
        <f t="shared" si="410"/>
        <v>442.90496052788404</v>
      </c>
      <c r="AI988" s="3"/>
      <c r="AJ988" s="3"/>
      <c r="AK988" s="15">
        <f t="shared" si="401"/>
        <v>4</v>
      </c>
      <c r="AL988" s="11">
        <f t="shared" si="405"/>
        <v>5874</v>
      </c>
      <c r="AM988" s="11" t="b">
        <f t="shared" si="400"/>
        <v>0</v>
      </c>
      <c r="AN988" s="11">
        <f t="shared" si="402"/>
        <v>36000</v>
      </c>
      <c r="AO988" s="11">
        <f t="shared" si="403"/>
        <v>0</v>
      </c>
      <c r="AP988" s="11">
        <f t="shared" si="404"/>
        <v>0.60500723195380524</v>
      </c>
      <c r="AQ988" s="11">
        <f t="shared" si="406"/>
        <v>0</v>
      </c>
      <c r="AT988" s="3"/>
      <c r="AU988" s="17"/>
      <c r="AV988" s="19"/>
      <c r="AW988" s="17"/>
      <c r="AX988" s="17">
        <f t="shared" si="399"/>
        <v>979</v>
      </c>
      <c r="AY988" s="17">
        <f t="shared" si="424"/>
        <v>97.9</v>
      </c>
      <c r="AZ988" s="17">
        <v>60.500723195380523</v>
      </c>
      <c r="BA988" s="17"/>
      <c r="BB988" s="17">
        <v>36</v>
      </c>
      <c r="BC988" s="17"/>
      <c r="BD988" s="17"/>
      <c r="BE988" s="17"/>
      <c r="BF988" s="17"/>
      <c r="BG988" s="17"/>
      <c r="BH988" s="17"/>
      <c r="BI988" s="17"/>
      <c r="BJ988" s="17"/>
      <c r="BK988" s="17"/>
      <c r="BL988" s="17"/>
      <c r="BM988" s="17"/>
      <c r="BN988" s="17"/>
      <c r="BO988" s="17"/>
      <c r="BP988" s="17"/>
      <c r="BQ988" s="17"/>
      <c r="BR988" s="17"/>
      <c r="BS988" s="17"/>
      <c r="BT988" s="17"/>
      <c r="BU988" s="17"/>
      <c r="BV988" s="17"/>
      <c r="BW988" s="17"/>
      <c r="BX988" s="17"/>
      <c r="BY988" s="17"/>
      <c r="BZ988" s="17"/>
      <c r="CA988" s="17"/>
      <c r="CB988" s="17"/>
      <c r="CC988" s="17"/>
      <c r="CD988" s="17"/>
      <c r="CE988" s="17"/>
      <c r="CF988" s="17"/>
      <c r="CG988" s="17"/>
      <c r="CH988" s="17"/>
    </row>
    <row r="989" spans="8:86" x14ac:dyDescent="0.15">
      <c r="H989" s="3">
        <f t="shared" si="419"/>
        <v>0.97700000000000076</v>
      </c>
      <c r="I989" s="3">
        <f t="shared" si="420"/>
        <v>360</v>
      </c>
      <c r="J989" s="14">
        <f t="shared" si="421"/>
        <v>500</v>
      </c>
      <c r="K989" s="3">
        <f t="shared" si="411"/>
        <v>0</v>
      </c>
      <c r="L989" s="3">
        <f t="shared" si="407"/>
        <v>500</v>
      </c>
      <c r="M989" s="15">
        <f t="shared" si="422"/>
        <v>7.0000000000000007E-2</v>
      </c>
      <c r="N989" s="3">
        <f t="shared" si="423"/>
        <v>35.292560243474668</v>
      </c>
      <c r="O989" s="3">
        <f t="shared" si="408"/>
        <v>35.292560243474668</v>
      </c>
      <c r="P989" s="3">
        <f t="shared" si="412"/>
        <v>37.94898950911255</v>
      </c>
      <c r="Q989" s="3">
        <f t="shared" si="413"/>
        <v>0.84869130745696042</v>
      </c>
      <c r="R989" s="3">
        <f t="shared" si="414"/>
        <v>19.398840408284755</v>
      </c>
      <c r="S989" s="3">
        <f t="shared" si="409"/>
        <v>1</v>
      </c>
      <c r="T989" s="3">
        <f t="shared" si="415"/>
        <v>18550.149100827795</v>
      </c>
      <c r="U989" s="3">
        <f t="shared" si="416"/>
        <v>0.5</v>
      </c>
      <c r="V989" s="3">
        <f t="shared" si="417"/>
        <v>0</v>
      </c>
      <c r="W989" s="3">
        <f t="shared" si="418"/>
        <v>12705.321687650881</v>
      </c>
      <c r="X989" s="3">
        <f t="shared" si="410"/>
        <v>424.34565372848022</v>
      </c>
      <c r="AI989" s="3"/>
      <c r="AJ989" s="3"/>
      <c r="AK989" s="15">
        <f t="shared" si="401"/>
        <v>4</v>
      </c>
      <c r="AL989" s="11">
        <f t="shared" si="405"/>
        <v>5880</v>
      </c>
      <c r="AM989" s="11" t="b">
        <f t="shared" si="400"/>
        <v>0</v>
      </c>
      <c r="AN989" s="11">
        <f t="shared" si="402"/>
        <v>36000</v>
      </c>
      <c r="AO989" s="11">
        <f t="shared" si="403"/>
        <v>0</v>
      </c>
      <c r="AP989" s="11">
        <f t="shared" si="404"/>
        <v>0.60610954676862017</v>
      </c>
      <c r="AQ989" s="11">
        <f t="shared" si="406"/>
        <v>0</v>
      </c>
      <c r="AT989" s="3"/>
      <c r="AU989" s="17"/>
      <c r="AV989" s="19"/>
      <c r="AW989" s="17"/>
      <c r="AX989" s="17">
        <f t="shared" si="399"/>
        <v>980</v>
      </c>
      <c r="AY989" s="17">
        <f t="shared" si="424"/>
        <v>98</v>
      </c>
      <c r="AZ989" s="17">
        <v>60.610954676862015</v>
      </c>
      <c r="BA989" s="17"/>
      <c r="BB989" s="17">
        <v>36</v>
      </c>
      <c r="BC989" s="17"/>
      <c r="BD989" s="17"/>
      <c r="BE989" s="17"/>
      <c r="BF989" s="17"/>
      <c r="BG989" s="17"/>
      <c r="BH989" s="17"/>
      <c r="BI989" s="17"/>
      <c r="BJ989" s="17"/>
      <c r="BK989" s="17"/>
      <c r="BL989" s="17"/>
      <c r="BM989" s="17"/>
      <c r="BN989" s="17"/>
      <c r="BO989" s="17"/>
      <c r="BP989" s="17"/>
      <c r="BQ989" s="17"/>
      <c r="BR989" s="17"/>
      <c r="BS989" s="17"/>
      <c r="BT989" s="17"/>
      <c r="BU989" s="17"/>
      <c r="BV989" s="17"/>
      <c r="BW989" s="17"/>
      <c r="BX989" s="17"/>
      <c r="BY989" s="17"/>
      <c r="BZ989" s="17"/>
      <c r="CA989" s="17"/>
      <c r="CB989" s="17"/>
      <c r="CC989" s="17"/>
      <c r="CD989" s="17"/>
      <c r="CE989" s="17"/>
      <c r="CF989" s="17"/>
      <c r="CG989" s="17"/>
      <c r="CH989" s="17"/>
    </row>
    <row r="990" spans="8:86" x14ac:dyDescent="0.15">
      <c r="H990" s="3">
        <f t="shared" si="419"/>
        <v>0.97800000000000076</v>
      </c>
      <c r="I990" s="3">
        <f t="shared" si="420"/>
        <v>360</v>
      </c>
      <c r="J990" s="14">
        <f t="shared" si="421"/>
        <v>500</v>
      </c>
      <c r="K990" s="3">
        <f t="shared" si="411"/>
        <v>0</v>
      </c>
      <c r="L990" s="3">
        <f t="shared" si="407"/>
        <v>500</v>
      </c>
      <c r="M990" s="15">
        <f t="shared" si="422"/>
        <v>7.0000000000000007E-2</v>
      </c>
      <c r="N990" s="3">
        <f t="shared" si="423"/>
        <v>35.241032051527931</v>
      </c>
      <c r="O990" s="3">
        <f t="shared" si="408"/>
        <v>35.241032051527931</v>
      </c>
      <c r="P990" s="3">
        <f t="shared" si="412"/>
        <v>37.893582851105307</v>
      </c>
      <c r="Q990" s="3">
        <f t="shared" si="413"/>
        <v>0.81159100925530481</v>
      </c>
      <c r="R990" s="3">
        <f t="shared" si="414"/>
        <v>19.352586930180305</v>
      </c>
      <c r="S990" s="3">
        <f t="shared" si="409"/>
        <v>1</v>
      </c>
      <c r="T990" s="3">
        <f t="shared" si="415"/>
        <v>18540.995920925001</v>
      </c>
      <c r="U990" s="3">
        <f t="shared" si="416"/>
        <v>0.5</v>
      </c>
      <c r="V990" s="3">
        <f t="shared" si="417"/>
        <v>0</v>
      </c>
      <c r="W990" s="3">
        <f t="shared" si="418"/>
        <v>12686.771538550056</v>
      </c>
      <c r="X990" s="3">
        <f t="shared" si="410"/>
        <v>405.79550462765241</v>
      </c>
      <c r="AI990" s="3"/>
      <c r="AJ990" s="3"/>
      <c r="AK990" s="15">
        <f t="shared" si="401"/>
        <v>4</v>
      </c>
      <c r="AL990" s="11">
        <f t="shared" si="405"/>
        <v>5886</v>
      </c>
      <c r="AM990" s="11" t="b">
        <f t="shared" si="400"/>
        <v>0</v>
      </c>
      <c r="AN990" s="11">
        <f t="shared" si="402"/>
        <v>36000</v>
      </c>
      <c r="AO990" s="11">
        <f t="shared" si="403"/>
        <v>0</v>
      </c>
      <c r="AP990" s="11">
        <f t="shared" si="404"/>
        <v>0.60721186158343499</v>
      </c>
      <c r="AQ990" s="11">
        <f t="shared" si="406"/>
        <v>0</v>
      </c>
      <c r="AT990" s="3"/>
      <c r="AU990" s="17"/>
      <c r="AV990" s="19"/>
      <c r="AW990" s="17"/>
      <c r="AX990" s="17">
        <f t="shared" si="399"/>
        <v>981</v>
      </c>
      <c r="AY990" s="17">
        <f t="shared" si="424"/>
        <v>98.1</v>
      </c>
      <c r="AZ990" s="17">
        <v>60.7211861583435</v>
      </c>
      <c r="BA990" s="17"/>
      <c r="BB990" s="17">
        <v>36</v>
      </c>
      <c r="BC990" s="17"/>
      <c r="BD990" s="17"/>
      <c r="BE990" s="17"/>
      <c r="BF990" s="17"/>
      <c r="BG990" s="17"/>
      <c r="BH990" s="17"/>
      <c r="BI990" s="17"/>
      <c r="BJ990" s="17"/>
      <c r="BK990" s="17"/>
      <c r="BL990" s="17"/>
      <c r="BM990" s="17"/>
      <c r="BN990" s="17"/>
      <c r="BO990" s="17"/>
      <c r="BP990" s="17"/>
      <c r="BQ990" s="17"/>
      <c r="BR990" s="17"/>
      <c r="BS990" s="17"/>
      <c r="BT990" s="17"/>
      <c r="BU990" s="17"/>
      <c r="BV990" s="17"/>
      <c r="BW990" s="17"/>
      <c r="BX990" s="17"/>
      <c r="BY990" s="17"/>
      <c r="BZ990" s="17"/>
      <c r="CA990" s="17"/>
      <c r="CB990" s="17"/>
      <c r="CC990" s="17"/>
      <c r="CD990" s="17"/>
      <c r="CE990" s="17"/>
      <c r="CF990" s="17"/>
      <c r="CG990" s="17"/>
      <c r="CH990" s="17"/>
    </row>
    <row r="991" spans="8:86" x14ac:dyDescent="0.15">
      <c r="H991" s="3">
        <f t="shared" si="419"/>
        <v>0.97900000000000076</v>
      </c>
      <c r="I991" s="3">
        <f t="shared" si="420"/>
        <v>360</v>
      </c>
      <c r="J991" s="14">
        <f t="shared" si="421"/>
        <v>500</v>
      </c>
      <c r="K991" s="3">
        <f t="shared" si="411"/>
        <v>0</v>
      </c>
      <c r="L991" s="3">
        <f t="shared" si="407"/>
        <v>500</v>
      </c>
      <c r="M991" s="15">
        <f t="shared" si="422"/>
        <v>7.0000000000000007E-2</v>
      </c>
      <c r="N991" s="3">
        <f t="shared" si="423"/>
        <v>35.189529285080923</v>
      </c>
      <c r="O991" s="3">
        <f t="shared" si="408"/>
        <v>35.189529285080923</v>
      </c>
      <c r="P991" s="3">
        <f t="shared" si="412"/>
        <v>37.838203532345084</v>
      </c>
      <c r="Q991" s="3">
        <f t="shared" si="413"/>
        <v>0.77450901741345479</v>
      </c>
      <c r="R991" s="3">
        <f t="shared" si="414"/>
        <v>19.306356274879271</v>
      </c>
      <c r="S991" s="3">
        <f t="shared" si="409"/>
        <v>1</v>
      </c>
      <c r="T991" s="3">
        <f t="shared" si="415"/>
        <v>18531.847257465812</v>
      </c>
      <c r="U991" s="3">
        <f t="shared" si="416"/>
        <v>0.5</v>
      </c>
      <c r="V991" s="3">
        <f t="shared" si="417"/>
        <v>0</v>
      </c>
      <c r="W991" s="3">
        <f t="shared" si="418"/>
        <v>12668.230542629131</v>
      </c>
      <c r="X991" s="3">
        <f t="shared" si="410"/>
        <v>387.25450870672739</v>
      </c>
      <c r="AI991" s="3"/>
      <c r="AJ991" s="3"/>
      <c r="AK991" s="15">
        <f t="shared" si="401"/>
        <v>4</v>
      </c>
      <c r="AL991" s="11">
        <f t="shared" si="405"/>
        <v>5892</v>
      </c>
      <c r="AM991" s="11" t="b">
        <f t="shared" si="400"/>
        <v>0</v>
      </c>
      <c r="AN991" s="11">
        <f t="shared" si="402"/>
        <v>36000</v>
      </c>
      <c r="AO991" s="11">
        <f t="shared" si="403"/>
        <v>0</v>
      </c>
      <c r="AP991" s="11">
        <f t="shared" si="404"/>
        <v>0.60831417639824981</v>
      </c>
      <c r="AQ991" s="11">
        <f t="shared" si="406"/>
        <v>0</v>
      </c>
      <c r="AT991" s="3"/>
      <c r="AU991" s="17"/>
      <c r="AV991" s="19"/>
      <c r="AW991" s="17"/>
      <c r="AX991" s="17">
        <f t="shared" si="399"/>
        <v>982</v>
      </c>
      <c r="AY991" s="17">
        <f t="shared" si="424"/>
        <v>98.2</v>
      </c>
      <c r="AZ991" s="17">
        <v>60.831417639824977</v>
      </c>
      <c r="BA991" s="17"/>
      <c r="BB991" s="17">
        <v>36</v>
      </c>
      <c r="BC991" s="17"/>
      <c r="BD991" s="17"/>
      <c r="BE991" s="17"/>
      <c r="BF991" s="17"/>
      <c r="BG991" s="17"/>
      <c r="BH991" s="17"/>
      <c r="BI991" s="17"/>
      <c r="BJ991" s="17"/>
      <c r="BK991" s="17"/>
      <c r="BL991" s="17"/>
      <c r="BM991" s="17"/>
      <c r="BN991" s="17"/>
      <c r="BO991" s="17"/>
      <c r="BP991" s="17"/>
      <c r="BQ991" s="17"/>
      <c r="BR991" s="17"/>
      <c r="BS991" s="17"/>
      <c r="BT991" s="17"/>
      <c r="BU991" s="17"/>
      <c r="BV991" s="17"/>
      <c r="BW991" s="17"/>
      <c r="BX991" s="17"/>
      <c r="BY991" s="17"/>
      <c r="BZ991" s="17"/>
      <c r="CA991" s="17"/>
      <c r="CB991" s="17"/>
      <c r="CC991" s="17"/>
      <c r="CD991" s="17"/>
      <c r="CE991" s="17"/>
      <c r="CF991" s="17"/>
      <c r="CG991" s="17"/>
      <c r="CH991" s="17"/>
    </row>
    <row r="992" spans="8:86" x14ac:dyDescent="0.15">
      <c r="H992" s="3">
        <f t="shared" si="419"/>
        <v>0.98000000000000076</v>
      </c>
      <c r="I992" s="3">
        <f t="shared" si="420"/>
        <v>360</v>
      </c>
      <c r="J992" s="14">
        <f t="shared" si="421"/>
        <v>500</v>
      </c>
      <c r="K992" s="3">
        <f t="shared" si="411"/>
        <v>0</v>
      </c>
      <c r="L992" s="3">
        <f t="shared" si="407"/>
        <v>500</v>
      </c>
      <c r="M992" s="15">
        <f t="shared" si="422"/>
        <v>7.0000000000000007E-2</v>
      </c>
      <c r="N992" s="3">
        <f t="shared" si="423"/>
        <v>35.13805193158796</v>
      </c>
      <c r="O992" s="3">
        <f t="shared" si="408"/>
        <v>35.13805193158796</v>
      </c>
      <c r="P992" s="3">
        <f t="shared" si="412"/>
        <v>37.782851539341891</v>
      </c>
      <c r="Q992" s="3">
        <f t="shared" si="413"/>
        <v>0.73744532289852316</v>
      </c>
      <c r="R992" s="3">
        <f t="shared" si="414"/>
        <v>19.260148431120207</v>
      </c>
      <c r="S992" s="3">
        <f t="shared" si="409"/>
        <v>1</v>
      </c>
      <c r="T992" s="3">
        <f t="shared" si="415"/>
        <v>18522.703108221685</v>
      </c>
      <c r="U992" s="3">
        <f t="shared" si="416"/>
        <v>0.5</v>
      </c>
      <c r="V992" s="3">
        <f t="shared" si="417"/>
        <v>0</v>
      </c>
      <c r="W992" s="3">
        <f t="shared" si="418"/>
        <v>12649.698695371666</v>
      </c>
      <c r="X992" s="3">
        <f t="shared" si="410"/>
        <v>368.72266144926158</v>
      </c>
      <c r="AI992" s="3"/>
      <c r="AJ992" s="3"/>
      <c r="AK992" s="15">
        <f t="shared" si="401"/>
        <v>4</v>
      </c>
      <c r="AL992" s="11">
        <f t="shared" si="405"/>
        <v>5898</v>
      </c>
      <c r="AM992" s="11" t="b">
        <f t="shared" si="400"/>
        <v>0</v>
      </c>
      <c r="AN992" s="11">
        <f t="shared" si="402"/>
        <v>36000</v>
      </c>
      <c r="AO992" s="11">
        <f t="shared" si="403"/>
        <v>0</v>
      </c>
      <c r="AP992" s="11">
        <f t="shared" si="404"/>
        <v>0.60941649121306463</v>
      </c>
      <c r="AQ992" s="11">
        <f t="shared" si="406"/>
        <v>0</v>
      </c>
      <c r="AT992" s="3"/>
      <c r="AU992" s="17"/>
      <c r="AV992" s="19"/>
      <c r="AW992" s="17"/>
      <c r="AX992" s="17">
        <f t="shared" si="399"/>
        <v>983</v>
      </c>
      <c r="AY992" s="17">
        <f t="shared" si="424"/>
        <v>98.3</v>
      </c>
      <c r="AZ992" s="17">
        <v>60.941649121306462</v>
      </c>
      <c r="BA992" s="17"/>
      <c r="BB992" s="17">
        <v>36</v>
      </c>
      <c r="BC992" s="17"/>
      <c r="BD992" s="17"/>
      <c r="BE992" s="17"/>
      <c r="BF992" s="17"/>
      <c r="BG992" s="17"/>
      <c r="BH992" s="17"/>
      <c r="BI992" s="17"/>
      <c r="BJ992" s="17"/>
      <c r="BK992" s="17"/>
      <c r="BL992" s="17"/>
      <c r="BM992" s="17"/>
      <c r="BN992" s="17"/>
      <c r="BO992" s="17"/>
      <c r="BP992" s="17"/>
      <c r="BQ992" s="17"/>
      <c r="BR992" s="17"/>
      <c r="BS992" s="17"/>
      <c r="BT992" s="17"/>
      <c r="BU992" s="17"/>
      <c r="BV992" s="17"/>
      <c r="BW992" s="17"/>
      <c r="BX992" s="17"/>
      <c r="BY992" s="17"/>
      <c r="BZ992" s="17"/>
      <c r="CA992" s="17"/>
      <c r="CB992" s="17"/>
      <c r="CC992" s="17"/>
      <c r="CD992" s="17"/>
      <c r="CE992" s="17"/>
      <c r="CF992" s="17"/>
      <c r="CG992" s="17"/>
      <c r="CH992" s="17"/>
    </row>
    <row r="993" spans="8:86" x14ac:dyDescent="0.15">
      <c r="H993" s="3">
        <f t="shared" si="419"/>
        <v>0.98100000000000076</v>
      </c>
      <c r="I993" s="3">
        <f t="shared" si="420"/>
        <v>360</v>
      </c>
      <c r="J993" s="14">
        <f t="shared" si="421"/>
        <v>500</v>
      </c>
      <c r="K993" s="3">
        <f t="shared" si="411"/>
        <v>0</v>
      </c>
      <c r="L993" s="3">
        <f t="shared" si="407"/>
        <v>500</v>
      </c>
      <c r="M993" s="15">
        <f t="shared" si="422"/>
        <v>7.0000000000000007E-2</v>
      </c>
      <c r="N993" s="3">
        <f t="shared" si="423"/>
        <v>35.086599978509568</v>
      </c>
      <c r="O993" s="3">
        <f t="shared" si="408"/>
        <v>35.086599978509568</v>
      </c>
      <c r="P993" s="3">
        <f t="shared" si="412"/>
        <v>37.727526858612443</v>
      </c>
      <c r="Q993" s="3">
        <f t="shared" si="413"/>
        <v>0.70039991668207979</v>
      </c>
      <c r="R993" s="3">
        <f t="shared" si="414"/>
        <v>19.213963387647262</v>
      </c>
      <c r="S993" s="3">
        <f t="shared" si="409"/>
        <v>1</v>
      </c>
      <c r="T993" s="3">
        <f t="shared" si="415"/>
        <v>18513.563470965182</v>
      </c>
      <c r="U993" s="3">
        <f t="shared" si="416"/>
        <v>0.5</v>
      </c>
      <c r="V993" s="3">
        <f t="shared" si="417"/>
        <v>0</v>
      </c>
      <c r="W993" s="3">
        <f t="shared" si="418"/>
        <v>12631.175992263445</v>
      </c>
      <c r="X993" s="3">
        <f t="shared" si="410"/>
        <v>350.19995834103992</v>
      </c>
      <c r="AI993" s="3"/>
      <c r="AJ993" s="3"/>
      <c r="AK993" s="15">
        <f t="shared" si="401"/>
        <v>4</v>
      </c>
      <c r="AL993" s="11">
        <f t="shared" si="405"/>
        <v>5904</v>
      </c>
      <c r="AM993" s="11" t="b">
        <f t="shared" si="400"/>
        <v>0</v>
      </c>
      <c r="AN993" s="11">
        <f t="shared" si="402"/>
        <v>36000</v>
      </c>
      <c r="AO993" s="11">
        <f t="shared" si="403"/>
        <v>0</v>
      </c>
      <c r="AP993" s="11">
        <f t="shared" si="404"/>
        <v>0.61051880602787945</v>
      </c>
      <c r="AQ993" s="11">
        <f t="shared" si="406"/>
        <v>0</v>
      </c>
      <c r="AT993" s="3"/>
      <c r="AU993" s="17"/>
      <c r="AV993" s="19"/>
      <c r="AW993" s="17"/>
      <c r="AX993" s="17">
        <f t="shared" si="399"/>
        <v>984</v>
      </c>
      <c r="AY993" s="17">
        <f t="shared" si="424"/>
        <v>98.4</v>
      </c>
      <c r="AZ993" s="17">
        <v>61.051880602787946</v>
      </c>
      <c r="BA993" s="17"/>
      <c r="BB993" s="17">
        <v>36</v>
      </c>
      <c r="BC993" s="17"/>
      <c r="BD993" s="17"/>
      <c r="BE993" s="17"/>
      <c r="BF993" s="17"/>
      <c r="BG993" s="17"/>
      <c r="BH993" s="17"/>
      <c r="BI993" s="17"/>
      <c r="BJ993" s="17"/>
      <c r="BK993" s="17"/>
      <c r="BL993" s="17"/>
      <c r="BM993" s="17"/>
      <c r="BN993" s="17"/>
      <c r="BO993" s="17"/>
      <c r="BP993" s="17"/>
      <c r="BQ993" s="17"/>
      <c r="BR993" s="17"/>
      <c r="BS993" s="17"/>
      <c r="BT993" s="17"/>
      <c r="BU993" s="17"/>
      <c r="BV993" s="17"/>
      <c r="BW993" s="17"/>
      <c r="BX993" s="17"/>
      <c r="BY993" s="17"/>
      <c r="BZ993" s="17"/>
      <c r="CA993" s="17"/>
      <c r="CB993" s="17"/>
      <c r="CC993" s="17"/>
      <c r="CD993" s="17"/>
      <c r="CE993" s="17"/>
      <c r="CF993" s="17"/>
      <c r="CG993" s="17"/>
      <c r="CH993" s="17"/>
    </row>
    <row r="994" spans="8:86" x14ac:dyDescent="0.15">
      <c r="H994" s="3">
        <f t="shared" si="419"/>
        <v>0.98200000000000076</v>
      </c>
      <c r="I994" s="3">
        <f t="shared" si="420"/>
        <v>360</v>
      </c>
      <c r="J994" s="14">
        <f t="shared" si="421"/>
        <v>500</v>
      </c>
      <c r="K994" s="3">
        <f t="shared" si="411"/>
        <v>0</v>
      </c>
      <c r="L994" s="3">
        <f t="shared" si="407"/>
        <v>500</v>
      </c>
      <c r="M994" s="15">
        <f t="shared" si="422"/>
        <v>7.0000000000000007E-2</v>
      </c>
      <c r="N994" s="3">
        <f t="shared" si="423"/>
        <v>35.035173413312442</v>
      </c>
      <c r="O994" s="3">
        <f t="shared" si="408"/>
        <v>35.035173413312442</v>
      </c>
      <c r="P994" s="3">
        <f t="shared" si="412"/>
        <v>37.672229476680052</v>
      </c>
      <c r="Q994" s="3">
        <f t="shared" si="413"/>
        <v>0.66337278974014957</v>
      </c>
      <c r="R994" s="3">
        <f t="shared" si="414"/>
        <v>19.167801133210101</v>
      </c>
      <c r="S994" s="3">
        <f t="shared" si="409"/>
        <v>1</v>
      </c>
      <c r="T994" s="3">
        <f t="shared" si="415"/>
        <v>18504.42834346995</v>
      </c>
      <c r="U994" s="3">
        <f t="shared" si="416"/>
        <v>0.5</v>
      </c>
      <c r="V994" s="3">
        <f t="shared" si="417"/>
        <v>0</v>
      </c>
      <c r="W994" s="3">
        <f t="shared" si="418"/>
        <v>12612.662428792479</v>
      </c>
      <c r="X994" s="3">
        <f t="shared" si="410"/>
        <v>331.68639487007476</v>
      </c>
      <c r="AI994" s="3"/>
      <c r="AJ994" s="3"/>
      <c r="AK994" s="15">
        <f t="shared" si="401"/>
        <v>4</v>
      </c>
      <c r="AL994" s="11">
        <f t="shared" si="405"/>
        <v>5910</v>
      </c>
      <c r="AM994" s="11" t="b">
        <f t="shared" si="400"/>
        <v>0</v>
      </c>
      <c r="AN994" s="11">
        <f t="shared" si="402"/>
        <v>36000</v>
      </c>
      <c r="AO994" s="11">
        <f t="shared" si="403"/>
        <v>0</v>
      </c>
      <c r="AP994" s="11">
        <f t="shared" si="404"/>
        <v>0.61162112084269438</v>
      </c>
      <c r="AQ994" s="11">
        <f t="shared" si="406"/>
        <v>0</v>
      </c>
      <c r="AT994" s="3"/>
      <c r="AU994" s="17"/>
      <c r="AV994" s="19"/>
      <c r="AW994" s="17"/>
      <c r="AX994" s="17">
        <f t="shared" si="399"/>
        <v>985</v>
      </c>
      <c r="AY994" s="17">
        <f t="shared" si="424"/>
        <v>98.5</v>
      </c>
      <c r="AZ994" s="17">
        <v>61.162112084269438</v>
      </c>
      <c r="BA994" s="17"/>
      <c r="BB994" s="17">
        <v>36</v>
      </c>
      <c r="BC994" s="17"/>
      <c r="BD994" s="17"/>
      <c r="BE994" s="17"/>
      <c r="BF994" s="17"/>
      <c r="BG994" s="17"/>
      <c r="BH994" s="17"/>
      <c r="BI994" s="17"/>
      <c r="BJ994" s="17"/>
      <c r="BK994" s="17"/>
      <c r="BL994" s="17"/>
      <c r="BM994" s="17"/>
      <c r="BN994" s="17"/>
      <c r="BO994" s="17"/>
      <c r="BP994" s="17"/>
      <c r="BQ994" s="17"/>
      <c r="BR994" s="17"/>
      <c r="BS994" s="17"/>
      <c r="BT994" s="17"/>
      <c r="BU994" s="17"/>
      <c r="BV994" s="17"/>
      <c r="BW994" s="17"/>
      <c r="BX994" s="17"/>
      <c r="BY994" s="17"/>
      <c r="BZ994" s="17"/>
      <c r="CA994" s="17"/>
      <c r="CB994" s="17"/>
      <c r="CC994" s="17"/>
      <c r="CD994" s="17"/>
      <c r="CE994" s="17"/>
      <c r="CF994" s="17"/>
      <c r="CG994" s="17"/>
      <c r="CH994" s="17"/>
    </row>
    <row r="995" spans="8:86" x14ac:dyDescent="0.15">
      <c r="H995" s="3">
        <f t="shared" si="419"/>
        <v>0.98300000000000076</v>
      </c>
      <c r="I995" s="3">
        <f t="shared" si="420"/>
        <v>360</v>
      </c>
      <c r="J995" s="14">
        <f t="shared" si="421"/>
        <v>500</v>
      </c>
      <c r="K995" s="3">
        <f t="shared" si="411"/>
        <v>0</v>
      </c>
      <c r="L995" s="3">
        <f t="shared" si="407"/>
        <v>500</v>
      </c>
      <c r="M995" s="15">
        <f t="shared" si="422"/>
        <v>7.0000000000000007E-2</v>
      </c>
      <c r="N995" s="3">
        <f t="shared" si="423"/>
        <v>34.983772223469472</v>
      </c>
      <c r="O995" s="3">
        <f t="shared" si="408"/>
        <v>34.983772223469472</v>
      </c>
      <c r="P995" s="3">
        <f t="shared" si="412"/>
        <v>37.616959380074704</v>
      </c>
      <c r="Q995" s="3">
        <f t="shared" si="413"/>
        <v>0.62636393305320959</v>
      </c>
      <c r="R995" s="3">
        <f t="shared" si="414"/>
        <v>19.121661656563958</v>
      </c>
      <c r="S995" s="3">
        <f t="shared" si="409"/>
        <v>1</v>
      </c>
      <c r="T995" s="3">
        <f t="shared" si="415"/>
        <v>18495.297723510746</v>
      </c>
      <c r="U995" s="3">
        <f t="shared" si="416"/>
        <v>0.5</v>
      </c>
      <c r="V995" s="3">
        <f t="shared" si="417"/>
        <v>0</v>
      </c>
      <c r="W995" s="3">
        <f t="shared" si="418"/>
        <v>12594.15800044901</v>
      </c>
      <c r="X995" s="3">
        <f t="shared" si="410"/>
        <v>313.18196652660481</v>
      </c>
      <c r="AI995" s="3"/>
      <c r="AJ995" s="3"/>
      <c r="AK995" s="15">
        <f t="shared" si="401"/>
        <v>4</v>
      </c>
      <c r="AL995" s="11">
        <f t="shared" si="405"/>
        <v>5916</v>
      </c>
      <c r="AM995" s="11" t="b">
        <f t="shared" si="400"/>
        <v>0</v>
      </c>
      <c r="AN995" s="11">
        <f t="shared" si="402"/>
        <v>36000</v>
      </c>
      <c r="AO995" s="11">
        <f t="shared" si="403"/>
        <v>0</v>
      </c>
      <c r="AP995" s="11">
        <f t="shared" si="404"/>
        <v>0.6127234356575092</v>
      </c>
      <c r="AQ995" s="11">
        <f t="shared" si="406"/>
        <v>0</v>
      </c>
      <c r="AT995" s="3"/>
      <c r="AU995" s="17"/>
      <c r="AV995" s="19"/>
      <c r="AW995" s="17"/>
      <c r="AX995" s="17">
        <f t="shared" si="399"/>
        <v>986</v>
      </c>
      <c r="AY995" s="17">
        <f t="shared" si="424"/>
        <v>98.6</v>
      </c>
      <c r="AZ995" s="17">
        <v>61.272343565750923</v>
      </c>
      <c r="BA995" s="17"/>
      <c r="BB995" s="17">
        <v>36</v>
      </c>
      <c r="BC995" s="17"/>
      <c r="BD995" s="17"/>
      <c r="BE995" s="17"/>
      <c r="BF995" s="17"/>
      <c r="BG995" s="17"/>
      <c r="BH995" s="17"/>
      <c r="BI995" s="17"/>
      <c r="BJ995" s="17"/>
      <c r="BK995" s="17"/>
      <c r="BL995" s="17"/>
      <c r="BM995" s="17"/>
      <c r="BN995" s="17"/>
      <c r="BO995" s="17"/>
      <c r="BP995" s="17"/>
      <c r="BQ995" s="17"/>
      <c r="BR995" s="17"/>
      <c r="BS995" s="17"/>
      <c r="BT995" s="17"/>
      <c r="BU995" s="17"/>
      <c r="BV995" s="17"/>
      <c r="BW995" s="17"/>
      <c r="BX995" s="17"/>
      <c r="BY995" s="17"/>
      <c r="BZ995" s="17"/>
      <c r="CA995" s="17"/>
      <c r="CB995" s="17"/>
      <c r="CC995" s="17"/>
      <c r="CD995" s="17"/>
      <c r="CE995" s="17"/>
      <c r="CF995" s="17"/>
      <c r="CG995" s="17"/>
      <c r="CH995" s="17"/>
    </row>
    <row r="996" spans="8:86" x14ac:dyDescent="0.15">
      <c r="H996" s="3">
        <f t="shared" si="419"/>
        <v>0.98400000000000076</v>
      </c>
      <c r="I996" s="3">
        <f t="shared" si="420"/>
        <v>360</v>
      </c>
      <c r="J996" s="14">
        <f t="shared" si="421"/>
        <v>500</v>
      </c>
      <c r="K996" s="3">
        <f t="shared" si="411"/>
        <v>0</v>
      </c>
      <c r="L996" s="3">
        <f t="shared" si="407"/>
        <v>500</v>
      </c>
      <c r="M996" s="15">
        <f t="shared" si="422"/>
        <v>7.0000000000000007E-2</v>
      </c>
      <c r="N996" s="3">
        <f t="shared" si="423"/>
        <v>34.932396396459716</v>
      </c>
      <c r="O996" s="3">
        <f t="shared" si="408"/>
        <v>34.932396396459716</v>
      </c>
      <c r="P996" s="3">
        <f t="shared" si="412"/>
        <v>37.561716555333028</v>
      </c>
      <c r="Q996" s="3">
        <f t="shared" si="413"/>
        <v>0.58937333760618815</v>
      </c>
      <c r="R996" s="3">
        <f t="shared" si="414"/>
        <v>19.075544946469609</v>
      </c>
      <c r="S996" s="3">
        <f t="shared" si="409"/>
        <v>1</v>
      </c>
      <c r="T996" s="3">
        <f t="shared" si="415"/>
        <v>18486.17160886342</v>
      </c>
      <c r="U996" s="3">
        <f t="shared" si="416"/>
        <v>0.5</v>
      </c>
      <c r="V996" s="3">
        <f t="shared" si="417"/>
        <v>0</v>
      </c>
      <c r="W996" s="3">
        <f t="shared" si="418"/>
        <v>12575.662702725498</v>
      </c>
      <c r="X996" s="3">
        <f t="shared" si="410"/>
        <v>294.68666880309405</v>
      </c>
      <c r="AI996" s="3"/>
      <c r="AJ996" s="3"/>
      <c r="AK996" s="15">
        <f t="shared" si="401"/>
        <v>4</v>
      </c>
      <c r="AL996" s="11">
        <f t="shared" si="405"/>
        <v>5922</v>
      </c>
      <c r="AM996" s="11" t="b">
        <f t="shared" si="400"/>
        <v>0</v>
      </c>
      <c r="AN996" s="11">
        <f t="shared" si="402"/>
        <v>36000</v>
      </c>
      <c r="AO996" s="11">
        <f t="shared" si="403"/>
        <v>0</v>
      </c>
      <c r="AP996" s="11">
        <f t="shared" si="404"/>
        <v>0.61382575047232402</v>
      </c>
      <c r="AQ996" s="11">
        <f t="shared" si="406"/>
        <v>0</v>
      </c>
      <c r="AT996" s="3"/>
      <c r="AU996" s="17"/>
      <c r="AV996" s="19"/>
      <c r="AW996" s="17"/>
      <c r="AX996" s="17">
        <f t="shared" si="399"/>
        <v>987</v>
      </c>
      <c r="AY996" s="17">
        <f t="shared" si="424"/>
        <v>98.7</v>
      </c>
      <c r="AZ996" s="17">
        <v>61.3825750472324</v>
      </c>
      <c r="BA996" s="17"/>
      <c r="BB996" s="17">
        <v>36</v>
      </c>
      <c r="BC996" s="17"/>
      <c r="BD996" s="17"/>
      <c r="BE996" s="17"/>
      <c r="BF996" s="17"/>
      <c r="BG996" s="17"/>
      <c r="BH996" s="17"/>
      <c r="BI996" s="17"/>
      <c r="BJ996" s="17"/>
      <c r="BK996" s="17"/>
      <c r="BL996" s="17"/>
      <c r="BM996" s="17"/>
      <c r="BN996" s="17"/>
      <c r="BO996" s="17"/>
      <c r="BP996" s="17"/>
      <c r="BQ996" s="17"/>
      <c r="BR996" s="17"/>
      <c r="BS996" s="17"/>
      <c r="BT996" s="17"/>
      <c r="BU996" s="17"/>
      <c r="BV996" s="17"/>
      <c r="BW996" s="17"/>
      <c r="BX996" s="17"/>
      <c r="BY996" s="17"/>
      <c r="BZ996" s="17"/>
      <c r="CA996" s="17"/>
      <c r="CB996" s="17"/>
      <c r="CC996" s="17"/>
      <c r="CD996" s="17"/>
      <c r="CE996" s="17"/>
      <c r="CF996" s="17"/>
      <c r="CG996" s="17"/>
      <c r="CH996" s="17"/>
    </row>
    <row r="997" spans="8:86" x14ac:dyDescent="0.15">
      <c r="H997" s="3">
        <f t="shared" si="419"/>
        <v>0.98500000000000076</v>
      </c>
      <c r="I997" s="3">
        <f t="shared" si="420"/>
        <v>360</v>
      </c>
      <c r="J997" s="14">
        <f t="shared" si="421"/>
        <v>500</v>
      </c>
      <c r="K997" s="3">
        <f t="shared" si="411"/>
        <v>0</v>
      </c>
      <c r="L997" s="3">
        <f t="shared" si="407"/>
        <v>500</v>
      </c>
      <c r="M997" s="15">
        <f t="shared" si="422"/>
        <v>7.0000000000000007E-2</v>
      </c>
      <c r="N997" s="3">
        <f t="shared" si="423"/>
        <v>34.881045919768432</v>
      </c>
      <c r="O997" s="3">
        <f t="shared" si="408"/>
        <v>34.881045919768432</v>
      </c>
      <c r="P997" s="3">
        <f t="shared" si="412"/>
        <v>37.506500988998319</v>
      </c>
      <c r="Q997" s="3">
        <f t="shared" si="413"/>
        <v>0.55240099438846135</v>
      </c>
      <c r="R997" s="3">
        <f t="shared" si="414"/>
        <v>19.029450991693391</v>
      </c>
      <c r="S997" s="3">
        <f t="shared" si="409"/>
        <v>1</v>
      </c>
      <c r="T997" s="3">
        <f t="shared" si="415"/>
        <v>18477.049997304926</v>
      </c>
      <c r="U997" s="3">
        <f t="shared" si="416"/>
        <v>0.5</v>
      </c>
      <c r="V997" s="3">
        <f t="shared" si="417"/>
        <v>0</v>
      </c>
      <c r="W997" s="3">
        <f t="shared" si="418"/>
        <v>12557.176531116636</v>
      </c>
      <c r="X997" s="3">
        <f t="shared" si="410"/>
        <v>276.20049719423065</v>
      </c>
      <c r="AI997" s="3"/>
      <c r="AJ997" s="3"/>
      <c r="AK997" s="15">
        <f t="shared" si="401"/>
        <v>4</v>
      </c>
      <c r="AL997" s="11">
        <f t="shared" si="405"/>
        <v>5928</v>
      </c>
      <c r="AM997" s="11" t="b">
        <f t="shared" si="400"/>
        <v>0</v>
      </c>
      <c r="AN997" s="11">
        <f t="shared" si="402"/>
        <v>36000</v>
      </c>
      <c r="AO997" s="11">
        <f t="shared" si="403"/>
        <v>0</v>
      </c>
      <c r="AP997" s="11">
        <f t="shared" si="404"/>
        <v>0.61492806528713884</v>
      </c>
      <c r="AQ997" s="11">
        <f t="shared" si="406"/>
        <v>0</v>
      </c>
      <c r="AT997" s="3"/>
      <c r="AU997" s="17"/>
      <c r="AV997" s="19"/>
      <c r="AW997" s="17"/>
      <c r="AX997" s="17">
        <f t="shared" si="399"/>
        <v>988</v>
      </c>
      <c r="AY997" s="17">
        <f t="shared" si="424"/>
        <v>98.8</v>
      </c>
      <c r="AZ997" s="17">
        <v>61.492806528713885</v>
      </c>
      <c r="BA997" s="17"/>
      <c r="BB997" s="17">
        <v>36</v>
      </c>
      <c r="BC997" s="17"/>
      <c r="BD997" s="17"/>
      <c r="BE997" s="17"/>
      <c r="BF997" s="17"/>
      <c r="BG997" s="17"/>
      <c r="BH997" s="17"/>
      <c r="BI997" s="17"/>
      <c r="BJ997" s="17"/>
      <c r="BK997" s="17"/>
      <c r="BL997" s="17"/>
      <c r="BM997" s="17"/>
      <c r="BN997" s="17"/>
      <c r="BO997" s="17"/>
      <c r="BP997" s="17"/>
      <c r="BQ997" s="17"/>
      <c r="BR997" s="17"/>
      <c r="BS997" s="17"/>
      <c r="BT997" s="17"/>
      <c r="BU997" s="17"/>
      <c r="BV997" s="17"/>
      <c r="BW997" s="17"/>
      <c r="BX997" s="17"/>
      <c r="BY997" s="17"/>
      <c r="BZ997" s="17"/>
      <c r="CA997" s="17"/>
      <c r="CB997" s="17"/>
      <c r="CC997" s="17"/>
      <c r="CD997" s="17"/>
      <c r="CE997" s="17"/>
      <c r="CF997" s="17"/>
      <c r="CG997" s="17"/>
      <c r="CH997" s="17"/>
    </row>
    <row r="998" spans="8:86" x14ac:dyDescent="0.15">
      <c r="H998" s="3">
        <f t="shared" si="419"/>
        <v>0.98600000000000076</v>
      </c>
      <c r="I998" s="3">
        <f t="shared" si="420"/>
        <v>360</v>
      </c>
      <c r="J998" s="14">
        <f t="shared" si="421"/>
        <v>500</v>
      </c>
      <c r="K998" s="3">
        <f t="shared" si="411"/>
        <v>0</v>
      </c>
      <c r="L998" s="3">
        <f t="shared" si="407"/>
        <v>500</v>
      </c>
      <c r="M998" s="15">
        <f t="shared" si="422"/>
        <v>7.0000000000000007E-2</v>
      </c>
      <c r="N998" s="3">
        <f t="shared" si="423"/>
        <v>34.82972078088703</v>
      </c>
      <c r="O998" s="3">
        <f t="shared" si="408"/>
        <v>34.82972078088703</v>
      </c>
      <c r="P998" s="3">
        <f t="shared" si="412"/>
        <v>37.451312667620464</v>
      </c>
      <c r="Q998" s="3">
        <f t="shared" si="413"/>
        <v>0.5154468943938515</v>
      </c>
      <c r="R998" s="3">
        <f t="shared" si="414"/>
        <v>18.983379781007159</v>
      </c>
      <c r="S998" s="3">
        <f t="shared" si="409"/>
        <v>1</v>
      </c>
      <c r="T998" s="3">
        <f t="shared" si="415"/>
        <v>18467.932886613304</v>
      </c>
      <c r="U998" s="3">
        <f t="shared" si="416"/>
        <v>0.5</v>
      </c>
      <c r="V998" s="3">
        <f t="shared" si="417"/>
        <v>0</v>
      </c>
      <c r="W998" s="3">
        <f t="shared" si="418"/>
        <v>12538.699481119331</v>
      </c>
      <c r="X998" s="3">
        <f t="shared" si="410"/>
        <v>257.72344719692575</v>
      </c>
      <c r="AI998" s="3"/>
      <c r="AJ998" s="3"/>
      <c r="AK998" s="15">
        <f t="shared" si="401"/>
        <v>4</v>
      </c>
      <c r="AL998" s="11">
        <f t="shared" si="405"/>
        <v>5934</v>
      </c>
      <c r="AM998" s="11" t="b">
        <f t="shared" si="400"/>
        <v>0</v>
      </c>
      <c r="AN998" s="11">
        <f t="shared" si="402"/>
        <v>36000</v>
      </c>
      <c r="AO998" s="11">
        <f t="shared" si="403"/>
        <v>0</v>
      </c>
      <c r="AP998" s="11">
        <f t="shared" si="404"/>
        <v>0.61603038010195366</v>
      </c>
      <c r="AQ998" s="11">
        <f t="shared" si="406"/>
        <v>0</v>
      </c>
      <c r="AT998" s="3"/>
      <c r="AU998" s="17"/>
      <c r="AV998" s="19"/>
      <c r="AW998" s="17"/>
      <c r="AX998" s="17">
        <f t="shared" si="399"/>
        <v>989</v>
      </c>
      <c r="AY998" s="17">
        <f t="shared" si="424"/>
        <v>98.9</v>
      </c>
      <c r="AZ998" s="17">
        <v>61.603038010195363</v>
      </c>
      <c r="BA998" s="17"/>
      <c r="BB998" s="17">
        <v>36</v>
      </c>
      <c r="BC998" s="17"/>
      <c r="BD998" s="17"/>
      <c r="BE998" s="17"/>
      <c r="BF998" s="17"/>
      <c r="BG998" s="17"/>
      <c r="BH998" s="17"/>
      <c r="BI998" s="17"/>
      <c r="BJ998" s="17"/>
      <c r="BK998" s="17"/>
      <c r="BL998" s="17"/>
      <c r="BM998" s="17"/>
      <c r="BN998" s="17"/>
      <c r="BO998" s="17"/>
      <c r="BP998" s="17"/>
      <c r="BQ998" s="17"/>
      <c r="BR998" s="17"/>
      <c r="BS998" s="17"/>
      <c r="BT998" s="17"/>
      <c r="BU998" s="17"/>
      <c r="BV998" s="17"/>
      <c r="BW998" s="17"/>
      <c r="BX998" s="17"/>
      <c r="BY998" s="17"/>
      <c r="BZ998" s="17"/>
      <c r="CA998" s="17"/>
      <c r="CB998" s="17"/>
      <c r="CC998" s="17"/>
      <c r="CD998" s="17"/>
      <c r="CE998" s="17"/>
      <c r="CF998" s="17"/>
      <c r="CG998" s="17"/>
      <c r="CH998" s="17"/>
    </row>
    <row r="999" spans="8:86" x14ac:dyDescent="0.15">
      <c r="H999" s="3">
        <f t="shared" si="419"/>
        <v>0.98700000000000077</v>
      </c>
      <c r="I999" s="3">
        <f t="shared" si="420"/>
        <v>360</v>
      </c>
      <c r="J999" s="14">
        <f t="shared" si="421"/>
        <v>500</v>
      </c>
      <c r="K999" s="3">
        <f t="shared" si="411"/>
        <v>0</v>
      </c>
      <c r="L999" s="3">
        <f t="shared" si="407"/>
        <v>500</v>
      </c>
      <c r="M999" s="15">
        <f t="shared" si="422"/>
        <v>7.0000000000000007E-2</v>
      </c>
      <c r="N999" s="3">
        <f t="shared" si="423"/>
        <v>34.778420967313103</v>
      </c>
      <c r="O999" s="3">
        <f t="shared" si="408"/>
        <v>34.778420967313103</v>
      </c>
      <c r="P999" s="3">
        <f t="shared" si="412"/>
        <v>37.396151577756029</v>
      </c>
      <c r="Q999" s="3">
        <f t="shared" si="413"/>
        <v>0.47851102862062489</v>
      </c>
      <c r="R999" s="3">
        <f t="shared" si="414"/>
        <v>18.937331303188326</v>
      </c>
      <c r="S999" s="3">
        <f t="shared" si="409"/>
        <v>1</v>
      </c>
      <c r="T999" s="3">
        <f t="shared" si="415"/>
        <v>18458.820274567704</v>
      </c>
      <c r="U999" s="3">
        <f t="shared" si="416"/>
        <v>0.5</v>
      </c>
      <c r="V999" s="3">
        <f t="shared" si="417"/>
        <v>0</v>
      </c>
      <c r="W999" s="3">
        <f t="shared" si="418"/>
        <v>12520.231548232718</v>
      </c>
      <c r="X999" s="3">
        <f t="shared" si="410"/>
        <v>239.25551431031244</v>
      </c>
      <c r="AI999" s="3"/>
      <c r="AJ999" s="3"/>
      <c r="AK999" s="15">
        <f t="shared" si="401"/>
        <v>4</v>
      </c>
      <c r="AL999" s="11">
        <f t="shared" si="405"/>
        <v>5940</v>
      </c>
      <c r="AM999" s="11" t="b">
        <f t="shared" si="400"/>
        <v>0</v>
      </c>
      <c r="AN999" s="11">
        <f t="shared" si="402"/>
        <v>36000</v>
      </c>
      <c r="AO999" s="11">
        <f t="shared" si="403"/>
        <v>0</v>
      </c>
      <c r="AP999" s="11">
        <f t="shared" si="404"/>
        <v>0.61713269491676859</v>
      </c>
      <c r="AQ999" s="11">
        <f t="shared" si="406"/>
        <v>0</v>
      </c>
      <c r="AT999" s="3"/>
      <c r="AU999" s="17"/>
      <c r="AV999" s="19"/>
      <c r="AW999" s="17"/>
      <c r="AX999" s="17">
        <f t="shared" si="399"/>
        <v>990</v>
      </c>
      <c r="AY999" s="17">
        <f t="shared" si="424"/>
        <v>99</v>
      </c>
      <c r="AZ999" s="17">
        <v>61.713269491676861</v>
      </c>
      <c r="BA999" s="17"/>
      <c r="BB999" s="17">
        <v>36</v>
      </c>
      <c r="BC999" s="17"/>
      <c r="BD999" s="17"/>
      <c r="BE999" s="17"/>
      <c r="BF999" s="17"/>
      <c r="BG999" s="17"/>
      <c r="BH999" s="17"/>
      <c r="BI999" s="17"/>
      <c r="BJ999" s="17"/>
      <c r="BK999" s="17"/>
      <c r="BL999" s="17"/>
      <c r="BM999" s="17"/>
      <c r="BN999" s="17"/>
      <c r="BO999" s="17"/>
      <c r="BP999" s="17"/>
      <c r="BQ999" s="17"/>
      <c r="BR999" s="17"/>
      <c r="BS999" s="17"/>
      <c r="BT999" s="17"/>
      <c r="BU999" s="17"/>
      <c r="BV999" s="17"/>
      <c r="BW999" s="17"/>
      <c r="BX999" s="17"/>
      <c r="BY999" s="17"/>
      <c r="BZ999" s="17"/>
      <c r="CA999" s="17"/>
      <c r="CB999" s="17"/>
      <c r="CC999" s="17"/>
      <c r="CD999" s="17"/>
      <c r="CE999" s="17"/>
      <c r="CF999" s="17"/>
      <c r="CG999" s="17"/>
      <c r="CH999" s="17"/>
    </row>
    <row r="1000" spans="8:86" x14ac:dyDescent="0.15">
      <c r="H1000" s="3">
        <f t="shared" si="419"/>
        <v>0.98800000000000077</v>
      </c>
      <c r="I1000" s="3">
        <f t="shared" si="420"/>
        <v>360</v>
      </c>
      <c r="J1000" s="14">
        <f t="shared" si="421"/>
        <v>500</v>
      </c>
      <c r="K1000" s="3">
        <f t="shared" si="411"/>
        <v>0</v>
      </c>
      <c r="L1000" s="3">
        <f t="shared" si="407"/>
        <v>500</v>
      </c>
      <c r="M1000" s="15">
        <f t="shared" si="422"/>
        <v>7.0000000000000007E-2</v>
      </c>
      <c r="N1000" s="3">
        <f t="shared" si="423"/>
        <v>34.727146466550415</v>
      </c>
      <c r="O1000" s="3">
        <f t="shared" si="408"/>
        <v>34.727146466550415</v>
      </c>
      <c r="P1000" s="3">
        <f t="shared" si="412"/>
        <v>37.341017705968191</v>
      </c>
      <c r="Q1000" s="3">
        <f t="shared" si="413"/>
        <v>0.44159338807148946</v>
      </c>
      <c r="R1000" s="3">
        <f t="shared" si="414"/>
        <v>18.89130554701984</v>
      </c>
      <c r="S1000" s="3">
        <f t="shared" si="409"/>
        <v>1</v>
      </c>
      <c r="T1000" s="3">
        <f t="shared" si="415"/>
        <v>18449.71215894835</v>
      </c>
      <c r="U1000" s="3">
        <f t="shared" si="416"/>
        <v>0.5</v>
      </c>
      <c r="V1000" s="3">
        <f t="shared" si="417"/>
        <v>0</v>
      </c>
      <c r="W1000" s="3">
        <f t="shared" si="418"/>
        <v>12501.77272795815</v>
      </c>
      <c r="X1000" s="3">
        <f t="shared" si="410"/>
        <v>220.79669403574474</v>
      </c>
      <c r="AI1000" s="3"/>
      <c r="AJ1000" s="3"/>
      <c r="AK1000" s="15">
        <f t="shared" si="401"/>
        <v>4</v>
      </c>
      <c r="AL1000" s="11">
        <f t="shared" si="405"/>
        <v>5946</v>
      </c>
      <c r="AM1000" s="11" t="b">
        <f t="shared" si="400"/>
        <v>0</v>
      </c>
      <c r="AN1000" s="11">
        <f t="shared" si="402"/>
        <v>36000</v>
      </c>
      <c r="AO1000" s="11">
        <f t="shared" si="403"/>
        <v>0</v>
      </c>
      <c r="AP1000" s="11">
        <f t="shared" si="404"/>
        <v>0.61823500973158341</v>
      </c>
      <c r="AQ1000" s="11">
        <f t="shared" si="406"/>
        <v>0</v>
      </c>
      <c r="AT1000" s="3"/>
      <c r="AU1000" s="17"/>
      <c r="AV1000" s="19"/>
      <c r="AW1000" s="17"/>
      <c r="AX1000" s="17">
        <f t="shared" si="399"/>
        <v>991</v>
      </c>
      <c r="AY1000" s="17">
        <f t="shared" si="424"/>
        <v>99.1</v>
      </c>
      <c r="AZ1000" s="17">
        <v>61.823500973158339</v>
      </c>
      <c r="BA1000" s="17"/>
      <c r="BB1000" s="17">
        <v>36</v>
      </c>
      <c r="BC1000" s="17"/>
      <c r="BD1000" s="17"/>
      <c r="BE1000" s="17"/>
      <c r="BF1000" s="17"/>
      <c r="BG1000" s="17"/>
      <c r="BH1000" s="17"/>
      <c r="BI1000" s="17"/>
      <c r="BJ1000" s="17"/>
      <c r="BK1000" s="17"/>
      <c r="BL1000" s="17"/>
      <c r="BM1000" s="17"/>
      <c r="BN1000" s="17"/>
      <c r="BO1000" s="17"/>
      <c r="BP1000" s="17"/>
      <c r="BQ1000" s="17"/>
      <c r="BR1000" s="17"/>
      <c r="BS1000" s="17"/>
      <c r="BT1000" s="17"/>
      <c r="BU1000" s="17"/>
      <c r="BV1000" s="17"/>
      <c r="BW1000" s="17"/>
      <c r="BX1000" s="17"/>
      <c r="BY1000" s="17"/>
      <c r="BZ1000" s="17"/>
      <c r="CA1000" s="17"/>
      <c r="CB1000" s="17"/>
      <c r="CC1000" s="17"/>
      <c r="CD1000" s="17"/>
      <c r="CE1000" s="17"/>
      <c r="CF1000" s="17"/>
      <c r="CG1000" s="17"/>
      <c r="CH1000" s="17"/>
    </row>
    <row r="1001" spans="8:86" x14ac:dyDescent="0.15">
      <c r="H1001" s="3">
        <f t="shared" si="419"/>
        <v>0.98900000000000077</v>
      </c>
      <c r="I1001" s="3">
        <f t="shared" si="420"/>
        <v>360</v>
      </c>
      <c r="J1001" s="14">
        <f t="shared" si="421"/>
        <v>500</v>
      </c>
      <c r="K1001" s="3">
        <f t="shared" si="411"/>
        <v>0</v>
      </c>
      <c r="L1001" s="3">
        <f t="shared" si="407"/>
        <v>500</v>
      </c>
      <c r="M1001" s="15">
        <f t="shared" si="422"/>
        <v>7.0000000000000007E-2</v>
      </c>
      <c r="N1001" s="3">
        <f t="shared" si="423"/>
        <v>34.675897266108898</v>
      </c>
      <c r="O1001" s="3">
        <f t="shared" si="408"/>
        <v>34.675897266108898</v>
      </c>
      <c r="P1001" s="3">
        <f t="shared" si="412"/>
        <v>37.285911038826775</v>
      </c>
      <c r="Q1001" s="3">
        <f t="shared" si="413"/>
        <v>0.40469396375359273</v>
      </c>
      <c r="R1001" s="3">
        <f t="shared" si="414"/>
        <v>18.845302501290185</v>
      </c>
      <c r="S1001" s="3">
        <f t="shared" si="409"/>
        <v>1</v>
      </c>
      <c r="T1001" s="3">
        <f t="shared" si="415"/>
        <v>18440.608537536591</v>
      </c>
      <c r="U1001" s="3">
        <f t="shared" si="416"/>
        <v>0.5</v>
      </c>
      <c r="V1001" s="3">
        <f t="shared" si="417"/>
        <v>0</v>
      </c>
      <c r="W1001" s="3">
        <f t="shared" si="418"/>
        <v>12483.323015799204</v>
      </c>
      <c r="X1001" s="3">
        <f t="shared" si="410"/>
        <v>202.34698187679638</v>
      </c>
      <c r="AI1001" s="3"/>
      <c r="AJ1001" s="3"/>
      <c r="AK1001" s="15">
        <f t="shared" si="401"/>
        <v>4</v>
      </c>
      <c r="AL1001" s="11">
        <f t="shared" si="405"/>
        <v>5952</v>
      </c>
      <c r="AM1001" s="11" t="b">
        <f t="shared" si="400"/>
        <v>0</v>
      </c>
      <c r="AN1001" s="11">
        <f t="shared" si="402"/>
        <v>36000</v>
      </c>
      <c r="AO1001" s="11">
        <f t="shared" si="403"/>
        <v>0</v>
      </c>
      <c r="AP1001" s="11">
        <f t="shared" si="404"/>
        <v>0.61933732454639823</v>
      </c>
      <c r="AQ1001" s="11">
        <f t="shared" si="406"/>
        <v>0</v>
      </c>
      <c r="AT1001" s="3"/>
      <c r="AU1001" s="17"/>
      <c r="AV1001" s="19"/>
      <c r="AW1001" s="17"/>
      <c r="AX1001" s="17">
        <f t="shared" si="399"/>
        <v>992</v>
      </c>
      <c r="AY1001" s="17">
        <f t="shared" si="424"/>
        <v>99.2</v>
      </c>
      <c r="AZ1001" s="17">
        <v>61.933732454639824</v>
      </c>
      <c r="BA1001" s="17"/>
      <c r="BB1001" s="17">
        <v>36</v>
      </c>
      <c r="BC1001" s="17"/>
      <c r="BD1001" s="17"/>
      <c r="BE1001" s="17"/>
      <c r="BF1001" s="17"/>
      <c r="BG1001" s="17"/>
      <c r="BH1001" s="17"/>
      <c r="BI1001" s="17"/>
      <c r="BJ1001" s="17"/>
      <c r="BK1001" s="17"/>
      <c r="BL1001" s="17"/>
      <c r="BM1001" s="17"/>
      <c r="BN1001" s="17"/>
      <c r="BO1001" s="17"/>
      <c r="BP1001" s="17"/>
      <c r="BQ1001" s="17"/>
      <c r="BR1001" s="17"/>
      <c r="BS1001" s="17"/>
      <c r="BT1001" s="17"/>
      <c r="BU1001" s="17"/>
      <c r="BV1001" s="17"/>
      <c r="BW1001" s="17"/>
      <c r="BX1001" s="17"/>
      <c r="BY1001" s="17"/>
      <c r="BZ1001" s="17"/>
      <c r="CA1001" s="17"/>
      <c r="CB1001" s="17"/>
      <c r="CC1001" s="17"/>
      <c r="CD1001" s="17"/>
      <c r="CE1001" s="17"/>
      <c r="CF1001" s="17"/>
      <c r="CG1001" s="17"/>
      <c r="CH1001" s="17"/>
    </row>
    <row r="1002" spans="8:86" x14ac:dyDescent="0.15">
      <c r="H1002" s="3">
        <f t="shared" si="419"/>
        <v>0.99000000000000077</v>
      </c>
      <c r="I1002" s="3">
        <f t="shared" si="420"/>
        <v>360</v>
      </c>
      <c r="J1002" s="14">
        <f t="shared" si="421"/>
        <v>500</v>
      </c>
      <c r="K1002" s="3">
        <f t="shared" si="411"/>
        <v>0</v>
      </c>
      <c r="L1002" s="3">
        <f t="shared" si="407"/>
        <v>500</v>
      </c>
      <c r="M1002" s="15">
        <f t="shared" si="422"/>
        <v>7.0000000000000007E-2</v>
      </c>
      <c r="N1002" s="3">
        <f t="shared" si="423"/>
        <v>34.624673353504633</v>
      </c>
      <c r="O1002" s="3">
        <f t="shared" si="408"/>
        <v>34.624673353504633</v>
      </c>
      <c r="P1002" s="3">
        <f t="shared" si="412"/>
        <v>37.230831562908207</v>
      </c>
      <c r="Q1002" s="3">
        <f t="shared" si="413"/>
        <v>0.3678127466785196</v>
      </c>
      <c r="R1002" s="3">
        <f t="shared" si="414"/>
        <v>18.799322154793362</v>
      </c>
      <c r="S1002" s="3">
        <f t="shared" si="409"/>
        <v>1</v>
      </c>
      <c r="T1002" s="3">
        <f t="shared" si="415"/>
        <v>18431.509408114845</v>
      </c>
      <c r="U1002" s="3">
        <f t="shared" si="416"/>
        <v>0.5</v>
      </c>
      <c r="V1002" s="3">
        <f t="shared" si="417"/>
        <v>0</v>
      </c>
      <c r="W1002" s="3">
        <f t="shared" si="418"/>
        <v>12464.882407261668</v>
      </c>
      <c r="X1002" s="3">
        <f t="shared" si="410"/>
        <v>183.9063733392598</v>
      </c>
      <c r="AI1002" s="3"/>
      <c r="AJ1002" s="3"/>
      <c r="AK1002" s="15">
        <f t="shared" si="401"/>
        <v>4</v>
      </c>
      <c r="AL1002" s="11">
        <f t="shared" si="405"/>
        <v>5958</v>
      </c>
      <c r="AM1002" s="11" t="b">
        <f t="shared" si="400"/>
        <v>0</v>
      </c>
      <c r="AN1002" s="11">
        <f t="shared" si="402"/>
        <v>36000</v>
      </c>
      <c r="AO1002" s="11">
        <f t="shared" si="403"/>
        <v>0</v>
      </c>
      <c r="AP1002" s="11">
        <f t="shared" si="404"/>
        <v>0.62043963936121305</v>
      </c>
      <c r="AQ1002" s="11">
        <f t="shared" si="406"/>
        <v>0</v>
      </c>
      <c r="AT1002" s="3"/>
      <c r="AU1002" s="17"/>
      <c r="AV1002" s="19"/>
      <c r="AW1002" s="17"/>
      <c r="AX1002" s="17">
        <f t="shared" si="399"/>
        <v>993</v>
      </c>
      <c r="AY1002" s="17">
        <f t="shared" si="424"/>
        <v>99.3</v>
      </c>
      <c r="AZ1002" s="17">
        <v>62.043963936121301</v>
      </c>
      <c r="BA1002" s="17"/>
      <c r="BB1002" s="17">
        <v>36</v>
      </c>
      <c r="BC1002" s="17"/>
      <c r="BD1002" s="17"/>
      <c r="BE1002" s="17"/>
      <c r="BF1002" s="17"/>
      <c r="BG1002" s="17"/>
      <c r="BH1002" s="17"/>
      <c r="BI1002" s="17"/>
      <c r="BJ1002" s="17"/>
      <c r="BK1002" s="17"/>
      <c r="BL1002" s="17"/>
      <c r="BM1002" s="17"/>
      <c r="BN1002" s="17"/>
      <c r="BO1002" s="17"/>
      <c r="BP1002" s="17"/>
      <c r="BQ1002" s="17"/>
      <c r="BR1002" s="17"/>
      <c r="BS1002" s="17"/>
      <c r="BT1002" s="17"/>
      <c r="BU1002" s="17"/>
      <c r="BV1002" s="17"/>
      <c r="BW1002" s="17"/>
      <c r="BX1002" s="17"/>
      <c r="BY1002" s="17"/>
      <c r="BZ1002" s="17"/>
      <c r="CA1002" s="17"/>
      <c r="CB1002" s="17"/>
      <c r="CC1002" s="17"/>
      <c r="CD1002" s="17"/>
      <c r="CE1002" s="17"/>
      <c r="CF1002" s="17"/>
      <c r="CG1002" s="17"/>
      <c r="CH1002" s="17"/>
    </row>
    <row r="1003" spans="8:86" x14ac:dyDescent="0.15">
      <c r="H1003" s="3">
        <f t="shared" si="419"/>
        <v>0.99100000000000077</v>
      </c>
      <c r="I1003" s="3">
        <f t="shared" si="420"/>
        <v>360</v>
      </c>
      <c r="J1003" s="14">
        <f t="shared" si="421"/>
        <v>500</v>
      </c>
      <c r="K1003" s="3">
        <f t="shared" si="411"/>
        <v>0</v>
      </c>
      <c r="L1003" s="3">
        <f t="shared" si="407"/>
        <v>500</v>
      </c>
      <c r="M1003" s="15">
        <f t="shared" si="422"/>
        <v>7.0000000000000007E-2</v>
      </c>
      <c r="N1003" s="3">
        <f t="shared" si="423"/>
        <v>34.573474716259867</v>
      </c>
      <c r="O1003" s="3">
        <f t="shared" si="408"/>
        <v>34.573474716259867</v>
      </c>
      <c r="P1003" s="3">
        <f t="shared" si="412"/>
        <v>37.175779264795558</v>
      </c>
      <c r="Q1003" s="3">
        <f t="shared" si="413"/>
        <v>0.33094972786228993</v>
      </c>
      <c r="R1003" s="3">
        <f t="shared" si="414"/>
        <v>18.753364496328924</v>
      </c>
      <c r="S1003" s="3">
        <f t="shared" si="409"/>
        <v>1</v>
      </c>
      <c r="T1003" s="3">
        <f t="shared" si="415"/>
        <v>18422.414768466635</v>
      </c>
      <c r="U1003" s="3">
        <f t="shared" si="416"/>
        <v>0.5</v>
      </c>
      <c r="V1003" s="3">
        <f t="shared" si="417"/>
        <v>0</v>
      </c>
      <c r="W1003" s="3">
        <f t="shared" si="418"/>
        <v>12446.450897853552</v>
      </c>
      <c r="X1003" s="3">
        <f t="shared" si="410"/>
        <v>165.47486393114497</v>
      </c>
      <c r="AI1003" s="3"/>
      <c r="AJ1003" s="3"/>
      <c r="AK1003" s="15">
        <f t="shared" si="401"/>
        <v>4</v>
      </c>
      <c r="AL1003" s="11">
        <f t="shared" ref="AL1003:AL1034" si="425">AL1002+$AB$15</f>
        <v>5964</v>
      </c>
      <c r="AM1003" s="11" t="b">
        <f t="shared" si="400"/>
        <v>0</v>
      </c>
      <c r="AN1003" s="11">
        <f t="shared" si="402"/>
        <v>36000</v>
      </c>
      <c r="AO1003" s="11">
        <f t="shared" si="403"/>
        <v>0</v>
      </c>
      <c r="AP1003" s="11">
        <f t="shared" si="404"/>
        <v>0.62154195417602787</v>
      </c>
      <c r="AQ1003" s="11">
        <f t="shared" ref="AQ1003:AQ1034" si="426">IF(AO1002&lt;=0,0,(AQ1002*AO1002-$AA$34*(AQ1002-AP1002)*$AB$15)/AO1002)</f>
        <v>0</v>
      </c>
      <c r="AT1003" s="3"/>
      <c r="AU1003" s="17"/>
      <c r="AV1003" s="19"/>
      <c r="AW1003" s="17"/>
      <c r="AX1003" s="17">
        <f t="shared" si="399"/>
        <v>994</v>
      </c>
      <c r="AY1003" s="17">
        <f t="shared" si="424"/>
        <v>99.4</v>
      </c>
      <c r="AZ1003" s="17">
        <v>62.154195417602786</v>
      </c>
      <c r="BA1003" s="17"/>
      <c r="BB1003" s="17">
        <v>36</v>
      </c>
      <c r="BC1003" s="17"/>
      <c r="BD1003" s="17"/>
      <c r="BE1003" s="17"/>
      <c r="BF1003" s="17"/>
      <c r="BG1003" s="17"/>
      <c r="BH1003" s="17"/>
      <c r="BI1003" s="17"/>
      <c r="BJ1003" s="17"/>
      <c r="BK1003" s="17"/>
      <c r="BL1003" s="17"/>
      <c r="BM1003" s="17"/>
      <c r="BN1003" s="17"/>
      <c r="BO1003" s="17"/>
      <c r="BP1003" s="17"/>
      <c r="BQ1003" s="17"/>
      <c r="BR1003" s="17"/>
      <c r="BS1003" s="17"/>
      <c r="BT1003" s="17"/>
      <c r="BU1003" s="17"/>
      <c r="BV1003" s="17"/>
      <c r="BW1003" s="17"/>
      <c r="BX1003" s="17"/>
      <c r="BY1003" s="17"/>
      <c r="BZ1003" s="17"/>
      <c r="CA1003" s="17"/>
      <c r="CB1003" s="17"/>
      <c r="CC1003" s="17"/>
      <c r="CD1003" s="17"/>
      <c r="CE1003" s="17"/>
      <c r="CF1003" s="17"/>
      <c r="CG1003" s="17"/>
      <c r="CH1003" s="17"/>
    </row>
    <row r="1004" spans="8:86" x14ac:dyDescent="0.15">
      <c r="H1004" s="3">
        <f t="shared" si="419"/>
        <v>0.99200000000000077</v>
      </c>
      <c r="I1004" s="3">
        <f t="shared" si="420"/>
        <v>360</v>
      </c>
      <c r="J1004" s="14">
        <f t="shared" si="421"/>
        <v>500</v>
      </c>
      <c r="K1004" s="3">
        <f t="shared" si="411"/>
        <v>0</v>
      </c>
      <c r="L1004" s="3">
        <f t="shared" si="407"/>
        <v>500</v>
      </c>
      <c r="M1004" s="15">
        <f t="shared" si="422"/>
        <v>7.0000000000000007E-2</v>
      </c>
      <c r="N1004" s="3">
        <f t="shared" si="423"/>
        <v>34.522301341903017</v>
      </c>
      <c r="O1004" s="3">
        <f t="shared" si="408"/>
        <v>34.522301341903017</v>
      </c>
      <c r="P1004" s="3">
        <f t="shared" si="412"/>
        <v>37.120754131078513</v>
      </c>
      <c r="Q1004" s="3">
        <f t="shared" si="413"/>
        <v>0.29410489832535663</v>
      </c>
      <c r="R1004" s="3">
        <f t="shared" si="414"/>
        <v>18.707429514701936</v>
      </c>
      <c r="S1004" s="3">
        <f t="shared" si="409"/>
        <v>1</v>
      </c>
      <c r="T1004" s="3">
        <f t="shared" si="415"/>
        <v>18413.324616376576</v>
      </c>
      <c r="U1004" s="3">
        <f t="shared" si="416"/>
        <v>0.5</v>
      </c>
      <c r="V1004" s="3">
        <f t="shared" si="417"/>
        <v>0</v>
      </c>
      <c r="W1004" s="3">
        <f t="shared" si="418"/>
        <v>12428.028483085087</v>
      </c>
      <c r="X1004" s="3">
        <f t="shared" si="410"/>
        <v>147.05244916267833</v>
      </c>
      <c r="AI1004" s="3"/>
      <c r="AJ1004" s="3"/>
      <c r="AK1004" s="15">
        <f t="shared" si="401"/>
        <v>4</v>
      </c>
      <c r="AL1004" s="11">
        <f t="shared" si="425"/>
        <v>5970</v>
      </c>
      <c r="AM1004" s="11" t="b">
        <f t="shared" si="400"/>
        <v>0</v>
      </c>
      <c r="AN1004" s="11">
        <f t="shared" si="402"/>
        <v>36000</v>
      </c>
      <c r="AO1004" s="11">
        <f t="shared" si="403"/>
        <v>0</v>
      </c>
      <c r="AP1004" s="11">
        <f t="shared" si="404"/>
        <v>0.6226442689908428</v>
      </c>
      <c r="AQ1004" s="11">
        <f t="shared" si="426"/>
        <v>0</v>
      </c>
      <c r="AT1004" s="3"/>
      <c r="AU1004" s="17"/>
      <c r="AV1004" s="19"/>
      <c r="AW1004" s="17"/>
      <c r="AX1004" s="17">
        <f t="shared" si="399"/>
        <v>995</v>
      </c>
      <c r="AY1004" s="17">
        <f t="shared" si="424"/>
        <v>99.5</v>
      </c>
      <c r="AZ1004" s="17">
        <v>62.264426899084278</v>
      </c>
      <c r="BA1004" s="17"/>
      <c r="BB1004" s="17">
        <v>36</v>
      </c>
      <c r="BC1004" s="17"/>
      <c r="BD1004" s="17"/>
      <c r="BE1004" s="17"/>
      <c r="BF1004" s="17"/>
      <c r="BG1004" s="17"/>
      <c r="BH1004" s="17"/>
      <c r="BI1004" s="17"/>
      <c r="BJ1004" s="17"/>
      <c r="BK1004" s="17"/>
      <c r="BL1004" s="17"/>
      <c r="BM1004" s="17"/>
      <c r="BN1004" s="17"/>
      <c r="BO1004" s="17"/>
      <c r="BP1004" s="17"/>
      <c r="BQ1004" s="17"/>
      <c r="BR1004" s="17"/>
      <c r="BS1004" s="17"/>
      <c r="BT1004" s="17"/>
      <c r="BU1004" s="17"/>
      <c r="BV1004" s="17"/>
      <c r="BW1004" s="17"/>
      <c r="BX1004" s="17"/>
      <c r="BY1004" s="17"/>
      <c r="BZ1004" s="17"/>
      <c r="CA1004" s="17"/>
      <c r="CB1004" s="17"/>
      <c r="CC1004" s="17"/>
      <c r="CD1004" s="17"/>
      <c r="CE1004" s="17"/>
      <c r="CF1004" s="17"/>
      <c r="CG1004" s="17"/>
      <c r="CH1004" s="17"/>
    </row>
    <row r="1005" spans="8:86" x14ac:dyDescent="0.15">
      <c r="H1005" s="3">
        <f t="shared" si="419"/>
        <v>0.99300000000000077</v>
      </c>
      <c r="I1005" s="3">
        <f t="shared" si="420"/>
        <v>360</v>
      </c>
      <c r="J1005" s="14">
        <f t="shared" si="421"/>
        <v>500</v>
      </c>
      <c r="K1005" s="3">
        <f t="shared" si="411"/>
        <v>0</v>
      </c>
      <c r="L1005" s="3">
        <f t="shared" si="407"/>
        <v>500</v>
      </c>
      <c r="M1005" s="15">
        <f t="shared" si="422"/>
        <v>7.0000000000000007E-2</v>
      </c>
      <c r="N1005" s="3">
        <f t="shared" si="423"/>
        <v>34.471153217968642</v>
      </c>
      <c r="O1005" s="3">
        <f t="shared" si="408"/>
        <v>34.471153217968642</v>
      </c>
      <c r="P1005" s="3">
        <f t="shared" si="412"/>
        <v>37.06575614835338</v>
      </c>
      <c r="Q1005" s="3">
        <f t="shared" si="413"/>
        <v>0.25727824909260349</v>
      </c>
      <c r="R1005" s="3">
        <f t="shared" si="414"/>
        <v>18.66151719872299</v>
      </c>
      <c r="S1005" s="3">
        <f t="shared" si="409"/>
        <v>1</v>
      </c>
      <c r="T1005" s="3">
        <f t="shared" si="415"/>
        <v>18404.238949630391</v>
      </c>
      <c r="U1005" s="3">
        <f t="shared" si="416"/>
        <v>0.5</v>
      </c>
      <c r="V1005" s="3">
        <f t="shared" si="417"/>
        <v>0</v>
      </c>
      <c r="W1005" s="3">
        <f t="shared" si="418"/>
        <v>12409.61515846871</v>
      </c>
      <c r="X1005" s="3">
        <f t="shared" si="410"/>
        <v>128.63912454630176</v>
      </c>
      <c r="AI1005" s="3"/>
      <c r="AJ1005" s="3"/>
      <c r="AK1005" s="15">
        <f t="shared" si="401"/>
        <v>4</v>
      </c>
      <c r="AL1005" s="11">
        <f t="shared" si="425"/>
        <v>5976</v>
      </c>
      <c r="AM1005" s="11" t="b">
        <f t="shared" si="400"/>
        <v>0</v>
      </c>
      <c r="AN1005" s="11">
        <f t="shared" si="402"/>
        <v>36000</v>
      </c>
      <c r="AO1005" s="11">
        <f t="shared" si="403"/>
        <v>0</v>
      </c>
      <c r="AP1005" s="11">
        <f t="shared" si="404"/>
        <v>0.62374658380565762</v>
      </c>
      <c r="AQ1005" s="11">
        <f t="shared" si="426"/>
        <v>0</v>
      </c>
      <c r="AT1005" s="3"/>
      <c r="AU1005" s="17"/>
      <c r="AV1005" s="19"/>
      <c r="AW1005" s="17"/>
      <c r="AX1005" s="17">
        <f t="shared" si="399"/>
        <v>996</v>
      </c>
      <c r="AY1005" s="17">
        <f t="shared" si="424"/>
        <v>99.6</v>
      </c>
      <c r="AZ1005" s="17">
        <v>62.374658380565762</v>
      </c>
      <c r="BA1005" s="17"/>
      <c r="BB1005" s="17">
        <v>36</v>
      </c>
      <c r="BC1005" s="17"/>
      <c r="BD1005" s="17"/>
      <c r="BE1005" s="17"/>
      <c r="BF1005" s="17"/>
      <c r="BG1005" s="17"/>
      <c r="BH1005" s="17"/>
      <c r="BI1005" s="17"/>
      <c r="BJ1005" s="17"/>
      <c r="BK1005" s="17"/>
      <c r="BL1005" s="17"/>
      <c r="BM1005" s="17"/>
      <c r="BN1005" s="17"/>
      <c r="BO1005" s="17"/>
      <c r="BP1005" s="17"/>
      <c r="BQ1005" s="17"/>
      <c r="BR1005" s="17"/>
      <c r="BS1005" s="17"/>
      <c r="BT1005" s="17"/>
      <c r="BU1005" s="17"/>
      <c r="BV1005" s="17"/>
      <c r="BW1005" s="17"/>
      <c r="BX1005" s="17"/>
      <c r="BY1005" s="17"/>
      <c r="BZ1005" s="17"/>
      <c r="CA1005" s="17"/>
      <c r="CB1005" s="17"/>
      <c r="CC1005" s="17"/>
      <c r="CD1005" s="17"/>
      <c r="CE1005" s="17"/>
      <c r="CF1005" s="17"/>
      <c r="CG1005" s="17"/>
      <c r="CH1005" s="17"/>
    </row>
    <row r="1006" spans="8:86" x14ac:dyDescent="0.15">
      <c r="H1006" s="3">
        <f t="shared" si="419"/>
        <v>0.99400000000000077</v>
      </c>
      <c r="I1006" s="3">
        <f t="shared" si="420"/>
        <v>360</v>
      </c>
      <c r="J1006" s="14">
        <f t="shared" si="421"/>
        <v>500</v>
      </c>
      <c r="K1006" s="3">
        <f t="shared" si="411"/>
        <v>0</v>
      </c>
      <c r="L1006" s="3">
        <f t="shared" si="407"/>
        <v>500</v>
      </c>
      <c r="M1006" s="15">
        <f t="shared" si="422"/>
        <v>7.0000000000000007E-2</v>
      </c>
      <c r="N1006" s="3">
        <f t="shared" si="423"/>
        <v>34.420030331997445</v>
      </c>
      <c r="O1006" s="3">
        <f t="shared" si="408"/>
        <v>34.420030331997445</v>
      </c>
      <c r="P1006" s="3">
        <f t="shared" si="412"/>
        <v>37.010785303223059</v>
      </c>
      <c r="Q1006" s="3">
        <f t="shared" si="413"/>
        <v>0.22046977119334271</v>
      </c>
      <c r="R1006" s="3">
        <f t="shared" si="414"/>
        <v>18.615627537208201</v>
      </c>
      <c r="S1006" s="3">
        <f t="shared" si="409"/>
        <v>1</v>
      </c>
      <c r="T1006" s="3">
        <f t="shared" si="415"/>
        <v>18395.157766014858</v>
      </c>
      <c r="U1006" s="3">
        <f t="shared" si="416"/>
        <v>0.5</v>
      </c>
      <c r="V1006" s="3">
        <f t="shared" si="417"/>
        <v>0</v>
      </c>
      <c r="W1006" s="3">
        <f t="shared" si="418"/>
        <v>12391.210919519081</v>
      </c>
      <c r="X1006" s="3">
        <f t="shared" si="410"/>
        <v>110.23488559667136</v>
      </c>
      <c r="AI1006" s="3"/>
      <c r="AJ1006" s="3"/>
      <c r="AK1006" s="15">
        <f t="shared" si="401"/>
        <v>4</v>
      </c>
      <c r="AL1006" s="11">
        <f t="shared" si="425"/>
        <v>5982</v>
      </c>
      <c r="AM1006" s="11" t="b">
        <f t="shared" si="400"/>
        <v>0</v>
      </c>
      <c r="AN1006" s="11">
        <f t="shared" si="402"/>
        <v>36000</v>
      </c>
      <c r="AO1006" s="11">
        <f t="shared" si="403"/>
        <v>0</v>
      </c>
      <c r="AP1006" s="11">
        <f t="shared" si="404"/>
        <v>0.62484889862047244</v>
      </c>
      <c r="AQ1006" s="11">
        <f t="shared" si="426"/>
        <v>0</v>
      </c>
      <c r="AT1006" s="3"/>
      <c r="AU1006" s="17"/>
      <c r="AV1006" s="19"/>
      <c r="AW1006" s="17"/>
      <c r="AX1006" s="17">
        <f t="shared" ref="AX1006:AX1037" si="427">IF(AX1005&gt;=$AG$14,$AG$14,AX1005+1)</f>
        <v>997</v>
      </c>
      <c r="AY1006" s="17">
        <f t="shared" si="424"/>
        <v>99.7</v>
      </c>
      <c r="AZ1006" s="17">
        <v>62.484889862047247</v>
      </c>
      <c r="BA1006" s="17"/>
      <c r="BB1006" s="17">
        <v>36</v>
      </c>
      <c r="BC1006" s="17"/>
      <c r="BD1006" s="17"/>
      <c r="BE1006" s="17"/>
      <c r="BF1006" s="17"/>
      <c r="BG1006" s="17"/>
      <c r="BH1006" s="17"/>
      <c r="BI1006" s="17"/>
      <c r="BJ1006" s="17"/>
      <c r="BK1006" s="17"/>
      <c r="BL1006" s="17"/>
      <c r="BM1006" s="17"/>
      <c r="BN1006" s="17"/>
      <c r="BO1006" s="17"/>
      <c r="BP1006" s="17"/>
      <c r="BQ1006" s="17"/>
      <c r="BR1006" s="17"/>
      <c r="BS1006" s="17"/>
      <c r="BT1006" s="17"/>
      <c r="BU1006" s="17"/>
      <c r="BV1006" s="17"/>
      <c r="BW1006" s="17"/>
      <c r="BX1006" s="17"/>
      <c r="BY1006" s="17"/>
      <c r="BZ1006" s="17"/>
      <c r="CA1006" s="17"/>
      <c r="CB1006" s="17"/>
      <c r="CC1006" s="17"/>
      <c r="CD1006" s="17"/>
      <c r="CE1006" s="17"/>
      <c r="CF1006" s="17"/>
      <c r="CG1006" s="17"/>
      <c r="CH1006" s="17"/>
    </row>
    <row r="1007" spans="8:86" x14ac:dyDescent="0.15">
      <c r="H1007" s="3">
        <f t="shared" si="419"/>
        <v>0.99500000000000077</v>
      </c>
      <c r="I1007" s="3">
        <f t="shared" si="420"/>
        <v>360</v>
      </c>
      <c r="J1007" s="14">
        <f t="shared" si="421"/>
        <v>500</v>
      </c>
      <c r="K1007" s="3">
        <f t="shared" si="411"/>
        <v>0</v>
      </c>
      <c r="L1007" s="3">
        <f t="shared" si="407"/>
        <v>500</v>
      </c>
      <c r="M1007" s="15">
        <f t="shared" si="422"/>
        <v>7.0000000000000007E-2</v>
      </c>
      <c r="N1007" s="3">
        <f t="shared" si="423"/>
        <v>34.368932671536292</v>
      </c>
      <c r="O1007" s="3">
        <f t="shared" si="408"/>
        <v>34.368932671536292</v>
      </c>
      <c r="P1007" s="3">
        <f t="shared" si="412"/>
        <v>36.95584158229709</v>
      </c>
      <c r="Q1007" s="3">
        <f t="shared" si="413"/>
        <v>0.183679455661313</v>
      </c>
      <c r="R1007" s="3">
        <f t="shared" si="414"/>
        <v>18.569760518979201</v>
      </c>
      <c r="S1007" s="3">
        <f t="shared" si="409"/>
        <v>1</v>
      </c>
      <c r="T1007" s="3">
        <f t="shared" si="415"/>
        <v>18386.081063317888</v>
      </c>
      <c r="U1007" s="3">
        <f t="shared" si="416"/>
        <v>0.5</v>
      </c>
      <c r="V1007" s="3">
        <f t="shared" si="417"/>
        <v>0</v>
      </c>
      <c r="W1007" s="3">
        <f t="shared" si="418"/>
        <v>12372.815761753065</v>
      </c>
      <c r="X1007" s="3">
        <f t="shared" si="410"/>
        <v>91.8397278306565</v>
      </c>
      <c r="AI1007" s="3"/>
      <c r="AJ1007" s="3"/>
      <c r="AK1007" s="15">
        <f t="shared" si="401"/>
        <v>4</v>
      </c>
      <c r="AL1007" s="11">
        <f t="shared" si="425"/>
        <v>5988</v>
      </c>
      <c r="AM1007" s="11" t="b">
        <f t="shared" si="400"/>
        <v>0</v>
      </c>
      <c r="AN1007" s="11">
        <f t="shared" si="402"/>
        <v>36000</v>
      </c>
      <c r="AO1007" s="11">
        <f t="shared" si="403"/>
        <v>0</v>
      </c>
      <c r="AP1007" s="11">
        <f t="shared" si="404"/>
        <v>0.62595121343528726</v>
      </c>
      <c r="AQ1007" s="11">
        <f t="shared" si="426"/>
        <v>0</v>
      </c>
      <c r="AT1007" s="3"/>
      <c r="AU1007" s="17"/>
      <c r="AV1007" s="19"/>
      <c r="AW1007" s="17"/>
      <c r="AX1007" s="17">
        <f t="shared" si="427"/>
        <v>998</v>
      </c>
      <c r="AY1007" s="17">
        <f t="shared" si="424"/>
        <v>99.8</v>
      </c>
      <c r="AZ1007" s="17">
        <v>62.595121343528724</v>
      </c>
      <c r="BA1007" s="17"/>
      <c r="BB1007" s="17">
        <v>36</v>
      </c>
      <c r="BC1007" s="17"/>
      <c r="BD1007" s="17"/>
      <c r="BE1007" s="17"/>
      <c r="BF1007" s="17"/>
      <c r="BG1007" s="17"/>
      <c r="BH1007" s="17"/>
      <c r="BI1007" s="17"/>
      <c r="BJ1007" s="17"/>
      <c r="BK1007" s="17"/>
      <c r="BL1007" s="17"/>
      <c r="BM1007" s="17"/>
      <c r="BN1007" s="17"/>
      <c r="BO1007" s="17"/>
      <c r="BP1007" s="17"/>
      <c r="BQ1007" s="17"/>
      <c r="BR1007" s="17"/>
      <c r="BS1007" s="17"/>
      <c r="BT1007" s="17"/>
      <c r="BU1007" s="17"/>
      <c r="BV1007" s="17"/>
      <c r="BW1007" s="17"/>
      <c r="BX1007" s="17"/>
      <c r="BY1007" s="17"/>
      <c r="BZ1007" s="17"/>
      <c r="CA1007" s="17"/>
      <c r="CB1007" s="17"/>
      <c r="CC1007" s="17"/>
      <c r="CD1007" s="17"/>
      <c r="CE1007" s="17"/>
      <c r="CF1007" s="17"/>
      <c r="CG1007" s="17"/>
      <c r="CH1007" s="17"/>
    </row>
    <row r="1008" spans="8:86" x14ac:dyDescent="0.15">
      <c r="H1008" s="3">
        <f t="shared" si="419"/>
        <v>0.99600000000000077</v>
      </c>
      <c r="I1008" s="3">
        <f t="shared" si="420"/>
        <v>360</v>
      </c>
      <c r="J1008" s="14">
        <f t="shared" si="421"/>
        <v>500</v>
      </c>
      <c r="K1008" s="3">
        <f t="shared" si="411"/>
        <v>0</v>
      </c>
      <c r="L1008" s="3">
        <f t="shared" si="407"/>
        <v>500</v>
      </c>
      <c r="M1008" s="15">
        <f t="shared" si="422"/>
        <v>7.0000000000000007E-2</v>
      </c>
      <c r="N1008" s="3">
        <f t="shared" si="423"/>
        <v>34.317860224138187</v>
      </c>
      <c r="O1008" s="3">
        <f t="shared" si="408"/>
        <v>34.317860224138187</v>
      </c>
      <c r="P1008" s="3">
        <f t="shared" si="412"/>
        <v>36.900924972191604</v>
      </c>
      <c r="Q1008" s="3">
        <f t="shared" si="413"/>
        <v>0.14690729353467721</v>
      </c>
      <c r="R1008" s="3">
        <f t="shared" si="414"/>
        <v>18.523916132863139</v>
      </c>
      <c r="S1008" s="3">
        <f t="shared" si="409"/>
        <v>1</v>
      </c>
      <c r="T1008" s="3">
        <f t="shared" si="415"/>
        <v>18377.008839328464</v>
      </c>
      <c r="U1008" s="3">
        <f t="shared" si="416"/>
        <v>0.5</v>
      </c>
      <c r="V1008" s="3">
        <f t="shared" si="417"/>
        <v>0</v>
      </c>
      <c r="W1008" s="3">
        <f t="shared" si="418"/>
        <v>12354.429680689747</v>
      </c>
      <c r="X1008" s="3">
        <f t="shared" si="410"/>
        <v>73.453646767338611</v>
      </c>
      <c r="AI1008" s="3"/>
      <c r="AJ1008" s="3"/>
      <c r="AK1008" s="15">
        <f t="shared" si="401"/>
        <v>4</v>
      </c>
      <c r="AL1008" s="11">
        <f t="shared" si="425"/>
        <v>5994</v>
      </c>
      <c r="AM1008" s="11" t="b">
        <f t="shared" si="400"/>
        <v>0</v>
      </c>
      <c r="AN1008" s="11">
        <f t="shared" si="402"/>
        <v>36000</v>
      </c>
      <c r="AO1008" s="11">
        <f t="shared" si="403"/>
        <v>0</v>
      </c>
      <c r="AP1008" s="11">
        <f t="shared" si="404"/>
        <v>0.62705352825010208</v>
      </c>
      <c r="AQ1008" s="11">
        <f t="shared" si="426"/>
        <v>0</v>
      </c>
      <c r="AT1008" s="3"/>
      <c r="AU1008" s="17"/>
      <c r="AV1008" s="19"/>
      <c r="AW1008" s="17"/>
      <c r="AX1008" s="17">
        <f t="shared" si="427"/>
        <v>999</v>
      </c>
      <c r="AY1008" s="17">
        <f t="shared" si="424"/>
        <v>99.9</v>
      </c>
      <c r="AZ1008" s="17">
        <v>62.705352825010209</v>
      </c>
      <c r="BA1008" s="17"/>
      <c r="BB1008" s="17">
        <v>36</v>
      </c>
      <c r="BC1008" s="17"/>
      <c r="BD1008" s="17"/>
      <c r="BE1008" s="17"/>
      <c r="BF1008" s="17"/>
      <c r="BG1008" s="17"/>
      <c r="BH1008" s="17"/>
      <c r="BI1008" s="17"/>
      <c r="BJ1008" s="17"/>
      <c r="BK1008" s="17"/>
      <c r="BL1008" s="17"/>
      <c r="BM1008" s="17"/>
      <c r="BN1008" s="17"/>
      <c r="BO1008" s="17"/>
      <c r="BP1008" s="17"/>
      <c r="BQ1008" s="17"/>
      <c r="BR1008" s="17"/>
      <c r="BS1008" s="17"/>
      <c r="BT1008" s="17"/>
      <c r="BU1008" s="17"/>
      <c r="BV1008" s="17"/>
      <c r="BW1008" s="17"/>
      <c r="BX1008" s="17"/>
      <c r="BY1008" s="17"/>
      <c r="BZ1008" s="17"/>
      <c r="CA1008" s="17"/>
      <c r="CB1008" s="17"/>
      <c r="CC1008" s="17"/>
      <c r="CD1008" s="17"/>
      <c r="CE1008" s="17"/>
      <c r="CF1008" s="17"/>
      <c r="CG1008" s="17"/>
      <c r="CH1008" s="17"/>
    </row>
    <row r="1009" spans="8:86" x14ac:dyDescent="0.15">
      <c r="H1009" s="3">
        <f t="shared" si="419"/>
        <v>0.99700000000000077</v>
      </c>
      <c r="I1009" s="3">
        <f t="shared" si="420"/>
        <v>360</v>
      </c>
      <c r="J1009" s="14">
        <f t="shared" si="421"/>
        <v>500</v>
      </c>
      <c r="K1009" s="3">
        <f t="shared" si="411"/>
        <v>0</v>
      </c>
      <c r="L1009" s="3">
        <f t="shared" si="407"/>
        <v>500</v>
      </c>
      <c r="M1009" s="15">
        <f t="shared" si="422"/>
        <v>7.0000000000000007E-2</v>
      </c>
      <c r="N1009" s="3">
        <f t="shared" si="423"/>
        <v>34.266812977362278</v>
      </c>
      <c r="O1009" s="3">
        <f t="shared" si="408"/>
        <v>34.266812977362278</v>
      </c>
      <c r="P1009" s="3">
        <f t="shared" si="412"/>
        <v>36.846035459529332</v>
      </c>
      <c r="Q1009" s="3">
        <f t="shared" si="413"/>
        <v>0.11015327585602029</v>
      </c>
      <c r="R1009" s="3">
        <f t="shared" si="414"/>
        <v>18.478094367692677</v>
      </c>
      <c r="S1009" s="3">
        <f t="shared" si="409"/>
        <v>1</v>
      </c>
      <c r="T1009" s="3">
        <f t="shared" si="415"/>
        <v>18367.941091836656</v>
      </c>
      <c r="U1009" s="3">
        <f t="shared" si="416"/>
        <v>0.5</v>
      </c>
      <c r="V1009" s="3">
        <f t="shared" si="417"/>
        <v>0</v>
      </c>
      <c r="W1009" s="3">
        <f t="shared" si="418"/>
        <v>12336.052671850421</v>
      </c>
      <c r="X1009" s="3">
        <f t="shared" si="410"/>
        <v>55.076637928010143</v>
      </c>
      <c r="AI1009" s="3"/>
      <c r="AJ1009" s="3"/>
      <c r="AK1009" s="15">
        <f t="shared" si="401"/>
        <v>4</v>
      </c>
      <c r="AL1009" s="11">
        <f t="shared" si="425"/>
        <v>6000</v>
      </c>
      <c r="AM1009" s="11" t="b">
        <f t="shared" si="400"/>
        <v>0</v>
      </c>
      <c r="AN1009" s="11">
        <f t="shared" si="402"/>
        <v>36000</v>
      </c>
      <c r="AO1009" s="11">
        <f t="shared" si="403"/>
        <v>0</v>
      </c>
      <c r="AP1009" s="11">
        <f t="shared" si="404"/>
        <v>0.62815584306491701</v>
      </c>
      <c r="AQ1009" s="11">
        <f t="shared" si="426"/>
        <v>0</v>
      </c>
      <c r="AT1009" s="3"/>
      <c r="AU1009" s="17"/>
      <c r="AV1009" s="19"/>
      <c r="AW1009" s="17"/>
      <c r="AX1009" s="17">
        <f t="shared" si="427"/>
        <v>1000</v>
      </c>
      <c r="AY1009" s="17">
        <f t="shared" si="424"/>
        <v>100</v>
      </c>
      <c r="AZ1009" s="17">
        <v>62.815584306491701</v>
      </c>
      <c r="BA1009" s="17"/>
      <c r="BB1009" s="17">
        <v>36</v>
      </c>
      <c r="BC1009" s="17"/>
      <c r="BD1009" s="17"/>
      <c r="BE1009" s="17"/>
      <c r="BF1009" s="17"/>
      <c r="BG1009" s="17"/>
      <c r="BH1009" s="17"/>
      <c r="BI1009" s="17"/>
      <c r="BJ1009" s="17"/>
      <c r="BK1009" s="17"/>
      <c r="BL1009" s="17"/>
      <c r="BM1009" s="17"/>
      <c r="BN1009" s="17"/>
      <c r="BO1009" s="17"/>
      <c r="BP1009" s="17"/>
      <c r="BQ1009" s="17"/>
      <c r="BR1009" s="17"/>
      <c r="BS1009" s="17"/>
      <c r="BT1009" s="17"/>
      <c r="BU1009" s="17"/>
      <c r="BV1009" s="17"/>
      <c r="BW1009" s="17"/>
      <c r="BX1009" s="17"/>
      <c r="BY1009" s="17"/>
      <c r="BZ1009" s="17"/>
      <c r="CA1009" s="17"/>
      <c r="CB1009" s="17"/>
      <c r="CC1009" s="17"/>
      <c r="CD1009" s="17"/>
      <c r="CE1009" s="17"/>
      <c r="CF1009" s="17"/>
      <c r="CG1009" s="17"/>
      <c r="CH1009" s="17"/>
    </row>
    <row r="1010" spans="8:86" x14ac:dyDescent="0.15">
      <c r="H1010" s="3">
        <f t="shared" si="419"/>
        <v>0.99800000000000078</v>
      </c>
      <c r="I1010" s="3">
        <f t="shared" si="420"/>
        <v>360</v>
      </c>
      <c r="J1010" s="14">
        <f t="shared" si="421"/>
        <v>500</v>
      </c>
      <c r="K1010" s="3">
        <f t="shared" si="411"/>
        <v>0</v>
      </c>
      <c r="L1010" s="3">
        <f t="shared" si="407"/>
        <v>500</v>
      </c>
      <c r="M1010" s="15">
        <f t="shared" si="422"/>
        <v>7.0000000000000007E-2</v>
      </c>
      <c r="N1010" s="3">
        <f t="shared" si="423"/>
        <v>34.215790918773848</v>
      </c>
      <c r="O1010" s="3">
        <f t="shared" si="408"/>
        <v>34.215790918773848</v>
      </c>
      <c r="P1010" s="3">
        <f t="shared" si="412"/>
        <v>36.791173030939625</v>
      </c>
      <c r="Q1010" s="3">
        <f t="shared" si="413"/>
        <v>7.3417393672346981E-2</v>
      </c>
      <c r="R1010" s="3">
        <f t="shared" si="414"/>
        <v>18.432295212305984</v>
      </c>
      <c r="S1010" s="3">
        <f t="shared" si="409"/>
        <v>1</v>
      </c>
      <c r="T1010" s="3">
        <f t="shared" si="415"/>
        <v>18358.877818633642</v>
      </c>
      <c r="U1010" s="3">
        <f t="shared" si="416"/>
        <v>0.5</v>
      </c>
      <c r="V1010" s="3">
        <f t="shared" si="417"/>
        <v>0</v>
      </c>
      <c r="W1010" s="3">
        <f t="shared" si="418"/>
        <v>12317.684730758585</v>
      </c>
      <c r="X1010" s="3">
        <f t="shared" si="410"/>
        <v>36.708696836173488</v>
      </c>
      <c r="AI1010" s="3"/>
      <c r="AJ1010" s="3"/>
      <c r="AK1010" s="15">
        <f t="shared" si="401"/>
        <v>4</v>
      </c>
      <c r="AL1010" s="11">
        <f t="shared" si="425"/>
        <v>6006</v>
      </c>
      <c r="AM1010" s="11" t="b">
        <f t="shared" si="400"/>
        <v>0</v>
      </c>
      <c r="AN1010" s="11">
        <f t="shared" si="402"/>
        <v>36000</v>
      </c>
      <c r="AO1010" s="11">
        <f t="shared" si="403"/>
        <v>0</v>
      </c>
      <c r="AP1010" s="11">
        <f t="shared" si="404"/>
        <v>0.62925815787973183</v>
      </c>
      <c r="AQ1010" s="11">
        <f t="shared" si="426"/>
        <v>0</v>
      </c>
      <c r="AT1010" s="3"/>
      <c r="AU1010" s="17"/>
      <c r="AV1010" s="19"/>
      <c r="AW1010" s="17"/>
      <c r="AX1010" s="17">
        <f t="shared" si="427"/>
        <v>1001</v>
      </c>
      <c r="AY1010" s="17">
        <f t="shared" si="424"/>
        <v>100.1</v>
      </c>
      <c r="AZ1010" s="17">
        <v>62.925815787973185</v>
      </c>
      <c r="BA1010" s="17"/>
      <c r="BB1010" s="17">
        <v>36</v>
      </c>
      <c r="BC1010" s="17"/>
      <c r="BD1010" s="17"/>
      <c r="BE1010" s="17"/>
      <c r="BF1010" s="17"/>
      <c r="BG1010" s="17"/>
      <c r="BH1010" s="17"/>
      <c r="BI1010" s="17"/>
      <c r="BJ1010" s="17"/>
      <c r="BK1010" s="17"/>
      <c r="BL1010" s="17"/>
      <c r="BM1010" s="17"/>
      <c r="BN1010" s="17"/>
      <c r="BO1010" s="17"/>
      <c r="BP1010" s="17"/>
      <c r="BQ1010" s="17"/>
      <c r="BR1010" s="17"/>
      <c r="BS1010" s="17"/>
      <c r="BT1010" s="17"/>
      <c r="BU1010" s="17"/>
      <c r="BV1010" s="17"/>
      <c r="BW1010" s="17"/>
      <c r="BX1010" s="17"/>
      <c r="BY1010" s="17"/>
      <c r="BZ1010" s="17"/>
      <c r="CA1010" s="17"/>
      <c r="CB1010" s="17"/>
      <c r="CC1010" s="17"/>
      <c r="CD1010" s="17"/>
      <c r="CE1010" s="17"/>
      <c r="CF1010" s="17"/>
      <c r="CG1010" s="17"/>
      <c r="CH1010" s="17"/>
    </row>
    <row r="1011" spans="8:86" x14ac:dyDescent="0.15">
      <c r="H1011" s="3">
        <f t="shared" si="419"/>
        <v>0.99900000000000078</v>
      </c>
      <c r="I1011" s="3">
        <f t="shared" si="420"/>
        <v>360</v>
      </c>
      <c r="J1011" s="14">
        <f t="shared" si="421"/>
        <v>500</v>
      </c>
      <c r="K1011" s="3">
        <f t="shared" si="411"/>
        <v>0</v>
      </c>
      <c r="L1011" s="3">
        <f t="shared" si="407"/>
        <v>500</v>
      </c>
      <c r="M1011" s="15">
        <f t="shared" si="422"/>
        <v>7.0000000000000007E-2</v>
      </c>
      <c r="N1011" s="3">
        <f t="shared" si="423"/>
        <v>34.164794035944311</v>
      </c>
      <c r="O1011" s="3">
        <f t="shared" si="408"/>
        <v>34.164794035944311</v>
      </c>
      <c r="P1011" s="3">
        <f t="shared" si="412"/>
        <v>36.736337673058401</v>
      </c>
      <c r="Q1011" s="3">
        <f t="shared" si="413"/>
        <v>3.6699638035079689E-2</v>
      </c>
      <c r="R1011" s="3">
        <f t="shared" si="414"/>
        <v>18.386518655546741</v>
      </c>
      <c r="S1011" s="3">
        <f t="shared" si="409"/>
        <v>1</v>
      </c>
      <c r="T1011" s="3">
        <f t="shared" si="415"/>
        <v>18349.819017511662</v>
      </c>
      <c r="U1011" s="3">
        <f t="shared" si="416"/>
        <v>0.5</v>
      </c>
      <c r="V1011" s="3">
        <f t="shared" si="417"/>
        <v>0</v>
      </c>
      <c r="W1011" s="3">
        <f t="shared" si="418"/>
        <v>12299.325852939952</v>
      </c>
      <c r="X1011" s="3">
        <f t="shared" si="410"/>
        <v>18.349819017539843</v>
      </c>
      <c r="AI1011" s="3"/>
      <c r="AJ1011" s="3"/>
      <c r="AK1011" s="15">
        <f t="shared" si="401"/>
        <v>4</v>
      </c>
      <c r="AL1011" s="11">
        <f t="shared" si="425"/>
        <v>6012</v>
      </c>
      <c r="AM1011" s="11" t="b">
        <f t="shared" si="400"/>
        <v>0</v>
      </c>
      <c r="AN1011" s="11">
        <f t="shared" si="402"/>
        <v>36000</v>
      </c>
      <c r="AO1011" s="11">
        <f t="shared" si="403"/>
        <v>0</v>
      </c>
      <c r="AP1011" s="11">
        <f t="shared" si="404"/>
        <v>0.63036047269454665</v>
      </c>
      <c r="AQ1011" s="11">
        <f t="shared" si="426"/>
        <v>0</v>
      </c>
      <c r="AT1011" s="3"/>
      <c r="AU1011" s="17"/>
      <c r="AV1011" s="19"/>
      <c r="AW1011" s="17"/>
      <c r="AX1011" s="17">
        <f t="shared" si="427"/>
        <v>1002</v>
      </c>
      <c r="AY1011" s="17">
        <f t="shared" si="424"/>
        <v>100.2</v>
      </c>
      <c r="AZ1011" s="17">
        <v>63.036047269454663</v>
      </c>
      <c r="BA1011" s="17"/>
      <c r="BB1011" s="17">
        <v>36</v>
      </c>
      <c r="BC1011" s="17"/>
      <c r="BD1011" s="17"/>
      <c r="BE1011" s="17"/>
      <c r="BF1011" s="17"/>
      <c r="BG1011" s="17"/>
      <c r="BH1011" s="17"/>
      <c r="BI1011" s="17"/>
      <c r="BJ1011" s="17"/>
      <c r="BK1011" s="17"/>
      <c r="BL1011" s="17"/>
      <c r="BM1011" s="17"/>
      <c r="BN1011" s="17"/>
      <c r="BO1011" s="17"/>
      <c r="BP1011" s="17"/>
      <c r="BQ1011" s="17"/>
      <c r="BR1011" s="17"/>
      <c r="BS1011" s="17"/>
      <c r="BT1011" s="17"/>
      <c r="BU1011" s="17"/>
      <c r="BV1011" s="17"/>
      <c r="BW1011" s="17"/>
      <c r="BX1011" s="17"/>
      <c r="BY1011" s="17"/>
      <c r="BZ1011" s="17"/>
      <c r="CA1011" s="17"/>
      <c r="CB1011" s="17"/>
      <c r="CC1011" s="17"/>
      <c r="CD1011" s="17"/>
      <c r="CE1011" s="17"/>
      <c r="CF1011" s="17"/>
      <c r="CG1011" s="17"/>
      <c r="CH1011" s="17"/>
    </row>
    <row r="1012" spans="8:86" x14ac:dyDescent="0.15">
      <c r="H1012" s="3">
        <f t="shared" si="419"/>
        <v>1.0000000000000007</v>
      </c>
      <c r="I1012" s="3">
        <f t="shared" si="420"/>
        <v>360</v>
      </c>
      <c r="J1012" s="14">
        <f t="shared" si="421"/>
        <v>500</v>
      </c>
      <c r="K1012" s="3">
        <f t="shared" si="411"/>
        <v>0</v>
      </c>
      <c r="L1012" s="3">
        <f t="shared" si="407"/>
        <v>500</v>
      </c>
      <c r="M1012" s="15">
        <f t="shared" si="422"/>
        <v>7.0000000000000007E-2</v>
      </c>
      <c r="N1012" s="3">
        <f t="shared" si="423"/>
        <v>34.11382231645122</v>
      </c>
      <c r="O1012" s="3">
        <f t="shared" si="408"/>
        <v>34.11382231645122</v>
      </c>
      <c r="P1012" s="3">
        <f t="shared" si="412"/>
        <v>36.681529372528196</v>
      </c>
      <c r="Q1012" s="3">
        <f>IF($F$19,IF($F$20,0,IF(J1012=0,Q1011,X1012/J1012)),(Q1011*J1011-T1011*$I$4)/J1012)</f>
        <v>5.6360249800491149E-14</v>
      </c>
      <c r="R1012" s="3">
        <f t="shared" si="414"/>
        <v>18.340764686264126</v>
      </c>
      <c r="S1012" s="3">
        <f t="shared" si="409"/>
        <v>1</v>
      </c>
      <c r="T1012" s="3">
        <f t="shared" si="415"/>
        <v>18340.764686264069</v>
      </c>
      <c r="U1012" s="3">
        <f t="shared" si="416"/>
        <v>0.5</v>
      </c>
      <c r="V1012" s="3">
        <f t="shared" si="417"/>
        <v>0</v>
      </c>
      <c r="W1012" s="3">
        <f t="shared" si="418"/>
        <v>12280.976033922439</v>
      </c>
      <c r="X1012" s="3">
        <f>IF($F$19,0,J1012*Q1012)</f>
        <v>2.8180124900245573E-11</v>
      </c>
      <c r="AI1012" s="3"/>
      <c r="AJ1012" s="3"/>
      <c r="AK1012" s="15">
        <f t="shared" si="401"/>
        <v>4</v>
      </c>
      <c r="AL1012" s="11">
        <f t="shared" si="425"/>
        <v>6018</v>
      </c>
      <c r="AM1012" s="11" t="b">
        <f t="shared" si="400"/>
        <v>0</v>
      </c>
      <c r="AN1012" s="11">
        <f t="shared" si="402"/>
        <v>36000</v>
      </c>
      <c r="AO1012" s="11">
        <f t="shared" si="403"/>
        <v>0</v>
      </c>
      <c r="AP1012" s="11">
        <f t="shared" si="404"/>
        <v>0.63146278750936147</v>
      </c>
      <c r="AQ1012" s="11">
        <f t="shared" si="426"/>
        <v>0</v>
      </c>
      <c r="AT1012" s="3"/>
      <c r="AU1012" s="17"/>
      <c r="AV1012" s="19"/>
      <c r="AW1012" s="17"/>
      <c r="AX1012" s="17">
        <f t="shared" si="427"/>
        <v>1003</v>
      </c>
      <c r="AY1012" s="17">
        <f t="shared" ref="AY1012:AY1043" si="428">IF(ISNUMBER(AX1012),IF(ROUND((AX1012)*$AG$15*$AB$15,0) &lt;= 10080, ROUND((AX1012)*$AG$15,0)*$AB$15/60, 168),168)</f>
        <v>100.3</v>
      </c>
      <c r="AZ1012" s="17">
        <v>63.146278750936148</v>
      </c>
      <c r="BA1012" s="17"/>
      <c r="BB1012" s="17">
        <v>36</v>
      </c>
      <c r="BC1012" s="17"/>
      <c r="BD1012" s="17"/>
      <c r="BE1012" s="17"/>
      <c r="BF1012" s="17"/>
      <c r="BG1012" s="17"/>
      <c r="BH1012" s="17"/>
      <c r="BI1012" s="17"/>
      <c r="BJ1012" s="17"/>
      <c r="BK1012" s="17"/>
      <c r="BL1012" s="17"/>
      <c r="BM1012" s="17"/>
      <c r="BN1012" s="17"/>
      <c r="BO1012" s="17"/>
      <c r="BP1012" s="17"/>
      <c r="BQ1012" s="17"/>
      <c r="BR1012" s="17"/>
      <c r="BS1012" s="17"/>
      <c r="BT1012" s="17"/>
      <c r="BU1012" s="17"/>
      <c r="BV1012" s="17"/>
      <c r="BW1012" s="17"/>
      <c r="BX1012" s="17"/>
      <c r="BY1012" s="17"/>
      <c r="BZ1012" s="17"/>
      <c r="CA1012" s="17"/>
      <c r="CB1012" s="17"/>
      <c r="CC1012" s="17"/>
      <c r="CD1012" s="17"/>
      <c r="CE1012" s="17"/>
      <c r="CF1012" s="17"/>
      <c r="CG1012" s="17"/>
      <c r="CH1012" s="17"/>
    </row>
    <row r="1013" spans="8:86" x14ac:dyDescent="0.15">
      <c r="AI1013" s="3"/>
      <c r="AJ1013" s="3"/>
      <c r="AK1013" s="15">
        <f t="shared" si="401"/>
        <v>4</v>
      </c>
      <c r="AL1013" s="11">
        <f t="shared" si="425"/>
        <v>6024</v>
      </c>
      <c r="AM1013" s="11" t="b">
        <f t="shared" si="400"/>
        <v>0</v>
      </c>
      <c r="AN1013" s="11">
        <f t="shared" si="402"/>
        <v>36000</v>
      </c>
      <c r="AO1013" s="11">
        <f t="shared" si="403"/>
        <v>0</v>
      </c>
      <c r="AP1013" s="11">
        <f t="shared" si="404"/>
        <v>0.63256510232417629</v>
      </c>
      <c r="AQ1013" s="11">
        <f t="shared" si="426"/>
        <v>0</v>
      </c>
      <c r="AT1013" s="3"/>
      <c r="AU1013" s="17"/>
      <c r="AV1013" s="19"/>
      <c r="AW1013" s="17"/>
      <c r="AX1013" s="17">
        <f t="shared" si="427"/>
        <v>1004</v>
      </c>
      <c r="AY1013" s="17">
        <f t="shared" si="428"/>
        <v>100.4</v>
      </c>
      <c r="AZ1013" s="17">
        <v>63.256510232417625</v>
      </c>
      <c r="BA1013" s="17"/>
      <c r="BB1013" s="17">
        <v>36</v>
      </c>
      <c r="BC1013" s="17"/>
      <c r="BD1013" s="17"/>
      <c r="BE1013" s="17"/>
      <c r="BF1013" s="17"/>
      <c r="BG1013" s="17"/>
      <c r="BH1013" s="17"/>
      <c r="BI1013" s="17"/>
      <c r="BJ1013" s="17"/>
      <c r="BK1013" s="17"/>
      <c r="BL1013" s="17"/>
      <c r="BM1013" s="17"/>
      <c r="BN1013" s="17"/>
      <c r="BO1013" s="17"/>
      <c r="BP1013" s="17"/>
      <c r="BQ1013" s="17"/>
      <c r="BR1013" s="17"/>
      <c r="BS1013" s="17"/>
      <c r="BT1013" s="17"/>
      <c r="BU1013" s="17"/>
      <c r="BV1013" s="17"/>
      <c r="BW1013" s="17"/>
      <c r="BX1013" s="17"/>
      <c r="BY1013" s="17"/>
      <c r="BZ1013" s="17"/>
      <c r="CA1013" s="17"/>
      <c r="CB1013" s="17"/>
      <c r="CC1013" s="17"/>
      <c r="CD1013" s="17"/>
      <c r="CE1013" s="17"/>
      <c r="CF1013" s="17"/>
      <c r="CG1013" s="17"/>
      <c r="CH1013" s="17"/>
    </row>
    <row r="1014" spans="8:86" x14ac:dyDescent="0.15">
      <c r="AI1014" s="3"/>
      <c r="AJ1014" s="3"/>
      <c r="AK1014" s="15">
        <f t="shared" si="401"/>
        <v>4</v>
      </c>
      <c r="AL1014" s="11">
        <f t="shared" si="425"/>
        <v>6030</v>
      </c>
      <c r="AM1014" s="11" t="b">
        <f t="shared" si="400"/>
        <v>0</v>
      </c>
      <c r="AN1014" s="11">
        <f t="shared" si="402"/>
        <v>36000</v>
      </c>
      <c r="AO1014" s="11">
        <f t="shared" si="403"/>
        <v>0</v>
      </c>
      <c r="AP1014" s="11">
        <f t="shared" si="404"/>
        <v>0.63366741713899122</v>
      </c>
      <c r="AQ1014" s="11">
        <f t="shared" si="426"/>
        <v>0</v>
      </c>
      <c r="AT1014" s="3"/>
      <c r="AU1014" s="17"/>
      <c r="AV1014" s="19"/>
      <c r="AW1014" s="17"/>
      <c r="AX1014" s="17">
        <f t="shared" si="427"/>
        <v>1005</v>
      </c>
      <c r="AY1014" s="17">
        <f t="shared" si="428"/>
        <v>100.5</v>
      </c>
      <c r="AZ1014" s="17">
        <v>63.366741713899124</v>
      </c>
      <c r="BA1014" s="17"/>
      <c r="BB1014" s="17">
        <v>36</v>
      </c>
      <c r="BC1014" s="17"/>
      <c r="BD1014" s="17"/>
      <c r="BE1014" s="17"/>
      <c r="BF1014" s="17"/>
      <c r="BG1014" s="17"/>
      <c r="BH1014" s="17"/>
      <c r="BI1014" s="17"/>
      <c r="BJ1014" s="17"/>
      <c r="BK1014" s="17"/>
      <c r="BL1014" s="17"/>
      <c r="BM1014" s="17"/>
      <c r="BN1014" s="17"/>
      <c r="BO1014" s="17"/>
      <c r="BP1014" s="17"/>
      <c r="BQ1014" s="17"/>
      <c r="BR1014" s="17"/>
      <c r="BS1014" s="17"/>
      <c r="BT1014" s="17"/>
      <c r="BU1014" s="17"/>
      <c r="BV1014" s="17"/>
      <c r="BW1014" s="17"/>
      <c r="BX1014" s="17"/>
      <c r="BY1014" s="17"/>
      <c r="BZ1014" s="17"/>
      <c r="CA1014" s="17"/>
      <c r="CB1014" s="17"/>
      <c r="CC1014" s="17"/>
      <c r="CD1014" s="17"/>
      <c r="CE1014" s="17"/>
      <c r="CF1014" s="17"/>
      <c r="CG1014" s="17"/>
      <c r="CH1014" s="17"/>
    </row>
    <row r="1015" spans="8:86" x14ac:dyDescent="0.15">
      <c r="AI1015" s="3"/>
      <c r="AJ1015" s="3"/>
      <c r="AK1015" s="15">
        <f t="shared" si="401"/>
        <v>4</v>
      </c>
      <c r="AL1015" s="11">
        <f t="shared" si="425"/>
        <v>6036</v>
      </c>
      <c r="AM1015" s="11" t="b">
        <f t="shared" si="400"/>
        <v>0</v>
      </c>
      <c r="AN1015" s="11">
        <f t="shared" si="402"/>
        <v>36000</v>
      </c>
      <c r="AO1015" s="11">
        <f t="shared" si="403"/>
        <v>0</v>
      </c>
      <c r="AP1015" s="11">
        <f t="shared" si="404"/>
        <v>0.63476973195380615</v>
      </c>
      <c r="AQ1015" s="11">
        <f t="shared" si="426"/>
        <v>0</v>
      </c>
      <c r="AT1015" s="3"/>
      <c r="AU1015" s="17"/>
      <c r="AV1015" s="19"/>
      <c r="AW1015" s="17"/>
      <c r="AX1015" s="17">
        <f t="shared" si="427"/>
        <v>1006</v>
      </c>
      <c r="AY1015" s="17">
        <f t="shared" si="428"/>
        <v>100.6</v>
      </c>
      <c r="AZ1015" s="17">
        <v>63.476973195380616</v>
      </c>
      <c r="BA1015" s="17"/>
      <c r="BB1015" s="17">
        <v>36</v>
      </c>
      <c r="BC1015" s="17"/>
      <c r="BD1015" s="17"/>
      <c r="BE1015" s="17"/>
      <c r="BF1015" s="17"/>
      <c r="BG1015" s="17"/>
      <c r="BH1015" s="17"/>
      <c r="BI1015" s="17"/>
      <c r="BJ1015" s="17"/>
      <c r="BK1015" s="17"/>
      <c r="BL1015" s="17"/>
      <c r="BM1015" s="17"/>
      <c r="BN1015" s="17"/>
      <c r="BO1015" s="17"/>
      <c r="BP1015" s="17"/>
      <c r="BQ1015" s="17"/>
      <c r="BR1015" s="17"/>
      <c r="BS1015" s="17"/>
      <c r="BT1015" s="17"/>
      <c r="BU1015" s="17"/>
      <c r="BV1015" s="17"/>
      <c r="BW1015" s="17"/>
      <c r="BX1015" s="17"/>
      <c r="BY1015" s="17"/>
      <c r="BZ1015" s="17"/>
      <c r="CA1015" s="17"/>
      <c r="CB1015" s="17"/>
      <c r="CC1015" s="17"/>
      <c r="CD1015" s="17"/>
      <c r="CE1015" s="17"/>
      <c r="CF1015" s="17"/>
      <c r="CG1015" s="17"/>
      <c r="CH1015" s="17"/>
    </row>
    <row r="1016" spans="8:86" x14ac:dyDescent="0.15">
      <c r="AI1016" s="3"/>
      <c r="AJ1016" s="3"/>
      <c r="AK1016" s="15">
        <f t="shared" si="401"/>
        <v>4</v>
      </c>
      <c r="AL1016" s="11">
        <f t="shared" si="425"/>
        <v>6042</v>
      </c>
      <c r="AM1016" s="11" t="b">
        <f t="shared" si="400"/>
        <v>0</v>
      </c>
      <c r="AN1016" s="11">
        <f t="shared" si="402"/>
        <v>36000</v>
      </c>
      <c r="AO1016" s="11">
        <f t="shared" si="403"/>
        <v>0</v>
      </c>
      <c r="AP1016" s="11">
        <f t="shared" si="404"/>
        <v>0.63587204676862097</v>
      </c>
      <c r="AQ1016" s="11">
        <f t="shared" si="426"/>
        <v>0</v>
      </c>
      <c r="AT1016" s="3"/>
      <c r="AU1016" s="17"/>
      <c r="AV1016" s="19"/>
      <c r="AW1016" s="17"/>
      <c r="AX1016" s="17">
        <f t="shared" si="427"/>
        <v>1007</v>
      </c>
      <c r="AY1016" s="17">
        <f t="shared" si="428"/>
        <v>100.7</v>
      </c>
      <c r="AZ1016" s="17">
        <v>63.5872046768621</v>
      </c>
      <c r="BA1016" s="17"/>
      <c r="BB1016" s="17">
        <v>36</v>
      </c>
      <c r="BC1016" s="17"/>
      <c r="BD1016" s="17"/>
      <c r="BE1016" s="17"/>
      <c r="BF1016" s="17"/>
      <c r="BG1016" s="17"/>
      <c r="BH1016" s="17"/>
      <c r="BI1016" s="17"/>
      <c r="BJ1016" s="17"/>
      <c r="BK1016" s="17"/>
      <c r="BL1016" s="17"/>
      <c r="BM1016" s="17"/>
      <c r="BN1016" s="17"/>
      <c r="BO1016" s="17"/>
      <c r="BP1016" s="17"/>
      <c r="BQ1016" s="17"/>
      <c r="BR1016" s="17"/>
      <c r="BS1016" s="17"/>
      <c r="BT1016" s="17"/>
      <c r="BU1016" s="17"/>
      <c r="BV1016" s="17"/>
      <c r="BW1016" s="17"/>
      <c r="BX1016" s="17"/>
      <c r="BY1016" s="17"/>
      <c r="BZ1016" s="17"/>
      <c r="CA1016" s="17"/>
      <c r="CB1016" s="17"/>
      <c r="CC1016" s="17"/>
      <c r="CD1016" s="17"/>
      <c r="CE1016" s="17"/>
      <c r="CF1016" s="17"/>
      <c r="CG1016" s="17"/>
      <c r="CH1016" s="17"/>
    </row>
    <row r="1017" spans="8:86" x14ac:dyDescent="0.15">
      <c r="AI1017" s="3"/>
      <c r="AJ1017" s="3"/>
      <c r="AK1017" s="15">
        <f t="shared" si="401"/>
        <v>4</v>
      </c>
      <c r="AL1017" s="11">
        <f t="shared" si="425"/>
        <v>6048</v>
      </c>
      <c r="AM1017" s="11" t="b">
        <f t="shared" si="400"/>
        <v>0</v>
      </c>
      <c r="AN1017" s="11">
        <f t="shared" si="402"/>
        <v>36000</v>
      </c>
      <c r="AO1017" s="11">
        <f t="shared" si="403"/>
        <v>0</v>
      </c>
      <c r="AP1017" s="11">
        <f t="shared" si="404"/>
        <v>0.63697436158343579</v>
      </c>
      <c r="AQ1017" s="11">
        <f t="shared" si="426"/>
        <v>0</v>
      </c>
      <c r="AT1017" s="3"/>
      <c r="AU1017" s="17"/>
      <c r="AV1017" s="19"/>
      <c r="AW1017" s="17"/>
      <c r="AX1017" s="17">
        <f t="shared" si="427"/>
        <v>1008</v>
      </c>
      <c r="AY1017" s="17">
        <f t="shared" si="428"/>
        <v>100.8</v>
      </c>
      <c r="AZ1017" s="17">
        <v>63.697436158343578</v>
      </c>
      <c r="BA1017" s="17"/>
      <c r="BB1017" s="17">
        <v>36</v>
      </c>
      <c r="BC1017" s="17"/>
      <c r="BD1017" s="17"/>
      <c r="BE1017" s="17"/>
      <c r="BF1017" s="17"/>
      <c r="BG1017" s="17"/>
      <c r="BH1017" s="17"/>
      <c r="BI1017" s="17"/>
      <c r="BJ1017" s="17"/>
      <c r="BK1017" s="17"/>
      <c r="BL1017" s="17"/>
      <c r="BM1017" s="17"/>
      <c r="BN1017" s="17"/>
      <c r="BO1017" s="17"/>
      <c r="BP1017" s="17"/>
      <c r="BQ1017" s="17"/>
      <c r="BR1017" s="17"/>
      <c r="BS1017" s="17"/>
      <c r="BT1017" s="17"/>
      <c r="BU1017" s="17"/>
      <c r="BV1017" s="17"/>
      <c r="BW1017" s="17"/>
      <c r="BX1017" s="17"/>
      <c r="BY1017" s="17"/>
      <c r="BZ1017" s="17"/>
      <c r="CA1017" s="17"/>
      <c r="CB1017" s="17"/>
      <c r="CC1017" s="17"/>
      <c r="CD1017" s="17"/>
      <c r="CE1017" s="17"/>
      <c r="CF1017" s="17"/>
      <c r="CG1017" s="17"/>
      <c r="CH1017" s="17"/>
    </row>
    <row r="1018" spans="8:86" x14ac:dyDescent="0.15">
      <c r="AI1018" s="3"/>
      <c r="AJ1018" s="3"/>
      <c r="AK1018" s="15">
        <f t="shared" si="401"/>
        <v>4</v>
      </c>
      <c r="AL1018" s="11">
        <f t="shared" si="425"/>
        <v>6054</v>
      </c>
      <c r="AM1018" s="11" t="b">
        <f t="shared" si="400"/>
        <v>0</v>
      </c>
      <c r="AN1018" s="11">
        <f t="shared" si="402"/>
        <v>36000</v>
      </c>
      <c r="AO1018" s="11">
        <f t="shared" si="403"/>
        <v>0</v>
      </c>
      <c r="AP1018" s="11">
        <f t="shared" si="404"/>
        <v>0.63807667639825061</v>
      </c>
      <c r="AQ1018" s="11">
        <f t="shared" si="426"/>
        <v>0</v>
      </c>
      <c r="AT1018" s="3"/>
      <c r="AU1018" s="17"/>
      <c r="AV1018" s="19"/>
      <c r="AW1018" s="17"/>
      <c r="AX1018" s="17">
        <f t="shared" si="427"/>
        <v>1009</v>
      </c>
      <c r="AY1018" s="17">
        <f t="shared" si="428"/>
        <v>100.9</v>
      </c>
      <c r="AZ1018" s="17">
        <v>63.807667639825063</v>
      </c>
      <c r="BA1018" s="17"/>
      <c r="BB1018" s="17">
        <v>36</v>
      </c>
      <c r="BC1018" s="17"/>
      <c r="BD1018" s="17"/>
      <c r="BE1018" s="17"/>
      <c r="BF1018" s="17"/>
      <c r="BG1018" s="17"/>
      <c r="BH1018" s="17"/>
      <c r="BI1018" s="17"/>
      <c r="BJ1018" s="17"/>
      <c r="BK1018" s="17"/>
      <c r="BL1018" s="17"/>
      <c r="BM1018" s="17"/>
      <c r="BN1018" s="17"/>
      <c r="BO1018" s="17"/>
      <c r="BP1018" s="17"/>
      <c r="BQ1018" s="17"/>
      <c r="BR1018" s="17"/>
      <c r="BS1018" s="17"/>
      <c r="BT1018" s="17"/>
      <c r="BU1018" s="17"/>
      <c r="BV1018" s="17"/>
      <c r="BW1018" s="17"/>
      <c r="BX1018" s="17"/>
      <c r="BY1018" s="17"/>
      <c r="BZ1018" s="17"/>
      <c r="CA1018" s="17"/>
      <c r="CB1018" s="17"/>
      <c r="CC1018" s="17"/>
      <c r="CD1018" s="17"/>
      <c r="CE1018" s="17"/>
      <c r="CF1018" s="17"/>
      <c r="CG1018" s="17"/>
      <c r="CH1018" s="17"/>
    </row>
    <row r="1019" spans="8:86" x14ac:dyDescent="0.15">
      <c r="AI1019" s="3"/>
      <c r="AJ1019" s="3"/>
      <c r="AK1019" s="15">
        <f t="shared" si="401"/>
        <v>4</v>
      </c>
      <c r="AL1019" s="11">
        <f t="shared" si="425"/>
        <v>6060</v>
      </c>
      <c r="AM1019" s="11" t="b">
        <f t="shared" si="400"/>
        <v>0</v>
      </c>
      <c r="AN1019" s="11">
        <f t="shared" si="402"/>
        <v>36000</v>
      </c>
      <c r="AO1019" s="11">
        <f t="shared" si="403"/>
        <v>0</v>
      </c>
      <c r="AP1019" s="11">
        <f t="shared" si="404"/>
        <v>0.63917899121306543</v>
      </c>
      <c r="AQ1019" s="11">
        <f t="shared" si="426"/>
        <v>0</v>
      </c>
      <c r="AT1019" s="3"/>
      <c r="AU1019" s="17"/>
      <c r="AV1019" s="19"/>
      <c r="AW1019" s="17"/>
      <c r="AX1019" s="17">
        <f t="shared" si="427"/>
        <v>1010</v>
      </c>
      <c r="AY1019" s="17">
        <f t="shared" si="428"/>
        <v>101</v>
      </c>
      <c r="AZ1019" s="17">
        <v>63.91789912130654</v>
      </c>
      <c r="BA1019" s="17"/>
      <c r="BB1019" s="17">
        <v>36</v>
      </c>
      <c r="BC1019" s="17"/>
      <c r="BD1019" s="17"/>
      <c r="BE1019" s="17"/>
      <c r="BF1019" s="17"/>
      <c r="BG1019" s="17"/>
      <c r="BH1019" s="17"/>
      <c r="BI1019" s="17"/>
      <c r="BJ1019" s="17"/>
      <c r="BK1019" s="17"/>
      <c r="BL1019" s="17"/>
      <c r="BM1019" s="17"/>
      <c r="BN1019" s="17"/>
      <c r="BO1019" s="17"/>
      <c r="BP1019" s="17"/>
      <c r="BQ1019" s="17"/>
      <c r="BR1019" s="17"/>
      <c r="BS1019" s="17"/>
      <c r="BT1019" s="17"/>
      <c r="BU1019" s="17"/>
      <c r="BV1019" s="17"/>
      <c r="BW1019" s="17"/>
      <c r="BX1019" s="17"/>
      <c r="BY1019" s="17"/>
      <c r="BZ1019" s="17"/>
      <c r="CA1019" s="17"/>
      <c r="CB1019" s="17"/>
      <c r="CC1019" s="17"/>
      <c r="CD1019" s="17"/>
      <c r="CE1019" s="17"/>
      <c r="CF1019" s="17"/>
      <c r="CG1019" s="17"/>
      <c r="CH1019" s="17"/>
    </row>
    <row r="1020" spans="8:86" x14ac:dyDescent="0.15">
      <c r="AI1020" s="3"/>
      <c r="AJ1020" s="3"/>
      <c r="AK1020" s="15">
        <f t="shared" si="401"/>
        <v>4</v>
      </c>
      <c r="AL1020" s="11">
        <f t="shared" si="425"/>
        <v>6066</v>
      </c>
      <c r="AM1020" s="11" t="b">
        <f t="shared" si="400"/>
        <v>0</v>
      </c>
      <c r="AN1020" s="11">
        <f t="shared" si="402"/>
        <v>36000</v>
      </c>
      <c r="AO1020" s="11">
        <f t="shared" si="403"/>
        <v>0</v>
      </c>
      <c r="AP1020" s="11">
        <f t="shared" si="404"/>
        <v>0.64028130602788036</v>
      </c>
      <c r="AQ1020" s="11">
        <f t="shared" si="426"/>
        <v>0</v>
      </c>
      <c r="AT1020" s="3"/>
      <c r="AU1020" s="17"/>
      <c r="AV1020" s="19"/>
      <c r="AW1020" s="17"/>
      <c r="AX1020" s="17">
        <f t="shared" si="427"/>
        <v>1011</v>
      </c>
      <c r="AY1020" s="17">
        <f t="shared" si="428"/>
        <v>101.1</v>
      </c>
      <c r="AZ1020" s="17">
        <v>64.028130602788039</v>
      </c>
      <c r="BA1020" s="17"/>
      <c r="BB1020" s="17">
        <v>36</v>
      </c>
      <c r="BC1020" s="17"/>
      <c r="BD1020" s="17"/>
      <c r="BE1020" s="17"/>
      <c r="BF1020" s="17"/>
      <c r="BG1020" s="17"/>
      <c r="BH1020" s="17"/>
      <c r="BI1020" s="17"/>
      <c r="BJ1020" s="17"/>
      <c r="BK1020" s="17"/>
      <c r="BL1020" s="17"/>
      <c r="BM1020" s="17"/>
      <c r="BN1020" s="17"/>
      <c r="BO1020" s="17"/>
      <c r="BP1020" s="17"/>
      <c r="BQ1020" s="17"/>
      <c r="BR1020" s="17"/>
      <c r="BS1020" s="17"/>
      <c r="BT1020" s="17"/>
      <c r="BU1020" s="17"/>
      <c r="BV1020" s="17"/>
      <c r="BW1020" s="17"/>
      <c r="BX1020" s="17"/>
      <c r="BY1020" s="17"/>
      <c r="BZ1020" s="17"/>
      <c r="CA1020" s="17"/>
      <c r="CB1020" s="17"/>
      <c r="CC1020" s="17"/>
      <c r="CD1020" s="17"/>
      <c r="CE1020" s="17"/>
      <c r="CF1020" s="17"/>
      <c r="CG1020" s="17"/>
      <c r="CH1020" s="17"/>
    </row>
    <row r="1021" spans="8:86" x14ac:dyDescent="0.15">
      <c r="AI1021" s="3"/>
      <c r="AJ1021" s="3"/>
      <c r="AK1021" s="15">
        <f t="shared" si="401"/>
        <v>4</v>
      </c>
      <c r="AL1021" s="11">
        <f t="shared" si="425"/>
        <v>6072</v>
      </c>
      <c r="AM1021" s="11" t="b">
        <f t="shared" si="400"/>
        <v>0</v>
      </c>
      <c r="AN1021" s="11">
        <f t="shared" si="402"/>
        <v>36000</v>
      </c>
      <c r="AO1021" s="11">
        <f t="shared" si="403"/>
        <v>0</v>
      </c>
      <c r="AP1021" s="11">
        <f t="shared" si="404"/>
        <v>0.64138362084269518</v>
      </c>
      <c r="AQ1021" s="11">
        <f t="shared" si="426"/>
        <v>0</v>
      </c>
      <c r="AT1021" s="3"/>
      <c r="AU1021" s="17"/>
      <c r="AV1021" s="19"/>
      <c r="AW1021" s="17"/>
      <c r="AX1021" s="17">
        <f t="shared" si="427"/>
        <v>1012</v>
      </c>
      <c r="AY1021" s="17">
        <f t="shared" si="428"/>
        <v>101.2</v>
      </c>
      <c r="AZ1021" s="17">
        <v>64.138362084269517</v>
      </c>
      <c r="BA1021" s="17"/>
      <c r="BB1021" s="17">
        <v>36</v>
      </c>
      <c r="BC1021" s="17"/>
      <c r="BD1021" s="17"/>
      <c r="BE1021" s="17"/>
      <c r="BF1021" s="17"/>
      <c r="BG1021" s="17"/>
      <c r="BH1021" s="17"/>
      <c r="BI1021" s="17"/>
      <c r="BJ1021" s="17"/>
      <c r="BK1021" s="17"/>
      <c r="BL1021" s="17"/>
      <c r="BM1021" s="17"/>
      <c r="BN1021" s="17"/>
      <c r="BO1021" s="17"/>
      <c r="BP1021" s="17"/>
      <c r="BQ1021" s="17"/>
      <c r="BR1021" s="17"/>
      <c r="BS1021" s="17"/>
      <c r="BT1021" s="17"/>
      <c r="BU1021" s="17"/>
      <c r="BV1021" s="17"/>
      <c r="BW1021" s="17"/>
      <c r="BX1021" s="17"/>
      <c r="BY1021" s="17"/>
      <c r="BZ1021" s="17"/>
      <c r="CA1021" s="17"/>
      <c r="CB1021" s="17"/>
      <c r="CC1021" s="17"/>
      <c r="CD1021" s="17"/>
      <c r="CE1021" s="17"/>
      <c r="CF1021" s="17"/>
      <c r="CG1021" s="17"/>
      <c r="CH1021" s="17"/>
    </row>
    <row r="1022" spans="8:86" x14ac:dyDescent="0.15">
      <c r="AI1022" s="3"/>
      <c r="AJ1022" s="3"/>
      <c r="AK1022" s="15">
        <f t="shared" si="401"/>
        <v>4</v>
      </c>
      <c r="AL1022" s="11">
        <f t="shared" si="425"/>
        <v>6078</v>
      </c>
      <c r="AM1022" s="11" t="b">
        <f t="shared" si="400"/>
        <v>0</v>
      </c>
      <c r="AN1022" s="11">
        <f t="shared" si="402"/>
        <v>36000</v>
      </c>
      <c r="AO1022" s="11">
        <f t="shared" si="403"/>
        <v>0</v>
      </c>
      <c r="AP1022" s="11">
        <f t="shared" si="404"/>
        <v>0.64248593565751</v>
      </c>
      <c r="AQ1022" s="11">
        <f t="shared" si="426"/>
        <v>0</v>
      </c>
      <c r="AT1022" s="3"/>
      <c r="AU1022" s="17"/>
      <c r="AV1022" s="19"/>
      <c r="AW1022" s="17"/>
      <c r="AX1022" s="17">
        <f t="shared" si="427"/>
        <v>1013</v>
      </c>
      <c r="AY1022" s="17">
        <f t="shared" si="428"/>
        <v>101.3</v>
      </c>
      <c r="AZ1022" s="17">
        <v>64.248593565750994</v>
      </c>
      <c r="BA1022" s="17"/>
      <c r="BB1022" s="17">
        <v>36</v>
      </c>
      <c r="BC1022" s="17"/>
      <c r="BD1022" s="17"/>
      <c r="BE1022" s="17"/>
      <c r="BF1022" s="17"/>
      <c r="BG1022" s="17"/>
      <c r="BH1022" s="17"/>
      <c r="BI1022" s="17"/>
      <c r="BJ1022" s="17"/>
      <c r="BK1022" s="17"/>
      <c r="BL1022" s="17"/>
      <c r="BM1022" s="17"/>
      <c r="BN1022" s="17"/>
      <c r="BO1022" s="17"/>
      <c r="BP1022" s="17"/>
      <c r="BQ1022" s="17"/>
      <c r="BR1022" s="17"/>
      <c r="BS1022" s="17"/>
      <c r="BT1022" s="17"/>
      <c r="BU1022" s="17"/>
      <c r="BV1022" s="17"/>
      <c r="BW1022" s="17"/>
      <c r="BX1022" s="17"/>
      <c r="BY1022" s="17"/>
      <c r="BZ1022" s="17"/>
      <c r="CA1022" s="17"/>
      <c r="CB1022" s="17"/>
      <c r="CC1022" s="17"/>
      <c r="CD1022" s="17"/>
      <c r="CE1022" s="17"/>
      <c r="CF1022" s="17"/>
      <c r="CG1022" s="17"/>
      <c r="CH1022" s="17"/>
    </row>
    <row r="1023" spans="8:86" x14ac:dyDescent="0.15">
      <c r="AI1023" s="3"/>
      <c r="AJ1023" s="3"/>
      <c r="AK1023" s="15">
        <f t="shared" si="401"/>
        <v>4</v>
      </c>
      <c r="AL1023" s="11">
        <f t="shared" si="425"/>
        <v>6084</v>
      </c>
      <c r="AM1023" s="11" t="b">
        <f t="shared" si="400"/>
        <v>0</v>
      </c>
      <c r="AN1023" s="11">
        <f t="shared" si="402"/>
        <v>36000</v>
      </c>
      <c r="AO1023" s="11">
        <f t="shared" si="403"/>
        <v>0</v>
      </c>
      <c r="AP1023" s="11">
        <f t="shared" si="404"/>
        <v>0.64358825047232482</v>
      </c>
      <c r="AQ1023" s="11">
        <f t="shared" si="426"/>
        <v>0</v>
      </c>
      <c r="AT1023" s="3"/>
      <c r="AU1023" s="17"/>
      <c r="AV1023" s="19"/>
      <c r="AW1023" s="17"/>
      <c r="AX1023" s="17">
        <f t="shared" si="427"/>
        <v>1014</v>
      </c>
      <c r="AY1023" s="17">
        <f t="shared" si="428"/>
        <v>101.4</v>
      </c>
      <c r="AZ1023" s="17">
        <v>64.358825047232486</v>
      </c>
      <c r="BA1023" s="17"/>
      <c r="BB1023" s="17">
        <v>36</v>
      </c>
      <c r="BC1023" s="17"/>
      <c r="BD1023" s="17"/>
      <c r="BE1023" s="17"/>
      <c r="BF1023" s="17"/>
      <c r="BG1023" s="17"/>
      <c r="BH1023" s="17"/>
      <c r="BI1023" s="17"/>
      <c r="BJ1023" s="17"/>
      <c r="BK1023" s="17"/>
      <c r="BL1023" s="17"/>
      <c r="BM1023" s="17"/>
      <c r="BN1023" s="17"/>
      <c r="BO1023" s="17"/>
      <c r="BP1023" s="17"/>
      <c r="BQ1023" s="17"/>
      <c r="BR1023" s="17"/>
      <c r="BS1023" s="17"/>
      <c r="BT1023" s="17"/>
      <c r="BU1023" s="17"/>
      <c r="BV1023" s="17"/>
      <c r="BW1023" s="17"/>
      <c r="BX1023" s="17"/>
      <c r="BY1023" s="17"/>
      <c r="BZ1023" s="17"/>
      <c r="CA1023" s="17"/>
      <c r="CB1023" s="17"/>
      <c r="CC1023" s="17"/>
      <c r="CD1023" s="17"/>
      <c r="CE1023" s="17"/>
      <c r="CF1023" s="17"/>
      <c r="CG1023" s="17"/>
      <c r="CH1023" s="17"/>
    </row>
    <row r="1024" spans="8:86" x14ac:dyDescent="0.15">
      <c r="AI1024" s="3"/>
      <c r="AJ1024" s="3"/>
      <c r="AK1024" s="15">
        <f t="shared" si="401"/>
        <v>4</v>
      </c>
      <c r="AL1024" s="11">
        <f t="shared" si="425"/>
        <v>6090</v>
      </c>
      <c r="AM1024" s="11" t="b">
        <f t="shared" si="400"/>
        <v>0</v>
      </c>
      <c r="AN1024" s="11">
        <f t="shared" si="402"/>
        <v>36000</v>
      </c>
      <c r="AO1024" s="11">
        <f t="shared" si="403"/>
        <v>0</v>
      </c>
      <c r="AP1024" s="11">
        <f t="shared" si="404"/>
        <v>0.64469056528713964</v>
      </c>
      <c r="AQ1024" s="11">
        <f t="shared" si="426"/>
        <v>0</v>
      </c>
      <c r="AT1024" s="3"/>
      <c r="AU1024" s="17"/>
      <c r="AV1024" s="19"/>
      <c r="AW1024" s="17"/>
      <c r="AX1024" s="17">
        <f t="shared" si="427"/>
        <v>1015</v>
      </c>
      <c r="AY1024" s="17">
        <f t="shared" si="428"/>
        <v>101.5</v>
      </c>
      <c r="AZ1024" s="17">
        <v>64.469056528713963</v>
      </c>
      <c r="BA1024" s="17"/>
      <c r="BB1024" s="17">
        <v>36</v>
      </c>
      <c r="BC1024" s="17"/>
      <c r="BD1024" s="17"/>
      <c r="BE1024" s="17"/>
      <c r="BF1024" s="17"/>
      <c r="BG1024" s="17"/>
      <c r="BH1024" s="17"/>
      <c r="BI1024" s="17"/>
      <c r="BJ1024" s="17"/>
      <c r="BK1024" s="17"/>
      <c r="BL1024" s="17"/>
      <c r="BM1024" s="17"/>
      <c r="BN1024" s="17"/>
      <c r="BO1024" s="17"/>
      <c r="BP1024" s="17"/>
      <c r="BQ1024" s="17"/>
      <c r="BR1024" s="17"/>
      <c r="BS1024" s="17"/>
      <c r="BT1024" s="17"/>
      <c r="BU1024" s="17"/>
      <c r="BV1024" s="17"/>
      <c r="BW1024" s="17"/>
      <c r="BX1024" s="17"/>
      <c r="BY1024" s="17"/>
      <c r="BZ1024" s="17"/>
      <c r="CA1024" s="17"/>
      <c r="CB1024" s="17"/>
      <c r="CC1024" s="17"/>
      <c r="CD1024" s="17"/>
      <c r="CE1024" s="17"/>
      <c r="CF1024" s="17"/>
      <c r="CG1024" s="17"/>
      <c r="CH1024" s="17"/>
    </row>
    <row r="1025" spans="35:86" x14ac:dyDescent="0.15">
      <c r="AI1025" s="3"/>
      <c r="AJ1025" s="3"/>
      <c r="AK1025" s="15">
        <f t="shared" si="401"/>
        <v>4</v>
      </c>
      <c r="AL1025" s="11">
        <f t="shared" si="425"/>
        <v>6096</v>
      </c>
      <c r="AM1025" s="11" t="b">
        <f t="shared" si="400"/>
        <v>0</v>
      </c>
      <c r="AN1025" s="11">
        <f t="shared" si="402"/>
        <v>36000</v>
      </c>
      <c r="AO1025" s="11">
        <f t="shared" si="403"/>
        <v>0</v>
      </c>
      <c r="AP1025" s="11">
        <f t="shared" si="404"/>
        <v>0.64579288010195457</v>
      </c>
      <c r="AQ1025" s="11">
        <f t="shared" si="426"/>
        <v>0</v>
      </c>
      <c r="AT1025" s="3"/>
      <c r="AU1025" s="17"/>
      <c r="AV1025" s="19"/>
      <c r="AW1025" s="17"/>
      <c r="AX1025" s="17">
        <f t="shared" si="427"/>
        <v>1016</v>
      </c>
      <c r="AY1025" s="17">
        <f t="shared" si="428"/>
        <v>101.6</v>
      </c>
      <c r="AZ1025" s="17">
        <v>64.579288010195455</v>
      </c>
      <c r="BA1025" s="17"/>
      <c r="BB1025" s="17">
        <v>36</v>
      </c>
      <c r="BC1025" s="17"/>
      <c r="BD1025" s="17"/>
      <c r="BE1025" s="17"/>
      <c r="BF1025" s="17"/>
      <c r="BG1025" s="17"/>
      <c r="BH1025" s="17"/>
      <c r="BI1025" s="17"/>
      <c r="BJ1025" s="17"/>
      <c r="BK1025" s="17"/>
      <c r="BL1025" s="17"/>
      <c r="BM1025" s="17"/>
      <c r="BN1025" s="17"/>
      <c r="BO1025" s="17"/>
      <c r="BP1025" s="17"/>
      <c r="BQ1025" s="17"/>
      <c r="BR1025" s="17"/>
      <c r="BS1025" s="17"/>
      <c r="BT1025" s="17"/>
      <c r="BU1025" s="17"/>
      <c r="BV1025" s="17"/>
      <c r="BW1025" s="17"/>
      <c r="BX1025" s="17"/>
      <c r="BY1025" s="17"/>
      <c r="BZ1025" s="17"/>
      <c r="CA1025" s="17"/>
      <c r="CB1025" s="17"/>
      <c r="CC1025" s="17"/>
      <c r="CD1025" s="17"/>
      <c r="CE1025" s="17"/>
      <c r="CF1025" s="17"/>
      <c r="CG1025" s="17"/>
      <c r="CH1025" s="17"/>
    </row>
    <row r="1026" spans="35:86" x14ac:dyDescent="0.15">
      <c r="AI1026" s="3"/>
      <c r="AJ1026" s="3"/>
      <c r="AK1026" s="15">
        <f t="shared" si="401"/>
        <v>4</v>
      </c>
      <c r="AL1026" s="11">
        <f t="shared" si="425"/>
        <v>6102</v>
      </c>
      <c r="AM1026" s="11" t="b">
        <f t="shared" si="400"/>
        <v>0</v>
      </c>
      <c r="AN1026" s="11">
        <f t="shared" si="402"/>
        <v>36000</v>
      </c>
      <c r="AO1026" s="11">
        <f t="shared" si="403"/>
        <v>0</v>
      </c>
      <c r="AP1026" s="11">
        <f t="shared" si="404"/>
        <v>0.64689519491676939</v>
      </c>
      <c r="AQ1026" s="11">
        <f t="shared" si="426"/>
        <v>0</v>
      </c>
      <c r="AT1026" s="3"/>
      <c r="AU1026" s="17"/>
      <c r="AV1026" s="19"/>
      <c r="AW1026" s="17"/>
      <c r="AX1026" s="17">
        <f t="shared" si="427"/>
        <v>1017</v>
      </c>
      <c r="AY1026" s="17">
        <f t="shared" si="428"/>
        <v>101.7</v>
      </c>
      <c r="AZ1026" s="17">
        <v>64.689519491676933</v>
      </c>
      <c r="BA1026" s="17"/>
      <c r="BB1026" s="17">
        <v>36</v>
      </c>
      <c r="BC1026" s="17"/>
      <c r="BD1026" s="17"/>
      <c r="BE1026" s="17"/>
      <c r="BF1026" s="17"/>
      <c r="BG1026" s="17"/>
      <c r="BH1026" s="17"/>
      <c r="BI1026" s="17"/>
      <c r="BJ1026" s="17"/>
      <c r="BK1026" s="17"/>
      <c r="BL1026" s="17"/>
      <c r="BM1026" s="17"/>
      <c r="BN1026" s="17"/>
      <c r="BO1026" s="17"/>
      <c r="BP1026" s="17"/>
      <c r="BQ1026" s="17"/>
      <c r="BR1026" s="17"/>
      <c r="BS1026" s="17"/>
      <c r="BT1026" s="17"/>
      <c r="BU1026" s="17"/>
      <c r="BV1026" s="17"/>
      <c r="BW1026" s="17"/>
      <c r="BX1026" s="17"/>
      <c r="BY1026" s="17"/>
      <c r="BZ1026" s="17"/>
      <c r="CA1026" s="17"/>
      <c r="CB1026" s="17"/>
      <c r="CC1026" s="17"/>
      <c r="CD1026" s="17"/>
      <c r="CE1026" s="17"/>
      <c r="CF1026" s="17"/>
      <c r="CG1026" s="17"/>
      <c r="CH1026" s="17"/>
    </row>
    <row r="1027" spans="35:86" x14ac:dyDescent="0.15">
      <c r="AI1027" s="3"/>
      <c r="AJ1027" s="3"/>
      <c r="AK1027" s="15">
        <f t="shared" si="401"/>
        <v>4</v>
      </c>
      <c r="AL1027" s="11">
        <f t="shared" si="425"/>
        <v>6108</v>
      </c>
      <c r="AM1027" s="11" t="b">
        <f t="shared" si="400"/>
        <v>0</v>
      </c>
      <c r="AN1027" s="11">
        <f t="shared" si="402"/>
        <v>36000</v>
      </c>
      <c r="AO1027" s="11">
        <f t="shared" si="403"/>
        <v>0</v>
      </c>
      <c r="AP1027" s="11">
        <f t="shared" si="404"/>
        <v>0.64799750973158421</v>
      </c>
      <c r="AQ1027" s="11">
        <f t="shared" si="426"/>
        <v>0</v>
      </c>
      <c r="AT1027" s="3"/>
      <c r="AU1027" s="17"/>
      <c r="AV1027" s="19"/>
      <c r="AW1027" s="17"/>
      <c r="AX1027" s="17">
        <f t="shared" si="427"/>
        <v>1018</v>
      </c>
      <c r="AY1027" s="17">
        <f t="shared" si="428"/>
        <v>101.8</v>
      </c>
      <c r="AZ1027" s="17">
        <v>64.799750973158424</v>
      </c>
      <c r="BA1027" s="17"/>
      <c r="BB1027" s="17">
        <v>36</v>
      </c>
      <c r="BC1027" s="17"/>
      <c r="BD1027" s="17"/>
      <c r="BE1027" s="17"/>
      <c r="BF1027" s="17"/>
      <c r="BG1027" s="17"/>
      <c r="BH1027" s="17"/>
      <c r="BI1027" s="17"/>
      <c r="BJ1027" s="17"/>
      <c r="BK1027" s="17"/>
      <c r="BL1027" s="17"/>
      <c r="BM1027" s="17"/>
      <c r="BN1027" s="17"/>
      <c r="BO1027" s="17"/>
      <c r="BP1027" s="17"/>
      <c r="BQ1027" s="17"/>
      <c r="BR1027" s="17"/>
      <c r="BS1027" s="17"/>
      <c r="BT1027" s="17"/>
      <c r="BU1027" s="17"/>
      <c r="BV1027" s="17"/>
      <c r="BW1027" s="17"/>
      <c r="BX1027" s="17"/>
      <c r="BY1027" s="17"/>
      <c r="BZ1027" s="17"/>
      <c r="CA1027" s="17"/>
      <c r="CB1027" s="17"/>
      <c r="CC1027" s="17"/>
      <c r="CD1027" s="17"/>
      <c r="CE1027" s="17"/>
      <c r="CF1027" s="17"/>
      <c r="CG1027" s="17"/>
      <c r="CH1027" s="17"/>
    </row>
    <row r="1028" spans="35:86" x14ac:dyDescent="0.15">
      <c r="AI1028" s="3"/>
      <c r="AJ1028" s="3"/>
      <c r="AK1028" s="15">
        <f t="shared" si="401"/>
        <v>4</v>
      </c>
      <c r="AL1028" s="11">
        <f t="shared" si="425"/>
        <v>6114</v>
      </c>
      <c r="AM1028" s="11" t="b">
        <f t="shared" si="400"/>
        <v>0</v>
      </c>
      <c r="AN1028" s="11">
        <f t="shared" si="402"/>
        <v>36000</v>
      </c>
      <c r="AO1028" s="11">
        <f t="shared" si="403"/>
        <v>0</v>
      </c>
      <c r="AP1028" s="11">
        <f t="shared" si="404"/>
        <v>0.64909982454639903</v>
      </c>
      <c r="AQ1028" s="11">
        <f t="shared" si="426"/>
        <v>0</v>
      </c>
      <c r="AT1028" s="3"/>
      <c r="AU1028" s="17"/>
      <c r="AV1028" s="19"/>
      <c r="AW1028" s="17"/>
      <c r="AX1028" s="17">
        <f t="shared" si="427"/>
        <v>1019</v>
      </c>
      <c r="AY1028" s="17">
        <f t="shared" si="428"/>
        <v>101.9</v>
      </c>
      <c r="AZ1028" s="17">
        <v>64.909982454639902</v>
      </c>
      <c r="BA1028" s="17"/>
      <c r="BB1028" s="17">
        <v>36</v>
      </c>
      <c r="BC1028" s="17"/>
      <c r="BD1028" s="17"/>
      <c r="BE1028" s="17"/>
      <c r="BF1028" s="17"/>
      <c r="BG1028" s="17"/>
      <c r="BH1028" s="17"/>
      <c r="BI1028" s="17"/>
      <c r="BJ1028" s="17"/>
      <c r="BK1028" s="17"/>
      <c r="BL1028" s="17"/>
      <c r="BM1028" s="17"/>
      <c r="BN1028" s="17"/>
      <c r="BO1028" s="17"/>
      <c r="BP1028" s="17"/>
      <c r="BQ1028" s="17"/>
      <c r="BR1028" s="17"/>
      <c r="BS1028" s="17"/>
      <c r="BT1028" s="17"/>
      <c r="BU1028" s="17"/>
      <c r="BV1028" s="17"/>
      <c r="BW1028" s="17"/>
      <c r="BX1028" s="17"/>
      <c r="BY1028" s="17"/>
      <c r="BZ1028" s="17"/>
      <c r="CA1028" s="17"/>
      <c r="CB1028" s="17"/>
      <c r="CC1028" s="17"/>
      <c r="CD1028" s="17"/>
      <c r="CE1028" s="17"/>
      <c r="CF1028" s="17"/>
      <c r="CG1028" s="17"/>
      <c r="CH1028" s="17"/>
    </row>
    <row r="1029" spans="35:86" x14ac:dyDescent="0.15">
      <c r="AI1029" s="3"/>
      <c r="AJ1029" s="3"/>
      <c r="AK1029" s="15">
        <f t="shared" si="401"/>
        <v>4</v>
      </c>
      <c r="AL1029" s="11">
        <f t="shared" si="425"/>
        <v>6120</v>
      </c>
      <c r="AM1029" s="11" t="b">
        <f t="shared" si="400"/>
        <v>0</v>
      </c>
      <c r="AN1029" s="11">
        <f t="shared" si="402"/>
        <v>36000</v>
      </c>
      <c r="AO1029" s="11">
        <f t="shared" si="403"/>
        <v>0</v>
      </c>
      <c r="AP1029" s="11">
        <f t="shared" si="404"/>
        <v>0.65020213936121385</v>
      </c>
      <c r="AQ1029" s="11">
        <f t="shared" si="426"/>
        <v>0</v>
      </c>
      <c r="AT1029" s="3"/>
      <c r="AU1029" s="17"/>
      <c r="AV1029" s="19"/>
      <c r="AW1029" s="17"/>
      <c r="AX1029" s="17">
        <f t="shared" si="427"/>
        <v>1020</v>
      </c>
      <c r="AY1029" s="17">
        <f t="shared" si="428"/>
        <v>102</v>
      </c>
      <c r="AZ1029" s="17">
        <v>65.02021393612138</v>
      </c>
      <c r="BA1029" s="17"/>
      <c r="BB1029" s="17">
        <v>36</v>
      </c>
      <c r="BC1029" s="17"/>
      <c r="BD1029" s="17"/>
      <c r="BE1029" s="17"/>
      <c r="BF1029" s="17"/>
      <c r="BG1029" s="17"/>
      <c r="BH1029" s="17"/>
      <c r="BI1029" s="17"/>
      <c r="BJ1029" s="17"/>
      <c r="BK1029" s="17"/>
      <c r="BL1029" s="17"/>
      <c r="BM1029" s="17"/>
      <c r="BN1029" s="17"/>
      <c r="BO1029" s="17"/>
      <c r="BP1029" s="17"/>
      <c r="BQ1029" s="17"/>
      <c r="BR1029" s="17"/>
      <c r="BS1029" s="17"/>
      <c r="BT1029" s="17"/>
      <c r="BU1029" s="17"/>
      <c r="BV1029" s="17"/>
      <c r="BW1029" s="17"/>
      <c r="BX1029" s="17"/>
      <c r="BY1029" s="17"/>
      <c r="BZ1029" s="17"/>
      <c r="CA1029" s="17"/>
      <c r="CB1029" s="17"/>
      <c r="CC1029" s="17"/>
      <c r="CD1029" s="17"/>
      <c r="CE1029" s="17"/>
      <c r="CF1029" s="17"/>
      <c r="CG1029" s="17"/>
      <c r="CH1029" s="17"/>
    </row>
    <row r="1030" spans="35:86" x14ac:dyDescent="0.15">
      <c r="AI1030" s="3"/>
      <c r="AJ1030" s="3"/>
      <c r="AK1030" s="15">
        <f t="shared" si="401"/>
        <v>4</v>
      </c>
      <c r="AL1030" s="11">
        <f t="shared" si="425"/>
        <v>6126</v>
      </c>
      <c r="AM1030" s="11" t="b">
        <f t="shared" si="400"/>
        <v>0</v>
      </c>
      <c r="AN1030" s="11">
        <f t="shared" si="402"/>
        <v>36000</v>
      </c>
      <c r="AO1030" s="11">
        <f t="shared" si="403"/>
        <v>0</v>
      </c>
      <c r="AP1030" s="11">
        <f t="shared" si="404"/>
        <v>0.65130445417602878</v>
      </c>
      <c r="AQ1030" s="11">
        <f t="shared" si="426"/>
        <v>0</v>
      </c>
      <c r="AT1030" s="3"/>
      <c r="AU1030" s="17"/>
      <c r="AV1030" s="19"/>
      <c r="AW1030" s="17"/>
      <c r="AX1030" s="17">
        <f t="shared" si="427"/>
        <v>1021</v>
      </c>
      <c r="AY1030" s="17">
        <f t="shared" si="428"/>
        <v>102.1</v>
      </c>
      <c r="AZ1030" s="17">
        <v>65.130445417602871</v>
      </c>
      <c r="BA1030" s="17"/>
      <c r="BB1030" s="17">
        <v>36</v>
      </c>
      <c r="BC1030" s="17"/>
      <c r="BD1030" s="17"/>
      <c r="BE1030" s="17"/>
      <c r="BF1030" s="17"/>
      <c r="BG1030" s="17"/>
      <c r="BH1030" s="17"/>
      <c r="BI1030" s="17"/>
      <c r="BJ1030" s="17"/>
      <c r="BK1030" s="17"/>
      <c r="BL1030" s="17"/>
      <c r="BM1030" s="17"/>
      <c r="BN1030" s="17"/>
      <c r="BO1030" s="17"/>
      <c r="BP1030" s="17"/>
      <c r="BQ1030" s="17"/>
      <c r="BR1030" s="17"/>
      <c r="BS1030" s="17"/>
      <c r="BT1030" s="17"/>
      <c r="BU1030" s="17"/>
      <c r="BV1030" s="17"/>
      <c r="BW1030" s="17"/>
      <c r="BX1030" s="17"/>
      <c r="BY1030" s="17"/>
      <c r="BZ1030" s="17"/>
      <c r="CA1030" s="17"/>
      <c r="CB1030" s="17"/>
      <c r="CC1030" s="17"/>
      <c r="CD1030" s="17"/>
      <c r="CE1030" s="17"/>
      <c r="CF1030" s="17"/>
      <c r="CG1030" s="17"/>
      <c r="CH1030" s="17"/>
    </row>
    <row r="1031" spans="35:86" x14ac:dyDescent="0.15">
      <c r="AI1031" s="3"/>
      <c r="AJ1031" s="3"/>
      <c r="AK1031" s="15">
        <f t="shared" si="401"/>
        <v>4</v>
      </c>
      <c r="AL1031" s="11">
        <f t="shared" si="425"/>
        <v>6132</v>
      </c>
      <c r="AM1031" s="11" t="b">
        <f t="shared" si="400"/>
        <v>0</v>
      </c>
      <c r="AN1031" s="11">
        <f t="shared" si="402"/>
        <v>36000</v>
      </c>
      <c r="AO1031" s="11">
        <f t="shared" si="403"/>
        <v>0</v>
      </c>
      <c r="AP1031" s="11">
        <f t="shared" si="404"/>
        <v>0.6524067689908436</v>
      </c>
      <c r="AQ1031" s="11">
        <f t="shared" si="426"/>
        <v>0</v>
      </c>
      <c r="AT1031" s="3"/>
      <c r="AU1031" s="17"/>
      <c r="AV1031" s="19"/>
      <c r="AW1031" s="17"/>
      <c r="AX1031" s="17">
        <f t="shared" si="427"/>
        <v>1022</v>
      </c>
      <c r="AY1031" s="17">
        <f t="shared" si="428"/>
        <v>102.2</v>
      </c>
      <c r="AZ1031" s="17">
        <v>65.240676899084363</v>
      </c>
      <c r="BA1031" s="17"/>
      <c r="BB1031" s="17">
        <v>36</v>
      </c>
      <c r="BC1031" s="17"/>
      <c r="BD1031" s="17"/>
      <c r="BE1031" s="17"/>
      <c r="BF1031" s="17"/>
      <c r="BG1031" s="17"/>
      <c r="BH1031" s="17"/>
      <c r="BI1031" s="17"/>
      <c r="BJ1031" s="17"/>
      <c r="BK1031" s="17"/>
      <c r="BL1031" s="17"/>
      <c r="BM1031" s="17"/>
      <c r="BN1031" s="17"/>
      <c r="BO1031" s="17"/>
      <c r="BP1031" s="17"/>
      <c r="BQ1031" s="17"/>
      <c r="BR1031" s="17"/>
      <c r="BS1031" s="17"/>
      <c r="BT1031" s="17"/>
      <c r="BU1031" s="17"/>
      <c r="BV1031" s="17"/>
      <c r="BW1031" s="17"/>
      <c r="BX1031" s="17"/>
      <c r="BY1031" s="17"/>
      <c r="BZ1031" s="17"/>
      <c r="CA1031" s="17"/>
      <c r="CB1031" s="17"/>
      <c r="CC1031" s="17"/>
      <c r="CD1031" s="17"/>
      <c r="CE1031" s="17"/>
      <c r="CF1031" s="17"/>
      <c r="CG1031" s="17"/>
      <c r="CH1031" s="17"/>
    </row>
    <row r="1032" spans="35:86" x14ac:dyDescent="0.15">
      <c r="AI1032" s="3"/>
      <c r="AJ1032" s="3"/>
      <c r="AK1032" s="15">
        <f t="shared" si="401"/>
        <v>4</v>
      </c>
      <c r="AL1032" s="11">
        <f t="shared" si="425"/>
        <v>6138</v>
      </c>
      <c r="AM1032" s="11" t="b">
        <f t="shared" si="400"/>
        <v>0</v>
      </c>
      <c r="AN1032" s="11">
        <f t="shared" si="402"/>
        <v>36000</v>
      </c>
      <c r="AO1032" s="11">
        <f t="shared" si="403"/>
        <v>0</v>
      </c>
      <c r="AP1032" s="11">
        <f t="shared" si="404"/>
        <v>0.65350908380565842</v>
      </c>
      <c r="AQ1032" s="11">
        <f t="shared" si="426"/>
        <v>0</v>
      </c>
      <c r="AT1032" s="3"/>
      <c r="AU1032" s="17"/>
      <c r="AV1032" s="19"/>
      <c r="AW1032" s="17"/>
      <c r="AX1032" s="17">
        <f t="shared" si="427"/>
        <v>1023</v>
      </c>
      <c r="AY1032" s="17">
        <f t="shared" si="428"/>
        <v>102.3</v>
      </c>
      <c r="AZ1032" s="17">
        <v>65.350908380565841</v>
      </c>
      <c r="BA1032" s="17"/>
      <c r="BB1032" s="17">
        <v>36</v>
      </c>
      <c r="BC1032" s="17"/>
      <c r="BD1032" s="17"/>
      <c r="BE1032" s="17"/>
      <c r="BF1032" s="17"/>
      <c r="BG1032" s="17"/>
      <c r="BH1032" s="17"/>
      <c r="BI1032" s="17"/>
      <c r="BJ1032" s="17"/>
      <c r="BK1032" s="17"/>
      <c r="BL1032" s="17"/>
      <c r="BM1032" s="17"/>
      <c r="BN1032" s="17"/>
      <c r="BO1032" s="17"/>
      <c r="BP1032" s="17"/>
      <c r="BQ1032" s="17"/>
      <c r="BR1032" s="17"/>
      <c r="BS1032" s="17"/>
      <c r="BT1032" s="17"/>
      <c r="BU1032" s="17"/>
      <c r="BV1032" s="17"/>
      <c r="BW1032" s="17"/>
      <c r="BX1032" s="17"/>
      <c r="BY1032" s="17"/>
      <c r="BZ1032" s="17"/>
      <c r="CA1032" s="17"/>
      <c r="CB1032" s="17"/>
      <c r="CC1032" s="17"/>
      <c r="CD1032" s="17"/>
      <c r="CE1032" s="17"/>
      <c r="CF1032" s="17"/>
      <c r="CG1032" s="17"/>
      <c r="CH1032" s="17"/>
    </row>
    <row r="1033" spans="35:86" x14ac:dyDescent="0.15">
      <c r="AI1033" s="3"/>
      <c r="AJ1033" s="3"/>
      <c r="AK1033" s="15">
        <f t="shared" si="401"/>
        <v>4</v>
      </c>
      <c r="AL1033" s="11">
        <f t="shared" si="425"/>
        <v>6144</v>
      </c>
      <c r="AM1033" s="11" t="b">
        <f t="shared" ref="AM1033:AM1096" si="429">OR(AND(AL1033&gt;=$AC$5,AL1033&lt;=$AD$5),AND(AL1033&gt;=$AC$6,AL1033&lt;=$AD$6),AND(AL1033&gt;=$AC$7,AL1033&lt;=$AD$7),AND(AL1033&gt;=$AC$8,AL1033&lt;=$AD$8),AND(AL1033&gt;=$AC$9,AL1033&lt;=$AD$9),AND(AL1033&gt;=$AC$10,AL1033&lt;=$AD$10),AND(AL1033&gt;=$AC$11,AL1033&lt;=$AD$11),AND($AD$11&lt;$AC$11,OR(AL1033&lt;$AD$11,AL1033&gt;$AC$11)))</f>
        <v>0</v>
      </c>
      <c r="AN1033" s="11">
        <f t="shared" si="402"/>
        <v>36000</v>
      </c>
      <c r="AO1033" s="11">
        <f t="shared" si="403"/>
        <v>0</v>
      </c>
      <c r="AP1033" s="11">
        <f t="shared" si="404"/>
        <v>0.65461139862047324</v>
      </c>
      <c r="AQ1033" s="11">
        <f t="shared" si="426"/>
        <v>0</v>
      </c>
      <c r="AT1033" s="3"/>
      <c r="AU1033" s="17"/>
      <c r="AV1033" s="19"/>
      <c r="AW1033" s="17"/>
      <c r="AX1033" s="17">
        <f t="shared" si="427"/>
        <v>1024</v>
      </c>
      <c r="AY1033" s="17">
        <f t="shared" si="428"/>
        <v>102.4</v>
      </c>
      <c r="AZ1033" s="17">
        <v>65.461139862047318</v>
      </c>
      <c r="BA1033" s="17"/>
      <c r="BB1033" s="17">
        <v>36</v>
      </c>
      <c r="BC1033" s="17"/>
      <c r="BD1033" s="17"/>
      <c r="BE1033" s="17"/>
      <c r="BF1033" s="17"/>
      <c r="BG1033" s="17"/>
      <c r="BH1033" s="17"/>
      <c r="BI1033" s="17"/>
      <c r="BJ1033" s="17"/>
      <c r="BK1033" s="17"/>
      <c r="BL1033" s="17"/>
      <c r="BM1033" s="17"/>
      <c r="BN1033" s="17"/>
      <c r="BO1033" s="17"/>
      <c r="BP1033" s="17"/>
      <c r="BQ1033" s="17"/>
      <c r="BR1033" s="17"/>
      <c r="BS1033" s="17"/>
      <c r="BT1033" s="17"/>
      <c r="BU1033" s="17"/>
      <c r="BV1033" s="17"/>
      <c r="BW1033" s="17"/>
      <c r="BX1033" s="17"/>
      <c r="BY1033" s="17"/>
      <c r="BZ1033" s="17"/>
      <c r="CA1033" s="17"/>
      <c r="CB1033" s="17"/>
      <c r="CC1033" s="17"/>
      <c r="CD1033" s="17"/>
      <c r="CE1033" s="17"/>
      <c r="CF1033" s="17"/>
      <c r="CG1033" s="17"/>
      <c r="CH1033" s="17"/>
    </row>
    <row r="1034" spans="35:86" x14ac:dyDescent="0.15">
      <c r="AI1034" s="3"/>
      <c r="AJ1034" s="3"/>
      <c r="AK1034" s="15">
        <f t="shared" ref="AK1034:AK1097" si="430">1+INT(MOD(AL1034/60/24-0.5,7))</f>
        <v>4</v>
      </c>
      <c r="AL1034" s="11">
        <f t="shared" si="425"/>
        <v>6150</v>
      </c>
      <c r="AM1034" s="11" t="b">
        <f t="shared" si="429"/>
        <v>0</v>
      </c>
      <c r="AN1034" s="11">
        <f t="shared" ref="AN1034:AN1097" si="431">IF(AND(AM1034,NOT(AM1035)),$AB$26,AN1033+($AB$28-IF(AND(AM1033,AM1034),CHOOSE(AK1034,$AG$5,$AG$6,$AG$7,$AG$8,$AG$9,$AG$10,$AG$11)*$AA$22/$AA$24,0))*$AB$15)</f>
        <v>36000</v>
      </c>
      <c r="AO1034" s="11">
        <f t="shared" ref="AO1034:AO1097" si="432">IF(AND(AM1034,NOT(AM1035)),$AB$27,AO1033+($AB$29-IF(AND(AM1033,AM1034),CHOOSE(AK1034,$AG$5,$AG$6,$AG$7,$AG$8,$AG$9,$AG$10,$AG$11)*$AA$23/$AA$24,0))*$AB$15)</f>
        <v>0</v>
      </c>
      <c r="AP1034" s="11">
        <f t="shared" ref="AP1034:AP1097" si="433">IF(AN1033&lt;=0,0,(AP1033*AN1033-(IF(AND(AM1033,AM1034),CHOOSE(AK1034,$AI$5,$AI$6,$AI$7,$AI$8,$AI$9,$AI$10,$AI$11),$AA$37))*AP1033*$AB$15+$AA$34*(AQ1033-AP1033)*$AB$15+$AA$33*$AB$15)/AN1033)</f>
        <v>0.65571371343528806</v>
      </c>
      <c r="AQ1034" s="11">
        <f t="shared" si="426"/>
        <v>0</v>
      </c>
      <c r="AT1034" s="3"/>
      <c r="AU1034" s="17"/>
      <c r="AV1034" s="19"/>
      <c r="AW1034" s="17"/>
      <c r="AX1034" s="17">
        <f t="shared" si="427"/>
        <v>1025</v>
      </c>
      <c r="AY1034" s="17">
        <f t="shared" si="428"/>
        <v>102.5</v>
      </c>
      <c r="AZ1034" s="17">
        <v>65.57137134352881</v>
      </c>
      <c r="BA1034" s="17"/>
      <c r="BB1034" s="17">
        <v>36</v>
      </c>
      <c r="BC1034" s="17"/>
      <c r="BD1034" s="17"/>
      <c r="BE1034" s="17"/>
      <c r="BF1034" s="17"/>
      <c r="BG1034" s="17"/>
      <c r="BH1034" s="17"/>
      <c r="BI1034" s="17"/>
      <c r="BJ1034" s="17"/>
      <c r="BK1034" s="17"/>
      <c r="BL1034" s="17"/>
      <c r="BM1034" s="17"/>
      <c r="BN1034" s="17"/>
      <c r="BO1034" s="17"/>
      <c r="BP1034" s="17"/>
      <c r="BQ1034" s="17"/>
      <c r="BR1034" s="17"/>
      <c r="BS1034" s="17"/>
      <c r="BT1034" s="17"/>
      <c r="BU1034" s="17"/>
      <c r="BV1034" s="17"/>
      <c r="BW1034" s="17"/>
      <c r="BX1034" s="17"/>
      <c r="BY1034" s="17"/>
      <c r="BZ1034" s="17"/>
      <c r="CA1034" s="17"/>
      <c r="CB1034" s="17"/>
      <c r="CC1034" s="17"/>
      <c r="CD1034" s="17"/>
      <c r="CE1034" s="17"/>
      <c r="CF1034" s="17"/>
      <c r="CG1034" s="17"/>
      <c r="CH1034" s="17"/>
    </row>
    <row r="1035" spans="35:86" x14ac:dyDescent="0.15">
      <c r="AI1035" s="3"/>
      <c r="AJ1035" s="3"/>
      <c r="AK1035" s="15">
        <f t="shared" si="430"/>
        <v>4</v>
      </c>
      <c r="AL1035" s="11">
        <f t="shared" ref="AL1035:AL1040" si="434">AL1034+$AB$15</f>
        <v>6156</v>
      </c>
      <c r="AM1035" s="11" t="b">
        <f t="shared" si="429"/>
        <v>0</v>
      </c>
      <c r="AN1035" s="11">
        <f t="shared" si="431"/>
        <v>36000</v>
      </c>
      <c r="AO1035" s="11">
        <f t="shared" si="432"/>
        <v>0</v>
      </c>
      <c r="AP1035" s="11">
        <f t="shared" si="433"/>
        <v>0.65681602825010299</v>
      </c>
      <c r="AQ1035" s="11">
        <f t="shared" ref="AQ1035:AQ1098" si="435">IF(AO1034&lt;=0,0,(AQ1034*AO1034-$AA$34*(AQ1034-AP1034)*$AB$15)/AO1034)</f>
        <v>0</v>
      </c>
      <c r="AT1035" s="3"/>
      <c r="AU1035" s="17"/>
      <c r="AV1035" s="19"/>
      <c r="AW1035" s="17"/>
      <c r="AX1035" s="17">
        <f t="shared" si="427"/>
        <v>1026</v>
      </c>
      <c r="AY1035" s="17">
        <f t="shared" si="428"/>
        <v>102.6</v>
      </c>
      <c r="AZ1035" s="17">
        <v>65.681602825010302</v>
      </c>
      <c r="BA1035" s="17"/>
      <c r="BB1035" s="17">
        <v>36</v>
      </c>
      <c r="BC1035" s="17"/>
      <c r="BD1035" s="17"/>
      <c r="BE1035" s="17"/>
      <c r="BF1035" s="17"/>
      <c r="BG1035" s="17"/>
      <c r="BH1035" s="17"/>
      <c r="BI1035" s="17"/>
      <c r="BJ1035" s="17"/>
      <c r="BK1035" s="17"/>
      <c r="BL1035" s="17"/>
      <c r="BM1035" s="17"/>
      <c r="BN1035" s="17"/>
      <c r="BO1035" s="17"/>
      <c r="BP1035" s="17"/>
      <c r="BQ1035" s="17"/>
      <c r="BR1035" s="17"/>
      <c r="BS1035" s="17"/>
      <c r="BT1035" s="17"/>
      <c r="BU1035" s="17"/>
      <c r="BV1035" s="17"/>
      <c r="BW1035" s="17"/>
      <c r="BX1035" s="17"/>
      <c r="BY1035" s="17"/>
      <c r="BZ1035" s="17"/>
      <c r="CA1035" s="17"/>
      <c r="CB1035" s="17"/>
      <c r="CC1035" s="17"/>
      <c r="CD1035" s="17"/>
      <c r="CE1035" s="17"/>
      <c r="CF1035" s="17"/>
      <c r="CG1035" s="17"/>
      <c r="CH1035" s="17"/>
    </row>
    <row r="1036" spans="35:86" x14ac:dyDescent="0.15">
      <c r="AI1036" s="3"/>
      <c r="AJ1036" s="3"/>
      <c r="AK1036" s="15">
        <f t="shared" si="430"/>
        <v>4</v>
      </c>
      <c r="AL1036" s="11">
        <f t="shared" si="434"/>
        <v>6162</v>
      </c>
      <c r="AM1036" s="11" t="b">
        <f t="shared" si="429"/>
        <v>0</v>
      </c>
      <c r="AN1036" s="11">
        <f t="shared" si="431"/>
        <v>36000</v>
      </c>
      <c r="AO1036" s="11">
        <f t="shared" si="432"/>
        <v>0</v>
      </c>
      <c r="AP1036" s="11">
        <f t="shared" si="433"/>
        <v>0.65791834306491781</v>
      </c>
      <c r="AQ1036" s="11">
        <f t="shared" si="435"/>
        <v>0</v>
      </c>
      <c r="AT1036" s="3"/>
      <c r="AU1036" s="17"/>
      <c r="AV1036" s="19"/>
      <c r="AW1036" s="17"/>
      <c r="AX1036" s="17">
        <f t="shared" si="427"/>
        <v>1027</v>
      </c>
      <c r="AY1036" s="17">
        <f t="shared" si="428"/>
        <v>102.7</v>
      </c>
      <c r="AZ1036" s="17">
        <v>65.791834306491779</v>
      </c>
      <c r="BA1036" s="17"/>
      <c r="BB1036" s="17">
        <v>36</v>
      </c>
      <c r="BC1036" s="17"/>
      <c r="BD1036" s="17"/>
      <c r="BE1036" s="17"/>
      <c r="BF1036" s="17"/>
      <c r="BG1036" s="17"/>
      <c r="BH1036" s="17"/>
      <c r="BI1036" s="17"/>
      <c r="BJ1036" s="17"/>
      <c r="BK1036" s="17"/>
      <c r="BL1036" s="17"/>
      <c r="BM1036" s="17"/>
      <c r="BN1036" s="17"/>
      <c r="BO1036" s="17"/>
      <c r="BP1036" s="17"/>
      <c r="BQ1036" s="17"/>
      <c r="BR1036" s="17"/>
      <c r="BS1036" s="17"/>
      <c r="BT1036" s="17"/>
      <c r="BU1036" s="17"/>
      <c r="BV1036" s="17"/>
      <c r="BW1036" s="17"/>
      <c r="BX1036" s="17"/>
      <c r="BY1036" s="17"/>
      <c r="BZ1036" s="17"/>
      <c r="CA1036" s="17"/>
      <c r="CB1036" s="17"/>
      <c r="CC1036" s="17"/>
      <c r="CD1036" s="17"/>
      <c r="CE1036" s="17"/>
      <c r="CF1036" s="17"/>
      <c r="CG1036" s="17"/>
      <c r="CH1036" s="17"/>
    </row>
    <row r="1037" spans="35:86" x14ac:dyDescent="0.15">
      <c r="AI1037" s="3"/>
      <c r="AJ1037" s="3"/>
      <c r="AK1037" s="15">
        <f t="shared" si="430"/>
        <v>4</v>
      </c>
      <c r="AL1037" s="11">
        <f t="shared" si="434"/>
        <v>6168</v>
      </c>
      <c r="AM1037" s="11" t="b">
        <f t="shared" si="429"/>
        <v>0</v>
      </c>
      <c r="AN1037" s="11">
        <f t="shared" si="431"/>
        <v>36000</v>
      </c>
      <c r="AO1037" s="11">
        <f t="shared" si="432"/>
        <v>0</v>
      </c>
      <c r="AP1037" s="11">
        <f t="shared" si="433"/>
        <v>0.65902065787973263</v>
      </c>
      <c r="AQ1037" s="11">
        <f t="shared" si="435"/>
        <v>0</v>
      </c>
      <c r="AT1037" s="3"/>
      <c r="AU1037" s="17"/>
      <c r="AV1037" s="19"/>
      <c r="AW1037" s="17"/>
      <c r="AX1037" s="17">
        <f t="shared" si="427"/>
        <v>1028</v>
      </c>
      <c r="AY1037" s="17">
        <f t="shared" si="428"/>
        <v>102.8</v>
      </c>
      <c r="AZ1037" s="17">
        <v>65.902065787973257</v>
      </c>
      <c r="BA1037" s="17"/>
      <c r="BB1037" s="17">
        <v>36</v>
      </c>
      <c r="BC1037" s="17"/>
      <c r="BD1037" s="17"/>
      <c r="BE1037" s="17"/>
      <c r="BF1037" s="17"/>
      <c r="BG1037" s="17"/>
      <c r="BH1037" s="17"/>
      <c r="BI1037" s="17"/>
      <c r="BJ1037" s="17"/>
      <c r="BK1037" s="17"/>
      <c r="BL1037" s="17"/>
      <c r="BM1037" s="17"/>
      <c r="BN1037" s="17"/>
      <c r="BO1037" s="17"/>
      <c r="BP1037" s="17"/>
      <c r="BQ1037" s="17"/>
      <c r="BR1037" s="17"/>
      <c r="BS1037" s="17"/>
      <c r="BT1037" s="17"/>
      <c r="BU1037" s="17"/>
      <c r="BV1037" s="17"/>
      <c r="BW1037" s="17"/>
      <c r="BX1037" s="17"/>
      <c r="BY1037" s="17"/>
      <c r="BZ1037" s="17"/>
      <c r="CA1037" s="17"/>
      <c r="CB1037" s="17"/>
      <c r="CC1037" s="17"/>
      <c r="CD1037" s="17"/>
      <c r="CE1037" s="17"/>
      <c r="CF1037" s="17"/>
      <c r="CG1037" s="17"/>
      <c r="CH1037" s="17"/>
    </row>
    <row r="1038" spans="35:86" x14ac:dyDescent="0.15">
      <c r="AI1038" s="3"/>
      <c r="AJ1038" s="3"/>
      <c r="AK1038" s="15">
        <f t="shared" si="430"/>
        <v>4</v>
      </c>
      <c r="AL1038" s="11">
        <f t="shared" si="434"/>
        <v>6174</v>
      </c>
      <c r="AM1038" s="11" t="b">
        <f t="shared" si="429"/>
        <v>0</v>
      </c>
      <c r="AN1038" s="11">
        <f t="shared" si="431"/>
        <v>36000</v>
      </c>
      <c r="AO1038" s="11">
        <f t="shared" si="432"/>
        <v>0</v>
      </c>
      <c r="AP1038" s="11">
        <f t="shared" si="433"/>
        <v>0.66012297269454745</v>
      </c>
      <c r="AQ1038" s="11">
        <f t="shared" si="435"/>
        <v>0</v>
      </c>
      <c r="AT1038" s="3"/>
      <c r="AU1038" s="17"/>
      <c r="AV1038" s="19"/>
      <c r="AW1038" s="17"/>
      <c r="AX1038" s="17">
        <f t="shared" ref="AX1038:AX1069" si="436">IF(AX1037&gt;=$AG$14,$AG$14,AX1037+1)</f>
        <v>1029</v>
      </c>
      <c r="AY1038" s="17">
        <f t="shared" si="428"/>
        <v>102.9</v>
      </c>
      <c r="AZ1038" s="17">
        <v>66.012297269454749</v>
      </c>
      <c r="BA1038" s="17"/>
      <c r="BB1038" s="17">
        <v>36</v>
      </c>
      <c r="BC1038" s="17"/>
      <c r="BD1038" s="17"/>
      <c r="BE1038" s="17"/>
      <c r="BF1038" s="17"/>
      <c r="BG1038" s="17"/>
      <c r="BH1038" s="17"/>
      <c r="BI1038" s="17"/>
      <c r="BJ1038" s="17"/>
      <c r="BK1038" s="17"/>
      <c r="BL1038" s="17"/>
      <c r="BM1038" s="17"/>
      <c r="BN1038" s="17"/>
      <c r="BO1038" s="17"/>
      <c r="BP1038" s="17"/>
      <c r="BQ1038" s="17"/>
      <c r="BR1038" s="17"/>
      <c r="BS1038" s="17"/>
      <c r="BT1038" s="17"/>
      <c r="BU1038" s="17"/>
      <c r="BV1038" s="17"/>
      <c r="BW1038" s="17"/>
      <c r="BX1038" s="17"/>
      <c r="BY1038" s="17"/>
      <c r="BZ1038" s="17"/>
      <c r="CA1038" s="17"/>
      <c r="CB1038" s="17"/>
      <c r="CC1038" s="17"/>
      <c r="CD1038" s="17"/>
      <c r="CE1038" s="17"/>
      <c r="CF1038" s="17"/>
      <c r="CG1038" s="17"/>
      <c r="CH1038" s="17"/>
    </row>
    <row r="1039" spans="35:86" x14ac:dyDescent="0.15">
      <c r="AI1039" s="3"/>
      <c r="AJ1039" s="3"/>
      <c r="AK1039" s="15">
        <f t="shared" si="430"/>
        <v>4</v>
      </c>
      <c r="AL1039" s="11">
        <f t="shared" si="434"/>
        <v>6180</v>
      </c>
      <c r="AM1039" s="11" t="b">
        <f t="shared" si="429"/>
        <v>0</v>
      </c>
      <c r="AN1039" s="11">
        <f t="shared" si="431"/>
        <v>36000</v>
      </c>
      <c r="AO1039" s="11">
        <f t="shared" si="432"/>
        <v>0</v>
      </c>
      <c r="AP1039" s="11">
        <f t="shared" si="433"/>
        <v>0.66122528750936227</v>
      </c>
      <c r="AQ1039" s="11">
        <f t="shared" si="435"/>
        <v>0</v>
      </c>
      <c r="AT1039" s="3"/>
      <c r="AU1039" s="17"/>
      <c r="AV1039" s="19"/>
      <c r="AW1039" s="17"/>
      <c r="AX1039" s="17">
        <f t="shared" si="436"/>
        <v>1030</v>
      </c>
      <c r="AY1039" s="17">
        <f t="shared" si="428"/>
        <v>103</v>
      </c>
      <c r="AZ1039" s="17">
        <v>66.122528750936226</v>
      </c>
      <c r="BA1039" s="17"/>
      <c r="BB1039" s="17">
        <v>36</v>
      </c>
      <c r="BC1039" s="17"/>
      <c r="BD1039" s="17"/>
      <c r="BE1039" s="17"/>
      <c r="BF1039" s="17"/>
      <c r="BG1039" s="17"/>
      <c r="BH1039" s="17"/>
      <c r="BI1039" s="17"/>
      <c r="BJ1039" s="17"/>
      <c r="BK1039" s="17"/>
      <c r="BL1039" s="17"/>
      <c r="BM1039" s="17"/>
      <c r="BN1039" s="17"/>
      <c r="BO1039" s="17"/>
      <c r="BP1039" s="17"/>
      <c r="BQ1039" s="17"/>
      <c r="BR1039" s="17"/>
      <c r="BS1039" s="17"/>
      <c r="BT1039" s="17"/>
      <c r="BU1039" s="17"/>
      <c r="BV1039" s="17"/>
      <c r="BW1039" s="17"/>
      <c r="BX1039" s="17"/>
      <c r="BY1039" s="17"/>
      <c r="BZ1039" s="17"/>
      <c r="CA1039" s="17"/>
      <c r="CB1039" s="17"/>
      <c r="CC1039" s="17"/>
      <c r="CD1039" s="17"/>
      <c r="CE1039" s="17"/>
      <c r="CF1039" s="17"/>
      <c r="CG1039" s="17"/>
      <c r="CH1039" s="17"/>
    </row>
    <row r="1040" spans="35:86" x14ac:dyDescent="0.15">
      <c r="AI1040" s="3"/>
      <c r="AJ1040" s="3"/>
      <c r="AK1040" s="15">
        <f t="shared" si="430"/>
        <v>4</v>
      </c>
      <c r="AL1040" s="11">
        <f t="shared" si="434"/>
        <v>6186</v>
      </c>
      <c r="AM1040" s="11" t="b">
        <f t="shared" si="429"/>
        <v>0</v>
      </c>
      <c r="AN1040" s="11">
        <f t="shared" si="431"/>
        <v>36000</v>
      </c>
      <c r="AO1040" s="11">
        <f t="shared" si="432"/>
        <v>0</v>
      </c>
      <c r="AP1040" s="11">
        <f t="shared" si="433"/>
        <v>0.6623276023241772</v>
      </c>
      <c r="AQ1040" s="11">
        <f t="shared" si="435"/>
        <v>0</v>
      </c>
      <c r="AT1040" s="3"/>
      <c r="AU1040" s="17"/>
      <c r="AV1040" s="19"/>
      <c r="AW1040" s="17"/>
      <c r="AX1040" s="17">
        <f t="shared" si="436"/>
        <v>1031</v>
      </c>
      <c r="AY1040" s="17">
        <f t="shared" si="428"/>
        <v>103.1</v>
      </c>
      <c r="AZ1040" s="17">
        <v>66.232760232417718</v>
      </c>
      <c r="BA1040" s="17"/>
      <c r="BB1040" s="17">
        <v>36</v>
      </c>
      <c r="BC1040" s="17"/>
      <c r="BD1040" s="17"/>
      <c r="BE1040" s="17"/>
      <c r="BF1040" s="17"/>
      <c r="BG1040" s="17"/>
      <c r="BH1040" s="17"/>
      <c r="BI1040" s="17"/>
      <c r="BJ1040" s="17"/>
      <c r="BK1040" s="17"/>
      <c r="BL1040" s="17"/>
      <c r="BM1040" s="17"/>
      <c r="BN1040" s="17"/>
      <c r="BO1040" s="17"/>
      <c r="BP1040" s="17"/>
      <c r="BQ1040" s="17"/>
      <c r="BR1040" s="17"/>
      <c r="BS1040" s="17"/>
      <c r="BT1040" s="17"/>
      <c r="BU1040" s="17"/>
      <c r="BV1040" s="17"/>
      <c r="BW1040" s="17"/>
      <c r="BX1040" s="17"/>
      <c r="BY1040" s="17"/>
      <c r="BZ1040" s="17"/>
      <c r="CA1040" s="17"/>
      <c r="CB1040" s="17"/>
      <c r="CC1040" s="17"/>
      <c r="CD1040" s="17"/>
      <c r="CE1040" s="17"/>
      <c r="CF1040" s="17"/>
      <c r="CG1040" s="17"/>
      <c r="CH1040" s="17"/>
    </row>
    <row r="1041" spans="35:86" x14ac:dyDescent="0.15">
      <c r="AI1041" s="3"/>
      <c r="AJ1041" s="3"/>
      <c r="AK1041" s="15">
        <f t="shared" si="430"/>
        <v>4</v>
      </c>
      <c r="AL1041" s="11">
        <f>AL1040+$AB$15</f>
        <v>6192</v>
      </c>
      <c r="AM1041" s="11" t="b">
        <f t="shared" si="429"/>
        <v>0</v>
      </c>
      <c r="AN1041" s="11">
        <f t="shared" si="431"/>
        <v>36000</v>
      </c>
      <c r="AO1041" s="11">
        <f t="shared" si="432"/>
        <v>0</v>
      </c>
      <c r="AP1041" s="11">
        <f t="shared" si="433"/>
        <v>0.66342991713899202</v>
      </c>
      <c r="AQ1041" s="11">
        <f t="shared" si="435"/>
        <v>0</v>
      </c>
      <c r="AT1041" s="3"/>
      <c r="AU1041" s="17"/>
      <c r="AV1041" s="19"/>
      <c r="AW1041" s="17"/>
      <c r="AX1041" s="17">
        <f t="shared" si="436"/>
        <v>1032</v>
      </c>
      <c r="AY1041" s="17">
        <f t="shared" si="428"/>
        <v>103.2</v>
      </c>
      <c r="AZ1041" s="17">
        <v>66.342991713899195</v>
      </c>
      <c r="BA1041" s="17"/>
      <c r="BB1041" s="17">
        <v>36</v>
      </c>
      <c r="BC1041" s="17"/>
      <c r="BD1041" s="17"/>
      <c r="BE1041" s="17"/>
      <c r="BF1041" s="17"/>
      <c r="BG1041" s="17"/>
      <c r="BH1041" s="17"/>
      <c r="BI1041" s="17"/>
      <c r="BJ1041" s="17"/>
      <c r="BK1041" s="17"/>
      <c r="BL1041" s="17"/>
      <c r="BM1041" s="17"/>
      <c r="BN1041" s="17"/>
      <c r="BO1041" s="17"/>
      <c r="BP1041" s="17"/>
      <c r="BQ1041" s="17"/>
      <c r="BR1041" s="17"/>
      <c r="BS1041" s="17"/>
      <c r="BT1041" s="17"/>
      <c r="BU1041" s="17"/>
      <c r="BV1041" s="17"/>
      <c r="BW1041" s="17"/>
      <c r="BX1041" s="17"/>
      <c r="BY1041" s="17"/>
      <c r="BZ1041" s="17"/>
      <c r="CA1041" s="17"/>
      <c r="CB1041" s="17"/>
      <c r="CC1041" s="17"/>
      <c r="CD1041" s="17"/>
      <c r="CE1041" s="17"/>
      <c r="CF1041" s="17"/>
      <c r="CG1041" s="17"/>
      <c r="CH1041" s="17"/>
    </row>
    <row r="1042" spans="35:86" x14ac:dyDescent="0.15">
      <c r="AI1042" s="3"/>
      <c r="AJ1042" s="3"/>
      <c r="AK1042" s="15">
        <f t="shared" si="430"/>
        <v>4</v>
      </c>
      <c r="AL1042" s="11">
        <f t="shared" ref="AL1042:AL1056" si="437">AL1041+$AB$15</f>
        <v>6198</v>
      </c>
      <c r="AM1042" s="11" t="b">
        <f t="shared" si="429"/>
        <v>0</v>
      </c>
      <c r="AN1042" s="11">
        <f t="shared" si="431"/>
        <v>36000</v>
      </c>
      <c r="AO1042" s="11">
        <f t="shared" si="432"/>
        <v>0</v>
      </c>
      <c r="AP1042" s="11">
        <f t="shared" si="433"/>
        <v>0.66453223195380684</v>
      </c>
      <c r="AQ1042" s="11">
        <f t="shared" si="435"/>
        <v>0</v>
      </c>
      <c r="AT1042" s="3"/>
      <c r="AU1042" s="17"/>
      <c r="AV1042" s="19"/>
      <c r="AW1042" s="17"/>
      <c r="AX1042" s="17">
        <f t="shared" si="436"/>
        <v>1033</v>
      </c>
      <c r="AY1042" s="17">
        <f t="shared" si="428"/>
        <v>103.3</v>
      </c>
      <c r="AZ1042" s="17">
        <v>66.453223195380687</v>
      </c>
      <c r="BA1042" s="17"/>
      <c r="BB1042" s="17">
        <v>36</v>
      </c>
      <c r="BC1042" s="17"/>
      <c r="BD1042" s="17"/>
      <c r="BE1042" s="17"/>
      <c r="BF1042" s="17"/>
      <c r="BG1042" s="17"/>
      <c r="BH1042" s="17"/>
      <c r="BI1042" s="17"/>
      <c r="BJ1042" s="17"/>
      <c r="BK1042" s="17"/>
      <c r="BL1042" s="17"/>
      <c r="BM1042" s="17"/>
      <c r="BN1042" s="17"/>
      <c r="BO1042" s="17"/>
      <c r="BP1042" s="17"/>
      <c r="BQ1042" s="17"/>
      <c r="BR1042" s="17"/>
      <c r="BS1042" s="17"/>
      <c r="BT1042" s="17"/>
      <c r="BU1042" s="17"/>
      <c r="BV1042" s="17"/>
      <c r="BW1042" s="17"/>
      <c r="BX1042" s="17"/>
      <c r="BY1042" s="17"/>
      <c r="BZ1042" s="17"/>
      <c r="CA1042" s="17"/>
      <c r="CB1042" s="17"/>
      <c r="CC1042" s="17"/>
      <c r="CD1042" s="17"/>
      <c r="CE1042" s="17"/>
      <c r="CF1042" s="17"/>
      <c r="CG1042" s="17"/>
      <c r="CH1042" s="17"/>
    </row>
    <row r="1043" spans="35:86" x14ac:dyDescent="0.15">
      <c r="AI1043" s="3"/>
      <c r="AJ1043" s="3"/>
      <c r="AK1043" s="15">
        <f t="shared" si="430"/>
        <v>4</v>
      </c>
      <c r="AL1043" s="11">
        <f t="shared" si="437"/>
        <v>6204</v>
      </c>
      <c r="AM1043" s="11" t="b">
        <f t="shared" si="429"/>
        <v>0</v>
      </c>
      <c r="AN1043" s="11">
        <f t="shared" si="431"/>
        <v>36000</v>
      </c>
      <c r="AO1043" s="11">
        <f t="shared" si="432"/>
        <v>0</v>
      </c>
      <c r="AP1043" s="11">
        <f t="shared" si="433"/>
        <v>0.66563454676862166</v>
      </c>
      <c r="AQ1043" s="11">
        <f t="shared" si="435"/>
        <v>0</v>
      </c>
      <c r="AT1043" s="3"/>
      <c r="AU1043" s="17"/>
      <c r="AV1043" s="19"/>
      <c r="AW1043" s="17"/>
      <c r="AX1043" s="17">
        <f t="shared" si="436"/>
        <v>1034</v>
      </c>
      <c r="AY1043" s="17">
        <f t="shared" si="428"/>
        <v>103.4</v>
      </c>
      <c r="AZ1043" s="17">
        <v>66.563454676862165</v>
      </c>
      <c r="BA1043" s="17"/>
      <c r="BB1043" s="17">
        <v>36</v>
      </c>
      <c r="BC1043" s="17"/>
      <c r="BD1043" s="17"/>
      <c r="BE1043" s="17"/>
      <c r="BF1043" s="17"/>
      <c r="BG1043" s="17"/>
      <c r="BH1043" s="17"/>
      <c r="BI1043" s="17"/>
      <c r="BJ1043" s="17"/>
      <c r="BK1043" s="17"/>
      <c r="BL1043" s="17"/>
      <c r="BM1043" s="17"/>
      <c r="BN1043" s="17"/>
      <c r="BO1043" s="17"/>
      <c r="BP1043" s="17"/>
      <c r="BQ1043" s="17"/>
      <c r="BR1043" s="17"/>
      <c r="BS1043" s="17"/>
      <c r="BT1043" s="17"/>
      <c r="BU1043" s="17"/>
      <c r="BV1043" s="17"/>
      <c r="BW1043" s="17"/>
      <c r="BX1043" s="17"/>
      <c r="BY1043" s="17"/>
      <c r="BZ1043" s="17"/>
      <c r="CA1043" s="17"/>
      <c r="CB1043" s="17"/>
      <c r="CC1043" s="17"/>
      <c r="CD1043" s="17"/>
      <c r="CE1043" s="17"/>
      <c r="CF1043" s="17"/>
      <c r="CG1043" s="17"/>
      <c r="CH1043" s="17"/>
    </row>
    <row r="1044" spans="35:86" x14ac:dyDescent="0.15">
      <c r="AI1044" s="3"/>
      <c r="AJ1044" s="3"/>
      <c r="AK1044" s="15">
        <f t="shared" si="430"/>
        <v>4</v>
      </c>
      <c r="AL1044" s="11">
        <f t="shared" si="437"/>
        <v>6210</v>
      </c>
      <c r="AM1044" s="11" t="b">
        <f t="shared" si="429"/>
        <v>0</v>
      </c>
      <c r="AN1044" s="11">
        <f t="shared" si="431"/>
        <v>36000</v>
      </c>
      <c r="AO1044" s="11">
        <f t="shared" si="432"/>
        <v>0</v>
      </c>
      <c r="AP1044" s="11">
        <f t="shared" si="433"/>
        <v>0.66673686158343648</v>
      </c>
      <c r="AQ1044" s="11">
        <f t="shared" si="435"/>
        <v>0</v>
      </c>
      <c r="AT1044" s="3"/>
      <c r="AU1044" s="17"/>
      <c r="AV1044" s="19"/>
      <c r="AW1044" s="17"/>
      <c r="AX1044" s="17">
        <f t="shared" si="436"/>
        <v>1035</v>
      </c>
      <c r="AY1044" s="17">
        <f t="shared" ref="AY1044:AY1107" si="438">IF(ISNUMBER(AX1044),IF(ROUND((AX1044)*$AG$15*$AB$15,0) &lt;= 10080, ROUND((AX1044)*$AG$15,0)*$AB$15/60, 168),168)</f>
        <v>103.5</v>
      </c>
      <c r="AZ1044" s="17">
        <v>66.673686158343642</v>
      </c>
      <c r="BA1044" s="17"/>
      <c r="BB1044" s="17">
        <v>36</v>
      </c>
      <c r="BC1044" s="17"/>
      <c r="BD1044" s="17"/>
      <c r="BE1044" s="17"/>
      <c r="BF1044" s="17"/>
      <c r="BG1044" s="17"/>
      <c r="BH1044" s="17"/>
      <c r="BI1044" s="17"/>
      <c r="BJ1044" s="17"/>
      <c r="BK1044" s="17"/>
      <c r="BL1044" s="17"/>
      <c r="BM1044" s="17"/>
      <c r="BN1044" s="17"/>
      <c r="BO1044" s="17"/>
      <c r="BP1044" s="17"/>
      <c r="BQ1044" s="17"/>
      <c r="BR1044" s="17"/>
      <c r="BS1044" s="17"/>
      <c r="BT1044" s="17"/>
      <c r="BU1044" s="17"/>
      <c r="BV1044" s="17"/>
      <c r="BW1044" s="17"/>
      <c r="BX1044" s="17"/>
      <c r="BY1044" s="17"/>
      <c r="BZ1044" s="17"/>
      <c r="CA1044" s="17"/>
      <c r="CB1044" s="17"/>
      <c r="CC1044" s="17"/>
      <c r="CD1044" s="17"/>
      <c r="CE1044" s="17"/>
      <c r="CF1044" s="17"/>
      <c r="CG1044" s="17"/>
      <c r="CH1044" s="17"/>
    </row>
    <row r="1045" spans="35:86" x14ac:dyDescent="0.15">
      <c r="AI1045" s="3"/>
      <c r="AJ1045" s="3"/>
      <c r="AK1045" s="15">
        <f t="shared" si="430"/>
        <v>4</v>
      </c>
      <c r="AL1045" s="11">
        <f t="shared" si="437"/>
        <v>6216</v>
      </c>
      <c r="AM1045" s="11" t="b">
        <f t="shared" si="429"/>
        <v>0</v>
      </c>
      <c r="AN1045" s="11">
        <f t="shared" si="431"/>
        <v>36000</v>
      </c>
      <c r="AO1045" s="11">
        <f t="shared" si="432"/>
        <v>0</v>
      </c>
      <c r="AP1045" s="11">
        <f t="shared" si="433"/>
        <v>0.66783917639825141</v>
      </c>
      <c r="AQ1045" s="11">
        <f t="shared" si="435"/>
        <v>0</v>
      </c>
      <c r="AT1045" s="3"/>
      <c r="AU1045" s="17"/>
      <c r="AV1045" s="19"/>
      <c r="AW1045" s="17"/>
      <c r="AX1045" s="17">
        <f t="shared" si="436"/>
        <v>1036</v>
      </c>
      <c r="AY1045" s="17">
        <f t="shared" si="438"/>
        <v>103.6</v>
      </c>
      <c r="AZ1045" s="17">
        <v>66.783917639825148</v>
      </c>
      <c r="BA1045" s="17"/>
      <c r="BB1045" s="17">
        <v>36</v>
      </c>
      <c r="BC1045" s="17"/>
      <c r="BD1045" s="17"/>
      <c r="BE1045" s="17"/>
      <c r="BF1045" s="17"/>
      <c r="BG1045" s="17"/>
      <c r="BH1045" s="17"/>
      <c r="BI1045" s="17"/>
      <c r="BJ1045" s="17"/>
      <c r="BK1045" s="17"/>
      <c r="BL1045" s="17"/>
      <c r="BM1045" s="17"/>
      <c r="BN1045" s="17"/>
      <c r="BO1045" s="17"/>
      <c r="BP1045" s="17"/>
      <c r="BQ1045" s="17"/>
      <c r="BR1045" s="17"/>
      <c r="BS1045" s="17"/>
      <c r="BT1045" s="17"/>
      <c r="BU1045" s="17"/>
      <c r="BV1045" s="17"/>
      <c r="BW1045" s="17"/>
      <c r="BX1045" s="17"/>
      <c r="BY1045" s="17"/>
      <c r="BZ1045" s="17"/>
      <c r="CA1045" s="17"/>
      <c r="CB1045" s="17"/>
      <c r="CC1045" s="17"/>
      <c r="CD1045" s="17"/>
      <c r="CE1045" s="17"/>
      <c r="CF1045" s="17"/>
      <c r="CG1045" s="17"/>
      <c r="CH1045" s="17"/>
    </row>
    <row r="1046" spans="35:86" x14ac:dyDescent="0.15">
      <c r="AI1046" s="3"/>
      <c r="AJ1046" s="3"/>
      <c r="AK1046" s="15">
        <f t="shared" si="430"/>
        <v>4</v>
      </c>
      <c r="AL1046" s="11">
        <f t="shared" si="437"/>
        <v>6222</v>
      </c>
      <c r="AM1046" s="11" t="b">
        <f t="shared" si="429"/>
        <v>0</v>
      </c>
      <c r="AN1046" s="11">
        <f t="shared" si="431"/>
        <v>36000</v>
      </c>
      <c r="AO1046" s="11">
        <f t="shared" si="432"/>
        <v>0</v>
      </c>
      <c r="AP1046" s="11">
        <f t="shared" si="433"/>
        <v>0.66894149121306623</v>
      </c>
      <c r="AQ1046" s="11">
        <f t="shared" si="435"/>
        <v>0</v>
      </c>
      <c r="AT1046" s="3"/>
      <c r="AU1046" s="17"/>
      <c r="AV1046" s="19"/>
      <c r="AW1046" s="17"/>
      <c r="AX1046" s="17">
        <f t="shared" si="436"/>
        <v>1037</v>
      </c>
      <c r="AY1046" s="17">
        <f t="shared" si="438"/>
        <v>103.7</v>
      </c>
      <c r="AZ1046" s="17">
        <v>66.894149121306626</v>
      </c>
      <c r="BA1046" s="17"/>
      <c r="BB1046" s="17">
        <v>36</v>
      </c>
      <c r="BC1046" s="17"/>
      <c r="BD1046" s="17"/>
      <c r="BE1046" s="17"/>
      <c r="BF1046" s="17"/>
      <c r="BG1046" s="17"/>
      <c r="BH1046" s="17"/>
      <c r="BI1046" s="17"/>
      <c r="BJ1046" s="17"/>
      <c r="BK1046" s="17"/>
      <c r="BL1046" s="17"/>
      <c r="BM1046" s="17"/>
      <c r="BN1046" s="17"/>
      <c r="BO1046" s="17"/>
      <c r="BP1046" s="17"/>
      <c r="BQ1046" s="17"/>
      <c r="BR1046" s="17"/>
      <c r="BS1046" s="17"/>
      <c r="BT1046" s="17"/>
      <c r="BU1046" s="17"/>
      <c r="BV1046" s="17"/>
      <c r="BW1046" s="17"/>
      <c r="BX1046" s="17"/>
      <c r="BY1046" s="17"/>
      <c r="BZ1046" s="17"/>
      <c r="CA1046" s="17"/>
      <c r="CB1046" s="17"/>
      <c r="CC1046" s="17"/>
      <c r="CD1046" s="17"/>
      <c r="CE1046" s="17"/>
      <c r="CF1046" s="17"/>
      <c r="CG1046" s="17"/>
      <c r="CH1046" s="17"/>
    </row>
    <row r="1047" spans="35:86" x14ac:dyDescent="0.15">
      <c r="AI1047" s="3"/>
      <c r="AJ1047" s="3"/>
      <c r="AK1047" s="15">
        <f t="shared" si="430"/>
        <v>4</v>
      </c>
      <c r="AL1047" s="11">
        <f t="shared" si="437"/>
        <v>6228</v>
      </c>
      <c r="AM1047" s="11" t="b">
        <f t="shared" si="429"/>
        <v>0</v>
      </c>
      <c r="AN1047" s="11">
        <f t="shared" si="431"/>
        <v>36000</v>
      </c>
      <c r="AO1047" s="11">
        <f t="shared" si="432"/>
        <v>0</v>
      </c>
      <c r="AP1047" s="11">
        <f t="shared" si="433"/>
        <v>0.67004380602788105</v>
      </c>
      <c r="AQ1047" s="11">
        <f t="shared" si="435"/>
        <v>0</v>
      </c>
      <c r="AT1047" s="3"/>
      <c r="AU1047" s="17"/>
      <c r="AV1047" s="19"/>
      <c r="AW1047" s="17"/>
      <c r="AX1047" s="17">
        <f t="shared" si="436"/>
        <v>1038</v>
      </c>
      <c r="AY1047" s="17">
        <f t="shared" si="438"/>
        <v>103.8</v>
      </c>
      <c r="AZ1047" s="17">
        <v>67.004380602788103</v>
      </c>
      <c r="BA1047" s="17"/>
      <c r="BB1047" s="17">
        <v>36</v>
      </c>
      <c r="BC1047" s="17"/>
      <c r="BD1047" s="17"/>
      <c r="BE1047" s="17"/>
      <c r="BF1047" s="17"/>
      <c r="BG1047" s="17"/>
      <c r="BH1047" s="17"/>
      <c r="BI1047" s="17"/>
      <c r="BJ1047" s="17"/>
      <c r="BK1047" s="17"/>
      <c r="BL1047" s="17"/>
      <c r="BM1047" s="17"/>
      <c r="BN1047" s="17"/>
      <c r="BO1047" s="17"/>
      <c r="BP1047" s="17"/>
      <c r="BQ1047" s="17"/>
      <c r="BR1047" s="17"/>
      <c r="BS1047" s="17"/>
      <c r="BT1047" s="17"/>
      <c r="BU1047" s="17"/>
      <c r="BV1047" s="17"/>
      <c r="BW1047" s="17"/>
      <c r="BX1047" s="17"/>
      <c r="BY1047" s="17"/>
      <c r="BZ1047" s="17"/>
      <c r="CA1047" s="17"/>
      <c r="CB1047" s="17"/>
      <c r="CC1047" s="17"/>
      <c r="CD1047" s="17"/>
      <c r="CE1047" s="17"/>
      <c r="CF1047" s="17"/>
      <c r="CG1047" s="17"/>
      <c r="CH1047" s="17"/>
    </row>
    <row r="1048" spans="35:86" x14ac:dyDescent="0.15">
      <c r="AI1048" s="3"/>
      <c r="AJ1048" s="3"/>
      <c r="AK1048" s="15">
        <f t="shared" si="430"/>
        <v>4</v>
      </c>
      <c r="AL1048" s="11">
        <f t="shared" si="437"/>
        <v>6234</v>
      </c>
      <c r="AM1048" s="11" t="b">
        <f t="shared" si="429"/>
        <v>0</v>
      </c>
      <c r="AN1048" s="11">
        <f t="shared" si="431"/>
        <v>36000</v>
      </c>
      <c r="AO1048" s="11">
        <f t="shared" si="432"/>
        <v>0</v>
      </c>
      <c r="AP1048" s="11">
        <f t="shared" si="433"/>
        <v>0.67114612084269587</v>
      </c>
      <c r="AQ1048" s="11">
        <f t="shared" si="435"/>
        <v>0</v>
      </c>
      <c r="AT1048" s="3"/>
      <c r="AU1048" s="17"/>
      <c r="AV1048" s="19"/>
      <c r="AW1048" s="17"/>
      <c r="AX1048" s="17">
        <f t="shared" si="436"/>
        <v>1039</v>
      </c>
      <c r="AY1048" s="17">
        <f t="shared" si="438"/>
        <v>103.9</v>
      </c>
      <c r="AZ1048" s="17">
        <v>67.114612084269581</v>
      </c>
      <c r="BA1048" s="17"/>
      <c r="BB1048" s="17">
        <v>36</v>
      </c>
      <c r="BC1048" s="17"/>
      <c r="BD1048" s="17"/>
      <c r="BE1048" s="17"/>
      <c r="BF1048" s="17"/>
      <c r="BG1048" s="17"/>
      <c r="BH1048" s="17"/>
      <c r="BI1048" s="17"/>
      <c r="BJ1048" s="17"/>
      <c r="BK1048" s="17"/>
      <c r="BL1048" s="17"/>
      <c r="BM1048" s="17"/>
      <c r="BN1048" s="17"/>
      <c r="BO1048" s="17"/>
      <c r="BP1048" s="17"/>
      <c r="BQ1048" s="17"/>
      <c r="BR1048" s="17"/>
      <c r="BS1048" s="17"/>
      <c r="BT1048" s="17"/>
      <c r="BU1048" s="17"/>
      <c r="BV1048" s="17"/>
      <c r="BW1048" s="17"/>
      <c r="BX1048" s="17"/>
      <c r="BY1048" s="17"/>
      <c r="BZ1048" s="17"/>
      <c r="CA1048" s="17"/>
      <c r="CB1048" s="17"/>
      <c r="CC1048" s="17"/>
      <c r="CD1048" s="17"/>
      <c r="CE1048" s="17"/>
      <c r="CF1048" s="17"/>
      <c r="CG1048" s="17"/>
      <c r="CH1048" s="17"/>
    </row>
    <row r="1049" spans="35:86" x14ac:dyDescent="0.15">
      <c r="AI1049" s="3"/>
      <c r="AJ1049" s="3"/>
      <c r="AK1049" s="15">
        <f t="shared" si="430"/>
        <v>4</v>
      </c>
      <c r="AL1049" s="11">
        <f t="shared" si="437"/>
        <v>6240</v>
      </c>
      <c r="AM1049" s="11" t="b">
        <f t="shared" si="429"/>
        <v>0</v>
      </c>
      <c r="AN1049" s="11">
        <f t="shared" si="431"/>
        <v>36000</v>
      </c>
      <c r="AO1049" s="11">
        <f t="shared" si="432"/>
        <v>0</v>
      </c>
      <c r="AP1049" s="11">
        <f t="shared" si="433"/>
        <v>0.67224843565751069</v>
      </c>
      <c r="AQ1049" s="11">
        <f t="shared" si="435"/>
        <v>0</v>
      </c>
      <c r="AT1049" s="3"/>
      <c r="AU1049" s="17"/>
      <c r="AV1049" s="19"/>
      <c r="AW1049" s="17"/>
      <c r="AX1049" s="17">
        <f t="shared" si="436"/>
        <v>1040</v>
      </c>
      <c r="AY1049" s="17">
        <f t="shared" si="438"/>
        <v>104</v>
      </c>
      <c r="AZ1049" s="17">
        <v>67.224843565751073</v>
      </c>
      <c r="BA1049" s="17"/>
      <c r="BB1049" s="17">
        <v>36</v>
      </c>
      <c r="BC1049" s="17"/>
      <c r="BD1049" s="17"/>
      <c r="BE1049" s="17"/>
      <c r="BF1049" s="17"/>
      <c r="BG1049" s="17"/>
      <c r="BH1049" s="17"/>
      <c r="BI1049" s="17"/>
      <c r="BJ1049" s="17"/>
      <c r="BK1049" s="17"/>
      <c r="BL1049" s="17"/>
      <c r="BM1049" s="17"/>
      <c r="BN1049" s="17"/>
      <c r="BO1049" s="17"/>
      <c r="BP1049" s="17"/>
      <c r="BQ1049" s="17"/>
      <c r="BR1049" s="17"/>
      <c r="BS1049" s="17"/>
      <c r="BT1049" s="17"/>
      <c r="BU1049" s="17"/>
      <c r="BV1049" s="17"/>
      <c r="BW1049" s="17"/>
      <c r="BX1049" s="17"/>
      <c r="BY1049" s="17"/>
      <c r="BZ1049" s="17"/>
      <c r="CA1049" s="17"/>
      <c r="CB1049" s="17"/>
      <c r="CC1049" s="17"/>
      <c r="CD1049" s="17"/>
      <c r="CE1049" s="17"/>
      <c r="CF1049" s="17"/>
      <c r="CG1049" s="17"/>
      <c r="CH1049" s="17"/>
    </row>
    <row r="1050" spans="35:86" x14ac:dyDescent="0.15">
      <c r="AI1050" s="3"/>
      <c r="AJ1050" s="3"/>
      <c r="AK1050" s="15">
        <f t="shared" si="430"/>
        <v>4</v>
      </c>
      <c r="AL1050" s="11">
        <f t="shared" si="437"/>
        <v>6246</v>
      </c>
      <c r="AM1050" s="11" t="b">
        <f t="shared" si="429"/>
        <v>0</v>
      </c>
      <c r="AN1050" s="11">
        <f t="shared" si="431"/>
        <v>36000</v>
      </c>
      <c r="AO1050" s="11">
        <f t="shared" si="432"/>
        <v>0</v>
      </c>
      <c r="AP1050" s="11">
        <f t="shared" si="433"/>
        <v>0.67335075047232562</v>
      </c>
      <c r="AQ1050" s="11">
        <f t="shared" si="435"/>
        <v>0</v>
      </c>
      <c r="AT1050" s="3"/>
      <c r="AU1050" s="17"/>
      <c r="AV1050" s="19"/>
      <c r="AW1050" s="17"/>
      <c r="AX1050" s="17">
        <f t="shared" si="436"/>
        <v>1041</v>
      </c>
      <c r="AY1050" s="17">
        <f t="shared" si="438"/>
        <v>104.1</v>
      </c>
      <c r="AZ1050" s="17">
        <v>67.335075047232564</v>
      </c>
      <c r="BA1050" s="17"/>
      <c r="BB1050" s="17">
        <v>36</v>
      </c>
      <c r="BC1050" s="17"/>
      <c r="BD1050" s="17"/>
      <c r="BE1050" s="17"/>
      <c r="BF1050" s="17"/>
      <c r="BG1050" s="17"/>
      <c r="BH1050" s="17"/>
      <c r="BI1050" s="17"/>
      <c r="BJ1050" s="17"/>
      <c r="BK1050" s="17"/>
      <c r="BL1050" s="17"/>
      <c r="BM1050" s="17"/>
      <c r="BN1050" s="17"/>
      <c r="BO1050" s="17"/>
      <c r="BP1050" s="17"/>
      <c r="BQ1050" s="17"/>
      <c r="BR1050" s="17"/>
      <c r="BS1050" s="17"/>
      <c r="BT1050" s="17"/>
      <c r="BU1050" s="17"/>
      <c r="BV1050" s="17"/>
      <c r="BW1050" s="17"/>
      <c r="BX1050" s="17"/>
      <c r="BY1050" s="17"/>
      <c r="BZ1050" s="17"/>
      <c r="CA1050" s="17"/>
      <c r="CB1050" s="17"/>
      <c r="CC1050" s="17"/>
      <c r="CD1050" s="17"/>
      <c r="CE1050" s="17"/>
      <c r="CF1050" s="17"/>
      <c r="CG1050" s="17"/>
      <c r="CH1050" s="17"/>
    </row>
    <row r="1051" spans="35:86" x14ac:dyDescent="0.15">
      <c r="AI1051" s="3"/>
      <c r="AJ1051" s="3"/>
      <c r="AK1051" s="15">
        <f t="shared" si="430"/>
        <v>4</v>
      </c>
      <c r="AL1051" s="11">
        <f t="shared" si="437"/>
        <v>6252</v>
      </c>
      <c r="AM1051" s="11" t="b">
        <f t="shared" si="429"/>
        <v>0</v>
      </c>
      <c r="AN1051" s="11">
        <f t="shared" si="431"/>
        <v>36000</v>
      </c>
      <c r="AO1051" s="11">
        <f t="shared" si="432"/>
        <v>0</v>
      </c>
      <c r="AP1051" s="11">
        <f t="shared" si="433"/>
        <v>0.67445306528714044</v>
      </c>
      <c r="AQ1051" s="11">
        <f t="shared" si="435"/>
        <v>0</v>
      </c>
      <c r="AT1051" s="3"/>
      <c r="AU1051" s="17"/>
      <c r="AV1051" s="19"/>
      <c r="AW1051" s="17"/>
      <c r="AX1051" s="17">
        <f t="shared" si="436"/>
        <v>1042</v>
      </c>
      <c r="AY1051" s="17">
        <f t="shared" si="438"/>
        <v>104.2</v>
      </c>
      <c r="AZ1051" s="17">
        <v>67.445306528714042</v>
      </c>
      <c r="BA1051" s="17"/>
      <c r="BB1051" s="17">
        <v>36</v>
      </c>
      <c r="BC1051" s="17"/>
      <c r="BD1051" s="17"/>
      <c r="BE1051" s="17"/>
      <c r="BF1051" s="17"/>
      <c r="BG1051" s="17"/>
      <c r="BH1051" s="17"/>
      <c r="BI1051" s="17"/>
      <c r="BJ1051" s="17"/>
      <c r="BK1051" s="17"/>
      <c r="BL1051" s="17"/>
      <c r="BM1051" s="17"/>
      <c r="BN1051" s="17"/>
      <c r="BO1051" s="17"/>
      <c r="BP1051" s="17"/>
      <c r="BQ1051" s="17"/>
      <c r="BR1051" s="17"/>
      <c r="BS1051" s="17"/>
      <c r="BT1051" s="17"/>
      <c r="BU1051" s="17"/>
      <c r="BV1051" s="17"/>
      <c r="BW1051" s="17"/>
      <c r="BX1051" s="17"/>
      <c r="BY1051" s="17"/>
      <c r="BZ1051" s="17"/>
      <c r="CA1051" s="17"/>
      <c r="CB1051" s="17"/>
      <c r="CC1051" s="17"/>
      <c r="CD1051" s="17"/>
      <c r="CE1051" s="17"/>
      <c r="CF1051" s="17"/>
      <c r="CG1051" s="17"/>
      <c r="CH1051" s="17"/>
    </row>
    <row r="1052" spans="35:86" x14ac:dyDescent="0.15">
      <c r="AI1052" s="3"/>
      <c r="AJ1052" s="3"/>
      <c r="AK1052" s="15">
        <f t="shared" si="430"/>
        <v>4</v>
      </c>
      <c r="AL1052" s="11">
        <f t="shared" si="437"/>
        <v>6258</v>
      </c>
      <c r="AM1052" s="11" t="b">
        <f t="shared" si="429"/>
        <v>0</v>
      </c>
      <c r="AN1052" s="11">
        <f t="shared" si="431"/>
        <v>36000</v>
      </c>
      <c r="AO1052" s="11">
        <f t="shared" si="432"/>
        <v>0</v>
      </c>
      <c r="AP1052" s="11">
        <f t="shared" si="433"/>
        <v>0.67555538010195526</v>
      </c>
      <c r="AQ1052" s="11">
        <f t="shared" si="435"/>
        <v>0</v>
      </c>
      <c r="AT1052" s="3"/>
      <c r="AU1052" s="17"/>
      <c r="AV1052" s="19"/>
      <c r="AW1052" s="17"/>
      <c r="AX1052" s="17">
        <f t="shared" si="436"/>
        <v>1043</v>
      </c>
      <c r="AY1052" s="17">
        <f t="shared" si="438"/>
        <v>104.3</v>
      </c>
      <c r="AZ1052" s="17">
        <v>67.555538010195519</v>
      </c>
      <c r="BA1052" s="17"/>
      <c r="BB1052" s="17">
        <v>36</v>
      </c>
      <c r="BC1052" s="17"/>
      <c r="BD1052" s="17"/>
      <c r="BE1052" s="17"/>
      <c r="BF1052" s="17"/>
      <c r="BG1052" s="17"/>
      <c r="BH1052" s="17"/>
      <c r="BI1052" s="17"/>
      <c r="BJ1052" s="17"/>
      <c r="BK1052" s="17"/>
      <c r="BL1052" s="17"/>
      <c r="BM1052" s="17"/>
      <c r="BN1052" s="17"/>
      <c r="BO1052" s="17"/>
      <c r="BP1052" s="17"/>
      <c r="BQ1052" s="17"/>
      <c r="BR1052" s="17"/>
      <c r="BS1052" s="17"/>
      <c r="BT1052" s="17"/>
      <c r="BU1052" s="17"/>
      <c r="BV1052" s="17"/>
      <c r="BW1052" s="17"/>
      <c r="BX1052" s="17"/>
      <c r="BY1052" s="17"/>
      <c r="BZ1052" s="17"/>
      <c r="CA1052" s="17"/>
      <c r="CB1052" s="17"/>
      <c r="CC1052" s="17"/>
      <c r="CD1052" s="17"/>
      <c r="CE1052" s="17"/>
      <c r="CF1052" s="17"/>
      <c r="CG1052" s="17"/>
      <c r="CH1052" s="17"/>
    </row>
    <row r="1053" spans="35:86" x14ac:dyDescent="0.15">
      <c r="AI1053" s="3"/>
      <c r="AJ1053" s="3"/>
      <c r="AK1053" s="15">
        <f t="shared" si="430"/>
        <v>4</v>
      </c>
      <c r="AL1053" s="11">
        <f t="shared" si="437"/>
        <v>6264</v>
      </c>
      <c r="AM1053" s="11" t="b">
        <f t="shared" si="429"/>
        <v>0</v>
      </c>
      <c r="AN1053" s="11">
        <f t="shared" si="431"/>
        <v>36000</v>
      </c>
      <c r="AO1053" s="11">
        <f t="shared" si="432"/>
        <v>0</v>
      </c>
      <c r="AP1053" s="11">
        <f t="shared" si="433"/>
        <v>0.67665769491677008</v>
      </c>
      <c r="AQ1053" s="11">
        <f t="shared" si="435"/>
        <v>0</v>
      </c>
      <c r="AT1053" s="3"/>
      <c r="AU1053" s="17"/>
      <c r="AV1053" s="19"/>
      <c r="AW1053" s="17"/>
      <c r="AX1053" s="17">
        <f t="shared" si="436"/>
        <v>1044</v>
      </c>
      <c r="AY1053" s="17">
        <f t="shared" si="438"/>
        <v>104.4</v>
      </c>
      <c r="AZ1053" s="17">
        <v>67.665769491677011</v>
      </c>
      <c r="BA1053" s="17"/>
      <c r="BB1053" s="17">
        <v>36</v>
      </c>
      <c r="BC1053" s="17"/>
      <c r="BD1053" s="17"/>
      <c r="BE1053" s="17"/>
      <c r="BF1053" s="17"/>
      <c r="BG1053" s="17"/>
      <c r="BH1053" s="17"/>
      <c r="BI1053" s="17"/>
      <c r="BJ1053" s="17"/>
      <c r="BK1053" s="17"/>
      <c r="BL1053" s="17"/>
      <c r="BM1053" s="17"/>
      <c r="BN1053" s="17"/>
      <c r="BO1053" s="17"/>
      <c r="BP1053" s="17"/>
      <c r="BQ1053" s="17"/>
      <c r="BR1053" s="17"/>
      <c r="BS1053" s="17"/>
      <c r="BT1053" s="17"/>
      <c r="BU1053" s="17"/>
      <c r="BV1053" s="17"/>
      <c r="BW1053" s="17"/>
      <c r="BX1053" s="17"/>
      <c r="BY1053" s="17"/>
      <c r="BZ1053" s="17"/>
      <c r="CA1053" s="17"/>
      <c r="CB1053" s="17"/>
      <c r="CC1053" s="17"/>
      <c r="CD1053" s="17"/>
      <c r="CE1053" s="17"/>
      <c r="CF1053" s="17"/>
      <c r="CG1053" s="17"/>
      <c r="CH1053" s="17"/>
    </row>
    <row r="1054" spans="35:86" x14ac:dyDescent="0.15">
      <c r="AI1054" s="3"/>
      <c r="AJ1054" s="3"/>
      <c r="AK1054" s="15">
        <f t="shared" si="430"/>
        <v>4</v>
      </c>
      <c r="AL1054" s="11">
        <f t="shared" si="437"/>
        <v>6270</v>
      </c>
      <c r="AM1054" s="11" t="b">
        <f t="shared" si="429"/>
        <v>0</v>
      </c>
      <c r="AN1054" s="11">
        <f t="shared" si="431"/>
        <v>36000</v>
      </c>
      <c r="AO1054" s="11">
        <f t="shared" si="432"/>
        <v>0</v>
      </c>
      <c r="AP1054" s="11">
        <f t="shared" si="433"/>
        <v>0.6777600097315849</v>
      </c>
      <c r="AQ1054" s="11">
        <f t="shared" si="435"/>
        <v>0</v>
      </c>
      <c r="AT1054" s="3"/>
      <c r="AU1054" s="17"/>
      <c r="AV1054" s="19"/>
      <c r="AW1054" s="17"/>
      <c r="AX1054" s="17">
        <f t="shared" si="436"/>
        <v>1045</v>
      </c>
      <c r="AY1054" s="17">
        <f t="shared" si="438"/>
        <v>104.5</v>
      </c>
      <c r="AZ1054" s="17">
        <v>67.776000973158489</v>
      </c>
      <c r="BA1054" s="17"/>
      <c r="BB1054" s="17">
        <v>36</v>
      </c>
      <c r="BC1054" s="17"/>
      <c r="BD1054" s="17"/>
      <c r="BE1054" s="17"/>
      <c r="BF1054" s="17"/>
      <c r="BG1054" s="17"/>
      <c r="BH1054" s="17"/>
      <c r="BI1054" s="17"/>
      <c r="BJ1054" s="17"/>
      <c r="BK1054" s="17"/>
      <c r="BL1054" s="17"/>
      <c r="BM1054" s="17"/>
      <c r="BN1054" s="17"/>
      <c r="BO1054" s="17"/>
      <c r="BP1054" s="17"/>
      <c r="BQ1054" s="17"/>
      <c r="BR1054" s="17"/>
      <c r="BS1054" s="17"/>
      <c r="BT1054" s="17"/>
      <c r="BU1054" s="17"/>
      <c r="BV1054" s="17"/>
      <c r="BW1054" s="17"/>
      <c r="BX1054" s="17"/>
      <c r="BY1054" s="17"/>
      <c r="BZ1054" s="17"/>
      <c r="CA1054" s="17"/>
      <c r="CB1054" s="17"/>
      <c r="CC1054" s="17"/>
      <c r="CD1054" s="17"/>
      <c r="CE1054" s="17"/>
      <c r="CF1054" s="17"/>
      <c r="CG1054" s="17"/>
      <c r="CH1054" s="17"/>
    </row>
    <row r="1055" spans="35:86" x14ac:dyDescent="0.15">
      <c r="AI1055" s="3"/>
      <c r="AJ1055" s="3"/>
      <c r="AK1055" s="15">
        <f t="shared" si="430"/>
        <v>4</v>
      </c>
      <c r="AL1055" s="11">
        <f t="shared" si="437"/>
        <v>6276</v>
      </c>
      <c r="AM1055" s="11" t="b">
        <f t="shared" si="429"/>
        <v>0</v>
      </c>
      <c r="AN1055" s="11">
        <f t="shared" si="431"/>
        <v>36000</v>
      </c>
      <c r="AO1055" s="11">
        <f t="shared" si="432"/>
        <v>0</v>
      </c>
      <c r="AP1055" s="11">
        <f t="shared" si="433"/>
        <v>0.67886232454639983</v>
      </c>
      <c r="AQ1055" s="11">
        <f t="shared" si="435"/>
        <v>0</v>
      </c>
      <c r="AT1055" s="3"/>
      <c r="AU1055" s="17"/>
      <c r="AV1055" s="19"/>
      <c r="AW1055" s="17"/>
      <c r="AX1055" s="17">
        <f t="shared" si="436"/>
        <v>1046</v>
      </c>
      <c r="AY1055" s="17">
        <f t="shared" si="438"/>
        <v>104.6</v>
      </c>
      <c r="AZ1055" s="17">
        <v>67.88623245463998</v>
      </c>
      <c r="BA1055" s="17"/>
      <c r="BB1055" s="17">
        <v>36</v>
      </c>
      <c r="BC1055" s="17"/>
      <c r="BD1055" s="17"/>
      <c r="BE1055" s="17"/>
      <c r="BF1055" s="17"/>
      <c r="BG1055" s="17"/>
      <c r="BH1055" s="17"/>
      <c r="BI1055" s="17"/>
      <c r="BJ1055" s="17"/>
      <c r="BK1055" s="17"/>
      <c r="BL1055" s="17"/>
      <c r="BM1055" s="17"/>
      <c r="BN1055" s="17"/>
      <c r="BO1055" s="17"/>
      <c r="BP1055" s="17"/>
      <c r="BQ1055" s="17"/>
      <c r="BR1055" s="17"/>
      <c r="BS1055" s="17"/>
      <c r="BT1055" s="17"/>
      <c r="BU1055" s="17"/>
      <c r="BV1055" s="17"/>
      <c r="BW1055" s="17"/>
      <c r="BX1055" s="17"/>
      <c r="BY1055" s="17"/>
      <c r="BZ1055" s="17"/>
      <c r="CA1055" s="17"/>
      <c r="CB1055" s="17"/>
      <c r="CC1055" s="17"/>
      <c r="CD1055" s="17"/>
      <c r="CE1055" s="17"/>
      <c r="CF1055" s="17"/>
      <c r="CG1055" s="17"/>
      <c r="CH1055" s="17"/>
    </row>
    <row r="1056" spans="35:86" x14ac:dyDescent="0.15">
      <c r="AI1056" s="3"/>
      <c r="AJ1056" s="3"/>
      <c r="AK1056" s="15">
        <f t="shared" si="430"/>
        <v>4</v>
      </c>
      <c r="AL1056" s="11">
        <f t="shared" si="437"/>
        <v>6282</v>
      </c>
      <c r="AM1056" s="11" t="b">
        <f t="shared" si="429"/>
        <v>0</v>
      </c>
      <c r="AN1056" s="11">
        <f t="shared" si="431"/>
        <v>36000</v>
      </c>
      <c r="AO1056" s="11">
        <f t="shared" si="432"/>
        <v>0</v>
      </c>
      <c r="AP1056" s="11">
        <f t="shared" si="433"/>
        <v>0.67996463936121476</v>
      </c>
      <c r="AQ1056" s="11">
        <f t="shared" si="435"/>
        <v>0</v>
      </c>
      <c r="AT1056" s="3"/>
      <c r="AU1056" s="17"/>
      <c r="AV1056" s="19"/>
      <c r="AW1056" s="17"/>
      <c r="AX1056" s="17">
        <f t="shared" si="436"/>
        <v>1047</v>
      </c>
      <c r="AY1056" s="17">
        <f t="shared" si="438"/>
        <v>104.7</v>
      </c>
      <c r="AZ1056" s="17">
        <v>67.996463936121472</v>
      </c>
      <c r="BA1056" s="17"/>
      <c r="BB1056" s="17">
        <v>36</v>
      </c>
      <c r="BC1056" s="17"/>
      <c r="BD1056" s="17"/>
      <c r="BE1056" s="17"/>
      <c r="BF1056" s="17"/>
      <c r="BG1056" s="17"/>
      <c r="BH1056" s="17"/>
      <c r="BI1056" s="17"/>
      <c r="BJ1056" s="17"/>
      <c r="BK1056" s="17"/>
      <c r="BL1056" s="17"/>
      <c r="BM1056" s="17"/>
      <c r="BN1056" s="17"/>
      <c r="BO1056" s="17"/>
      <c r="BP1056" s="17"/>
      <c r="BQ1056" s="17"/>
      <c r="BR1056" s="17"/>
      <c r="BS1056" s="17"/>
      <c r="BT1056" s="17"/>
      <c r="BU1056" s="17"/>
      <c r="BV1056" s="17"/>
      <c r="BW1056" s="17"/>
      <c r="BX1056" s="17"/>
      <c r="BY1056" s="17"/>
      <c r="BZ1056" s="17"/>
      <c r="CA1056" s="17"/>
      <c r="CB1056" s="17"/>
      <c r="CC1056" s="17"/>
      <c r="CD1056" s="17"/>
      <c r="CE1056" s="17"/>
      <c r="CF1056" s="17"/>
      <c r="CG1056" s="17"/>
      <c r="CH1056" s="17"/>
    </row>
    <row r="1057" spans="35:86" x14ac:dyDescent="0.15">
      <c r="AI1057" s="3"/>
      <c r="AJ1057" s="3"/>
      <c r="AK1057" s="15">
        <f t="shared" si="430"/>
        <v>4</v>
      </c>
      <c r="AL1057" s="11">
        <f>AL1056+$AB$15</f>
        <v>6288</v>
      </c>
      <c r="AM1057" s="11" t="b">
        <f t="shared" si="429"/>
        <v>0</v>
      </c>
      <c r="AN1057" s="11">
        <f t="shared" si="431"/>
        <v>36000</v>
      </c>
      <c r="AO1057" s="11">
        <f t="shared" si="432"/>
        <v>0</v>
      </c>
      <c r="AP1057" s="11">
        <f t="shared" si="433"/>
        <v>0.68106695417602958</v>
      </c>
      <c r="AQ1057" s="11">
        <f t="shared" si="435"/>
        <v>0</v>
      </c>
      <c r="AT1057" s="3"/>
      <c r="AU1057" s="17"/>
      <c r="AV1057" s="19"/>
      <c r="AW1057" s="17"/>
      <c r="AX1057" s="17">
        <f t="shared" si="436"/>
        <v>1048</v>
      </c>
      <c r="AY1057" s="17">
        <f t="shared" si="438"/>
        <v>104.8</v>
      </c>
      <c r="AZ1057" s="17">
        <v>68.106695417602964</v>
      </c>
      <c r="BA1057" s="17"/>
      <c r="BB1057" s="17">
        <v>36</v>
      </c>
      <c r="BC1057" s="17"/>
      <c r="BD1057" s="17"/>
      <c r="BE1057" s="17"/>
      <c r="BF1057" s="17"/>
      <c r="BG1057" s="17"/>
      <c r="BH1057" s="17"/>
      <c r="BI1057" s="17"/>
      <c r="BJ1057" s="17"/>
      <c r="BK1057" s="17"/>
      <c r="BL1057" s="17"/>
      <c r="BM1057" s="17"/>
      <c r="BN1057" s="17"/>
      <c r="BO1057" s="17"/>
      <c r="BP1057" s="17"/>
      <c r="BQ1057" s="17"/>
      <c r="BR1057" s="17"/>
      <c r="BS1057" s="17"/>
      <c r="BT1057" s="17"/>
      <c r="BU1057" s="17"/>
      <c r="BV1057" s="17"/>
      <c r="BW1057" s="17"/>
      <c r="BX1057" s="17"/>
      <c r="BY1057" s="17"/>
      <c r="BZ1057" s="17"/>
      <c r="CA1057" s="17"/>
      <c r="CB1057" s="17"/>
      <c r="CC1057" s="17"/>
      <c r="CD1057" s="17"/>
      <c r="CE1057" s="17"/>
      <c r="CF1057" s="17"/>
      <c r="CG1057" s="17"/>
      <c r="CH1057" s="17"/>
    </row>
    <row r="1058" spans="35:86" x14ac:dyDescent="0.15">
      <c r="AI1058" s="3"/>
      <c r="AJ1058" s="3"/>
      <c r="AK1058" s="15">
        <f t="shared" si="430"/>
        <v>4</v>
      </c>
      <c r="AL1058" s="11">
        <f t="shared" ref="AL1058:AL1067" si="439">AL1057+$AB$15</f>
        <v>6294</v>
      </c>
      <c r="AM1058" s="11" t="b">
        <f t="shared" si="429"/>
        <v>0</v>
      </c>
      <c r="AN1058" s="11">
        <f t="shared" si="431"/>
        <v>36000</v>
      </c>
      <c r="AO1058" s="11">
        <f t="shared" si="432"/>
        <v>0</v>
      </c>
      <c r="AP1058" s="11">
        <f t="shared" si="433"/>
        <v>0.6821692689908444</v>
      </c>
      <c r="AQ1058" s="11">
        <f t="shared" si="435"/>
        <v>0</v>
      </c>
      <c r="AT1058" s="3"/>
      <c r="AU1058" s="17"/>
      <c r="AV1058" s="19"/>
      <c r="AW1058" s="17"/>
      <c r="AX1058" s="17">
        <f t="shared" si="436"/>
        <v>1049</v>
      </c>
      <c r="AY1058" s="17">
        <f t="shared" si="438"/>
        <v>104.9</v>
      </c>
      <c r="AZ1058" s="17">
        <v>68.216926899084442</v>
      </c>
      <c r="BA1058" s="17"/>
      <c r="BB1058" s="17">
        <v>36</v>
      </c>
      <c r="BC1058" s="17"/>
      <c r="BD1058" s="17"/>
      <c r="BE1058" s="17"/>
      <c r="BF1058" s="17"/>
      <c r="BG1058" s="17"/>
      <c r="BH1058" s="17"/>
      <c r="BI1058" s="17"/>
      <c r="BJ1058" s="17"/>
      <c r="BK1058" s="17"/>
      <c r="BL1058" s="17"/>
      <c r="BM1058" s="17"/>
      <c r="BN1058" s="17"/>
      <c r="BO1058" s="17"/>
      <c r="BP1058" s="17"/>
      <c r="BQ1058" s="17"/>
      <c r="BR1058" s="17"/>
      <c r="BS1058" s="17"/>
      <c r="BT1058" s="17"/>
      <c r="BU1058" s="17"/>
      <c r="BV1058" s="17"/>
      <c r="BW1058" s="17"/>
      <c r="BX1058" s="17"/>
      <c r="BY1058" s="17"/>
      <c r="BZ1058" s="17"/>
      <c r="CA1058" s="17"/>
      <c r="CB1058" s="17"/>
      <c r="CC1058" s="17"/>
      <c r="CD1058" s="17"/>
      <c r="CE1058" s="17"/>
      <c r="CF1058" s="17"/>
      <c r="CG1058" s="17"/>
      <c r="CH1058" s="17"/>
    </row>
    <row r="1059" spans="35:86" x14ac:dyDescent="0.15">
      <c r="AI1059" s="3"/>
      <c r="AJ1059" s="3"/>
      <c r="AK1059" s="15">
        <f t="shared" si="430"/>
        <v>4</v>
      </c>
      <c r="AL1059" s="11">
        <f t="shared" si="439"/>
        <v>6300</v>
      </c>
      <c r="AM1059" s="11" t="b">
        <f t="shared" si="429"/>
        <v>0</v>
      </c>
      <c r="AN1059" s="11">
        <f t="shared" si="431"/>
        <v>36000</v>
      </c>
      <c r="AO1059" s="11">
        <f t="shared" si="432"/>
        <v>0</v>
      </c>
      <c r="AP1059" s="11">
        <f t="shared" si="433"/>
        <v>0.68327158380565922</v>
      </c>
      <c r="AQ1059" s="11">
        <f t="shared" si="435"/>
        <v>0</v>
      </c>
      <c r="AT1059" s="3"/>
      <c r="AU1059" s="17"/>
      <c r="AV1059" s="19"/>
      <c r="AW1059" s="17"/>
      <c r="AX1059" s="17">
        <f t="shared" si="436"/>
        <v>1050</v>
      </c>
      <c r="AY1059" s="17">
        <f t="shared" si="438"/>
        <v>105</v>
      </c>
      <c r="AZ1059" s="17">
        <v>68.327158380565919</v>
      </c>
      <c r="BA1059" s="17"/>
      <c r="BB1059" s="17">
        <v>36</v>
      </c>
      <c r="BC1059" s="17"/>
      <c r="BD1059" s="17"/>
      <c r="BE1059" s="17"/>
      <c r="BF1059" s="17"/>
      <c r="BG1059" s="17"/>
      <c r="BH1059" s="17"/>
      <c r="BI1059" s="17"/>
      <c r="BJ1059" s="17"/>
      <c r="BK1059" s="17"/>
      <c r="BL1059" s="17"/>
      <c r="BM1059" s="17"/>
      <c r="BN1059" s="17"/>
      <c r="BO1059" s="17"/>
      <c r="BP1059" s="17"/>
      <c r="BQ1059" s="17"/>
      <c r="BR1059" s="17"/>
      <c r="BS1059" s="17"/>
      <c r="BT1059" s="17"/>
      <c r="BU1059" s="17"/>
      <c r="BV1059" s="17"/>
      <c r="BW1059" s="17"/>
      <c r="BX1059" s="17"/>
      <c r="BY1059" s="17"/>
      <c r="BZ1059" s="17"/>
      <c r="CA1059" s="17"/>
      <c r="CB1059" s="17"/>
      <c r="CC1059" s="17"/>
      <c r="CD1059" s="17"/>
      <c r="CE1059" s="17"/>
      <c r="CF1059" s="17"/>
      <c r="CG1059" s="17"/>
      <c r="CH1059" s="17"/>
    </row>
    <row r="1060" spans="35:86" x14ac:dyDescent="0.15">
      <c r="AI1060" s="3"/>
      <c r="AJ1060" s="3"/>
      <c r="AK1060" s="15">
        <f t="shared" si="430"/>
        <v>4</v>
      </c>
      <c r="AL1060" s="11">
        <f t="shared" si="439"/>
        <v>6306</v>
      </c>
      <c r="AM1060" s="11" t="b">
        <f t="shared" si="429"/>
        <v>0</v>
      </c>
      <c r="AN1060" s="11">
        <f t="shared" si="431"/>
        <v>36000</v>
      </c>
      <c r="AO1060" s="11">
        <f t="shared" si="432"/>
        <v>0</v>
      </c>
      <c r="AP1060" s="11">
        <f t="shared" si="433"/>
        <v>0.68437389862047404</v>
      </c>
      <c r="AQ1060" s="11">
        <f t="shared" si="435"/>
        <v>0</v>
      </c>
      <c r="AT1060" s="3"/>
      <c r="AU1060" s="17"/>
      <c r="AV1060" s="19"/>
      <c r="AW1060" s="17"/>
      <c r="AX1060" s="17">
        <f t="shared" si="436"/>
        <v>1051</v>
      </c>
      <c r="AY1060" s="17">
        <f t="shared" si="438"/>
        <v>105.1</v>
      </c>
      <c r="AZ1060" s="17">
        <v>68.437389862047411</v>
      </c>
      <c r="BA1060" s="17"/>
      <c r="BB1060" s="17">
        <v>36</v>
      </c>
      <c r="BC1060" s="17"/>
      <c r="BD1060" s="17"/>
      <c r="BE1060" s="17"/>
      <c r="BF1060" s="17"/>
      <c r="BG1060" s="17"/>
      <c r="BH1060" s="17"/>
      <c r="BI1060" s="17"/>
      <c r="BJ1060" s="17"/>
      <c r="BK1060" s="17"/>
      <c r="BL1060" s="17"/>
      <c r="BM1060" s="17"/>
      <c r="BN1060" s="17"/>
      <c r="BO1060" s="17"/>
      <c r="BP1060" s="17"/>
      <c r="BQ1060" s="17"/>
      <c r="BR1060" s="17"/>
      <c r="BS1060" s="17"/>
      <c r="BT1060" s="17"/>
      <c r="BU1060" s="17"/>
      <c r="BV1060" s="17"/>
      <c r="BW1060" s="17"/>
      <c r="BX1060" s="17"/>
      <c r="BY1060" s="17"/>
      <c r="BZ1060" s="17"/>
      <c r="CA1060" s="17"/>
      <c r="CB1060" s="17"/>
      <c r="CC1060" s="17"/>
      <c r="CD1060" s="17"/>
      <c r="CE1060" s="17"/>
      <c r="CF1060" s="17"/>
      <c r="CG1060" s="17"/>
      <c r="CH1060" s="17"/>
    </row>
    <row r="1061" spans="35:86" x14ac:dyDescent="0.15">
      <c r="AI1061" s="3"/>
      <c r="AJ1061" s="3"/>
      <c r="AK1061" s="15">
        <f t="shared" si="430"/>
        <v>4</v>
      </c>
      <c r="AL1061" s="11">
        <f t="shared" si="439"/>
        <v>6312</v>
      </c>
      <c r="AM1061" s="11" t="b">
        <f t="shared" si="429"/>
        <v>0</v>
      </c>
      <c r="AN1061" s="11">
        <f t="shared" si="431"/>
        <v>36000</v>
      </c>
      <c r="AO1061" s="11">
        <f t="shared" si="432"/>
        <v>0</v>
      </c>
      <c r="AP1061" s="11">
        <f t="shared" si="433"/>
        <v>0.68547621343528897</v>
      </c>
      <c r="AQ1061" s="11">
        <f t="shared" si="435"/>
        <v>0</v>
      </c>
      <c r="AT1061" s="3"/>
      <c r="AU1061" s="17"/>
      <c r="AV1061" s="19"/>
      <c r="AW1061" s="17"/>
      <c r="AX1061" s="17">
        <f t="shared" si="436"/>
        <v>1052</v>
      </c>
      <c r="AY1061" s="17">
        <f t="shared" si="438"/>
        <v>105.2</v>
      </c>
      <c r="AZ1061" s="17">
        <v>68.547621343528903</v>
      </c>
      <c r="BA1061" s="17"/>
      <c r="BB1061" s="17">
        <v>36</v>
      </c>
      <c r="BC1061" s="17"/>
      <c r="BD1061" s="17"/>
      <c r="BE1061" s="17"/>
      <c r="BF1061" s="17"/>
      <c r="BG1061" s="17"/>
      <c r="BH1061" s="17"/>
      <c r="BI1061" s="17"/>
      <c r="BJ1061" s="17"/>
      <c r="BK1061" s="17"/>
      <c r="BL1061" s="17"/>
      <c r="BM1061" s="17"/>
      <c r="BN1061" s="17"/>
      <c r="BO1061" s="17"/>
      <c r="BP1061" s="17"/>
      <c r="BQ1061" s="17"/>
      <c r="BR1061" s="17"/>
      <c r="BS1061" s="17"/>
      <c r="BT1061" s="17"/>
      <c r="BU1061" s="17"/>
      <c r="BV1061" s="17"/>
      <c r="BW1061" s="17"/>
      <c r="BX1061" s="17"/>
      <c r="BY1061" s="17"/>
      <c r="BZ1061" s="17"/>
      <c r="CA1061" s="17"/>
      <c r="CB1061" s="17"/>
      <c r="CC1061" s="17"/>
      <c r="CD1061" s="17"/>
      <c r="CE1061" s="17"/>
      <c r="CF1061" s="17"/>
      <c r="CG1061" s="17"/>
      <c r="CH1061" s="17"/>
    </row>
    <row r="1062" spans="35:86" x14ac:dyDescent="0.15">
      <c r="AI1062" s="3"/>
      <c r="AJ1062" s="3"/>
      <c r="AK1062" s="15">
        <f t="shared" si="430"/>
        <v>4</v>
      </c>
      <c r="AL1062" s="11">
        <f t="shared" si="439"/>
        <v>6318</v>
      </c>
      <c r="AM1062" s="11" t="b">
        <f t="shared" si="429"/>
        <v>0</v>
      </c>
      <c r="AN1062" s="11">
        <f t="shared" si="431"/>
        <v>36000</v>
      </c>
      <c r="AO1062" s="11">
        <f t="shared" si="432"/>
        <v>0</v>
      </c>
      <c r="AP1062" s="11">
        <f t="shared" si="433"/>
        <v>0.68657852825010379</v>
      </c>
      <c r="AQ1062" s="11">
        <f t="shared" si="435"/>
        <v>0</v>
      </c>
      <c r="AT1062" s="3"/>
      <c r="AU1062" s="17"/>
      <c r="AV1062" s="19"/>
      <c r="AW1062" s="17"/>
      <c r="AX1062" s="17">
        <f t="shared" si="436"/>
        <v>1053</v>
      </c>
      <c r="AY1062" s="17">
        <f t="shared" si="438"/>
        <v>105.3</v>
      </c>
      <c r="AZ1062" s="17">
        <v>68.65785282501038</v>
      </c>
      <c r="BA1062" s="17"/>
      <c r="BB1062" s="17">
        <v>36</v>
      </c>
      <c r="BC1062" s="17"/>
      <c r="BD1062" s="17"/>
      <c r="BE1062" s="17"/>
      <c r="BF1062" s="17"/>
      <c r="BG1062" s="17"/>
      <c r="BH1062" s="17"/>
      <c r="BI1062" s="17"/>
      <c r="BJ1062" s="17"/>
      <c r="BK1062" s="17"/>
      <c r="BL1062" s="17"/>
      <c r="BM1062" s="17"/>
      <c r="BN1062" s="17"/>
      <c r="BO1062" s="17"/>
      <c r="BP1062" s="17"/>
      <c r="BQ1062" s="17"/>
      <c r="BR1062" s="17"/>
      <c r="BS1062" s="17"/>
      <c r="BT1062" s="17"/>
      <c r="BU1062" s="17"/>
      <c r="BV1062" s="17"/>
      <c r="BW1062" s="17"/>
      <c r="BX1062" s="17"/>
      <c r="BY1062" s="17"/>
      <c r="BZ1062" s="17"/>
      <c r="CA1062" s="17"/>
      <c r="CB1062" s="17"/>
      <c r="CC1062" s="17"/>
      <c r="CD1062" s="17"/>
      <c r="CE1062" s="17"/>
      <c r="CF1062" s="17"/>
      <c r="CG1062" s="17"/>
      <c r="CH1062" s="17"/>
    </row>
    <row r="1063" spans="35:86" x14ac:dyDescent="0.15">
      <c r="AI1063" s="3"/>
      <c r="AJ1063" s="3"/>
      <c r="AK1063" s="15">
        <f t="shared" si="430"/>
        <v>4</v>
      </c>
      <c r="AL1063" s="11">
        <f t="shared" si="439"/>
        <v>6324</v>
      </c>
      <c r="AM1063" s="11" t="b">
        <f t="shared" si="429"/>
        <v>0</v>
      </c>
      <c r="AN1063" s="11">
        <f t="shared" si="431"/>
        <v>36000</v>
      </c>
      <c r="AO1063" s="11">
        <f t="shared" si="432"/>
        <v>0</v>
      </c>
      <c r="AP1063" s="11">
        <f t="shared" si="433"/>
        <v>0.68768084306491861</v>
      </c>
      <c r="AQ1063" s="11">
        <f t="shared" si="435"/>
        <v>0</v>
      </c>
      <c r="AT1063" s="3"/>
      <c r="AU1063" s="17"/>
      <c r="AV1063" s="19"/>
      <c r="AW1063" s="17"/>
      <c r="AX1063" s="17">
        <f t="shared" si="436"/>
        <v>1054</v>
      </c>
      <c r="AY1063" s="17">
        <f t="shared" si="438"/>
        <v>105.4</v>
      </c>
      <c r="AZ1063" s="17">
        <v>68.768084306491858</v>
      </c>
      <c r="BA1063" s="17"/>
      <c r="BB1063" s="17">
        <v>36</v>
      </c>
      <c r="BC1063" s="17"/>
      <c r="BD1063" s="17"/>
      <c r="BE1063" s="17"/>
      <c r="BF1063" s="17"/>
      <c r="BG1063" s="17"/>
      <c r="BH1063" s="17"/>
      <c r="BI1063" s="17"/>
      <c r="BJ1063" s="17"/>
      <c r="BK1063" s="17"/>
      <c r="BL1063" s="17"/>
      <c r="BM1063" s="17"/>
      <c r="BN1063" s="17"/>
      <c r="BO1063" s="17"/>
      <c r="BP1063" s="17"/>
      <c r="BQ1063" s="17"/>
      <c r="BR1063" s="17"/>
      <c r="BS1063" s="17"/>
      <c r="BT1063" s="17"/>
      <c r="BU1063" s="17"/>
      <c r="BV1063" s="17"/>
      <c r="BW1063" s="17"/>
      <c r="BX1063" s="17"/>
      <c r="BY1063" s="17"/>
      <c r="BZ1063" s="17"/>
      <c r="CA1063" s="17"/>
      <c r="CB1063" s="17"/>
      <c r="CC1063" s="17"/>
      <c r="CD1063" s="17"/>
      <c r="CE1063" s="17"/>
      <c r="CF1063" s="17"/>
      <c r="CG1063" s="17"/>
      <c r="CH1063" s="17"/>
    </row>
    <row r="1064" spans="35:86" x14ac:dyDescent="0.15">
      <c r="AI1064" s="3"/>
      <c r="AJ1064" s="3"/>
      <c r="AK1064" s="15">
        <f t="shared" si="430"/>
        <v>4</v>
      </c>
      <c r="AL1064" s="11">
        <f t="shared" si="439"/>
        <v>6330</v>
      </c>
      <c r="AM1064" s="11" t="b">
        <f t="shared" si="429"/>
        <v>0</v>
      </c>
      <c r="AN1064" s="11">
        <f t="shared" si="431"/>
        <v>36000</v>
      </c>
      <c r="AO1064" s="11">
        <f t="shared" si="432"/>
        <v>0</v>
      </c>
      <c r="AP1064" s="11">
        <f t="shared" si="433"/>
        <v>0.68878315787973343</v>
      </c>
      <c r="AQ1064" s="11">
        <f t="shared" si="435"/>
        <v>0</v>
      </c>
      <c r="AT1064" s="3"/>
      <c r="AU1064" s="17"/>
      <c r="AV1064" s="19"/>
      <c r="AW1064" s="17"/>
      <c r="AX1064" s="17">
        <f t="shared" si="436"/>
        <v>1055</v>
      </c>
      <c r="AY1064" s="17">
        <f t="shared" si="438"/>
        <v>105.5</v>
      </c>
      <c r="AZ1064" s="17">
        <v>68.878315787973349</v>
      </c>
      <c r="BA1064" s="17"/>
      <c r="BB1064" s="17">
        <v>36</v>
      </c>
      <c r="BC1064" s="17"/>
      <c r="BD1064" s="17"/>
      <c r="BE1064" s="17"/>
      <c r="BF1064" s="17"/>
      <c r="BG1064" s="17"/>
      <c r="BH1064" s="17"/>
      <c r="BI1064" s="17"/>
      <c r="BJ1064" s="17"/>
      <c r="BK1064" s="17"/>
      <c r="BL1064" s="17"/>
      <c r="BM1064" s="17"/>
      <c r="BN1064" s="17"/>
      <c r="BO1064" s="17"/>
      <c r="BP1064" s="17"/>
      <c r="BQ1064" s="17"/>
      <c r="BR1064" s="17"/>
      <c r="BS1064" s="17"/>
      <c r="BT1064" s="17"/>
      <c r="BU1064" s="17"/>
      <c r="BV1064" s="17"/>
      <c r="BW1064" s="17"/>
      <c r="BX1064" s="17"/>
      <c r="BY1064" s="17"/>
      <c r="BZ1064" s="17"/>
      <c r="CA1064" s="17"/>
      <c r="CB1064" s="17"/>
      <c r="CC1064" s="17"/>
      <c r="CD1064" s="17"/>
      <c r="CE1064" s="17"/>
      <c r="CF1064" s="17"/>
      <c r="CG1064" s="17"/>
      <c r="CH1064" s="17"/>
    </row>
    <row r="1065" spans="35:86" x14ac:dyDescent="0.15">
      <c r="AI1065" s="3"/>
      <c r="AJ1065" s="3"/>
      <c r="AK1065" s="15">
        <f t="shared" si="430"/>
        <v>4</v>
      </c>
      <c r="AL1065" s="11">
        <f t="shared" si="439"/>
        <v>6336</v>
      </c>
      <c r="AM1065" s="11" t="b">
        <f t="shared" si="429"/>
        <v>0</v>
      </c>
      <c r="AN1065" s="11">
        <f t="shared" si="431"/>
        <v>36000</v>
      </c>
      <c r="AO1065" s="11">
        <f t="shared" si="432"/>
        <v>0</v>
      </c>
      <c r="AP1065" s="11">
        <f t="shared" si="433"/>
        <v>0.68988547269454825</v>
      </c>
      <c r="AQ1065" s="11">
        <f t="shared" si="435"/>
        <v>0</v>
      </c>
      <c r="AT1065" s="3"/>
      <c r="AU1065" s="17"/>
      <c r="AV1065" s="19"/>
      <c r="AW1065" s="17"/>
      <c r="AX1065" s="17">
        <f t="shared" si="436"/>
        <v>1056</v>
      </c>
      <c r="AY1065" s="17">
        <f t="shared" si="438"/>
        <v>105.6</v>
      </c>
      <c r="AZ1065" s="17">
        <v>68.988547269454827</v>
      </c>
      <c r="BA1065" s="17"/>
      <c r="BB1065" s="17">
        <v>36</v>
      </c>
      <c r="BC1065" s="17"/>
      <c r="BD1065" s="17"/>
      <c r="BE1065" s="17"/>
      <c r="BF1065" s="17"/>
      <c r="BG1065" s="17"/>
      <c r="BH1065" s="17"/>
      <c r="BI1065" s="17"/>
      <c r="BJ1065" s="17"/>
      <c r="BK1065" s="17"/>
      <c r="BL1065" s="17"/>
      <c r="BM1065" s="17"/>
      <c r="BN1065" s="17"/>
      <c r="BO1065" s="17"/>
      <c r="BP1065" s="17"/>
      <c r="BQ1065" s="17"/>
      <c r="BR1065" s="17"/>
      <c r="BS1065" s="17"/>
      <c r="BT1065" s="17"/>
      <c r="BU1065" s="17"/>
      <c r="BV1065" s="17"/>
      <c r="BW1065" s="17"/>
      <c r="BX1065" s="17"/>
      <c r="BY1065" s="17"/>
      <c r="BZ1065" s="17"/>
      <c r="CA1065" s="17"/>
      <c r="CB1065" s="17"/>
      <c r="CC1065" s="17"/>
      <c r="CD1065" s="17"/>
      <c r="CE1065" s="17"/>
      <c r="CF1065" s="17"/>
      <c r="CG1065" s="17"/>
      <c r="CH1065" s="17"/>
    </row>
    <row r="1066" spans="35:86" x14ac:dyDescent="0.15">
      <c r="AI1066" s="3"/>
      <c r="AJ1066" s="3"/>
      <c r="AK1066" s="15">
        <f t="shared" si="430"/>
        <v>4</v>
      </c>
      <c r="AL1066" s="11">
        <f t="shared" si="439"/>
        <v>6342</v>
      </c>
      <c r="AM1066" s="11" t="b">
        <f t="shared" si="429"/>
        <v>0</v>
      </c>
      <c r="AN1066" s="11">
        <f t="shared" si="431"/>
        <v>36000</v>
      </c>
      <c r="AO1066" s="11">
        <f t="shared" si="432"/>
        <v>0</v>
      </c>
      <c r="AP1066" s="11">
        <f t="shared" si="433"/>
        <v>0.69098778750936318</v>
      </c>
      <c r="AQ1066" s="11">
        <f t="shared" si="435"/>
        <v>0</v>
      </c>
      <c r="AT1066" s="3"/>
      <c r="AU1066" s="17"/>
      <c r="AV1066" s="19"/>
      <c r="AW1066" s="17"/>
      <c r="AX1066" s="17">
        <f t="shared" si="436"/>
        <v>1057</v>
      </c>
      <c r="AY1066" s="17">
        <f t="shared" si="438"/>
        <v>105.7</v>
      </c>
      <c r="AZ1066" s="17">
        <v>69.098778750936319</v>
      </c>
      <c r="BA1066" s="17"/>
      <c r="BB1066" s="17">
        <v>36</v>
      </c>
      <c r="BC1066" s="17"/>
      <c r="BD1066" s="17"/>
      <c r="BE1066" s="17"/>
      <c r="BF1066" s="17"/>
      <c r="BG1066" s="17"/>
      <c r="BH1066" s="17"/>
      <c r="BI1066" s="17"/>
      <c r="BJ1066" s="17"/>
      <c r="BK1066" s="17"/>
      <c r="BL1066" s="17"/>
      <c r="BM1066" s="17"/>
      <c r="BN1066" s="17"/>
      <c r="BO1066" s="17"/>
      <c r="BP1066" s="17"/>
      <c r="BQ1066" s="17"/>
      <c r="BR1066" s="17"/>
      <c r="BS1066" s="17"/>
      <c r="BT1066" s="17"/>
      <c r="BU1066" s="17"/>
      <c r="BV1066" s="17"/>
      <c r="BW1066" s="17"/>
      <c r="BX1066" s="17"/>
      <c r="BY1066" s="17"/>
      <c r="BZ1066" s="17"/>
      <c r="CA1066" s="17"/>
      <c r="CB1066" s="17"/>
      <c r="CC1066" s="17"/>
      <c r="CD1066" s="17"/>
      <c r="CE1066" s="17"/>
      <c r="CF1066" s="17"/>
      <c r="CG1066" s="17"/>
      <c r="CH1066" s="17"/>
    </row>
    <row r="1067" spans="35:86" x14ac:dyDescent="0.15">
      <c r="AI1067" s="3"/>
      <c r="AJ1067" s="3"/>
      <c r="AK1067" s="15">
        <f t="shared" si="430"/>
        <v>4</v>
      </c>
      <c r="AL1067" s="11">
        <f t="shared" si="439"/>
        <v>6348</v>
      </c>
      <c r="AM1067" s="11" t="b">
        <f t="shared" si="429"/>
        <v>0</v>
      </c>
      <c r="AN1067" s="11">
        <f t="shared" si="431"/>
        <v>36000</v>
      </c>
      <c r="AO1067" s="11">
        <f t="shared" si="432"/>
        <v>0</v>
      </c>
      <c r="AP1067" s="11">
        <f t="shared" si="433"/>
        <v>0.692090102324178</v>
      </c>
      <c r="AQ1067" s="11">
        <f t="shared" si="435"/>
        <v>0</v>
      </c>
      <c r="AT1067" s="3"/>
      <c r="AU1067" s="17"/>
      <c r="AV1067" s="19"/>
      <c r="AW1067" s="17"/>
      <c r="AX1067" s="17">
        <f t="shared" si="436"/>
        <v>1058</v>
      </c>
      <c r="AY1067" s="17">
        <f t="shared" si="438"/>
        <v>105.8</v>
      </c>
      <c r="AZ1067" s="17">
        <v>69.209010232417796</v>
      </c>
      <c r="BA1067" s="17"/>
      <c r="BB1067" s="17">
        <v>36</v>
      </c>
      <c r="BC1067" s="17"/>
      <c r="BD1067" s="17"/>
      <c r="BE1067" s="17"/>
      <c r="BF1067" s="17"/>
      <c r="BG1067" s="17"/>
      <c r="BH1067" s="17"/>
      <c r="BI1067" s="17"/>
      <c r="BJ1067" s="17"/>
      <c r="BK1067" s="17"/>
      <c r="BL1067" s="17"/>
      <c r="BM1067" s="17"/>
      <c r="BN1067" s="17"/>
      <c r="BO1067" s="17"/>
      <c r="BP1067" s="17"/>
      <c r="BQ1067" s="17"/>
      <c r="BR1067" s="17"/>
      <c r="BS1067" s="17"/>
      <c r="BT1067" s="17"/>
      <c r="BU1067" s="17"/>
      <c r="BV1067" s="17"/>
      <c r="BW1067" s="17"/>
      <c r="BX1067" s="17"/>
      <c r="BY1067" s="17"/>
      <c r="BZ1067" s="17"/>
      <c r="CA1067" s="17"/>
      <c r="CB1067" s="17"/>
      <c r="CC1067" s="17"/>
      <c r="CD1067" s="17"/>
      <c r="CE1067" s="17"/>
      <c r="CF1067" s="17"/>
      <c r="CG1067" s="17"/>
      <c r="CH1067" s="17"/>
    </row>
    <row r="1068" spans="35:86" x14ac:dyDescent="0.15">
      <c r="AI1068" s="3"/>
      <c r="AJ1068" s="3"/>
      <c r="AK1068" s="15">
        <f t="shared" si="430"/>
        <v>4</v>
      </c>
      <c r="AL1068" s="11">
        <f>AL1067+$AB$15</f>
        <v>6354</v>
      </c>
      <c r="AM1068" s="11" t="b">
        <f t="shared" si="429"/>
        <v>0</v>
      </c>
      <c r="AN1068" s="11">
        <f t="shared" si="431"/>
        <v>36000</v>
      </c>
      <c r="AO1068" s="11">
        <f t="shared" si="432"/>
        <v>0</v>
      </c>
      <c r="AP1068" s="11">
        <f t="shared" si="433"/>
        <v>0.69319241713899282</v>
      </c>
      <c r="AQ1068" s="11">
        <f t="shared" si="435"/>
        <v>0</v>
      </c>
      <c r="AT1068" s="3"/>
      <c r="AU1068" s="17"/>
      <c r="AV1068" s="19"/>
      <c r="AW1068" s="17"/>
      <c r="AX1068" s="17">
        <f t="shared" si="436"/>
        <v>1059</v>
      </c>
      <c r="AY1068" s="17">
        <f t="shared" si="438"/>
        <v>105.9</v>
      </c>
      <c r="AZ1068" s="17">
        <v>69.319241713899288</v>
      </c>
      <c r="BA1068" s="17"/>
      <c r="BB1068" s="17">
        <v>36</v>
      </c>
      <c r="BC1068" s="17"/>
      <c r="BD1068" s="17"/>
      <c r="BE1068" s="17"/>
      <c r="BF1068" s="17"/>
      <c r="BG1068" s="17"/>
      <c r="BH1068" s="17"/>
      <c r="BI1068" s="17"/>
      <c r="BJ1068" s="17"/>
      <c r="BK1068" s="17"/>
      <c r="BL1068" s="17"/>
      <c r="BM1068" s="17"/>
      <c r="BN1068" s="17"/>
      <c r="BO1068" s="17"/>
      <c r="BP1068" s="17"/>
      <c r="BQ1068" s="17"/>
      <c r="BR1068" s="17"/>
      <c r="BS1068" s="17"/>
      <c r="BT1068" s="17"/>
      <c r="BU1068" s="17"/>
      <c r="BV1068" s="17"/>
      <c r="BW1068" s="17"/>
      <c r="BX1068" s="17"/>
      <c r="BY1068" s="17"/>
      <c r="BZ1068" s="17"/>
      <c r="CA1068" s="17"/>
      <c r="CB1068" s="17"/>
      <c r="CC1068" s="17"/>
      <c r="CD1068" s="17"/>
      <c r="CE1068" s="17"/>
      <c r="CF1068" s="17"/>
      <c r="CG1068" s="17"/>
      <c r="CH1068" s="17"/>
    </row>
    <row r="1069" spans="35:86" x14ac:dyDescent="0.15">
      <c r="AI1069" s="3"/>
      <c r="AJ1069" s="3"/>
      <c r="AK1069" s="15">
        <f t="shared" si="430"/>
        <v>4</v>
      </c>
      <c r="AL1069" s="11">
        <f t="shared" ref="AL1069:AL1132" si="440">AL1068+$AB$15</f>
        <v>6360</v>
      </c>
      <c r="AM1069" s="11" t="b">
        <f t="shared" si="429"/>
        <v>0</v>
      </c>
      <c r="AN1069" s="11">
        <f t="shared" si="431"/>
        <v>36000</v>
      </c>
      <c r="AO1069" s="11">
        <f t="shared" si="432"/>
        <v>0</v>
      </c>
      <c r="AP1069" s="11">
        <f t="shared" si="433"/>
        <v>0.69429473195380764</v>
      </c>
      <c r="AQ1069" s="11">
        <f t="shared" si="435"/>
        <v>0</v>
      </c>
      <c r="AT1069" s="3"/>
      <c r="AU1069" s="17"/>
      <c r="AV1069" s="19"/>
      <c r="AW1069" s="17"/>
      <c r="AX1069" s="17">
        <f t="shared" si="436"/>
        <v>1060</v>
      </c>
      <c r="AY1069" s="17">
        <f t="shared" si="438"/>
        <v>106</v>
      </c>
      <c r="AZ1069" s="17">
        <v>69.429473195380766</v>
      </c>
      <c r="BA1069" s="17"/>
      <c r="BB1069" s="17">
        <v>36</v>
      </c>
      <c r="BC1069" s="17"/>
      <c r="BD1069" s="17"/>
      <c r="BE1069" s="17"/>
      <c r="BF1069" s="17"/>
      <c r="BG1069" s="17"/>
      <c r="BH1069" s="17"/>
      <c r="BI1069" s="17"/>
      <c r="BJ1069" s="17"/>
      <c r="BK1069" s="17"/>
      <c r="BL1069" s="17"/>
      <c r="BM1069" s="17"/>
      <c r="BN1069" s="17"/>
      <c r="BO1069" s="17"/>
      <c r="BP1069" s="17"/>
      <c r="BQ1069" s="17"/>
      <c r="BR1069" s="17"/>
      <c r="BS1069" s="17"/>
      <c r="BT1069" s="17"/>
      <c r="BU1069" s="17"/>
      <c r="BV1069" s="17"/>
      <c r="BW1069" s="17"/>
      <c r="BX1069" s="17"/>
      <c r="BY1069" s="17"/>
      <c r="BZ1069" s="17"/>
      <c r="CA1069" s="17"/>
      <c r="CB1069" s="17"/>
      <c r="CC1069" s="17"/>
      <c r="CD1069" s="17"/>
      <c r="CE1069" s="17"/>
      <c r="CF1069" s="17"/>
      <c r="CG1069" s="17"/>
      <c r="CH1069" s="17"/>
    </row>
    <row r="1070" spans="35:86" x14ac:dyDescent="0.15">
      <c r="AI1070" s="3"/>
      <c r="AJ1070" s="3"/>
      <c r="AK1070" s="15">
        <f t="shared" si="430"/>
        <v>4</v>
      </c>
      <c r="AL1070" s="11">
        <f t="shared" si="440"/>
        <v>6366</v>
      </c>
      <c r="AM1070" s="11" t="b">
        <f t="shared" si="429"/>
        <v>0</v>
      </c>
      <c r="AN1070" s="11">
        <f t="shared" si="431"/>
        <v>36000</v>
      </c>
      <c r="AO1070" s="11">
        <f t="shared" si="432"/>
        <v>0</v>
      </c>
      <c r="AP1070" s="11">
        <f t="shared" si="433"/>
        <v>0.69539704676862246</v>
      </c>
      <c r="AQ1070" s="11">
        <f t="shared" si="435"/>
        <v>0</v>
      </c>
      <c r="AT1070" s="3"/>
      <c r="AU1070" s="17"/>
      <c r="AV1070" s="19"/>
      <c r="AW1070" s="17"/>
      <c r="AX1070" s="17">
        <f t="shared" ref="AX1070:AX1133" si="441">IF(AX1069&gt;=$AG$14,$AG$14,AX1069+1)</f>
        <v>1061</v>
      </c>
      <c r="AY1070" s="17">
        <f t="shared" si="438"/>
        <v>106.1</v>
      </c>
      <c r="AZ1070" s="17">
        <v>69.539704676862243</v>
      </c>
      <c r="BA1070" s="17"/>
      <c r="BB1070" s="17">
        <v>36</v>
      </c>
      <c r="BC1070" s="17"/>
      <c r="BD1070" s="17"/>
      <c r="BE1070" s="17"/>
      <c r="BF1070" s="17"/>
      <c r="BG1070" s="17"/>
      <c r="BH1070" s="17"/>
      <c r="BI1070" s="17"/>
      <c r="BJ1070" s="17"/>
      <c r="BK1070" s="17"/>
      <c r="BL1070" s="17"/>
      <c r="BM1070" s="17"/>
      <c r="BN1070" s="17"/>
      <c r="BO1070" s="17"/>
      <c r="BP1070" s="17"/>
      <c r="BQ1070" s="17"/>
      <c r="BR1070" s="17"/>
      <c r="BS1070" s="17"/>
      <c r="BT1070" s="17"/>
      <c r="BU1070" s="17"/>
      <c r="BV1070" s="17"/>
      <c r="BW1070" s="17"/>
      <c r="BX1070" s="17"/>
      <c r="BY1070" s="17"/>
      <c r="BZ1070" s="17"/>
      <c r="CA1070" s="17"/>
      <c r="CB1070" s="17"/>
      <c r="CC1070" s="17"/>
      <c r="CD1070" s="17"/>
      <c r="CE1070" s="17"/>
      <c r="CF1070" s="17"/>
      <c r="CG1070" s="17"/>
      <c r="CH1070" s="17"/>
    </row>
    <row r="1071" spans="35:86" x14ac:dyDescent="0.15">
      <c r="AI1071" s="3"/>
      <c r="AJ1071" s="3"/>
      <c r="AK1071" s="15">
        <f t="shared" si="430"/>
        <v>4</v>
      </c>
      <c r="AL1071" s="11">
        <f t="shared" si="440"/>
        <v>6372</v>
      </c>
      <c r="AM1071" s="11" t="b">
        <f t="shared" si="429"/>
        <v>0</v>
      </c>
      <c r="AN1071" s="11">
        <f t="shared" si="431"/>
        <v>36000</v>
      </c>
      <c r="AO1071" s="11">
        <f t="shared" si="432"/>
        <v>0</v>
      </c>
      <c r="AP1071" s="11">
        <f t="shared" si="433"/>
        <v>0.69649936158343739</v>
      </c>
      <c r="AQ1071" s="11">
        <f t="shared" si="435"/>
        <v>0</v>
      </c>
      <c r="AT1071" s="3"/>
      <c r="AU1071" s="17"/>
      <c r="AV1071" s="19"/>
      <c r="AW1071" s="17"/>
      <c r="AX1071" s="17">
        <f t="shared" si="441"/>
        <v>1062</v>
      </c>
      <c r="AY1071" s="17">
        <f t="shared" si="438"/>
        <v>106.2</v>
      </c>
      <c r="AZ1071" s="17">
        <v>69.649936158343735</v>
      </c>
      <c r="BA1071" s="17"/>
      <c r="BB1071" s="17">
        <v>36</v>
      </c>
      <c r="BC1071" s="17"/>
      <c r="BD1071" s="17"/>
      <c r="BE1071" s="17"/>
      <c r="BF1071" s="17"/>
      <c r="BG1071" s="17"/>
      <c r="BH1071" s="17"/>
      <c r="BI1071" s="17"/>
      <c r="BJ1071" s="17"/>
      <c r="BK1071" s="17"/>
      <c r="BL1071" s="17"/>
      <c r="BM1071" s="17"/>
      <c r="BN1071" s="17"/>
      <c r="BO1071" s="17"/>
      <c r="BP1071" s="17"/>
      <c r="BQ1071" s="17"/>
      <c r="BR1071" s="17"/>
      <c r="BS1071" s="17"/>
      <c r="BT1071" s="17"/>
      <c r="BU1071" s="17"/>
      <c r="BV1071" s="17"/>
      <c r="BW1071" s="17"/>
      <c r="BX1071" s="17"/>
      <c r="BY1071" s="17"/>
      <c r="BZ1071" s="17"/>
      <c r="CA1071" s="17"/>
      <c r="CB1071" s="17"/>
      <c r="CC1071" s="17"/>
      <c r="CD1071" s="17"/>
      <c r="CE1071" s="17"/>
      <c r="CF1071" s="17"/>
      <c r="CG1071" s="17"/>
      <c r="CH1071" s="17"/>
    </row>
    <row r="1072" spans="35:86" x14ac:dyDescent="0.15">
      <c r="AI1072" s="3"/>
      <c r="AJ1072" s="3"/>
      <c r="AK1072" s="15">
        <f t="shared" si="430"/>
        <v>4</v>
      </c>
      <c r="AL1072" s="11">
        <f t="shared" si="440"/>
        <v>6378</v>
      </c>
      <c r="AM1072" s="11" t="b">
        <f t="shared" si="429"/>
        <v>0</v>
      </c>
      <c r="AN1072" s="11">
        <f t="shared" si="431"/>
        <v>36000</v>
      </c>
      <c r="AO1072" s="11">
        <f t="shared" si="432"/>
        <v>0</v>
      </c>
      <c r="AP1072" s="11">
        <f t="shared" si="433"/>
        <v>0.69760167639825221</v>
      </c>
      <c r="AQ1072" s="11">
        <f t="shared" si="435"/>
        <v>0</v>
      </c>
      <c r="AT1072" s="3"/>
      <c r="AU1072" s="17"/>
      <c r="AV1072" s="19"/>
      <c r="AW1072" s="17"/>
      <c r="AX1072" s="17">
        <f t="shared" si="441"/>
        <v>1063</v>
      </c>
      <c r="AY1072" s="17">
        <f t="shared" si="438"/>
        <v>106.3</v>
      </c>
      <c r="AZ1072" s="17">
        <v>69.760167639825227</v>
      </c>
      <c r="BA1072" s="17"/>
      <c r="BB1072" s="17">
        <v>36</v>
      </c>
      <c r="BC1072" s="17"/>
      <c r="BD1072" s="17"/>
      <c r="BE1072" s="17"/>
      <c r="BF1072" s="17"/>
      <c r="BG1072" s="17"/>
      <c r="BH1072" s="17"/>
      <c r="BI1072" s="17"/>
      <c r="BJ1072" s="17"/>
      <c r="BK1072" s="17"/>
      <c r="BL1072" s="17"/>
      <c r="BM1072" s="17"/>
      <c r="BN1072" s="17"/>
      <c r="BO1072" s="17"/>
      <c r="BP1072" s="17"/>
      <c r="BQ1072" s="17"/>
      <c r="BR1072" s="17"/>
      <c r="BS1072" s="17"/>
      <c r="BT1072" s="17"/>
      <c r="BU1072" s="17"/>
      <c r="BV1072" s="17"/>
      <c r="BW1072" s="17"/>
      <c r="BX1072" s="17"/>
      <c r="BY1072" s="17"/>
      <c r="BZ1072" s="17"/>
      <c r="CA1072" s="17"/>
      <c r="CB1072" s="17"/>
      <c r="CC1072" s="17"/>
      <c r="CD1072" s="17"/>
      <c r="CE1072" s="17"/>
      <c r="CF1072" s="17"/>
      <c r="CG1072" s="17"/>
      <c r="CH1072" s="17"/>
    </row>
    <row r="1073" spans="35:86" x14ac:dyDescent="0.15">
      <c r="AI1073" s="3"/>
      <c r="AJ1073" s="3"/>
      <c r="AK1073" s="15">
        <f t="shared" si="430"/>
        <v>4</v>
      </c>
      <c r="AL1073" s="11">
        <f t="shared" si="440"/>
        <v>6384</v>
      </c>
      <c r="AM1073" s="11" t="b">
        <f t="shared" si="429"/>
        <v>0</v>
      </c>
      <c r="AN1073" s="11">
        <f t="shared" si="431"/>
        <v>36000</v>
      </c>
      <c r="AO1073" s="11">
        <f t="shared" si="432"/>
        <v>0</v>
      </c>
      <c r="AP1073" s="11">
        <f t="shared" si="433"/>
        <v>0.69870399121306703</v>
      </c>
      <c r="AQ1073" s="11">
        <f t="shared" si="435"/>
        <v>0</v>
      </c>
      <c r="AT1073" s="3"/>
      <c r="AU1073" s="17"/>
      <c r="AV1073" s="19"/>
      <c r="AW1073" s="17"/>
      <c r="AX1073" s="17">
        <f t="shared" si="441"/>
        <v>1064</v>
      </c>
      <c r="AY1073" s="17">
        <f t="shared" si="438"/>
        <v>106.4</v>
      </c>
      <c r="AZ1073" s="17">
        <v>69.870399121306704</v>
      </c>
      <c r="BA1073" s="17"/>
      <c r="BB1073" s="17">
        <v>36</v>
      </c>
      <c r="BC1073" s="17"/>
      <c r="BD1073" s="17"/>
      <c r="BE1073" s="17"/>
      <c r="BF1073" s="17"/>
      <c r="BG1073" s="17"/>
      <c r="BH1073" s="17"/>
      <c r="BI1073" s="17"/>
      <c r="BJ1073" s="17"/>
      <c r="BK1073" s="17"/>
      <c r="BL1073" s="17"/>
      <c r="BM1073" s="17"/>
      <c r="BN1073" s="17"/>
      <c r="BO1073" s="17"/>
      <c r="BP1073" s="17"/>
      <c r="BQ1073" s="17"/>
      <c r="BR1073" s="17"/>
      <c r="BS1073" s="17"/>
      <c r="BT1073" s="17"/>
      <c r="BU1073" s="17"/>
      <c r="BV1073" s="17"/>
      <c r="BW1073" s="17"/>
      <c r="BX1073" s="17"/>
      <c r="BY1073" s="17"/>
      <c r="BZ1073" s="17"/>
      <c r="CA1073" s="17"/>
      <c r="CB1073" s="17"/>
      <c r="CC1073" s="17"/>
      <c r="CD1073" s="17"/>
      <c r="CE1073" s="17"/>
      <c r="CF1073" s="17"/>
      <c r="CG1073" s="17"/>
      <c r="CH1073" s="17"/>
    </row>
    <row r="1074" spans="35:86" x14ac:dyDescent="0.15">
      <c r="AI1074" s="3"/>
      <c r="AJ1074" s="3"/>
      <c r="AK1074" s="15">
        <f t="shared" si="430"/>
        <v>4</v>
      </c>
      <c r="AL1074" s="11">
        <f t="shared" si="440"/>
        <v>6390</v>
      </c>
      <c r="AM1074" s="11" t="b">
        <f t="shared" si="429"/>
        <v>0</v>
      </c>
      <c r="AN1074" s="11">
        <f t="shared" si="431"/>
        <v>36000</v>
      </c>
      <c r="AO1074" s="11">
        <f t="shared" si="432"/>
        <v>0</v>
      </c>
      <c r="AP1074" s="11">
        <f t="shared" si="433"/>
        <v>0.69980630602788185</v>
      </c>
      <c r="AQ1074" s="11">
        <f t="shared" si="435"/>
        <v>0</v>
      </c>
      <c r="AT1074" s="3"/>
      <c r="AU1074" s="17"/>
      <c r="AV1074" s="19"/>
      <c r="AW1074" s="17"/>
      <c r="AX1074" s="17">
        <f t="shared" si="441"/>
        <v>1065</v>
      </c>
      <c r="AY1074" s="17">
        <f t="shared" si="438"/>
        <v>106.5</v>
      </c>
      <c r="AZ1074" s="17">
        <v>69.980630602788182</v>
      </c>
      <c r="BA1074" s="17"/>
      <c r="BB1074" s="17">
        <v>36</v>
      </c>
      <c r="BC1074" s="17"/>
      <c r="BD1074" s="17"/>
      <c r="BE1074" s="17"/>
      <c r="BF1074" s="17"/>
      <c r="BG1074" s="17"/>
      <c r="BH1074" s="17"/>
      <c r="BI1074" s="17"/>
      <c r="BJ1074" s="17"/>
      <c r="BK1074" s="17"/>
      <c r="BL1074" s="17"/>
      <c r="BM1074" s="17"/>
      <c r="BN1074" s="17"/>
      <c r="BO1074" s="17"/>
      <c r="BP1074" s="17"/>
      <c r="BQ1074" s="17"/>
      <c r="BR1074" s="17"/>
      <c r="BS1074" s="17"/>
      <c r="BT1074" s="17"/>
      <c r="BU1074" s="17"/>
      <c r="BV1074" s="17"/>
      <c r="BW1074" s="17"/>
      <c r="BX1074" s="17"/>
      <c r="BY1074" s="17"/>
      <c r="BZ1074" s="17"/>
      <c r="CA1074" s="17"/>
      <c r="CB1074" s="17"/>
      <c r="CC1074" s="17"/>
      <c r="CD1074" s="17"/>
      <c r="CE1074" s="17"/>
      <c r="CF1074" s="17"/>
      <c r="CG1074" s="17"/>
      <c r="CH1074" s="17"/>
    </row>
    <row r="1075" spans="35:86" x14ac:dyDescent="0.15">
      <c r="AI1075" s="3"/>
      <c r="AJ1075" s="3"/>
      <c r="AK1075" s="15">
        <f t="shared" si="430"/>
        <v>4</v>
      </c>
      <c r="AL1075" s="11">
        <f t="shared" si="440"/>
        <v>6396</v>
      </c>
      <c r="AM1075" s="11" t="b">
        <f t="shared" si="429"/>
        <v>0</v>
      </c>
      <c r="AN1075" s="11">
        <f t="shared" si="431"/>
        <v>36000</v>
      </c>
      <c r="AO1075" s="11">
        <f t="shared" si="432"/>
        <v>0</v>
      </c>
      <c r="AP1075" s="11">
        <f t="shared" si="433"/>
        <v>0.70090862084269667</v>
      </c>
      <c r="AQ1075" s="11">
        <f t="shared" si="435"/>
        <v>0</v>
      </c>
      <c r="AT1075" s="3"/>
      <c r="AU1075" s="17"/>
      <c r="AV1075" s="19"/>
      <c r="AW1075" s="17"/>
      <c r="AX1075" s="17">
        <f t="shared" si="441"/>
        <v>1066</v>
      </c>
      <c r="AY1075" s="17">
        <f t="shared" si="438"/>
        <v>106.6</v>
      </c>
      <c r="AZ1075" s="17">
        <v>70.090862084269673</v>
      </c>
      <c r="BA1075" s="17"/>
      <c r="BB1075" s="17">
        <v>36</v>
      </c>
      <c r="BC1075" s="17"/>
      <c r="BD1075" s="17"/>
      <c r="BE1075" s="17"/>
      <c r="BF1075" s="17"/>
      <c r="BG1075" s="17"/>
      <c r="BH1075" s="17"/>
      <c r="BI1075" s="17"/>
      <c r="BJ1075" s="17"/>
      <c r="BK1075" s="17"/>
      <c r="BL1075" s="17"/>
      <c r="BM1075" s="17"/>
      <c r="BN1075" s="17"/>
      <c r="BO1075" s="17"/>
      <c r="BP1075" s="17"/>
      <c r="BQ1075" s="17"/>
      <c r="BR1075" s="17"/>
      <c r="BS1075" s="17"/>
      <c r="BT1075" s="17"/>
      <c r="BU1075" s="17"/>
      <c r="BV1075" s="17"/>
      <c r="BW1075" s="17"/>
      <c r="BX1075" s="17"/>
      <c r="BY1075" s="17"/>
      <c r="BZ1075" s="17"/>
      <c r="CA1075" s="17"/>
      <c r="CB1075" s="17"/>
      <c r="CC1075" s="17"/>
      <c r="CD1075" s="17"/>
      <c r="CE1075" s="17"/>
      <c r="CF1075" s="17"/>
      <c r="CG1075" s="17"/>
      <c r="CH1075" s="17"/>
    </row>
    <row r="1076" spans="35:86" x14ac:dyDescent="0.15">
      <c r="AI1076" s="3"/>
      <c r="AJ1076" s="3"/>
      <c r="AK1076" s="15">
        <f t="shared" si="430"/>
        <v>4</v>
      </c>
      <c r="AL1076" s="11">
        <f t="shared" si="440"/>
        <v>6402</v>
      </c>
      <c r="AM1076" s="11" t="b">
        <f t="shared" si="429"/>
        <v>0</v>
      </c>
      <c r="AN1076" s="11">
        <f t="shared" si="431"/>
        <v>36000</v>
      </c>
      <c r="AO1076" s="11">
        <f t="shared" si="432"/>
        <v>0</v>
      </c>
      <c r="AP1076" s="11">
        <f t="shared" si="433"/>
        <v>0.7020109356575116</v>
      </c>
      <c r="AQ1076" s="11">
        <f t="shared" si="435"/>
        <v>0</v>
      </c>
      <c r="AT1076" s="3"/>
      <c r="AU1076" s="17"/>
      <c r="AV1076" s="19"/>
      <c r="AW1076" s="17"/>
      <c r="AX1076" s="17">
        <f t="shared" si="441"/>
        <v>1067</v>
      </c>
      <c r="AY1076" s="17">
        <f t="shared" si="438"/>
        <v>106.7</v>
      </c>
      <c r="AZ1076" s="17">
        <v>70.201093565751165</v>
      </c>
      <c r="BA1076" s="17"/>
      <c r="BB1076" s="17">
        <v>36</v>
      </c>
      <c r="BC1076" s="17"/>
      <c r="BD1076" s="17"/>
      <c r="BE1076" s="17"/>
      <c r="BF1076" s="17"/>
      <c r="BG1076" s="17"/>
      <c r="BH1076" s="17"/>
      <c r="BI1076" s="17"/>
      <c r="BJ1076" s="17"/>
      <c r="BK1076" s="17"/>
      <c r="BL1076" s="17"/>
      <c r="BM1076" s="17"/>
      <c r="BN1076" s="17"/>
      <c r="BO1076" s="17"/>
      <c r="BP1076" s="17"/>
      <c r="BQ1076" s="17"/>
      <c r="BR1076" s="17"/>
      <c r="BS1076" s="17"/>
      <c r="BT1076" s="17"/>
      <c r="BU1076" s="17"/>
      <c r="BV1076" s="17"/>
      <c r="BW1076" s="17"/>
      <c r="BX1076" s="17"/>
      <c r="BY1076" s="17"/>
      <c r="BZ1076" s="17"/>
      <c r="CA1076" s="17"/>
      <c r="CB1076" s="17"/>
      <c r="CC1076" s="17"/>
      <c r="CD1076" s="17"/>
      <c r="CE1076" s="17"/>
      <c r="CF1076" s="17"/>
      <c r="CG1076" s="17"/>
      <c r="CH1076" s="17"/>
    </row>
    <row r="1077" spans="35:86" x14ac:dyDescent="0.15">
      <c r="AI1077" s="3"/>
      <c r="AJ1077" s="3"/>
      <c r="AK1077" s="15">
        <f t="shared" si="430"/>
        <v>4</v>
      </c>
      <c r="AL1077" s="11">
        <f t="shared" si="440"/>
        <v>6408</v>
      </c>
      <c r="AM1077" s="11" t="b">
        <f t="shared" si="429"/>
        <v>0</v>
      </c>
      <c r="AN1077" s="11">
        <f t="shared" si="431"/>
        <v>36000</v>
      </c>
      <c r="AO1077" s="11">
        <f t="shared" si="432"/>
        <v>0</v>
      </c>
      <c r="AP1077" s="11">
        <f t="shared" si="433"/>
        <v>0.70311325047232642</v>
      </c>
      <c r="AQ1077" s="11">
        <f t="shared" si="435"/>
        <v>0</v>
      </c>
      <c r="AT1077" s="3"/>
      <c r="AU1077" s="17"/>
      <c r="AV1077" s="19"/>
      <c r="AW1077" s="17"/>
      <c r="AX1077" s="17">
        <f t="shared" si="441"/>
        <v>1068</v>
      </c>
      <c r="AY1077" s="17">
        <f t="shared" si="438"/>
        <v>106.8</v>
      </c>
      <c r="AZ1077" s="17">
        <v>70.311325047232643</v>
      </c>
      <c r="BA1077" s="17"/>
      <c r="BB1077" s="17">
        <v>36</v>
      </c>
      <c r="BC1077" s="17"/>
      <c r="BD1077" s="17"/>
      <c r="BE1077" s="17"/>
      <c r="BF1077" s="17"/>
      <c r="BG1077" s="17"/>
      <c r="BH1077" s="17"/>
      <c r="BI1077" s="17"/>
      <c r="BJ1077" s="17"/>
      <c r="BK1077" s="17"/>
      <c r="BL1077" s="17"/>
      <c r="BM1077" s="17"/>
      <c r="BN1077" s="17"/>
      <c r="BO1077" s="17"/>
      <c r="BP1077" s="17"/>
      <c r="BQ1077" s="17"/>
      <c r="BR1077" s="17"/>
      <c r="BS1077" s="17"/>
      <c r="BT1077" s="17"/>
      <c r="BU1077" s="17"/>
      <c r="BV1077" s="17"/>
      <c r="BW1077" s="17"/>
      <c r="BX1077" s="17"/>
      <c r="BY1077" s="17"/>
      <c r="BZ1077" s="17"/>
      <c r="CA1077" s="17"/>
      <c r="CB1077" s="17"/>
      <c r="CC1077" s="17"/>
      <c r="CD1077" s="17"/>
      <c r="CE1077" s="17"/>
      <c r="CF1077" s="17"/>
      <c r="CG1077" s="17"/>
      <c r="CH1077" s="17"/>
    </row>
    <row r="1078" spans="35:86" x14ac:dyDescent="0.15">
      <c r="AI1078" s="3"/>
      <c r="AJ1078" s="3"/>
      <c r="AK1078" s="15">
        <f t="shared" si="430"/>
        <v>4</v>
      </c>
      <c r="AL1078" s="11">
        <f t="shared" si="440"/>
        <v>6414</v>
      </c>
      <c r="AM1078" s="11" t="b">
        <f t="shared" si="429"/>
        <v>0</v>
      </c>
      <c r="AN1078" s="11">
        <f t="shared" si="431"/>
        <v>36000</v>
      </c>
      <c r="AO1078" s="11">
        <f t="shared" si="432"/>
        <v>0</v>
      </c>
      <c r="AP1078" s="11">
        <f t="shared" si="433"/>
        <v>0.70421556528714124</v>
      </c>
      <c r="AQ1078" s="11">
        <f t="shared" si="435"/>
        <v>0</v>
      </c>
      <c r="AT1078" s="3"/>
      <c r="AU1078" s="17"/>
      <c r="AV1078" s="19"/>
      <c r="AW1078" s="17"/>
      <c r="AX1078" s="17">
        <f t="shared" si="441"/>
        <v>1069</v>
      </c>
      <c r="AY1078" s="17">
        <f t="shared" si="438"/>
        <v>106.9</v>
      </c>
      <c r="AZ1078" s="17">
        <v>70.42155652871412</v>
      </c>
      <c r="BA1078" s="17"/>
      <c r="BB1078" s="17">
        <v>36</v>
      </c>
      <c r="BC1078" s="17"/>
      <c r="BD1078" s="17"/>
      <c r="BE1078" s="17"/>
      <c r="BF1078" s="17"/>
      <c r="BG1078" s="17"/>
      <c r="BH1078" s="17"/>
      <c r="BI1078" s="17"/>
      <c r="BJ1078" s="17"/>
      <c r="BK1078" s="17"/>
      <c r="BL1078" s="17"/>
      <c r="BM1078" s="17"/>
      <c r="BN1078" s="17"/>
      <c r="BO1078" s="17"/>
      <c r="BP1078" s="17"/>
      <c r="BQ1078" s="17"/>
      <c r="BR1078" s="17"/>
      <c r="BS1078" s="17"/>
      <c r="BT1078" s="17"/>
      <c r="BU1078" s="17"/>
      <c r="BV1078" s="17"/>
      <c r="BW1078" s="17"/>
      <c r="BX1078" s="17"/>
      <c r="BY1078" s="17"/>
      <c r="BZ1078" s="17"/>
      <c r="CA1078" s="17"/>
      <c r="CB1078" s="17"/>
      <c r="CC1078" s="17"/>
      <c r="CD1078" s="17"/>
      <c r="CE1078" s="17"/>
      <c r="CF1078" s="17"/>
      <c r="CG1078" s="17"/>
      <c r="CH1078" s="17"/>
    </row>
    <row r="1079" spans="35:86" x14ac:dyDescent="0.15">
      <c r="AI1079" s="3"/>
      <c r="AJ1079" s="3"/>
      <c r="AK1079" s="15">
        <f t="shared" si="430"/>
        <v>4</v>
      </c>
      <c r="AL1079" s="11">
        <f t="shared" si="440"/>
        <v>6420</v>
      </c>
      <c r="AM1079" s="11" t="b">
        <f t="shared" si="429"/>
        <v>0</v>
      </c>
      <c r="AN1079" s="11">
        <f t="shared" si="431"/>
        <v>36000</v>
      </c>
      <c r="AO1079" s="11">
        <f t="shared" si="432"/>
        <v>0</v>
      </c>
      <c r="AP1079" s="11">
        <f t="shared" si="433"/>
        <v>0.70531788010195606</v>
      </c>
      <c r="AQ1079" s="11">
        <f t="shared" si="435"/>
        <v>0</v>
      </c>
      <c r="AT1079" s="3"/>
      <c r="AU1079" s="17"/>
      <c r="AV1079" s="19"/>
      <c r="AW1079" s="17"/>
      <c r="AX1079" s="17">
        <f t="shared" si="441"/>
        <v>1070</v>
      </c>
      <c r="AY1079" s="17">
        <f t="shared" si="438"/>
        <v>107</v>
      </c>
      <c r="AZ1079" s="17">
        <v>70.531788010195612</v>
      </c>
      <c r="BA1079" s="17"/>
      <c r="BB1079" s="17">
        <v>36</v>
      </c>
      <c r="BC1079" s="17"/>
      <c r="BD1079" s="17"/>
      <c r="BE1079" s="17"/>
      <c r="BF1079" s="17"/>
      <c r="BG1079" s="17"/>
      <c r="BH1079" s="17"/>
      <c r="BI1079" s="17"/>
      <c r="BJ1079" s="17"/>
      <c r="BK1079" s="17"/>
      <c r="BL1079" s="17"/>
      <c r="BM1079" s="17"/>
      <c r="BN1079" s="17"/>
      <c r="BO1079" s="17"/>
      <c r="BP1079" s="17"/>
      <c r="BQ1079" s="17"/>
      <c r="BR1079" s="17"/>
      <c r="BS1079" s="17"/>
      <c r="BT1079" s="17"/>
      <c r="BU1079" s="17"/>
      <c r="BV1079" s="17"/>
      <c r="BW1079" s="17"/>
      <c r="BX1079" s="17"/>
      <c r="BY1079" s="17"/>
      <c r="BZ1079" s="17"/>
      <c r="CA1079" s="17"/>
      <c r="CB1079" s="17"/>
      <c r="CC1079" s="17"/>
      <c r="CD1079" s="17"/>
      <c r="CE1079" s="17"/>
      <c r="CF1079" s="17"/>
      <c r="CG1079" s="17"/>
      <c r="CH1079" s="17"/>
    </row>
    <row r="1080" spans="35:86" x14ac:dyDescent="0.15">
      <c r="AI1080" s="3"/>
      <c r="AJ1080" s="3"/>
      <c r="AK1080" s="15">
        <f t="shared" si="430"/>
        <v>4</v>
      </c>
      <c r="AL1080" s="11">
        <f t="shared" si="440"/>
        <v>6426</v>
      </c>
      <c r="AM1080" s="11" t="b">
        <f t="shared" si="429"/>
        <v>0</v>
      </c>
      <c r="AN1080" s="11">
        <f t="shared" si="431"/>
        <v>36000</v>
      </c>
      <c r="AO1080" s="11">
        <f t="shared" si="432"/>
        <v>0</v>
      </c>
      <c r="AP1080" s="11">
        <f t="shared" si="433"/>
        <v>0.70642019491677088</v>
      </c>
      <c r="AQ1080" s="11">
        <f t="shared" si="435"/>
        <v>0</v>
      </c>
      <c r="AT1080" s="3"/>
      <c r="AU1080" s="17"/>
      <c r="AV1080" s="19"/>
      <c r="AW1080" s="17"/>
      <c r="AX1080" s="17">
        <f t="shared" si="441"/>
        <v>1071</v>
      </c>
      <c r="AY1080" s="17">
        <f t="shared" si="438"/>
        <v>107.1</v>
      </c>
      <c r="AZ1080" s="17">
        <v>70.64201949167709</v>
      </c>
      <c r="BA1080" s="17"/>
      <c r="BB1080" s="17">
        <v>36</v>
      </c>
      <c r="BC1080" s="17"/>
      <c r="BD1080" s="17"/>
      <c r="BE1080" s="17"/>
      <c r="BF1080" s="17"/>
      <c r="BG1080" s="17"/>
      <c r="BH1080" s="17"/>
      <c r="BI1080" s="17"/>
      <c r="BJ1080" s="17"/>
      <c r="BK1080" s="17"/>
      <c r="BL1080" s="17"/>
      <c r="BM1080" s="17"/>
      <c r="BN1080" s="17"/>
      <c r="BO1080" s="17"/>
      <c r="BP1080" s="17"/>
      <c r="BQ1080" s="17"/>
      <c r="BR1080" s="17"/>
      <c r="BS1080" s="17"/>
      <c r="BT1080" s="17"/>
      <c r="BU1080" s="17"/>
      <c r="BV1080" s="17"/>
      <c r="BW1080" s="17"/>
      <c r="BX1080" s="17"/>
      <c r="BY1080" s="17"/>
      <c r="BZ1080" s="17"/>
      <c r="CA1080" s="17"/>
      <c r="CB1080" s="17"/>
      <c r="CC1080" s="17"/>
      <c r="CD1080" s="17"/>
      <c r="CE1080" s="17"/>
      <c r="CF1080" s="17"/>
      <c r="CG1080" s="17"/>
      <c r="CH1080" s="17"/>
    </row>
    <row r="1081" spans="35:86" x14ac:dyDescent="0.15">
      <c r="AI1081" s="3"/>
      <c r="AJ1081" s="3"/>
      <c r="AK1081" s="15">
        <f t="shared" si="430"/>
        <v>4</v>
      </c>
      <c r="AL1081" s="11">
        <f t="shared" si="440"/>
        <v>6432</v>
      </c>
      <c r="AM1081" s="11" t="b">
        <f t="shared" si="429"/>
        <v>0</v>
      </c>
      <c r="AN1081" s="11">
        <f t="shared" si="431"/>
        <v>36000</v>
      </c>
      <c r="AO1081" s="11">
        <f t="shared" si="432"/>
        <v>0</v>
      </c>
      <c r="AP1081" s="11">
        <f t="shared" si="433"/>
        <v>0.70752250973158581</v>
      </c>
      <c r="AQ1081" s="11">
        <f t="shared" si="435"/>
        <v>0</v>
      </c>
      <c r="AT1081" s="3"/>
      <c r="AU1081" s="17"/>
      <c r="AV1081" s="19"/>
      <c r="AW1081" s="17"/>
      <c r="AX1081" s="17">
        <f t="shared" si="441"/>
        <v>1072</v>
      </c>
      <c r="AY1081" s="17">
        <f t="shared" si="438"/>
        <v>107.2</v>
      </c>
      <c r="AZ1081" s="17">
        <v>70.752250973158581</v>
      </c>
      <c r="BA1081" s="17"/>
      <c r="BB1081" s="17">
        <v>36</v>
      </c>
      <c r="BC1081" s="17"/>
      <c r="BD1081" s="17"/>
      <c r="BE1081" s="17"/>
      <c r="BF1081" s="17"/>
      <c r="BG1081" s="17"/>
      <c r="BH1081" s="17"/>
      <c r="BI1081" s="17"/>
      <c r="BJ1081" s="17"/>
      <c r="BK1081" s="17"/>
      <c r="BL1081" s="17"/>
      <c r="BM1081" s="17"/>
      <c r="BN1081" s="17"/>
      <c r="BO1081" s="17"/>
      <c r="BP1081" s="17"/>
      <c r="BQ1081" s="17"/>
      <c r="BR1081" s="17"/>
      <c r="BS1081" s="17"/>
      <c r="BT1081" s="17"/>
      <c r="BU1081" s="17"/>
      <c r="BV1081" s="17"/>
      <c r="BW1081" s="17"/>
      <c r="BX1081" s="17"/>
      <c r="BY1081" s="17"/>
      <c r="BZ1081" s="17"/>
      <c r="CA1081" s="17"/>
      <c r="CB1081" s="17"/>
      <c r="CC1081" s="17"/>
      <c r="CD1081" s="17"/>
      <c r="CE1081" s="17"/>
      <c r="CF1081" s="17"/>
      <c r="CG1081" s="17"/>
      <c r="CH1081" s="17"/>
    </row>
    <row r="1082" spans="35:86" x14ac:dyDescent="0.15">
      <c r="AI1082" s="3"/>
      <c r="AJ1082" s="3"/>
      <c r="AK1082" s="15">
        <f t="shared" si="430"/>
        <v>4</v>
      </c>
      <c r="AL1082" s="11">
        <f t="shared" si="440"/>
        <v>6438</v>
      </c>
      <c r="AM1082" s="11" t="b">
        <f t="shared" si="429"/>
        <v>0</v>
      </c>
      <c r="AN1082" s="11">
        <f t="shared" si="431"/>
        <v>36000</v>
      </c>
      <c r="AO1082" s="11">
        <f t="shared" si="432"/>
        <v>0</v>
      </c>
      <c r="AP1082" s="11">
        <f t="shared" si="433"/>
        <v>0.70862482454640063</v>
      </c>
      <c r="AQ1082" s="11">
        <f t="shared" si="435"/>
        <v>0</v>
      </c>
      <c r="AT1082" s="3"/>
      <c r="AU1082" s="17"/>
      <c r="AV1082" s="19"/>
      <c r="AW1082" s="17"/>
      <c r="AX1082" s="17">
        <f t="shared" si="441"/>
        <v>1073</v>
      </c>
      <c r="AY1082" s="17">
        <f t="shared" si="438"/>
        <v>107.3</v>
      </c>
      <c r="AZ1082" s="17">
        <v>70.862482454640059</v>
      </c>
      <c r="BA1082" s="17"/>
      <c r="BB1082" s="17">
        <v>36</v>
      </c>
      <c r="BC1082" s="17"/>
      <c r="BD1082" s="17"/>
      <c r="BE1082" s="17"/>
      <c r="BF1082" s="17"/>
      <c r="BG1082" s="17"/>
      <c r="BH1082" s="17"/>
      <c r="BI1082" s="17"/>
      <c r="BJ1082" s="17"/>
      <c r="BK1082" s="17"/>
      <c r="BL1082" s="17"/>
      <c r="BM1082" s="17"/>
      <c r="BN1082" s="17"/>
      <c r="BO1082" s="17"/>
      <c r="BP1082" s="17"/>
      <c r="BQ1082" s="17"/>
      <c r="BR1082" s="17"/>
      <c r="BS1082" s="17"/>
      <c r="BT1082" s="17"/>
      <c r="BU1082" s="17"/>
      <c r="BV1082" s="17"/>
      <c r="BW1082" s="17"/>
      <c r="BX1082" s="17"/>
      <c r="BY1082" s="17"/>
      <c r="BZ1082" s="17"/>
      <c r="CA1082" s="17"/>
      <c r="CB1082" s="17"/>
      <c r="CC1082" s="17"/>
      <c r="CD1082" s="17"/>
      <c r="CE1082" s="17"/>
      <c r="CF1082" s="17"/>
      <c r="CG1082" s="17"/>
      <c r="CH1082" s="17"/>
    </row>
    <row r="1083" spans="35:86" x14ac:dyDescent="0.15">
      <c r="AI1083" s="3"/>
      <c r="AJ1083" s="3"/>
      <c r="AK1083" s="15">
        <f t="shared" si="430"/>
        <v>4</v>
      </c>
      <c r="AL1083" s="11">
        <f t="shared" si="440"/>
        <v>6444</v>
      </c>
      <c r="AM1083" s="11" t="b">
        <f t="shared" si="429"/>
        <v>0</v>
      </c>
      <c r="AN1083" s="11">
        <f t="shared" si="431"/>
        <v>36000</v>
      </c>
      <c r="AO1083" s="11">
        <f t="shared" si="432"/>
        <v>0</v>
      </c>
      <c r="AP1083" s="11">
        <f t="shared" si="433"/>
        <v>0.70972713936121545</v>
      </c>
      <c r="AQ1083" s="11">
        <f t="shared" si="435"/>
        <v>0</v>
      </c>
      <c r="AT1083" s="3"/>
      <c r="AU1083" s="17"/>
      <c r="AV1083" s="19"/>
      <c r="AW1083" s="17"/>
      <c r="AX1083" s="17">
        <f t="shared" si="441"/>
        <v>1074</v>
      </c>
      <c r="AY1083" s="17">
        <f t="shared" si="438"/>
        <v>107.4</v>
      </c>
      <c r="AZ1083" s="17">
        <v>70.972713936121551</v>
      </c>
      <c r="BA1083" s="17"/>
      <c r="BB1083" s="17">
        <v>36</v>
      </c>
      <c r="BC1083" s="17"/>
      <c r="BD1083" s="17"/>
      <c r="BE1083" s="17"/>
      <c r="BF1083" s="17"/>
      <c r="BG1083" s="17"/>
      <c r="BH1083" s="17"/>
      <c r="BI1083" s="17"/>
      <c r="BJ1083" s="17"/>
      <c r="BK1083" s="17"/>
      <c r="BL1083" s="17"/>
      <c r="BM1083" s="17"/>
      <c r="BN1083" s="17"/>
      <c r="BO1083" s="17"/>
      <c r="BP1083" s="17"/>
      <c r="BQ1083" s="17"/>
      <c r="BR1083" s="17"/>
      <c r="BS1083" s="17"/>
      <c r="BT1083" s="17"/>
      <c r="BU1083" s="17"/>
      <c r="BV1083" s="17"/>
      <c r="BW1083" s="17"/>
      <c r="BX1083" s="17"/>
      <c r="BY1083" s="17"/>
      <c r="BZ1083" s="17"/>
      <c r="CA1083" s="17"/>
      <c r="CB1083" s="17"/>
      <c r="CC1083" s="17"/>
      <c r="CD1083" s="17"/>
      <c r="CE1083" s="17"/>
      <c r="CF1083" s="17"/>
      <c r="CG1083" s="17"/>
      <c r="CH1083" s="17"/>
    </row>
    <row r="1084" spans="35:86" x14ac:dyDescent="0.15">
      <c r="AI1084" s="3"/>
      <c r="AJ1084" s="3"/>
      <c r="AK1084" s="15">
        <f t="shared" si="430"/>
        <v>4</v>
      </c>
      <c r="AL1084" s="11">
        <f t="shared" si="440"/>
        <v>6450</v>
      </c>
      <c r="AM1084" s="11" t="b">
        <f t="shared" si="429"/>
        <v>0</v>
      </c>
      <c r="AN1084" s="11">
        <f t="shared" si="431"/>
        <v>36000</v>
      </c>
      <c r="AO1084" s="11">
        <f t="shared" si="432"/>
        <v>0</v>
      </c>
      <c r="AP1084" s="11">
        <f t="shared" si="433"/>
        <v>0.71082945417603027</v>
      </c>
      <c r="AQ1084" s="11">
        <f t="shared" si="435"/>
        <v>0</v>
      </c>
      <c r="AT1084" s="3"/>
      <c r="AU1084" s="17"/>
      <c r="AV1084" s="19"/>
      <c r="AW1084" s="17"/>
      <c r="AX1084" s="17">
        <f t="shared" si="441"/>
        <v>1075</v>
      </c>
      <c r="AY1084" s="17">
        <f t="shared" si="438"/>
        <v>107.5</v>
      </c>
      <c r="AZ1084" s="17">
        <v>71.082945417603028</v>
      </c>
      <c r="BA1084" s="17"/>
      <c r="BB1084" s="17">
        <v>36</v>
      </c>
      <c r="BC1084" s="17"/>
      <c r="BD1084" s="17"/>
      <c r="BE1084" s="17"/>
      <c r="BF1084" s="17"/>
      <c r="BG1084" s="17"/>
      <c r="BH1084" s="17"/>
      <c r="BI1084" s="17"/>
      <c r="BJ1084" s="17"/>
      <c r="BK1084" s="17"/>
      <c r="BL1084" s="17"/>
      <c r="BM1084" s="17"/>
      <c r="BN1084" s="17"/>
      <c r="BO1084" s="17"/>
      <c r="BP1084" s="17"/>
      <c r="BQ1084" s="17"/>
      <c r="BR1084" s="17"/>
      <c r="BS1084" s="17"/>
      <c r="BT1084" s="17"/>
      <c r="BU1084" s="17"/>
      <c r="BV1084" s="17"/>
      <c r="BW1084" s="17"/>
      <c r="BX1084" s="17"/>
      <c r="BY1084" s="17"/>
      <c r="BZ1084" s="17"/>
      <c r="CA1084" s="17"/>
      <c r="CB1084" s="17"/>
      <c r="CC1084" s="17"/>
      <c r="CD1084" s="17"/>
      <c r="CE1084" s="17"/>
      <c r="CF1084" s="17"/>
      <c r="CG1084" s="17"/>
      <c r="CH1084" s="17"/>
    </row>
    <row r="1085" spans="35:86" x14ac:dyDescent="0.15">
      <c r="AI1085" s="3"/>
      <c r="AJ1085" s="3"/>
      <c r="AK1085" s="15">
        <f t="shared" si="430"/>
        <v>4</v>
      </c>
      <c r="AL1085" s="11">
        <f t="shared" si="440"/>
        <v>6456</v>
      </c>
      <c r="AM1085" s="11" t="b">
        <f t="shared" si="429"/>
        <v>0</v>
      </c>
      <c r="AN1085" s="11">
        <f t="shared" si="431"/>
        <v>36000</v>
      </c>
      <c r="AO1085" s="11">
        <f t="shared" si="432"/>
        <v>0</v>
      </c>
      <c r="AP1085" s="11">
        <f t="shared" si="433"/>
        <v>0.71193176899084509</v>
      </c>
      <c r="AQ1085" s="11">
        <f t="shared" si="435"/>
        <v>0</v>
      </c>
      <c r="AT1085" s="3"/>
      <c r="AU1085" s="17"/>
      <c r="AV1085" s="19"/>
      <c r="AW1085" s="17"/>
      <c r="AX1085" s="17">
        <f t="shared" si="441"/>
        <v>1076</v>
      </c>
      <c r="AY1085" s="17">
        <f t="shared" si="438"/>
        <v>107.6</v>
      </c>
      <c r="AZ1085" s="17">
        <v>71.193176899084506</v>
      </c>
      <c r="BA1085" s="17"/>
      <c r="BB1085" s="17">
        <v>36</v>
      </c>
      <c r="BC1085" s="17"/>
      <c r="BD1085" s="17"/>
      <c r="BE1085" s="17"/>
      <c r="BF1085" s="17"/>
      <c r="BG1085" s="17"/>
      <c r="BH1085" s="17"/>
      <c r="BI1085" s="17"/>
      <c r="BJ1085" s="17"/>
      <c r="BK1085" s="17"/>
      <c r="BL1085" s="17"/>
      <c r="BM1085" s="17"/>
      <c r="BN1085" s="17"/>
      <c r="BO1085" s="17"/>
      <c r="BP1085" s="17"/>
      <c r="BQ1085" s="17"/>
      <c r="BR1085" s="17"/>
      <c r="BS1085" s="17"/>
      <c r="BT1085" s="17"/>
      <c r="BU1085" s="17"/>
      <c r="BV1085" s="17"/>
      <c r="BW1085" s="17"/>
      <c r="BX1085" s="17"/>
      <c r="BY1085" s="17"/>
      <c r="BZ1085" s="17"/>
      <c r="CA1085" s="17"/>
      <c r="CB1085" s="17"/>
      <c r="CC1085" s="17"/>
      <c r="CD1085" s="17"/>
      <c r="CE1085" s="17"/>
      <c r="CF1085" s="17"/>
      <c r="CG1085" s="17"/>
      <c r="CH1085" s="17"/>
    </row>
    <row r="1086" spans="35:86" x14ac:dyDescent="0.15">
      <c r="AI1086" s="3"/>
      <c r="AJ1086" s="3"/>
      <c r="AK1086" s="15">
        <f t="shared" si="430"/>
        <v>4</v>
      </c>
      <c r="AL1086" s="11">
        <f t="shared" si="440"/>
        <v>6462</v>
      </c>
      <c r="AM1086" s="11" t="b">
        <f t="shared" si="429"/>
        <v>0</v>
      </c>
      <c r="AN1086" s="11">
        <f t="shared" si="431"/>
        <v>36000</v>
      </c>
      <c r="AO1086" s="11">
        <f t="shared" si="432"/>
        <v>0</v>
      </c>
      <c r="AP1086" s="11">
        <f t="shared" si="433"/>
        <v>0.71303408380566002</v>
      </c>
      <c r="AQ1086" s="11">
        <f t="shared" si="435"/>
        <v>0</v>
      </c>
      <c r="AT1086" s="3"/>
      <c r="AU1086" s="17"/>
      <c r="AV1086" s="19"/>
      <c r="AW1086" s="17"/>
      <c r="AX1086" s="17">
        <f t="shared" si="441"/>
        <v>1077</v>
      </c>
      <c r="AY1086" s="17">
        <f t="shared" si="438"/>
        <v>107.7</v>
      </c>
      <c r="AZ1086" s="17">
        <v>71.303408380565998</v>
      </c>
      <c r="BA1086" s="17"/>
      <c r="BB1086" s="17">
        <v>36</v>
      </c>
      <c r="BC1086" s="17"/>
      <c r="BD1086" s="17"/>
      <c r="BE1086" s="17"/>
      <c r="BF1086" s="17"/>
      <c r="BG1086" s="17"/>
      <c r="BH1086" s="17"/>
      <c r="BI1086" s="17"/>
      <c r="BJ1086" s="17"/>
      <c r="BK1086" s="17"/>
      <c r="BL1086" s="17"/>
      <c r="BM1086" s="17"/>
      <c r="BN1086" s="17"/>
      <c r="BO1086" s="17"/>
      <c r="BP1086" s="17"/>
      <c r="BQ1086" s="17"/>
      <c r="BR1086" s="17"/>
      <c r="BS1086" s="17"/>
      <c r="BT1086" s="17"/>
      <c r="BU1086" s="17"/>
      <c r="BV1086" s="17"/>
      <c r="BW1086" s="17"/>
      <c r="BX1086" s="17"/>
      <c r="BY1086" s="17"/>
      <c r="BZ1086" s="17"/>
      <c r="CA1086" s="17"/>
      <c r="CB1086" s="17"/>
      <c r="CC1086" s="17"/>
      <c r="CD1086" s="17"/>
      <c r="CE1086" s="17"/>
      <c r="CF1086" s="17"/>
      <c r="CG1086" s="17"/>
      <c r="CH1086" s="17"/>
    </row>
    <row r="1087" spans="35:86" x14ac:dyDescent="0.15">
      <c r="AI1087" s="3"/>
      <c r="AJ1087" s="3"/>
      <c r="AK1087" s="15">
        <f t="shared" si="430"/>
        <v>4</v>
      </c>
      <c r="AL1087" s="11">
        <f t="shared" si="440"/>
        <v>6468</v>
      </c>
      <c r="AM1087" s="11" t="b">
        <f t="shared" si="429"/>
        <v>0</v>
      </c>
      <c r="AN1087" s="11">
        <f t="shared" si="431"/>
        <v>36000</v>
      </c>
      <c r="AO1087" s="11">
        <f t="shared" si="432"/>
        <v>0</v>
      </c>
      <c r="AP1087" s="11">
        <f t="shared" si="433"/>
        <v>0.71413639862047484</v>
      </c>
      <c r="AQ1087" s="11">
        <f t="shared" si="435"/>
        <v>0</v>
      </c>
      <c r="AT1087" s="3"/>
      <c r="AU1087" s="17"/>
      <c r="AV1087" s="19"/>
      <c r="AW1087" s="17"/>
      <c r="AX1087" s="17">
        <f t="shared" si="441"/>
        <v>1078</v>
      </c>
      <c r="AY1087" s="17">
        <f t="shared" si="438"/>
        <v>107.8</v>
      </c>
      <c r="AZ1087" s="17">
        <v>71.413639862047489</v>
      </c>
      <c r="BA1087" s="17"/>
      <c r="BB1087" s="17">
        <v>36</v>
      </c>
      <c r="BC1087" s="17"/>
      <c r="BD1087" s="17"/>
      <c r="BE1087" s="17"/>
      <c r="BF1087" s="17"/>
      <c r="BG1087" s="17"/>
      <c r="BH1087" s="17"/>
      <c r="BI1087" s="17"/>
      <c r="BJ1087" s="17"/>
      <c r="BK1087" s="17"/>
      <c r="BL1087" s="17"/>
      <c r="BM1087" s="17"/>
      <c r="BN1087" s="17"/>
      <c r="BO1087" s="17"/>
      <c r="BP1087" s="17"/>
      <c r="BQ1087" s="17"/>
      <c r="BR1087" s="17"/>
      <c r="BS1087" s="17"/>
      <c r="BT1087" s="17"/>
      <c r="BU1087" s="17"/>
      <c r="BV1087" s="17"/>
      <c r="BW1087" s="17"/>
      <c r="BX1087" s="17"/>
      <c r="BY1087" s="17"/>
      <c r="BZ1087" s="17"/>
      <c r="CA1087" s="17"/>
      <c r="CB1087" s="17"/>
      <c r="CC1087" s="17"/>
      <c r="CD1087" s="17"/>
      <c r="CE1087" s="17"/>
      <c r="CF1087" s="17"/>
      <c r="CG1087" s="17"/>
      <c r="CH1087" s="17"/>
    </row>
    <row r="1088" spans="35:86" x14ac:dyDescent="0.15">
      <c r="AI1088" s="3"/>
      <c r="AJ1088" s="3"/>
      <c r="AK1088" s="15">
        <f t="shared" si="430"/>
        <v>4</v>
      </c>
      <c r="AL1088" s="11">
        <f t="shared" si="440"/>
        <v>6474</v>
      </c>
      <c r="AM1088" s="11" t="b">
        <f t="shared" si="429"/>
        <v>0</v>
      </c>
      <c r="AN1088" s="11">
        <f t="shared" si="431"/>
        <v>36000</v>
      </c>
      <c r="AO1088" s="11">
        <f t="shared" si="432"/>
        <v>0</v>
      </c>
      <c r="AP1088" s="11">
        <f t="shared" si="433"/>
        <v>0.71523871343528966</v>
      </c>
      <c r="AQ1088" s="11">
        <f t="shared" si="435"/>
        <v>0</v>
      </c>
      <c r="AT1088" s="3"/>
      <c r="AU1088" s="17"/>
      <c r="AV1088" s="19"/>
      <c r="AW1088" s="17"/>
      <c r="AX1088" s="17">
        <f t="shared" si="441"/>
        <v>1079</v>
      </c>
      <c r="AY1088" s="17">
        <f t="shared" si="438"/>
        <v>107.9</v>
      </c>
      <c r="AZ1088" s="17">
        <v>71.523871343528967</v>
      </c>
      <c r="BA1088" s="17"/>
      <c r="BB1088" s="17">
        <v>36</v>
      </c>
      <c r="BC1088" s="17"/>
      <c r="BD1088" s="17"/>
      <c r="BE1088" s="17"/>
      <c r="BF1088" s="17"/>
      <c r="BG1088" s="17"/>
      <c r="BH1088" s="17"/>
      <c r="BI1088" s="17"/>
      <c r="BJ1088" s="17"/>
      <c r="BK1088" s="17"/>
      <c r="BL1088" s="17"/>
      <c r="BM1088" s="17"/>
      <c r="BN1088" s="17"/>
      <c r="BO1088" s="17"/>
      <c r="BP1088" s="17"/>
      <c r="BQ1088" s="17"/>
      <c r="BR1088" s="17"/>
      <c r="BS1088" s="17"/>
      <c r="BT1088" s="17"/>
      <c r="BU1088" s="17"/>
      <c r="BV1088" s="17"/>
      <c r="BW1088" s="17"/>
      <c r="BX1088" s="17"/>
      <c r="BY1088" s="17"/>
      <c r="BZ1088" s="17"/>
      <c r="CA1088" s="17"/>
      <c r="CB1088" s="17"/>
      <c r="CC1088" s="17"/>
      <c r="CD1088" s="17"/>
      <c r="CE1088" s="17"/>
      <c r="CF1088" s="17"/>
      <c r="CG1088" s="17"/>
      <c r="CH1088" s="17"/>
    </row>
    <row r="1089" spans="35:86" x14ac:dyDescent="0.15">
      <c r="AI1089" s="3"/>
      <c r="AJ1089" s="3"/>
      <c r="AK1089" s="15">
        <f t="shared" si="430"/>
        <v>5</v>
      </c>
      <c r="AL1089" s="11">
        <f t="shared" si="440"/>
        <v>6480</v>
      </c>
      <c r="AM1089" s="11" t="b">
        <f t="shared" si="429"/>
        <v>1</v>
      </c>
      <c r="AN1089" s="11">
        <f t="shared" si="431"/>
        <v>36000</v>
      </c>
      <c r="AO1089" s="11">
        <f t="shared" si="432"/>
        <v>0</v>
      </c>
      <c r="AP1089" s="11">
        <f t="shared" si="433"/>
        <v>0.71634102825010448</v>
      </c>
      <c r="AQ1089" s="11">
        <f t="shared" si="435"/>
        <v>0</v>
      </c>
      <c r="AT1089" s="3"/>
      <c r="AU1089" s="17"/>
      <c r="AV1089" s="19"/>
      <c r="AW1089" s="17"/>
      <c r="AX1089" s="17">
        <f t="shared" si="441"/>
        <v>1080</v>
      </c>
      <c r="AY1089" s="17">
        <f t="shared" si="438"/>
        <v>108</v>
      </c>
      <c r="AZ1089" s="17">
        <v>71.634102825010444</v>
      </c>
      <c r="BA1089" s="17"/>
      <c r="BB1089" s="17">
        <v>36</v>
      </c>
      <c r="BC1089" s="17"/>
      <c r="BD1089" s="17"/>
      <c r="BE1089" s="17"/>
      <c r="BF1089" s="17"/>
      <c r="BG1089" s="17"/>
      <c r="BH1089" s="17"/>
      <c r="BI1089" s="17"/>
      <c r="BJ1089" s="17"/>
      <c r="BK1089" s="17"/>
      <c r="BL1089" s="17"/>
      <c r="BM1089" s="17"/>
      <c r="BN1089" s="17"/>
      <c r="BO1089" s="17"/>
      <c r="BP1089" s="17"/>
      <c r="BQ1089" s="17"/>
      <c r="BR1089" s="17"/>
      <c r="BS1089" s="17"/>
      <c r="BT1089" s="17"/>
      <c r="BU1089" s="17"/>
      <c r="BV1089" s="17"/>
      <c r="BW1089" s="17"/>
      <c r="BX1089" s="17"/>
      <c r="BY1089" s="17"/>
      <c r="BZ1089" s="17"/>
      <c r="CA1089" s="17"/>
      <c r="CB1089" s="17"/>
      <c r="CC1089" s="17"/>
      <c r="CD1089" s="17"/>
      <c r="CE1089" s="17"/>
      <c r="CF1089" s="17"/>
      <c r="CG1089" s="17"/>
      <c r="CH1089" s="17"/>
    </row>
    <row r="1090" spans="35:86" x14ac:dyDescent="0.15">
      <c r="AI1090" s="3"/>
      <c r="AJ1090" s="3"/>
      <c r="AK1090" s="15">
        <f t="shared" si="430"/>
        <v>5</v>
      </c>
      <c r="AL1090" s="11">
        <f t="shared" si="440"/>
        <v>6486</v>
      </c>
      <c r="AM1090" s="11" t="b">
        <f t="shared" si="429"/>
        <v>1</v>
      </c>
      <c r="AN1090" s="11">
        <f t="shared" si="431"/>
        <v>36000</v>
      </c>
      <c r="AO1090" s="11">
        <f t="shared" si="432"/>
        <v>0</v>
      </c>
      <c r="AP1090" s="11">
        <f t="shared" si="433"/>
        <v>0.68912515970333499</v>
      </c>
      <c r="AQ1090" s="11">
        <f t="shared" si="435"/>
        <v>0</v>
      </c>
      <c r="AT1090" s="3"/>
      <c r="AU1090" s="17"/>
      <c r="AV1090" s="19"/>
      <c r="AW1090" s="17"/>
      <c r="AX1090" s="17">
        <f t="shared" si="441"/>
        <v>1081</v>
      </c>
      <c r="AY1090" s="17">
        <f t="shared" si="438"/>
        <v>108.1</v>
      </c>
      <c r="AZ1090" s="17">
        <v>68.912515970333502</v>
      </c>
      <c r="BA1090" s="17"/>
      <c r="BB1090" s="17">
        <v>36</v>
      </c>
      <c r="BC1090" s="17"/>
      <c r="BD1090" s="17"/>
      <c r="BE1090" s="17"/>
      <c r="BF1090" s="17"/>
      <c r="BG1090" s="17"/>
      <c r="BH1090" s="17"/>
      <c r="BI1090" s="17"/>
      <c r="BJ1090" s="17"/>
      <c r="BK1090" s="17"/>
      <c r="BL1090" s="17"/>
      <c r="BM1090" s="17"/>
      <c r="BN1090" s="17"/>
      <c r="BO1090" s="17"/>
      <c r="BP1090" s="17"/>
      <c r="BQ1090" s="17"/>
      <c r="BR1090" s="17"/>
      <c r="BS1090" s="17"/>
      <c r="BT1090" s="17"/>
      <c r="BU1090" s="17"/>
      <c r="BV1090" s="17"/>
      <c r="BW1090" s="17"/>
      <c r="BX1090" s="17"/>
      <c r="BY1090" s="17"/>
      <c r="BZ1090" s="17"/>
      <c r="CA1090" s="17"/>
      <c r="CB1090" s="17"/>
      <c r="CC1090" s="17"/>
      <c r="CD1090" s="17"/>
      <c r="CE1090" s="17"/>
      <c r="CF1090" s="17"/>
      <c r="CG1090" s="17"/>
      <c r="CH1090" s="17"/>
    </row>
    <row r="1091" spans="35:86" x14ac:dyDescent="0.15">
      <c r="AI1091" s="3"/>
      <c r="AJ1091" s="3"/>
      <c r="AK1091" s="15">
        <f t="shared" si="430"/>
        <v>5</v>
      </c>
      <c r="AL1091" s="11">
        <f t="shared" si="440"/>
        <v>6492</v>
      </c>
      <c r="AM1091" s="11" t="b">
        <f t="shared" si="429"/>
        <v>1</v>
      </c>
      <c r="AN1091" s="11">
        <f t="shared" si="431"/>
        <v>36000</v>
      </c>
      <c r="AO1091" s="11">
        <f t="shared" si="432"/>
        <v>0</v>
      </c>
      <c r="AP1091" s="11">
        <f t="shared" si="433"/>
        <v>0.66298518088709624</v>
      </c>
      <c r="AQ1091" s="11">
        <f t="shared" si="435"/>
        <v>0</v>
      </c>
      <c r="AT1091" s="3"/>
      <c r="AU1091" s="17"/>
      <c r="AV1091" s="19"/>
      <c r="AW1091" s="17"/>
      <c r="AX1091" s="17">
        <f t="shared" si="441"/>
        <v>1082</v>
      </c>
      <c r="AY1091" s="17">
        <f t="shared" si="438"/>
        <v>108.2</v>
      </c>
      <c r="AZ1091" s="17">
        <v>66.298518088709628</v>
      </c>
      <c r="BA1091" s="17"/>
      <c r="BB1091" s="17">
        <v>36</v>
      </c>
      <c r="BC1091" s="17"/>
      <c r="BD1091" s="17"/>
      <c r="BE1091" s="17"/>
      <c r="BF1091" s="17"/>
      <c r="BG1091" s="17"/>
      <c r="BH1091" s="17"/>
      <c r="BI1091" s="17"/>
      <c r="BJ1091" s="17"/>
      <c r="BK1091" s="17"/>
      <c r="BL1091" s="17"/>
      <c r="BM1091" s="17"/>
      <c r="BN1091" s="17"/>
      <c r="BO1091" s="17"/>
      <c r="BP1091" s="17"/>
      <c r="BQ1091" s="17"/>
      <c r="BR1091" s="17"/>
      <c r="BS1091" s="17"/>
      <c r="BT1091" s="17"/>
      <c r="BU1091" s="17"/>
      <c r="BV1091" s="17"/>
      <c r="BW1091" s="17"/>
      <c r="BX1091" s="17"/>
      <c r="BY1091" s="17"/>
      <c r="BZ1091" s="17"/>
      <c r="CA1091" s="17"/>
      <c r="CB1091" s="17"/>
      <c r="CC1091" s="17"/>
      <c r="CD1091" s="17"/>
      <c r="CE1091" s="17"/>
      <c r="CF1091" s="17"/>
      <c r="CG1091" s="17"/>
      <c r="CH1091" s="17"/>
    </row>
    <row r="1092" spans="35:86" x14ac:dyDescent="0.15">
      <c r="AI1092" s="3"/>
      <c r="AJ1092" s="3"/>
      <c r="AK1092" s="15">
        <f t="shared" si="430"/>
        <v>5</v>
      </c>
      <c r="AL1092" s="11">
        <f t="shared" si="440"/>
        <v>6498</v>
      </c>
      <c r="AM1092" s="11" t="b">
        <f t="shared" si="429"/>
        <v>1</v>
      </c>
      <c r="AN1092" s="11">
        <f t="shared" si="431"/>
        <v>36000</v>
      </c>
      <c r="AO1092" s="11">
        <f t="shared" si="432"/>
        <v>0</v>
      </c>
      <c r="AP1092" s="11">
        <f t="shared" si="433"/>
        <v>0.63787856004421617</v>
      </c>
      <c r="AQ1092" s="11">
        <f t="shared" si="435"/>
        <v>0</v>
      </c>
      <c r="AT1092" s="3"/>
      <c r="AU1092" s="17"/>
      <c r="AV1092" s="19"/>
      <c r="AW1092" s="17"/>
      <c r="AX1092" s="17">
        <f t="shared" si="441"/>
        <v>1083</v>
      </c>
      <c r="AY1092" s="17">
        <f t="shared" si="438"/>
        <v>108.3</v>
      </c>
      <c r="AZ1092" s="17">
        <v>63.78785600442162</v>
      </c>
      <c r="BA1092" s="17"/>
      <c r="BB1092" s="17">
        <v>36</v>
      </c>
      <c r="BC1092" s="17"/>
      <c r="BD1092" s="17"/>
      <c r="BE1092" s="17"/>
      <c r="BF1092" s="17"/>
      <c r="BG1092" s="17"/>
      <c r="BH1092" s="17"/>
      <c r="BI1092" s="17"/>
      <c r="BJ1092" s="17"/>
      <c r="BK1092" s="17"/>
      <c r="BL1092" s="17"/>
      <c r="BM1092" s="17"/>
      <c r="BN1092" s="17"/>
      <c r="BO1092" s="17"/>
      <c r="BP1092" s="17"/>
      <c r="BQ1092" s="17"/>
      <c r="BR1092" s="17"/>
      <c r="BS1092" s="17"/>
      <c r="BT1092" s="17"/>
      <c r="BU1092" s="17"/>
      <c r="BV1092" s="17"/>
      <c r="BW1092" s="17"/>
      <c r="BX1092" s="17"/>
      <c r="BY1092" s="17"/>
      <c r="BZ1092" s="17"/>
      <c r="CA1092" s="17"/>
      <c r="CB1092" s="17"/>
      <c r="CC1092" s="17"/>
      <c r="CD1092" s="17"/>
      <c r="CE1092" s="17"/>
      <c r="CF1092" s="17"/>
      <c r="CG1092" s="17"/>
      <c r="CH1092" s="17"/>
    </row>
    <row r="1093" spans="35:86" x14ac:dyDescent="0.15">
      <c r="AI1093" s="3"/>
      <c r="AJ1093" s="3"/>
      <c r="AK1093" s="15">
        <f t="shared" si="430"/>
        <v>5</v>
      </c>
      <c r="AL1093" s="11">
        <f t="shared" si="440"/>
        <v>6504</v>
      </c>
      <c r="AM1093" s="11" t="b">
        <f t="shared" si="429"/>
        <v>1</v>
      </c>
      <c r="AN1093" s="11">
        <f t="shared" si="431"/>
        <v>36000</v>
      </c>
      <c r="AO1093" s="11">
        <f t="shared" si="432"/>
        <v>0</v>
      </c>
      <c r="AP1093" s="11">
        <f t="shared" si="433"/>
        <v>0.61376444677046882</v>
      </c>
      <c r="AQ1093" s="11">
        <f t="shared" si="435"/>
        <v>0</v>
      </c>
      <c r="AT1093" s="3"/>
      <c r="AU1093" s="17"/>
      <c r="AV1093" s="19"/>
      <c r="AW1093" s="17"/>
      <c r="AX1093" s="17">
        <f t="shared" si="441"/>
        <v>1084</v>
      </c>
      <c r="AY1093" s="17">
        <f t="shared" si="438"/>
        <v>108.4</v>
      </c>
      <c r="AZ1093" s="17">
        <v>61.376444677046884</v>
      </c>
      <c r="BA1093" s="17"/>
      <c r="BB1093" s="17">
        <v>36</v>
      </c>
      <c r="BC1093" s="17"/>
      <c r="BD1093" s="17"/>
      <c r="BE1093" s="17"/>
      <c r="BF1093" s="17"/>
      <c r="BG1093" s="17"/>
      <c r="BH1093" s="17"/>
      <c r="BI1093" s="17"/>
      <c r="BJ1093" s="17"/>
      <c r="BK1093" s="17"/>
      <c r="BL1093" s="17"/>
      <c r="BM1093" s="17"/>
      <c r="BN1093" s="17"/>
      <c r="BO1093" s="17"/>
      <c r="BP1093" s="17"/>
      <c r="BQ1093" s="17"/>
      <c r="BR1093" s="17"/>
      <c r="BS1093" s="17"/>
      <c r="BT1093" s="17"/>
      <c r="BU1093" s="17"/>
      <c r="BV1093" s="17"/>
      <c r="BW1093" s="17"/>
      <c r="BX1093" s="17"/>
      <c r="BY1093" s="17"/>
      <c r="BZ1093" s="17"/>
      <c r="CA1093" s="17"/>
      <c r="CB1093" s="17"/>
      <c r="CC1093" s="17"/>
      <c r="CD1093" s="17"/>
      <c r="CE1093" s="17"/>
      <c r="CF1093" s="17"/>
      <c r="CG1093" s="17"/>
      <c r="CH1093" s="17"/>
    </row>
    <row r="1094" spans="35:86" x14ac:dyDescent="0.15">
      <c r="AI1094" s="3"/>
      <c r="AJ1094" s="3"/>
      <c r="AK1094" s="15">
        <f t="shared" si="430"/>
        <v>5</v>
      </c>
      <c r="AL1094" s="11">
        <f t="shared" si="440"/>
        <v>6510</v>
      </c>
      <c r="AM1094" s="11" t="b">
        <f t="shared" si="429"/>
        <v>1</v>
      </c>
      <c r="AN1094" s="11">
        <f t="shared" si="431"/>
        <v>36000</v>
      </c>
      <c r="AO1094" s="11">
        <f t="shared" si="432"/>
        <v>0</v>
      </c>
      <c r="AP1094" s="11">
        <f t="shared" si="433"/>
        <v>0.59060360554782265</v>
      </c>
      <c r="AQ1094" s="11">
        <f t="shared" si="435"/>
        <v>0</v>
      </c>
      <c r="AT1094" s="3"/>
      <c r="AU1094" s="17"/>
      <c r="AV1094" s="19"/>
      <c r="AW1094" s="17"/>
      <c r="AX1094" s="17">
        <f t="shared" si="441"/>
        <v>1085</v>
      </c>
      <c r="AY1094" s="17">
        <f t="shared" si="438"/>
        <v>108.5</v>
      </c>
      <c r="AZ1094" s="17">
        <v>59.060360554782264</v>
      </c>
      <c r="BA1094" s="17"/>
      <c r="BB1094" s="17">
        <v>36</v>
      </c>
      <c r="BC1094" s="17"/>
      <c r="BD1094" s="17"/>
      <c r="BE1094" s="17"/>
      <c r="BF1094" s="17"/>
      <c r="BG1094" s="17"/>
      <c r="BH1094" s="17"/>
      <c r="BI1094" s="17"/>
      <c r="BJ1094" s="17"/>
      <c r="BK1094" s="17"/>
      <c r="BL1094" s="17"/>
      <c r="BM1094" s="17"/>
      <c r="BN1094" s="17"/>
      <c r="BO1094" s="17"/>
      <c r="BP1094" s="17"/>
      <c r="BQ1094" s="17"/>
      <c r="BR1094" s="17"/>
      <c r="BS1094" s="17"/>
      <c r="BT1094" s="17"/>
      <c r="BU1094" s="17"/>
      <c r="BV1094" s="17"/>
      <c r="BW1094" s="17"/>
      <c r="BX1094" s="17"/>
      <c r="BY1094" s="17"/>
      <c r="BZ1094" s="17"/>
      <c r="CA1094" s="17"/>
      <c r="CB1094" s="17"/>
      <c r="CC1094" s="17"/>
      <c r="CD1094" s="17"/>
      <c r="CE1094" s="17"/>
      <c r="CF1094" s="17"/>
      <c r="CG1094" s="17"/>
      <c r="CH1094" s="17"/>
    </row>
    <row r="1095" spans="35:86" x14ac:dyDescent="0.15">
      <c r="AI1095" s="3"/>
      <c r="AJ1095" s="3"/>
      <c r="AK1095" s="15">
        <f t="shared" si="430"/>
        <v>5</v>
      </c>
      <c r="AL1095" s="11">
        <f t="shared" si="440"/>
        <v>6516</v>
      </c>
      <c r="AM1095" s="11" t="b">
        <f t="shared" si="429"/>
        <v>1</v>
      </c>
      <c r="AN1095" s="11">
        <f t="shared" si="431"/>
        <v>36000</v>
      </c>
      <c r="AO1095" s="11">
        <f t="shared" si="432"/>
        <v>0</v>
      </c>
      <c r="AP1095" s="11">
        <f t="shared" si="433"/>
        <v>0.56835835190523409</v>
      </c>
      <c r="AQ1095" s="11">
        <f t="shared" si="435"/>
        <v>0</v>
      </c>
      <c r="AT1095" s="3"/>
      <c r="AU1095" s="17"/>
      <c r="AV1095" s="19"/>
      <c r="AW1095" s="17"/>
      <c r="AX1095" s="17">
        <f t="shared" si="441"/>
        <v>1086</v>
      </c>
      <c r="AY1095" s="17">
        <f t="shared" si="438"/>
        <v>108.6</v>
      </c>
      <c r="AZ1095" s="17">
        <v>56.835835190523412</v>
      </c>
      <c r="BA1095" s="17"/>
      <c r="BB1095" s="17">
        <v>36</v>
      </c>
      <c r="BC1095" s="17"/>
      <c r="BD1095" s="17"/>
      <c r="BE1095" s="17"/>
      <c r="BF1095" s="17"/>
      <c r="BG1095" s="17"/>
      <c r="BH1095" s="17"/>
      <c r="BI1095" s="17"/>
      <c r="BJ1095" s="17"/>
      <c r="BK1095" s="17"/>
      <c r="BL1095" s="17"/>
      <c r="BM1095" s="17"/>
      <c r="BN1095" s="17"/>
      <c r="BO1095" s="17"/>
      <c r="BP1095" s="17"/>
      <c r="BQ1095" s="17"/>
      <c r="BR1095" s="17"/>
      <c r="BS1095" s="17"/>
      <c r="BT1095" s="17"/>
      <c r="BU1095" s="17"/>
      <c r="BV1095" s="17"/>
      <c r="BW1095" s="17"/>
      <c r="BX1095" s="17"/>
      <c r="BY1095" s="17"/>
      <c r="BZ1095" s="17"/>
      <c r="CA1095" s="17"/>
      <c r="CB1095" s="17"/>
      <c r="CC1095" s="17"/>
      <c r="CD1095" s="17"/>
      <c r="CE1095" s="17"/>
      <c r="CF1095" s="17"/>
      <c r="CG1095" s="17"/>
      <c r="CH1095" s="17"/>
    </row>
    <row r="1096" spans="35:86" x14ac:dyDescent="0.15">
      <c r="AI1096" s="3"/>
      <c r="AJ1096" s="3"/>
      <c r="AK1096" s="15">
        <f t="shared" si="430"/>
        <v>5</v>
      </c>
      <c r="AL1096" s="11">
        <f t="shared" si="440"/>
        <v>6522</v>
      </c>
      <c r="AM1096" s="11" t="b">
        <f t="shared" si="429"/>
        <v>1</v>
      </c>
      <c r="AN1096" s="11">
        <f t="shared" si="431"/>
        <v>36000</v>
      </c>
      <c r="AO1096" s="11">
        <f t="shared" si="432"/>
        <v>0</v>
      </c>
      <c r="AP1096" s="11">
        <f t="shared" si="433"/>
        <v>0.54699249110311232</v>
      </c>
      <c r="AQ1096" s="11">
        <f t="shared" si="435"/>
        <v>0</v>
      </c>
      <c r="AT1096" s="3"/>
      <c r="AU1096" s="17"/>
      <c r="AV1096" s="19"/>
      <c r="AW1096" s="17"/>
      <c r="AX1096" s="17">
        <f t="shared" si="441"/>
        <v>1087</v>
      </c>
      <c r="AY1096" s="17">
        <f t="shared" si="438"/>
        <v>108.7</v>
      </c>
      <c r="AZ1096" s="17">
        <v>54.699249110311229</v>
      </c>
      <c r="BA1096" s="17"/>
      <c r="BB1096" s="17">
        <v>36</v>
      </c>
      <c r="BC1096" s="17"/>
      <c r="BD1096" s="17"/>
      <c r="BE1096" s="17"/>
      <c r="BF1096" s="17"/>
      <c r="BG1096" s="17"/>
      <c r="BH1096" s="17"/>
      <c r="BI1096" s="17"/>
      <c r="BJ1096" s="17"/>
      <c r="BK1096" s="17"/>
      <c r="BL1096" s="17"/>
      <c r="BM1096" s="17"/>
      <c r="BN1096" s="17"/>
      <c r="BO1096" s="17"/>
      <c r="BP1096" s="17"/>
      <c r="BQ1096" s="17"/>
      <c r="BR1096" s="17"/>
      <c r="BS1096" s="17"/>
      <c r="BT1096" s="17"/>
      <c r="BU1096" s="17"/>
      <c r="BV1096" s="17"/>
      <c r="BW1096" s="17"/>
      <c r="BX1096" s="17"/>
      <c r="BY1096" s="17"/>
      <c r="BZ1096" s="17"/>
      <c r="CA1096" s="17"/>
      <c r="CB1096" s="17"/>
      <c r="CC1096" s="17"/>
      <c r="CD1096" s="17"/>
      <c r="CE1096" s="17"/>
      <c r="CF1096" s="17"/>
      <c r="CG1096" s="17"/>
      <c r="CH1096" s="17"/>
    </row>
    <row r="1097" spans="35:86" x14ac:dyDescent="0.15">
      <c r="AI1097" s="3"/>
      <c r="AJ1097" s="3"/>
      <c r="AK1097" s="15">
        <f t="shared" si="430"/>
        <v>5</v>
      </c>
      <c r="AL1097" s="11">
        <f t="shared" si="440"/>
        <v>6528</v>
      </c>
      <c r="AM1097" s="11" t="b">
        <f t="shared" ref="AM1097:AM1160" si="442">OR(AND(AL1097&gt;=$AC$5,AL1097&lt;=$AD$5),AND(AL1097&gt;=$AC$6,AL1097&lt;=$AD$6),AND(AL1097&gt;=$AC$7,AL1097&lt;=$AD$7),AND(AL1097&gt;=$AC$8,AL1097&lt;=$AD$8),AND(AL1097&gt;=$AC$9,AL1097&lt;=$AD$9),AND(AL1097&gt;=$AC$10,AL1097&lt;=$AD$10),AND(AL1097&gt;=$AC$11,AL1097&lt;=$AD$11),AND($AD$11&lt;$AC$11,OR(AL1097&lt;$AD$11,AL1097&gt;$AC$11)))</f>
        <v>1</v>
      </c>
      <c r="AN1097" s="11">
        <f t="shared" si="431"/>
        <v>36000</v>
      </c>
      <c r="AO1097" s="11">
        <f t="shared" si="432"/>
        <v>0</v>
      </c>
      <c r="AP1097" s="11">
        <f t="shared" si="433"/>
        <v>0.52647125924169302</v>
      </c>
      <c r="AQ1097" s="11">
        <f t="shared" si="435"/>
        <v>0</v>
      </c>
      <c r="AT1097" s="3"/>
      <c r="AU1097" s="17"/>
      <c r="AV1097" s="19"/>
      <c r="AW1097" s="17"/>
      <c r="AX1097" s="17">
        <f t="shared" si="441"/>
        <v>1088</v>
      </c>
      <c r="AY1097" s="17">
        <f t="shared" si="438"/>
        <v>108.8</v>
      </c>
      <c r="AZ1097" s="17">
        <v>52.647125924169302</v>
      </c>
      <c r="BA1097" s="17"/>
      <c r="BB1097" s="17">
        <v>36</v>
      </c>
      <c r="BC1097" s="17"/>
      <c r="BD1097" s="17"/>
      <c r="BE1097" s="17"/>
      <c r="BF1097" s="17"/>
      <c r="BG1097" s="17"/>
      <c r="BH1097" s="17"/>
      <c r="BI1097" s="17"/>
      <c r="BJ1097" s="17"/>
      <c r="BK1097" s="17"/>
      <c r="BL1097" s="17"/>
      <c r="BM1097" s="17"/>
      <c r="BN1097" s="17"/>
      <c r="BO1097" s="17"/>
      <c r="BP1097" s="17"/>
      <c r="BQ1097" s="17"/>
      <c r="BR1097" s="17"/>
      <c r="BS1097" s="17"/>
      <c r="BT1097" s="17"/>
      <c r="BU1097" s="17"/>
      <c r="BV1097" s="17"/>
      <c r="BW1097" s="17"/>
      <c r="BX1097" s="17"/>
      <c r="BY1097" s="17"/>
      <c r="BZ1097" s="17"/>
      <c r="CA1097" s="17"/>
      <c r="CB1097" s="17"/>
      <c r="CC1097" s="17"/>
      <c r="CD1097" s="17"/>
      <c r="CE1097" s="17"/>
      <c r="CF1097" s="17"/>
      <c r="CG1097" s="17"/>
      <c r="CH1097" s="17"/>
    </row>
    <row r="1098" spans="35:86" x14ac:dyDescent="0.15">
      <c r="AI1098" s="3"/>
      <c r="AJ1098" s="3"/>
      <c r="AK1098" s="15">
        <f t="shared" ref="AK1098:AK1161" si="443">1+INT(MOD(AL1098/60/24-0.5,7))</f>
        <v>5</v>
      </c>
      <c r="AL1098" s="11">
        <f t="shared" si="440"/>
        <v>6534</v>
      </c>
      <c r="AM1098" s="11" t="b">
        <f t="shared" si="442"/>
        <v>1</v>
      </c>
      <c r="AN1098" s="11">
        <f t="shared" ref="AN1098:AN1161" si="444">IF(AND(AM1098,NOT(AM1099)),$AB$26,AN1097+($AB$28-IF(AND(AM1097,AM1098),CHOOSE(AK1098,$AG$5,$AG$6,$AG$7,$AG$8,$AG$9,$AG$10,$AG$11)*$AA$22/$AA$24,0))*$AB$15)</f>
        <v>36000</v>
      </c>
      <c r="AO1098" s="11">
        <f t="shared" ref="AO1098:AO1161" si="445">IF(AND(AM1098,NOT(AM1099)),$AB$27,AO1097+($AB$29-IF(AND(AM1097,AM1098),CHOOSE(AK1098,$AG$5,$AG$6,$AG$7,$AG$8,$AG$9,$AG$10,$AG$11)*$AA$23/$AA$24,0))*$AB$15)</f>
        <v>0</v>
      </c>
      <c r="AP1098" s="11">
        <f t="shared" ref="AP1098:AP1161" si="446">IF(AN1097&lt;=0,0,(AP1097*AN1097-(IF(AND(AM1097,AM1098),CHOOSE(AK1098,$AI$5,$AI$6,$AI$7,$AI$8,$AI$9,$AI$10,$AI$11),$AA$37))*AP1097*$AB$15+$AA$34*(AQ1097-AP1097)*$AB$15+$AA$33*$AB$15)/AN1097)</f>
        <v>0.50676126669749777</v>
      </c>
      <c r="AQ1098" s="11">
        <f t="shared" si="435"/>
        <v>0</v>
      </c>
      <c r="AT1098" s="3"/>
      <c r="AU1098" s="17"/>
      <c r="AV1098" s="19"/>
      <c r="AW1098" s="17"/>
      <c r="AX1098" s="17">
        <f t="shared" si="441"/>
        <v>1089</v>
      </c>
      <c r="AY1098" s="17">
        <f t="shared" si="438"/>
        <v>108.9</v>
      </c>
      <c r="AZ1098" s="17">
        <v>50.676126669749777</v>
      </c>
      <c r="BA1098" s="17"/>
      <c r="BB1098" s="17">
        <v>36</v>
      </c>
      <c r="BC1098" s="17"/>
      <c r="BD1098" s="17"/>
      <c r="BE1098" s="17"/>
      <c r="BF1098" s="17"/>
      <c r="BG1098" s="17"/>
      <c r="BH1098" s="17"/>
      <c r="BI1098" s="17"/>
      <c r="BJ1098" s="17"/>
      <c r="BK1098" s="17"/>
      <c r="BL1098" s="17"/>
      <c r="BM1098" s="17"/>
      <c r="BN1098" s="17"/>
      <c r="BO1098" s="17"/>
      <c r="BP1098" s="17"/>
      <c r="BQ1098" s="17"/>
      <c r="BR1098" s="17"/>
      <c r="BS1098" s="17"/>
      <c r="BT1098" s="17"/>
      <c r="BU1098" s="17"/>
      <c r="BV1098" s="17"/>
      <c r="BW1098" s="17"/>
      <c r="BX1098" s="17"/>
      <c r="BY1098" s="17"/>
      <c r="BZ1098" s="17"/>
      <c r="CA1098" s="17"/>
      <c r="CB1098" s="17"/>
      <c r="CC1098" s="17"/>
      <c r="CD1098" s="17"/>
      <c r="CE1098" s="17"/>
      <c r="CF1098" s="17"/>
      <c r="CG1098" s="17"/>
      <c r="CH1098" s="17"/>
    </row>
    <row r="1099" spans="35:86" x14ac:dyDescent="0.15">
      <c r="AI1099" s="3"/>
      <c r="AJ1099" s="3"/>
      <c r="AK1099" s="15">
        <f t="shared" si="443"/>
        <v>5</v>
      </c>
      <c r="AL1099" s="11">
        <f t="shared" si="440"/>
        <v>6540</v>
      </c>
      <c r="AM1099" s="11" t="b">
        <f t="shared" si="442"/>
        <v>1</v>
      </c>
      <c r="AN1099" s="11">
        <f t="shared" si="444"/>
        <v>36000</v>
      </c>
      <c r="AO1099" s="11">
        <f t="shared" si="445"/>
        <v>0</v>
      </c>
      <c r="AP1099" s="11">
        <f t="shared" si="446"/>
        <v>0.48783044379584761</v>
      </c>
      <c r="AQ1099" s="11">
        <f t="shared" ref="AQ1099:AQ1162" si="447">IF(AO1098&lt;=0,0,(AQ1098*AO1098-$AA$34*(AQ1098-AP1098)*$AB$15)/AO1098)</f>
        <v>0</v>
      </c>
      <c r="AT1099" s="3"/>
      <c r="AU1099" s="17"/>
      <c r="AV1099" s="19"/>
      <c r="AW1099" s="17"/>
      <c r="AX1099" s="17">
        <f t="shared" si="441"/>
        <v>1090</v>
      </c>
      <c r="AY1099" s="17">
        <f t="shared" si="438"/>
        <v>109</v>
      </c>
      <c r="AZ1099" s="17">
        <v>48.783044379584759</v>
      </c>
      <c r="BA1099" s="17"/>
      <c r="BB1099" s="17">
        <v>36</v>
      </c>
      <c r="BC1099" s="17"/>
      <c r="BD1099" s="17"/>
      <c r="BE1099" s="17"/>
      <c r="BF1099" s="17"/>
      <c r="BG1099" s="17"/>
      <c r="BH1099" s="17"/>
      <c r="BI1099" s="17"/>
      <c r="BJ1099" s="17"/>
      <c r="BK1099" s="17"/>
      <c r="BL1099" s="17"/>
      <c r="BM1099" s="17"/>
      <c r="BN1099" s="17"/>
      <c r="BO1099" s="17"/>
      <c r="BP1099" s="17"/>
      <c r="BQ1099" s="17"/>
      <c r="BR1099" s="17"/>
      <c r="BS1099" s="17"/>
      <c r="BT1099" s="17"/>
      <c r="BU1099" s="17"/>
      <c r="BV1099" s="17"/>
      <c r="BW1099" s="17"/>
      <c r="BX1099" s="17"/>
      <c r="BY1099" s="17"/>
      <c r="BZ1099" s="17"/>
      <c r="CA1099" s="17"/>
      <c r="CB1099" s="17"/>
      <c r="CC1099" s="17"/>
      <c r="CD1099" s="17"/>
      <c r="CE1099" s="17"/>
      <c r="CF1099" s="17"/>
      <c r="CG1099" s="17"/>
      <c r="CH1099" s="17"/>
    </row>
    <row r="1100" spans="35:86" x14ac:dyDescent="0.15">
      <c r="AI1100" s="3"/>
      <c r="AJ1100" s="3"/>
      <c r="AK1100" s="15">
        <f t="shared" si="443"/>
        <v>5</v>
      </c>
      <c r="AL1100" s="11">
        <f t="shared" si="440"/>
        <v>6546</v>
      </c>
      <c r="AM1100" s="11" t="b">
        <f t="shared" si="442"/>
        <v>1</v>
      </c>
      <c r="AN1100" s="11">
        <f t="shared" si="444"/>
        <v>36000</v>
      </c>
      <c r="AO1100" s="11">
        <f t="shared" si="445"/>
        <v>0</v>
      </c>
      <c r="AP1100" s="11">
        <f t="shared" si="446"/>
        <v>0.46964798863103391</v>
      </c>
      <c r="AQ1100" s="11">
        <f t="shared" si="447"/>
        <v>0</v>
      </c>
      <c r="AT1100" s="3"/>
      <c r="AU1100" s="17"/>
      <c r="AV1100" s="19"/>
      <c r="AW1100" s="17"/>
      <c r="AX1100" s="17">
        <f t="shared" si="441"/>
        <v>1091</v>
      </c>
      <c r="AY1100" s="17">
        <f t="shared" si="438"/>
        <v>109.1</v>
      </c>
      <c r="AZ1100" s="17">
        <v>46.96479886310339</v>
      </c>
      <c r="BA1100" s="17"/>
      <c r="BB1100" s="17">
        <v>36</v>
      </c>
      <c r="BC1100" s="17"/>
      <c r="BD1100" s="17"/>
      <c r="BE1100" s="17"/>
      <c r="BF1100" s="17"/>
      <c r="BG1100" s="17"/>
      <c r="BH1100" s="17"/>
      <c r="BI1100" s="17"/>
      <c r="BJ1100" s="17"/>
      <c r="BK1100" s="17"/>
      <c r="BL1100" s="17"/>
      <c r="BM1100" s="17"/>
      <c r="BN1100" s="17"/>
      <c r="BO1100" s="17"/>
      <c r="BP1100" s="17"/>
      <c r="BQ1100" s="17"/>
      <c r="BR1100" s="17"/>
      <c r="BS1100" s="17"/>
      <c r="BT1100" s="17"/>
      <c r="BU1100" s="17"/>
      <c r="BV1100" s="17"/>
      <c r="BW1100" s="17"/>
      <c r="BX1100" s="17"/>
      <c r="BY1100" s="17"/>
      <c r="BZ1100" s="17"/>
      <c r="CA1100" s="17"/>
      <c r="CB1100" s="17"/>
      <c r="CC1100" s="17"/>
      <c r="CD1100" s="17"/>
      <c r="CE1100" s="17"/>
      <c r="CF1100" s="17"/>
      <c r="CG1100" s="17"/>
      <c r="CH1100" s="17"/>
    </row>
    <row r="1101" spans="35:86" x14ac:dyDescent="0.15">
      <c r="AI1101" s="3"/>
      <c r="AJ1101" s="3"/>
      <c r="AK1101" s="15">
        <f t="shared" si="443"/>
        <v>5</v>
      </c>
      <c r="AL1101" s="11">
        <f t="shared" si="440"/>
        <v>6552</v>
      </c>
      <c r="AM1101" s="11" t="b">
        <f t="shared" si="442"/>
        <v>1</v>
      </c>
      <c r="AN1101" s="11">
        <f t="shared" si="444"/>
        <v>36000</v>
      </c>
      <c r="AO1101" s="11">
        <f t="shared" si="445"/>
        <v>0</v>
      </c>
      <c r="AP1101" s="11">
        <f t="shared" si="446"/>
        <v>0.45218431694924743</v>
      </c>
      <c r="AQ1101" s="11">
        <f t="shared" si="447"/>
        <v>0</v>
      </c>
      <c r="AT1101" s="3"/>
      <c r="AU1101" s="17"/>
      <c r="AV1101" s="19"/>
      <c r="AW1101" s="17"/>
      <c r="AX1101" s="17">
        <f t="shared" si="441"/>
        <v>1092</v>
      </c>
      <c r="AY1101" s="17">
        <f t="shared" si="438"/>
        <v>109.2</v>
      </c>
      <c r="AZ1101" s="17">
        <v>45.218431694924746</v>
      </c>
      <c r="BA1101" s="17"/>
      <c r="BB1101" s="17">
        <v>36</v>
      </c>
      <c r="BC1101" s="17"/>
      <c r="BD1101" s="17"/>
      <c r="BE1101" s="17"/>
      <c r="BF1101" s="17"/>
      <c r="BG1101" s="17"/>
      <c r="BH1101" s="17"/>
      <c r="BI1101" s="17"/>
      <c r="BJ1101" s="17"/>
      <c r="BK1101" s="17"/>
      <c r="BL1101" s="17"/>
      <c r="BM1101" s="17"/>
      <c r="BN1101" s="17"/>
      <c r="BO1101" s="17"/>
      <c r="BP1101" s="17"/>
      <c r="BQ1101" s="17"/>
      <c r="BR1101" s="17"/>
      <c r="BS1101" s="17"/>
      <c r="BT1101" s="17"/>
      <c r="BU1101" s="17"/>
      <c r="BV1101" s="17"/>
      <c r="BW1101" s="17"/>
      <c r="BX1101" s="17"/>
      <c r="BY1101" s="17"/>
      <c r="BZ1101" s="17"/>
      <c r="CA1101" s="17"/>
      <c r="CB1101" s="17"/>
      <c r="CC1101" s="17"/>
      <c r="CD1101" s="17"/>
      <c r="CE1101" s="17"/>
      <c r="CF1101" s="17"/>
      <c r="CG1101" s="17"/>
      <c r="CH1101" s="17"/>
    </row>
    <row r="1102" spans="35:86" x14ac:dyDescent="0.15">
      <c r="AI1102" s="3"/>
      <c r="AJ1102" s="3"/>
      <c r="AK1102" s="15">
        <f t="shared" si="443"/>
        <v>5</v>
      </c>
      <c r="AL1102" s="11">
        <f t="shared" si="440"/>
        <v>6558</v>
      </c>
      <c r="AM1102" s="11" t="b">
        <f t="shared" si="442"/>
        <v>1</v>
      </c>
      <c r="AN1102" s="11">
        <f t="shared" si="444"/>
        <v>36000</v>
      </c>
      <c r="AO1102" s="11">
        <f t="shared" si="445"/>
        <v>0</v>
      </c>
      <c r="AP1102" s="11">
        <f t="shared" si="446"/>
        <v>0.43541101401272103</v>
      </c>
      <c r="AQ1102" s="11">
        <f t="shared" si="447"/>
        <v>0</v>
      </c>
      <c r="AT1102" s="3"/>
      <c r="AU1102" s="17"/>
      <c r="AV1102" s="19"/>
      <c r="AW1102" s="17"/>
      <c r="AX1102" s="17">
        <f t="shared" si="441"/>
        <v>1093</v>
      </c>
      <c r="AY1102" s="17">
        <f t="shared" si="438"/>
        <v>109.3</v>
      </c>
      <c r="AZ1102" s="17">
        <v>43.541101401272101</v>
      </c>
      <c r="BA1102" s="17"/>
      <c r="BB1102" s="17">
        <v>36</v>
      </c>
      <c r="BC1102" s="17"/>
      <c r="BD1102" s="17"/>
      <c r="BE1102" s="17"/>
      <c r="BF1102" s="17"/>
      <c r="BG1102" s="17"/>
      <c r="BH1102" s="17"/>
      <c r="BI1102" s="17"/>
      <c r="BJ1102" s="17"/>
      <c r="BK1102" s="17"/>
      <c r="BL1102" s="17"/>
      <c r="BM1102" s="17"/>
      <c r="BN1102" s="17"/>
      <c r="BO1102" s="17"/>
      <c r="BP1102" s="17"/>
      <c r="BQ1102" s="17"/>
      <c r="BR1102" s="17"/>
      <c r="BS1102" s="17"/>
      <c r="BT1102" s="17"/>
      <c r="BU1102" s="17"/>
      <c r="BV1102" s="17"/>
      <c r="BW1102" s="17"/>
      <c r="BX1102" s="17"/>
      <c r="BY1102" s="17"/>
      <c r="BZ1102" s="17"/>
      <c r="CA1102" s="17"/>
      <c r="CB1102" s="17"/>
      <c r="CC1102" s="17"/>
      <c r="CD1102" s="17"/>
      <c r="CE1102" s="17"/>
      <c r="CF1102" s="17"/>
      <c r="CG1102" s="17"/>
      <c r="CH1102" s="17"/>
    </row>
    <row r="1103" spans="35:86" x14ac:dyDescent="0.15">
      <c r="AI1103" s="3"/>
      <c r="AJ1103" s="3"/>
      <c r="AK1103" s="15">
        <f t="shared" si="443"/>
        <v>5</v>
      </c>
      <c r="AL1103" s="11">
        <f t="shared" si="440"/>
        <v>6564</v>
      </c>
      <c r="AM1103" s="11" t="b">
        <f t="shared" si="442"/>
        <v>1</v>
      </c>
      <c r="AN1103" s="11">
        <f t="shared" si="444"/>
        <v>36000</v>
      </c>
      <c r="AO1103" s="11">
        <f t="shared" si="445"/>
        <v>0</v>
      </c>
      <c r="AP1103" s="11">
        <f t="shared" si="446"/>
        <v>0.41930078836676432</v>
      </c>
      <c r="AQ1103" s="11">
        <f t="shared" si="447"/>
        <v>0</v>
      </c>
      <c r="AT1103" s="3"/>
      <c r="AU1103" s="17"/>
      <c r="AV1103" s="19"/>
      <c r="AW1103" s="17"/>
      <c r="AX1103" s="17">
        <f t="shared" si="441"/>
        <v>1094</v>
      </c>
      <c r="AY1103" s="17">
        <f t="shared" si="438"/>
        <v>109.4</v>
      </c>
      <c r="AZ1103" s="17">
        <v>41.930078836676429</v>
      </c>
      <c r="BA1103" s="17"/>
      <c r="BB1103" s="17">
        <v>36</v>
      </c>
      <c r="BC1103" s="17"/>
      <c r="BD1103" s="17"/>
      <c r="BE1103" s="17"/>
      <c r="BF1103" s="17"/>
      <c r="BG1103" s="17"/>
      <c r="BH1103" s="17"/>
      <c r="BI1103" s="17"/>
      <c r="BJ1103" s="17"/>
      <c r="BK1103" s="17"/>
      <c r="BL1103" s="17"/>
      <c r="BM1103" s="17"/>
      <c r="BN1103" s="17"/>
      <c r="BO1103" s="17"/>
      <c r="BP1103" s="17"/>
      <c r="BQ1103" s="17"/>
      <c r="BR1103" s="17"/>
      <c r="BS1103" s="17"/>
      <c r="BT1103" s="17"/>
      <c r="BU1103" s="17"/>
      <c r="BV1103" s="17"/>
      <c r="BW1103" s="17"/>
      <c r="BX1103" s="17"/>
      <c r="BY1103" s="17"/>
      <c r="BZ1103" s="17"/>
      <c r="CA1103" s="17"/>
      <c r="CB1103" s="17"/>
      <c r="CC1103" s="17"/>
      <c r="CD1103" s="17"/>
      <c r="CE1103" s="17"/>
      <c r="CF1103" s="17"/>
      <c r="CG1103" s="17"/>
      <c r="CH1103" s="17"/>
    </row>
    <row r="1104" spans="35:86" x14ac:dyDescent="0.15">
      <c r="AI1104" s="3"/>
      <c r="AJ1104" s="3"/>
      <c r="AK1104" s="15">
        <f t="shared" si="443"/>
        <v>5</v>
      </c>
      <c r="AL1104" s="11">
        <f t="shared" si="440"/>
        <v>6570</v>
      </c>
      <c r="AM1104" s="11" t="b">
        <f t="shared" si="442"/>
        <v>1</v>
      </c>
      <c r="AN1104" s="11">
        <f t="shared" si="444"/>
        <v>36000</v>
      </c>
      <c r="AO1104" s="11">
        <f t="shared" si="445"/>
        <v>0</v>
      </c>
      <c r="AP1104" s="11">
        <f t="shared" si="446"/>
        <v>0.40382742743446653</v>
      </c>
      <c r="AQ1104" s="11">
        <f t="shared" si="447"/>
        <v>0</v>
      </c>
      <c r="AT1104" s="3"/>
      <c r="AU1104" s="17"/>
      <c r="AV1104" s="19"/>
      <c r="AW1104" s="17"/>
      <c r="AX1104" s="17">
        <f t="shared" si="441"/>
        <v>1095</v>
      </c>
      <c r="AY1104" s="17">
        <f t="shared" si="438"/>
        <v>109.5</v>
      </c>
      <c r="AZ1104" s="17">
        <v>40.382742743446656</v>
      </c>
      <c r="BA1104" s="17"/>
      <c r="BB1104" s="17">
        <v>36</v>
      </c>
      <c r="BC1104" s="17"/>
      <c r="BD1104" s="17"/>
      <c r="BE1104" s="17"/>
      <c r="BF1104" s="17"/>
      <c r="BG1104" s="17"/>
      <c r="BH1104" s="17"/>
      <c r="BI1104" s="17"/>
      <c r="BJ1104" s="17"/>
      <c r="BK1104" s="17"/>
      <c r="BL1104" s="17"/>
      <c r="BM1104" s="17"/>
      <c r="BN1104" s="17"/>
      <c r="BO1104" s="17"/>
      <c r="BP1104" s="17"/>
      <c r="BQ1104" s="17"/>
      <c r="BR1104" s="17"/>
      <c r="BS1104" s="17"/>
      <c r="BT1104" s="17"/>
      <c r="BU1104" s="17"/>
      <c r="BV1104" s="17"/>
      <c r="BW1104" s="17"/>
      <c r="BX1104" s="17"/>
      <c r="BY1104" s="17"/>
      <c r="BZ1104" s="17"/>
      <c r="CA1104" s="17"/>
      <c r="CB1104" s="17"/>
      <c r="CC1104" s="17"/>
      <c r="CD1104" s="17"/>
      <c r="CE1104" s="17"/>
      <c r="CF1104" s="17"/>
      <c r="CG1104" s="17"/>
      <c r="CH1104" s="17"/>
    </row>
    <row r="1105" spans="35:86" x14ac:dyDescent="0.15">
      <c r="AI1105" s="3"/>
      <c r="AJ1105" s="3"/>
      <c r="AK1105" s="15">
        <f t="shared" si="443"/>
        <v>5</v>
      </c>
      <c r="AL1105" s="11">
        <f t="shared" si="440"/>
        <v>6576</v>
      </c>
      <c r="AM1105" s="11" t="b">
        <f t="shared" si="442"/>
        <v>1</v>
      </c>
      <c r="AN1105" s="11">
        <f t="shared" si="444"/>
        <v>36000</v>
      </c>
      <c r="AO1105" s="11">
        <f t="shared" si="445"/>
        <v>0</v>
      </c>
      <c r="AP1105" s="11">
        <f t="shared" si="446"/>
        <v>0.38896575486681711</v>
      </c>
      <c r="AQ1105" s="11">
        <f t="shared" si="447"/>
        <v>0</v>
      </c>
      <c r="AT1105" s="3"/>
      <c r="AU1105" s="17"/>
      <c r="AV1105" s="19"/>
      <c r="AW1105" s="17"/>
      <c r="AX1105" s="17">
        <f t="shared" si="441"/>
        <v>1096</v>
      </c>
      <c r="AY1105" s="17">
        <f t="shared" si="438"/>
        <v>109.6</v>
      </c>
      <c r="AZ1105" s="17">
        <v>38.896575486681712</v>
      </c>
      <c r="BA1105" s="17"/>
      <c r="BB1105" s="17">
        <v>36</v>
      </c>
      <c r="BC1105" s="17"/>
      <c r="BD1105" s="17"/>
      <c r="BE1105" s="17"/>
      <c r="BF1105" s="17"/>
      <c r="BG1105" s="17"/>
      <c r="BH1105" s="17"/>
      <c r="BI1105" s="17"/>
      <c r="BJ1105" s="17"/>
      <c r="BK1105" s="17"/>
      <c r="BL1105" s="17"/>
      <c r="BM1105" s="17"/>
      <c r="BN1105" s="17"/>
      <c r="BO1105" s="17"/>
      <c r="BP1105" s="17"/>
      <c r="BQ1105" s="17"/>
      <c r="BR1105" s="17"/>
      <c r="BS1105" s="17"/>
      <c r="BT1105" s="17"/>
      <c r="BU1105" s="17"/>
      <c r="BV1105" s="17"/>
      <c r="BW1105" s="17"/>
      <c r="BX1105" s="17"/>
      <c r="BY1105" s="17"/>
      <c r="BZ1105" s="17"/>
      <c r="CA1105" s="17"/>
      <c r="CB1105" s="17"/>
      <c r="CC1105" s="17"/>
      <c r="CD1105" s="17"/>
      <c r="CE1105" s="17"/>
      <c r="CF1105" s="17"/>
      <c r="CG1105" s="17"/>
      <c r="CH1105" s="17"/>
    </row>
    <row r="1106" spans="35:86" x14ac:dyDescent="0.15">
      <c r="AI1106" s="3"/>
      <c r="AJ1106" s="3"/>
      <c r="AK1106" s="15">
        <f t="shared" si="443"/>
        <v>5</v>
      </c>
      <c r="AL1106" s="11">
        <f t="shared" si="440"/>
        <v>6582</v>
      </c>
      <c r="AM1106" s="11" t="b">
        <f t="shared" si="442"/>
        <v>1</v>
      </c>
      <c r="AN1106" s="11">
        <f t="shared" si="444"/>
        <v>36000</v>
      </c>
      <c r="AO1106" s="11">
        <f t="shared" si="445"/>
        <v>0</v>
      </c>
      <c r="AP1106" s="11">
        <f t="shared" si="446"/>
        <v>0.37469158957884785</v>
      </c>
      <c r="AQ1106" s="11">
        <f t="shared" si="447"/>
        <v>0</v>
      </c>
      <c r="AT1106" s="3"/>
      <c r="AU1106" s="17"/>
      <c r="AV1106" s="19"/>
      <c r="AW1106" s="17"/>
      <c r="AX1106" s="17">
        <f t="shared" si="441"/>
        <v>1097</v>
      </c>
      <c r="AY1106" s="17">
        <f t="shared" si="438"/>
        <v>109.7</v>
      </c>
      <c r="AZ1106" s="17">
        <v>37.469158957884787</v>
      </c>
      <c r="BA1106" s="17"/>
      <c r="BB1106" s="17">
        <v>36</v>
      </c>
      <c r="BC1106" s="17"/>
      <c r="BD1106" s="17"/>
      <c r="BE1106" s="17"/>
      <c r="BF1106" s="17"/>
      <c r="BG1106" s="17"/>
      <c r="BH1106" s="17"/>
      <c r="BI1106" s="17"/>
      <c r="BJ1106" s="17"/>
      <c r="BK1106" s="17"/>
      <c r="BL1106" s="17"/>
      <c r="BM1106" s="17"/>
      <c r="BN1106" s="17"/>
      <c r="BO1106" s="17"/>
      <c r="BP1106" s="17"/>
      <c r="BQ1106" s="17"/>
      <c r="BR1106" s="17"/>
      <c r="BS1106" s="17"/>
      <c r="BT1106" s="17"/>
      <c r="BU1106" s="17"/>
      <c r="BV1106" s="17"/>
      <c r="BW1106" s="17"/>
      <c r="BX1106" s="17"/>
      <c r="BY1106" s="17"/>
      <c r="BZ1106" s="17"/>
      <c r="CA1106" s="17"/>
      <c r="CB1106" s="17"/>
      <c r="CC1106" s="17"/>
      <c r="CD1106" s="17"/>
      <c r="CE1106" s="17"/>
      <c r="CF1106" s="17"/>
      <c r="CG1106" s="17"/>
      <c r="CH1106" s="17"/>
    </row>
    <row r="1107" spans="35:86" x14ac:dyDescent="0.15">
      <c r="AI1107" s="3"/>
      <c r="AJ1107" s="3"/>
      <c r="AK1107" s="15">
        <f t="shared" si="443"/>
        <v>5</v>
      </c>
      <c r="AL1107" s="11">
        <f t="shared" si="440"/>
        <v>6588</v>
      </c>
      <c r="AM1107" s="11" t="b">
        <f t="shared" si="442"/>
        <v>1</v>
      </c>
      <c r="AN1107" s="11">
        <f t="shared" si="444"/>
        <v>36000</v>
      </c>
      <c r="AO1107" s="11">
        <f t="shared" si="445"/>
        <v>0</v>
      </c>
      <c r="AP1107" s="11">
        <f t="shared" si="446"/>
        <v>0.36098170640514715</v>
      </c>
      <c r="AQ1107" s="11">
        <f t="shared" si="447"/>
        <v>0</v>
      </c>
      <c r="AT1107" s="3"/>
      <c r="AU1107" s="17"/>
      <c r="AV1107" s="19"/>
      <c r="AW1107" s="17"/>
      <c r="AX1107" s="17">
        <f t="shared" si="441"/>
        <v>1098</v>
      </c>
      <c r="AY1107" s="17">
        <f t="shared" si="438"/>
        <v>109.8</v>
      </c>
      <c r="AZ1107" s="17">
        <v>36.098170640514716</v>
      </c>
      <c r="BA1107" s="17"/>
      <c r="BB1107" s="17">
        <v>36</v>
      </c>
      <c r="BC1107" s="17"/>
      <c r="BD1107" s="17"/>
      <c r="BE1107" s="17"/>
      <c r="BF1107" s="17"/>
      <c r="BG1107" s="17"/>
      <c r="BH1107" s="17"/>
      <c r="BI1107" s="17"/>
      <c r="BJ1107" s="17"/>
      <c r="BK1107" s="17"/>
      <c r="BL1107" s="17"/>
      <c r="BM1107" s="17"/>
      <c r="BN1107" s="17"/>
      <c r="BO1107" s="17"/>
      <c r="BP1107" s="17"/>
      <c r="BQ1107" s="17"/>
      <c r="BR1107" s="17"/>
      <c r="BS1107" s="17"/>
      <c r="BT1107" s="17"/>
      <c r="BU1107" s="17"/>
      <c r="BV1107" s="17"/>
      <c r="BW1107" s="17"/>
      <c r="BX1107" s="17"/>
      <c r="BY1107" s="17"/>
      <c r="BZ1107" s="17"/>
      <c r="CA1107" s="17"/>
      <c r="CB1107" s="17"/>
      <c r="CC1107" s="17"/>
      <c r="CD1107" s="17"/>
      <c r="CE1107" s="17"/>
      <c r="CF1107" s="17"/>
      <c r="CG1107" s="17"/>
      <c r="CH1107" s="17"/>
    </row>
    <row r="1108" spans="35:86" x14ac:dyDescent="0.15">
      <c r="AI1108" s="3"/>
      <c r="AJ1108" s="3"/>
      <c r="AK1108" s="15">
        <f t="shared" si="443"/>
        <v>5</v>
      </c>
      <c r="AL1108" s="11">
        <f t="shared" si="440"/>
        <v>6594</v>
      </c>
      <c r="AM1108" s="11" t="b">
        <f t="shared" si="442"/>
        <v>1</v>
      </c>
      <c r="AN1108" s="11">
        <f t="shared" si="444"/>
        <v>36000</v>
      </c>
      <c r="AO1108" s="11">
        <f t="shared" si="445"/>
        <v>0</v>
      </c>
      <c r="AP1108" s="11">
        <f t="shared" si="446"/>
        <v>0.34781379831072834</v>
      </c>
      <c r="AQ1108" s="11">
        <f t="shared" si="447"/>
        <v>0</v>
      </c>
      <c r="AT1108" s="3"/>
      <c r="AU1108" s="17"/>
      <c r="AV1108" s="19"/>
      <c r="AW1108" s="17"/>
      <c r="AX1108" s="17">
        <f t="shared" si="441"/>
        <v>1099</v>
      </c>
      <c r="AY1108" s="17">
        <f t="shared" ref="AY1108:AY1171" si="448">IF(ISNUMBER(AX1108),IF(ROUND((AX1108)*$AG$15*$AB$15,0) &lt;= 10080, ROUND((AX1108)*$AG$15,0)*$AB$15/60, 168),168)</f>
        <v>109.9</v>
      </c>
      <c r="AZ1108" s="17">
        <v>34.781379831072833</v>
      </c>
      <c r="BA1108" s="17"/>
      <c r="BB1108" s="17">
        <v>36</v>
      </c>
      <c r="BC1108" s="17"/>
      <c r="BD1108" s="17"/>
      <c r="BE1108" s="17"/>
      <c r="BF1108" s="17"/>
      <c r="BG1108" s="17"/>
      <c r="BH1108" s="17"/>
      <c r="BI1108" s="17"/>
      <c r="BJ1108" s="17"/>
      <c r="BK1108" s="17"/>
      <c r="BL1108" s="17"/>
      <c r="BM1108" s="17"/>
      <c r="BN1108" s="17"/>
      <c r="BO1108" s="17"/>
      <c r="BP1108" s="17"/>
      <c r="BQ1108" s="17"/>
      <c r="BR1108" s="17"/>
      <c r="BS1108" s="17"/>
      <c r="BT1108" s="17"/>
      <c r="BU1108" s="17"/>
      <c r="BV1108" s="17"/>
      <c r="BW1108" s="17"/>
      <c r="BX1108" s="17"/>
      <c r="BY1108" s="17"/>
      <c r="BZ1108" s="17"/>
      <c r="CA1108" s="17"/>
      <c r="CB1108" s="17"/>
      <c r="CC1108" s="17"/>
      <c r="CD1108" s="17"/>
      <c r="CE1108" s="17"/>
      <c r="CF1108" s="17"/>
      <c r="CG1108" s="17"/>
      <c r="CH1108" s="17"/>
    </row>
    <row r="1109" spans="35:86" x14ac:dyDescent="0.15">
      <c r="AI1109" s="3"/>
      <c r="AJ1109" s="3"/>
      <c r="AK1109" s="15">
        <f t="shared" si="443"/>
        <v>5</v>
      </c>
      <c r="AL1109" s="11">
        <f t="shared" si="440"/>
        <v>6600</v>
      </c>
      <c r="AM1109" s="11" t="b">
        <f t="shared" si="442"/>
        <v>1</v>
      </c>
      <c r="AN1109" s="11">
        <f t="shared" si="444"/>
        <v>36000</v>
      </c>
      <c r="AO1109" s="11">
        <f t="shared" si="445"/>
        <v>0</v>
      </c>
      <c r="AP1109" s="11">
        <f t="shared" si="446"/>
        <v>0.33516644009576735</v>
      </c>
      <c r="AQ1109" s="11">
        <f t="shared" si="447"/>
        <v>0</v>
      </c>
      <c r="AT1109" s="3"/>
      <c r="AU1109" s="17"/>
      <c r="AV1109" s="19"/>
      <c r="AW1109" s="17"/>
      <c r="AX1109" s="17">
        <f t="shared" si="441"/>
        <v>1100</v>
      </c>
      <c r="AY1109" s="17">
        <f t="shared" si="448"/>
        <v>110</v>
      </c>
      <c r="AZ1109" s="17">
        <v>33.516644009576737</v>
      </c>
      <c r="BA1109" s="17"/>
      <c r="BB1109" s="17">
        <v>36</v>
      </c>
      <c r="BC1109" s="17"/>
      <c r="BD1109" s="17"/>
      <c r="BE1109" s="17"/>
      <c r="BF1109" s="17"/>
      <c r="BG1109" s="17"/>
      <c r="BH1109" s="17"/>
      <c r="BI1109" s="17"/>
      <c r="BJ1109" s="17"/>
      <c r="BK1109" s="17"/>
      <c r="BL1109" s="17"/>
      <c r="BM1109" s="17"/>
      <c r="BN1109" s="17"/>
      <c r="BO1109" s="17"/>
      <c r="BP1109" s="17"/>
      <c r="BQ1109" s="17"/>
      <c r="BR1109" s="17"/>
      <c r="BS1109" s="17"/>
      <c r="BT1109" s="17"/>
      <c r="BU1109" s="17"/>
      <c r="BV1109" s="17"/>
      <c r="BW1109" s="17"/>
      <c r="BX1109" s="17"/>
      <c r="BY1109" s="17"/>
      <c r="BZ1109" s="17"/>
      <c r="CA1109" s="17"/>
      <c r="CB1109" s="17"/>
      <c r="CC1109" s="17"/>
      <c r="CD1109" s="17"/>
      <c r="CE1109" s="17"/>
      <c r="CF1109" s="17"/>
      <c r="CG1109" s="17"/>
      <c r="CH1109" s="17"/>
    </row>
    <row r="1110" spans="35:86" x14ac:dyDescent="0.15">
      <c r="AI1110" s="3"/>
      <c r="AJ1110" s="3"/>
      <c r="AK1110" s="15">
        <f t="shared" si="443"/>
        <v>5</v>
      </c>
      <c r="AL1110" s="11">
        <f t="shared" si="440"/>
        <v>6606</v>
      </c>
      <c r="AM1110" s="11" t="b">
        <f t="shared" si="442"/>
        <v>1</v>
      </c>
      <c r="AN1110" s="11">
        <f t="shared" si="444"/>
        <v>36000</v>
      </c>
      <c r="AO1110" s="11">
        <f t="shared" si="445"/>
        <v>0</v>
      </c>
      <c r="AP1110" s="11">
        <f t="shared" si="446"/>
        <v>0.32301905353515342</v>
      </c>
      <c r="AQ1110" s="11">
        <f t="shared" si="447"/>
        <v>0</v>
      </c>
      <c r="AT1110" s="3"/>
      <c r="AU1110" s="17"/>
      <c r="AV1110" s="19"/>
      <c r="AW1110" s="17"/>
      <c r="AX1110" s="17">
        <f t="shared" si="441"/>
        <v>1101</v>
      </c>
      <c r="AY1110" s="17">
        <f t="shared" si="448"/>
        <v>110.1</v>
      </c>
      <c r="AZ1110" s="17">
        <v>32.301905353515345</v>
      </c>
      <c r="BA1110" s="17"/>
      <c r="BB1110" s="17">
        <v>36</v>
      </c>
      <c r="BC1110" s="17"/>
      <c r="BD1110" s="17"/>
      <c r="BE1110" s="17"/>
      <c r="BF1110" s="17"/>
      <c r="BG1110" s="17"/>
      <c r="BH1110" s="17"/>
      <c r="BI1110" s="17"/>
      <c r="BJ1110" s="17"/>
      <c r="BK1110" s="17"/>
      <c r="BL1110" s="17"/>
      <c r="BM1110" s="17"/>
      <c r="BN1110" s="17"/>
      <c r="BO1110" s="17"/>
      <c r="BP1110" s="17"/>
      <c r="BQ1110" s="17"/>
      <c r="BR1110" s="17"/>
      <c r="BS1110" s="17"/>
      <c r="BT1110" s="17"/>
      <c r="BU1110" s="17"/>
      <c r="BV1110" s="17"/>
      <c r="BW1110" s="17"/>
      <c r="BX1110" s="17"/>
      <c r="BY1110" s="17"/>
      <c r="BZ1110" s="17"/>
      <c r="CA1110" s="17"/>
      <c r="CB1110" s="17"/>
      <c r="CC1110" s="17"/>
      <c r="CD1110" s="17"/>
      <c r="CE1110" s="17"/>
      <c r="CF1110" s="17"/>
      <c r="CG1110" s="17"/>
      <c r="CH1110" s="17"/>
    </row>
    <row r="1111" spans="35:86" x14ac:dyDescent="0.15">
      <c r="AI1111" s="3"/>
      <c r="AJ1111" s="3"/>
      <c r="AK1111" s="15">
        <f t="shared" si="443"/>
        <v>5</v>
      </c>
      <c r="AL1111" s="11">
        <f t="shared" si="440"/>
        <v>6612</v>
      </c>
      <c r="AM1111" s="11" t="b">
        <f t="shared" si="442"/>
        <v>1</v>
      </c>
      <c r="AN1111" s="11">
        <f t="shared" si="444"/>
        <v>36000</v>
      </c>
      <c r="AO1111" s="11">
        <f t="shared" si="445"/>
        <v>0</v>
      </c>
      <c r="AP1111" s="11">
        <f t="shared" si="446"/>
        <v>0.31135187389613361</v>
      </c>
      <c r="AQ1111" s="11">
        <f t="shared" si="447"/>
        <v>0</v>
      </c>
      <c r="AT1111" s="3"/>
      <c r="AU1111" s="17"/>
      <c r="AV1111" s="19"/>
      <c r="AW1111" s="17"/>
      <c r="AX1111" s="17">
        <f t="shared" si="441"/>
        <v>1102</v>
      </c>
      <c r="AY1111" s="17">
        <f t="shared" si="448"/>
        <v>110.2</v>
      </c>
      <c r="AZ1111" s="17">
        <v>31.13518738961336</v>
      </c>
      <c r="BA1111" s="17"/>
      <c r="BB1111" s="17">
        <v>36</v>
      </c>
      <c r="BC1111" s="17"/>
      <c r="BD1111" s="17"/>
      <c r="BE1111" s="17"/>
      <c r="BF1111" s="17"/>
      <c r="BG1111" s="17"/>
      <c r="BH1111" s="17"/>
      <c r="BI1111" s="17"/>
      <c r="BJ1111" s="17"/>
      <c r="BK1111" s="17"/>
      <c r="BL1111" s="17"/>
      <c r="BM1111" s="17"/>
      <c r="BN1111" s="17"/>
      <c r="BO1111" s="17"/>
      <c r="BP1111" s="17"/>
      <c r="BQ1111" s="17"/>
      <c r="BR1111" s="17"/>
      <c r="BS1111" s="17"/>
      <c r="BT1111" s="17"/>
      <c r="BU1111" s="17"/>
      <c r="BV1111" s="17"/>
      <c r="BW1111" s="17"/>
      <c r="BX1111" s="17"/>
      <c r="BY1111" s="17"/>
      <c r="BZ1111" s="17"/>
      <c r="CA1111" s="17"/>
      <c r="CB1111" s="17"/>
      <c r="CC1111" s="17"/>
      <c r="CD1111" s="17"/>
      <c r="CE1111" s="17"/>
      <c r="CF1111" s="17"/>
      <c r="CG1111" s="17"/>
      <c r="CH1111" s="17"/>
    </row>
    <row r="1112" spans="35:86" x14ac:dyDescent="0.15">
      <c r="AI1112" s="3"/>
      <c r="AJ1112" s="3"/>
      <c r="AK1112" s="15">
        <f t="shared" si="443"/>
        <v>5</v>
      </c>
      <c r="AL1112" s="11">
        <f t="shared" si="440"/>
        <v>6618</v>
      </c>
      <c r="AM1112" s="11" t="b">
        <f t="shared" si="442"/>
        <v>1</v>
      </c>
      <c r="AN1112" s="11">
        <f t="shared" si="444"/>
        <v>36000</v>
      </c>
      <c r="AO1112" s="11">
        <f t="shared" si="445"/>
        <v>0</v>
      </c>
      <c r="AP1112" s="11">
        <f t="shared" si="446"/>
        <v>0.30014591777957123</v>
      </c>
      <c r="AQ1112" s="11">
        <f t="shared" si="447"/>
        <v>0</v>
      </c>
      <c r="AT1112" s="3"/>
      <c r="AU1112" s="17"/>
      <c r="AV1112" s="19"/>
      <c r="AW1112" s="17"/>
      <c r="AX1112" s="17">
        <f t="shared" si="441"/>
        <v>1103</v>
      </c>
      <c r="AY1112" s="17">
        <f t="shared" si="448"/>
        <v>110.3</v>
      </c>
      <c r="AZ1112" s="17">
        <v>30.014591777957122</v>
      </c>
      <c r="BA1112" s="17"/>
      <c r="BB1112" s="17">
        <v>36</v>
      </c>
      <c r="BC1112" s="17"/>
      <c r="BD1112" s="17"/>
      <c r="BE1112" s="17"/>
      <c r="BF1112" s="17"/>
      <c r="BG1112" s="17"/>
      <c r="BH1112" s="17"/>
      <c r="BI1112" s="17"/>
      <c r="BJ1112" s="17"/>
      <c r="BK1112" s="17"/>
      <c r="BL1112" s="17"/>
      <c r="BM1112" s="17"/>
      <c r="BN1112" s="17"/>
      <c r="BO1112" s="17"/>
      <c r="BP1112" s="17"/>
      <c r="BQ1112" s="17"/>
      <c r="BR1112" s="17"/>
      <c r="BS1112" s="17"/>
      <c r="BT1112" s="17"/>
      <c r="BU1112" s="17"/>
      <c r="BV1112" s="17"/>
      <c r="BW1112" s="17"/>
      <c r="BX1112" s="17"/>
      <c r="BY1112" s="17"/>
      <c r="BZ1112" s="17"/>
      <c r="CA1112" s="17"/>
      <c r="CB1112" s="17"/>
      <c r="CC1112" s="17"/>
      <c r="CD1112" s="17"/>
      <c r="CE1112" s="17"/>
      <c r="CF1112" s="17"/>
      <c r="CG1112" s="17"/>
      <c r="CH1112" s="17"/>
    </row>
    <row r="1113" spans="35:86" x14ac:dyDescent="0.15">
      <c r="AI1113" s="3"/>
      <c r="AJ1113" s="3"/>
      <c r="AK1113" s="15">
        <f t="shared" si="443"/>
        <v>5</v>
      </c>
      <c r="AL1113" s="11">
        <f t="shared" si="440"/>
        <v>6624</v>
      </c>
      <c r="AM1113" s="11" t="b">
        <f t="shared" si="442"/>
        <v>1</v>
      </c>
      <c r="AN1113" s="11">
        <f t="shared" si="444"/>
        <v>36000</v>
      </c>
      <c r="AO1113" s="11">
        <f t="shared" si="445"/>
        <v>0</v>
      </c>
      <c r="AP1113" s="11">
        <f t="shared" si="446"/>
        <v>0.28938295223249483</v>
      </c>
      <c r="AQ1113" s="11">
        <f t="shared" si="447"/>
        <v>0</v>
      </c>
      <c r="AT1113" s="3"/>
      <c r="AU1113" s="17"/>
      <c r="AV1113" s="19"/>
      <c r="AW1113" s="17"/>
      <c r="AX1113" s="17">
        <f t="shared" si="441"/>
        <v>1104</v>
      </c>
      <c r="AY1113" s="17">
        <f t="shared" si="448"/>
        <v>110.4</v>
      </c>
      <c r="AZ1113" s="17">
        <v>28.938295223249483</v>
      </c>
      <c r="BA1113" s="17"/>
      <c r="BB1113" s="17">
        <v>36</v>
      </c>
      <c r="BC1113" s="17"/>
      <c r="BD1113" s="17"/>
      <c r="BE1113" s="17"/>
      <c r="BF1113" s="17"/>
      <c r="BG1113" s="17"/>
      <c r="BH1113" s="17"/>
      <c r="BI1113" s="17"/>
      <c r="BJ1113" s="17"/>
      <c r="BK1113" s="17"/>
      <c r="BL1113" s="17"/>
      <c r="BM1113" s="17"/>
      <c r="BN1113" s="17"/>
      <c r="BO1113" s="17"/>
      <c r="BP1113" s="17"/>
      <c r="BQ1113" s="17"/>
      <c r="BR1113" s="17"/>
      <c r="BS1113" s="17"/>
      <c r="BT1113" s="17"/>
      <c r="BU1113" s="17"/>
      <c r="BV1113" s="17"/>
      <c r="BW1113" s="17"/>
      <c r="BX1113" s="17"/>
      <c r="BY1113" s="17"/>
      <c r="BZ1113" s="17"/>
      <c r="CA1113" s="17"/>
      <c r="CB1113" s="17"/>
      <c r="CC1113" s="17"/>
      <c r="CD1113" s="17"/>
      <c r="CE1113" s="17"/>
      <c r="CF1113" s="17"/>
      <c r="CG1113" s="17"/>
      <c r="CH1113" s="17"/>
    </row>
    <row r="1114" spans="35:86" x14ac:dyDescent="0.15">
      <c r="AI1114" s="3"/>
      <c r="AJ1114" s="3"/>
      <c r="AK1114" s="15">
        <f t="shared" si="443"/>
        <v>5</v>
      </c>
      <c r="AL1114" s="11">
        <f t="shared" si="440"/>
        <v>6630</v>
      </c>
      <c r="AM1114" s="11" t="b">
        <f t="shared" si="442"/>
        <v>1</v>
      </c>
      <c r="AN1114" s="11">
        <f t="shared" si="444"/>
        <v>36000</v>
      </c>
      <c r="AO1114" s="11">
        <f t="shared" si="445"/>
        <v>0</v>
      </c>
      <c r="AP1114" s="11">
        <f t="shared" si="446"/>
        <v>0.27904546508168038</v>
      </c>
      <c r="AQ1114" s="11">
        <f t="shared" si="447"/>
        <v>0</v>
      </c>
      <c r="AT1114" s="3"/>
      <c r="AU1114" s="17"/>
      <c r="AV1114" s="19"/>
      <c r="AW1114" s="17"/>
      <c r="AX1114" s="17">
        <f t="shared" si="441"/>
        <v>1105</v>
      </c>
      <c r="AY1114" s="17">
        <f t="shared" si="448"/>
        <v>110.5</v>
      </c>
      <c r="AZ1114" s="17">
        <v>27.904546508168039</v>
      </c>
      <c r="BA1114" s="17"/>
      <c r="BB1114" s="17">
        <v>36</v>
      </c>
      <c r="BC1114" s="17"/>
      <c r="BD1114" s="17"/>
      <c r="BE1114" s="17"/>
      <c r="BF1114" s="17"/>
      <c r="BG1114" s="17"/>
      <c r="BH1114" s="17"/>
      <c r="BI1114" s="17"/>
      <c r="BJ1114" s="17"/>
      <c r="BK1114" s="17"/>
      <c r="BL1114" s="17"/>
      <c r="BM1114" s="17"/>
      <c r="BN1114" s="17"/>
      <c r="BO1114" s="17"/>
      <c r="BP1114" s="17"/>
      <c r="BQ1114" s="17"/>
      <c r="BR1114" s="17"/>
      <c r="BS1114" s="17"/>
      <c r="BT1114" s="17"/>
      <c r="BU1114" s="17"/>
      <c r="BV1114" s="17"/>
      <c r="BW1114" s="17"/>
      <c r="BX1114" s="17"/>
      <c r="BY1114" s="17"/>
      <c r="BZ1114" s="17"/>
      <c r="CA1114" s="17"/>
      <c r="CB1114" s="17"/>
      <c r="CC1114" s="17"/>
      <c r="CD1114" s="17"/>
      <c r="CE1114" s="17"/>
      <c r="CF1114" s="17"/>
      <c r="CG1114" s="17"/>
      <c r="CH1114" s="17"/>
    </row>
    <row r="1115" spans="35:86" x14ac:dyDescent="0.15">
      <c r="AI1115" s="3"/>
      <c r="AJ1115" s="3"/>
      <c r="AK1115" s="15">
        <f t="shared" si="443"/>
        <v>5</v>
      </c>
      <c r="AL1115" s="11">
        <f t="shared" si="440"/>
        <v>6636</v>
      </c>
      <c r="AM1115" s="11" t="b">
        <f t="shared" si="442"/>
        <v>1</v>
      </c>
      <c r="AN1115" s="11">
        <f t="shared" si="444"/>
        <v>36000</v>
      </c>
      <c r="AO1115" s="11">
        <f t="shared" si="445"/>
        <v>0</v>
      </c>
      <c r="AP1115" s="11">
        <f t="shared" si="446"/>
        <v>0.26911663643999795</v>
      </c>
      <c r="AQ1115" s="11">
        <f t="shared" si="447"/>
        <v>0</v>
      </c>
      <c r="AT1115" s="3"/>
      <c r="AU1115" s="17"/>
      <c r="AV1115" s="19"/>
      <c r="AW1115" s="17"/>
      <c r="AX1115" s="17">
        <f t="shared" si="441"/>
        <v>1106</v>
      </c>
      <c r="AY1115" s="17">
        <f t="shared" si="448"/>
        <v>110.6</v>
      </c>
      <c r="AZ1115" s="17">
        <v>26.911663643999795</v>
      </c>
      <c r="BA1115" s="17"/>
      <c r="BB1115" s="17">
        <v>36</v>
      </c>
      <c r="BC1115" s="17"/>
      <c r="BD1115" s="17"/>
      <c r="BE1115" s="17"/>
      <c r="BF1115" s="17"/>
      <c r="BG1115" s="17"/>
      <c r="BH1115" s="17"/>
      <c r="BI1115" s="17"/>
      <c r="BJ1115" s="17"/>
      <c r="BK1115" s="17"/>
      <c r="BL1115" s="17"/>
      <c r="BM1115" s="17"/>
      <c r="BN1115" s="17"/>
      <c r="BO1115" s="17"/>
      <c r="BP1115" s="17"/>
      <c r="BQ1115" s="17"/>
      <c r="BR1115" s="17"/>
      <c r="BS1115" s="17"/>
      <c r="BT1115" s="17"/>
      <c r="BU1115" s="17"/>
      <c r="BV1115" s="17"/>
      <c r="BW1115" s="17"/>
      <c r="BX1115" s="17"/>
      <c r="BY1115" s="17"/>
      <c r="BZ1115" s="17"/>
      <c r="CA1115" s="17"/>
      <c r="CB1115" s="17"/>
      <c r="CC1115" s="17"/>
      <c r="CD1115" s="17"/>
      <c r="CE1115" s="17"/>
      <c r="CF1115" s="17"/>
      <c r="CG1115" s="17"/>
      <c r="CH1115" s="17"/>
    </row>
    <row r="1116" spans="35:86" x14ac:dyDescent="0.15">
      <c r="AI1116" s="3"/>
      <c r="AJ1116" s="3"/>
      <c r="AK1116" s="15">
        <f t="shared" si="443"/>
        <v>5</v>
      </c>
      <c r="AL1116" s="11">
        <f t="shared" si="440"/>
        <v>6642</v>
      </c>
      <c r="AM1116" s="11" t="b">
        <f t="shared" si="442"/>
        <v>1</v>
      </c>
      <c r="AN1116" s="11">
        <f t="shared" si="444"/>
        <v>36000</v>
      </c>
      <c r="AO1116" s="11">
        <f t="shared" si="445"/>
        <v>0</v>
      </c>
      <c r="AP1116" s="11">
        <f t="shared" si="446"/>
        <v>0.25958031133916082</v>
      </c>
      <c r="AQ1116" s="11">
        <f t="shared" si="447"/>
        <v>0</v>
      </c>
      <c r="AT1116" s="3"/>
      <c r="AU1116" s="17"/>
      <c r="AV1116" s="19"/>
      <c r="AW1116" s="17"/>
      <c r="AX1116" s="17">
        <f t="shared" si="441"/>
        <v>1107</v>
      </c>
      <c r="AY1116" s="17">
        <f t="shared" si="448"/>
        <v>110.7</v>
      </c>
      <c r="AZ1116" s="17">
        <v>25.95803113391608</v>
      </c>
      <c r="BA1116" s="17"/>
      <c r="BB1116" s="17">
        <v>36</v>
      </c>
      <c r="BC1116" s="17"/>
      <c r="BD1116" s="17"/>
      <c r="BE1116" s="17"/>
      <c r="BF1116" s="17"/>
      <c r="BG1116" s="17"/>
      <c r="BH1116" s="17"/>
      <c r="BI1116" s="17"/>
      <c r="BJ1116" s="17"/>
      <c r="BK1116" s="17"/>
      <c r="BL1116" s="17"/>
      <c r="BM1116" s="17"/>
      <c r="BN1116" s="17"/>
      <c r="BO1116" s="17"/>
      <c r="BP1116" s="17"/>
      <c r="BQ1116" s="17"/>
      <c r="BR1116" s="17"/>
      <c r="BS1116" s="17"/>
      <c r="BT1116" s="17"/>
      <c r="BU1116" s="17"/>
      <c r="BV1116" s="17"/>
      <c r="BW1116" s="17"/>
      <c r="BX1116" s="17"/>
      <c r="BY1116" s="17"/>
      <c r="BZ1116" s="17"/>
      <c r="CA1116" s="17"/>
      <c r="CB1116" s="17"/>
      <c r="CC1116" s="17"/>
      <c r="CD1116" s="17"/>
      <c r="CE1116" s="17"/>
      <c r="CF1116" s="17"/>
      <c r="CG1116" s="17"/>
      <c r="CH1116" s="17"/>
    </row>
    <row r="1117" spans="35:86" x14ac:dyDescent="0.15">
      <c r="AI1117" s="3"/>
      <c r="AJ1117" s="3"/>
      <c r="AK1117" s="15">
        <f t="shared" si="443"/>
        <v>5</v>
      </c>
      <c r="AL1117" s="11">
        <f t="shared" si="440"/>
        <v>6648</v>
      </c>
      <c r="AM1117" s="11" t="b">
        <f t="shared" si="442"/>
        <v>1</v>
      </c>
      <c r="AN1117" s="11">
        <f t="shared" si="444"/>
        <v>36000</v>
      </c>
      <c r="AO1117" s="11">
        <f t="shared" si="445"/>
        <v>0</v>
      </c>
      <c r="AP1117" s="11">
        <f t="shared" si="446"/>
        <v>0.25042097344434883</v>
      </c>
      <c r="AQ1117" s="11">
        <f t="shared" si="447"/>
        <v>0</v>
      </c>
      <c r="AT1117" s="3"/>
      <c r="AU1117" s="17"/>
      <c r="AV1117" s="19"/>
      <c r="AW1117" s="17"/>
      <c r="AX1117" s="17">
        <f t="shared" si="441"/>
        <v>1108</v>
      </c>
      <c r="AY1117" s="17">
        <f t="shared" si="448"/>
        <v>110.8</v>
      </c>
      <c r="AZ1117" s="17">
        <v>25.042097344434882</v>
      </c>
      <c r="BA1117" s="17"/>
      <c r="BB1117" s="17">
        <v>36</v>
      </c>
      <c r="BC1117" s="17"/>
      <c r="BD1117" s="17"/>
      <c r="BE1117" s="17"/>
      <c r="BF1117" s="17"/>
      <c r="BG1117" s="17"/>
      <c r="BH1117" s="17"/>
      <c r="BI1117" s="17"/>
      <c r="BJ1117" s="17"/>
      <c r="BK1117" s="17"/>
      <c r="BL1117" s="17"/>
      <c r="BM1117" s="17"/>
      <c r="BN1117" s="17"/>
      <c r="BO1117" s="17"/>
      <c r="BP1117" s="17"/>
      <c r="BQ1117" s="17"/>
      <c r="BR1117" s="17"/>
      <c r="BS1117" s="17"/>
      <c r="BT1117" s="17"/>
      <c r="BU1117" s="17"/>
      <c r="BV1117" s="17"/>
      <c r="BW1117" s="17"/>
      <c r="BX1117" s="17"/>
      <c r="BY1117" s="17"/>
      <c r="BZ1117" s="17"/>
      <c r="CA1117" s="17"/>
      <c r="CB1117" s="17"/>
      <c r="CC1117" s="17"/>
      <c r="CD1117" s="17"/>
      <c r="CE1117" s="17"/>
      <c r="CF1117" s="17"/>
      <c r="CG1117" s="17"/>
      <c r="CH1117" s="17"/>
    </row>
    <row r="1118" spans="35:86" x14ac:dyDescent="0.15">
      <c r="AI1118" s="3"/>
      <c r="AJ1118" s="3"/>
      <c r="AK1118" s="15">
        <f t="shared" si="443"/>
        <v>5</v>
      </c>
      <c r="AL1118" s="11">
        <f t="shared" si="440"/>
        <v>6654</v>
      </c>
      <c r="AM1118" s="11" t="b">
        <f t="shared" si="442"/>
        <v>1</v>
      </c>
      <c r="AN1118" s="11">
        <f t="shared" si="444"/>
        <v>36000</v>
      </c>
      <c r="AO1118" s="11">
        <f t="shared" si="445"/>
        <v>0</v>
      </c>
      <c r="AP1118" s="11">
        <f t="shared" si="446"/>
        <v>0.24162371980793759</v>
      </c>
      <c r="AQ1118" s="11">
        <f t="shared" si="447"/>
        <v>0</v>
      </c>
      <c r="AT1118" s="3"/>
      <c r="AU1118" s="17"/>
      <c r="AV1118" s="19"/>
      <c r="AW1118" s="17"/>
      <c r="AX1118" s="17">
        <f t="shared" si="441"/>
        <v>1109</v>
      </c>
      <c r="AY1118" s="17">
        <f t="shared" si="448"/>
        <v>110.9</v>
      </c>
      <c r="AZ1118" s="17">
        <v>24.162371980793758</v>
      </c>
      <c r="BA1118" s="17"/>
      <c r="BB1118" s="17">
        <v>36</v>
      </c>
      <c r="BC1118" s="17"/>
      <c r="BD1118" s="17"/>
      <c r="BE1118" s="17"/>
      <c r="BF1118" s="17"/>
      <c r="BG1118" s="17"/>
      <c r="BH1118" s="17"/>
      <c r="BI1118" s="17"/>
      <c r="BJ1118" s="17"/>
      <c r="BK1118" s="17"/>
      <c r="BL1118" s="17"/>
      <c r="BM1118" s="17"/>
      <c r="BN1118" s="17"/>
      <c r="BO1118" s="17"/>
      <c r="BP1118" s="17"/>
      <c r="BQ1118" s="17"/>
      <c r="BR1118" s="17"/>
      <c r="BS1118" s="17"/>
      <c r="BT1118" s="17"/>
      <c r="BU1118" s="17"/>
      <c r="BV1118" s="17"/>
      <c r="BW1118" s="17"/>
      <c r="BX1118" s="17"/>
      <c r="BY1118" s="17"/>
      <c r="BZ1118" s="17"/>
      <c r="CA1118" s="17"/>
      <c r="CB1118" s="17"/>
      <c r="CC1118" s="17"/>
      <c r="CD1118" s="17"/>
      <c r="CE1118" s="17"/>
      <c r="CF1118" s="17"/>
      <c r="CG1118" s="17"/>
      <c r="CH1118" s="17"/>
    </row>
    <row r="1119" spans="35:86" x14ac:dyDescent="0.15">
      <c r="AI1119" s="3"/>
      <c r="AJ1119" s="3"/>
      <c r="AK1119" s="15">
        <f t="shared" si="443"/>
        <v>5</v>
      </c>
      <c r="AL1119" s="11">
        <f t="shared" si="440"/>
        <v>6660</v>
      </c>
      <c r="AM1119" s="11" t="b">
        <f t="shared" si="442"/>
        <v>1</v>
      </c>
      <c r="AN1119" s="11">
        <f t="shared" si="444"/>
        <v>36000</v>
      </c>
      <c r="AO1119" s="11">
        <f t="shared" si="445"/>
        <v>0</v>
      </c>
      <c r="AP1119" s="11">
        <f t="shared" si="446"/>
        <v>0.23317423662125597</v>
      </c>
      <c r="AQ1119" s="11">
        <f t="shared" si="447"/>
        <v>0</v>
      </c>
      <c r="AT1119" s="3"/>
      <c r="AU1119" s="17"/>
      <c r="AV1119" s="19"/>
      <c r="AW1119" s="17"/>
      <c r="AX1119" s="17">
        <f t="shared" si="441"/>
        <v>1110</v>
      </c>
      <c r="AY1119" s="17">
        <f t="shared" si="448"/>
        <v>111</v>
      </c>
      <c r="AZ1119" s="17">
        <v>23.317423662125599</v>
      </c>
      <c r="BA1119" s="17"/>
      <c r="BB1119" s="17">
        <v>36</v>
      </c>
      <c r="BC1119" s="17"/>
      <c r="BD1119" s="17"/>
      <c r="BE1119" s="17"/>
      <c r="BF1119" s="17"/>
      <c r="BG1119" s="17"/>
      <c r="BH1119" s="17"/>
      <c r="BI1119" s="17"/>
      <c r="BJ1119" s="17"/>
      <c r="BK1119" s="17"/>
      <c r="BL1119" s="17"/>
      <c r="BM1119" s="17"/>
      <c r="BN1119" s="17"/>
      <c r="BO1119" s="17"/>
      <c r="BP1119" s="17"/>
      <c r="BQ1119" s="17"/>
      <c r="BR1119" s="17"/>
      <c r="BS1119" s="17"/>
      <c r="BT1119" s="17"/>
      <c r="BU1119" s="17"/>
      <c r="BV1119" s="17"/>
      <c r="BW1119" s="17"/>
      <c r="BX1119" s="17"/>
      <c r="BY1119" s="17"/>
      <c r="BZ1119" s="17"/>
      <c r="CA1119" s="17"/>
      <c r="CB1119" s="17"/>
      <c r="CC1119" s="17"/>
      <c r="CD1119" s="17"/>
      <c r="CE1119" s="17"/>
      <c r="CF1119" s="17"/>
      <c r="CG1119" s="17"/>
      <c r="CH1119" s="17"/>
    </row>
    <row r="1120" spans="35:86" x14ac:dyDescent="0.15">
      <c r="AI1120" s="3"/>
      <c r="AJ1120" s="3"/>
      <c r="AK1120" s="15">
        <f t="shared" si="443"/>
        <v>5</v>
      </c>
      <c r="AL1120" s="11">
        <f t="shared" si="440"/>
        <v>6666</v>
      </c>
      <c r="AM1120" s="11" t="b">
        <f t="shared" si="442"/>
        <v>1</v>
      </c>
      <c r="AN1120" s="11">
        <f t="shared" si="444"/>
        <v>36000</v>
      </c>
      <c r="AO1120" s="11">
        <f t="shared" si="445"/>
        <v>0</v>
      </c>
      <c r="AP1120" s="11">
        <f t="shared" si="446"/>
        <v>0.22505877592491746</v>
      </c>
      <c r="AQ1120" s="11">
        <f t="shared" si="447"/>
        <v>0</v>
      </c>
      <c r="AT1120" s="3"/>
      <c r="AU1120" s="17"/>
      <c r="AV1120" s="19"/>
      <c r="AW1120" s="17"/>
      <c r="AX1120" s="17">
        <f t="shared" si="441"/>
        <v>1111</v>
      </c>
      <c r="AY1120" s="17">
        <f t="shared" si="448"/>
        <v>111.1</v>
      </c>
      <c r="AZ1120" s="17">
        <v>22.505877592491746</v>
      </c>
      <c r="BA1120" s="17"/>
      <c r="BB1120" s="17">
        <v>36</v>
      </c>
      <c r="BC1120" s="17"/>
      <c r="BD1120" s="17"/>
      <c r="BE1120" s="17"/>
      <c r="BF1120" s="17"/>
      <c r="BG1120" s="17"/>
      <c r="BH1120" s="17"/>
      <c r="BI1120" s="17"/>
      <c r="BJ1120" s="17"/>
      <c r="BK1120" s="17"/>
      <c r="BL1120" s="17"/>
      <c r="BM1120" s="17"/>
      <c r="BN1120" s="17"/>
      <c r="BO1120" s="17"/>
      <c r="BP1120" s="17"/>
      <c r="BQ1120" s="17"/>
      <c r="BR1120" s="17"/>
      <c r="BS1120" s="17"/>
      <c r="BT1120" s="17"/>
      <c r="BU1120" s="17"/>
      <c r="BV1120" s="17"/>
      <c r="BW1120" s="17"/>
      <c r="BX1120" s="17"/>
      <c r="BY1120" s="17"/>
      <c r="BZ1120" s="17"/>
      <c r="CA1120" s="17"/>
      <c r="CB1120" s="17"/>
      <c r="CC1120" s="17"/>
      <c r="CD1120" s="17"/>
      <c r="CE1120" s="17"/>
      <c r="CF1120" s="17"/>
      <c r="CG1120" s="17"/>
      <c r="CH1120" s="17"/>
    </row>
    <row r="1121" spans="35:86" x14ac:dyDescent="0.15">
      <c r="AI1121" s="3"/>
      <c r="AJ1121" s="3"/>
      <c r="AK1121" s="15">
        <f t="shared" si="443"/>
        <v>5</v>
      </c>
      <c r="AL1121" s="11">
        <f t="shared" si="440"/>
        <v>6672</v>
      </c>
      <c r="AM1121" s="11" t="b">
        <f t="shared" si="442"/>
        <v>1</v>
      </c>
      <c r="AN1121" s="11">
        <f t="shared" si="444"/>
        <v>36000</v>
      </c>
      <c r="AO1121" s="11">
        <f t="shared" si="445"/>
        <v>0</v>
      </c>
      <c r="AP1121" s="11">
        <f t="shared" si="446"/>
        <v>0.21726413323983271</v>
      </c>
      <c r="AQ1121" s="11">
        <f t="shared" si="447"/>
        <v>0</v>
      </c>
      <c r="AT1121" s="3"/>
      <c r="AU1121" s="17"/>
      <c r="AV1121" s="19"/>
      <c r="AW1121" s="17"/>
      <c r="AX1121" s="17">
        <f t="shared" si="441"/>
        <v>1112</v>
      </c>
      <c r="AY1121" s="17">
        <f t="shared" si="448"/>
        <v>111.2</v>
      </c>
      <c r="AZ1121" s="17">
        <v>21.72641332398327</v>
      </c>
      <c r="BA1121" s="17"/>
      <c r="BB1121" s="17">
        <v>36</v>
      </c>
      <c r="BC1121" s="17"/>
      <c r="BD1121" s="17"/>
      <c r="BE1121" s="17"/>
      <c r="BF1121" s="17"/>
      <c r="BG1121" s="17"/>
      <c r="BH1121" s="17"/>
      <c r="BI1121" s="17"/>
      <c r="BJ1121" s="17"/>
      <c r="BK1121" s="17"/>
      <c r="BL1121" s="17"/>
      <c r="BM1121" s="17"/>
      <c r="BN1121" s="17"/>
      <c r="BO1121" s="17"/>
      <c r="BP1121" s="17"/>
      <c r="BQ1121" s="17"/>
      <c r="BR1121" s="17"/>
      <c r="BS1121" s="17"/>
      <c r="BT1121" s="17"/>
      <c r="BU1121" s="17"/>
      <c r="BV1121" s="17"/>
      <c r="BW1121" s="17"/>
      <c r="BX1121" s="17"/>
      <c r="BY1121" s="17"/>
      <c r="BZ1121" s="17"/>
      <c r="CA1121" s="17"/>
      <c r="CB1121" s="17"/>
      <c r="CC1121" s="17"/>
      <c r="CD1121" s="17"/>
      <c r="CE1121" s="17"/>
      <c r="CF1121" s="17"/>
      <c r="CG1121" s="17"/>
      <c r="CH1121" s="17"/>
    </row>
    <row r="1122" spans="35:86" x14ac:dyDescent="0.15">
      <c r="AI1122" s="3"/>
      <c r="AJ1122" s="3"/>
      <c r="AK1122" s="15">
        <f t="shared" si="443"/>
        <v>5</v>
      </c>
      <c r="AL1122" s="11">
        <f t="shared" si="440"/>
        <v>6678</v>
      </c>
      <c r="AM1122" s="11" t="b">
        <f t="shared" si="442"/>
        <v>1</v>
      </c>
      <c r="AN1122" s="11">
        <f t="shared" si="444"/>
        <v>36000</v>
      </c>
      <c r="AO1122" s="11">
        <f t="shared" si="445"/>
        <v>0</v>
      </c>
      <c r="AP1122" s="11">
        <f t="shared" si="446"/>
        <v>0.20977762608250555</v>
      </c>
      <c r="AQ1122" s="11">
        <f t="shared" si="447"/>
        <v>0</v>
      </c>
      <c r="AT1122" s="3"/>
      <c r="AU1122" s="17"/>
      <c r="AV1122" s="19"/>
      <c r="AW1122" s="17"/>
      <c r="AX1122" s="17">
        <f t="shared" si="441"/>
        <v>1113</v>
      </c>
      <c r="AY1122" s="17">
        <f t="shared" si="448"/>
        <v>111.3</v>
      </c>
      <c r="AZ1122" s="17">
        <v>20.977762608250554</v>
      </c>
      <c r="BA1122" s="17"/>
      <c r="BB1122" s="17">
        <v>36</v>
      </c>
      <c r="BC1122" s="17"/>
      <c r="BD1122" s="17"/>
      <c r="BE1122" s="17"/>
      <c r="BF1122" s="17"/>
      <c r="BG1122" s="17"/>
      <c r="BH1122" s="17"/>
      <c r="BI1122" s="17"/>
      <c r="BJ1122" s="17"/>
      <c r="BK1122" s="17"/>
      <c r="BL1122" s="17"/>
      <c r="BM1122" s="17"/>
      <c r="BN1122" s="17"/>
      <c r="BO1122" s="17"/>
      <c r="BP1122" s="17"/>
      <c r="BQ1122" s="17"/>
      <c r="BR1122" s="17"/>
      <c r="BS1122" s="17"/>
      <c r="BT1122" s="17"/>
      <c r="BU1122" s="17"/>
      <c r="BV1122" s="17"/>
      <c r="BW1122" s="17"/>
      <c r="BX1122" s="17"/>
      <c r="BY1122" s="17"/>
      <c r="BZ1122" s="17"/>
      <c r="CA1122" s="17"/>
      <c r="CB1122" s="17"/>
      <c r="CC1122" s="17"/>
      <c r="CD1122" s="17"/>
      <c r="CE1122" s="17"/>
      <c r="CF1122" s="17"/>
      <c r="CG1122" s="17"/>
      <c r="CH1122" s="17"/>
    </row>
    <row r="1123" spans="35:86" x14ac:dyDescent="0.15">
      <c r="AI1123" s="3"/>
      <c r="AJ1123" s="3"/>
      <c r="AK1123" s="15">
        <f t="shared" si="443"/>
        <v>5</v>
      </c>
      <c r="AL1123" s="11">
        <f t="shared" si="440"/>
        <v>6684</v>
      </c>
      <c r="AM1123" s="11" t="b">
        <f t="shared" si="442"/>
        <v>0</v>
      </c>
      <c r="AN1123" s="11">
        <f t="shared" si="444"/>
        <v>36000</v>
      </c>
      <c r="AO1123" s="11">
        <f t="shared" si="445"/>
        <v>0</v>
      </c>
      <c r="AP1123" s="11">
        <f t="shared" si="446"/>
        <v>0.21087994089732037</v>
      </c>
      <c r="AQ1123" s="11">
        <f t="shared" si="447"/>
        <v>0</v>
      </c>
      <c r="AT1123" s="3"/>
      <c r="AU1123" s="17"/>
      <c r="AV1123" s="19"/>
      <c r="AW1123" s="17"/>
      <c r="AX1123" s="17">
        <f t="shared" si="441"/>
        <v>1114</v>
      </c>
      <c r="AY1123" s="17">
        <f t="shared" si="448"/>
        <v>111.4</v>
      </c>
      <c r="AZ1123" s="17">
        <v>21.087994089732039</v>
      </c>
      <c r="BA1123" s="17"/>
      <c r="BB1123" s="17">
        <v>36</v>
      </c>
      <c r="BC1123" s="17"/>
      <c r="BD1123" s="17"/>
      <c r="BE1123" s="17"/>
      <c r="BF1123" s="17"/>
      <c r="BG1123" s="17"/>
      <c r="BH1123" s="17"/>
      <c r="BI1123" s="17"/>
      <c r="BJ1123" s="17"/>
      <c r="BK1123" s="17"/>
      <c r="BL1123" s="17"/>
      <c r="BM1123" s="17"/>
      <c r="BN1123" s="17"/>
      <c r="BO1123" s="17"/>
      <c r="BP1123" s="17"/>
      <c r="BQ1123" s="17"/>
      <c r="BR1123" s="17"/>
      <c r="BS1123" s="17"/>
      <c r="BT1123" s="17"/>
      <c r="BU1123" s="17"/>
      <c r="BV1123" s="17"/>
      <c r="BW1123" s="17"/>
      <c r="BX1123" s="17"/>
      <c r="BY1123" s="17"/>
      <c r="BZ1123" s="17"/>
      <c r="CA1123" s="17"/>
      <c r="CB1123" s="17"/>
      <c r="CC1123" s="17"/>
      <c r="CD1123" s="17"/>
      <c r="CE1123" s="17"/>
      <c r="CF1123" s="17"/>
      <c r="CG1123" s="17"/>
      <c r="CH1123" s="17"/>
    </row>
    <row r="1124" spans="35:86" x14ac:dyDescent="0.15">
      <c r="AI1124" s="3"/>
      <c r="AJ1124" s="3"/>
      <c r="AK1124" s="15">
        <f t="shared" si="443"/>
        <v>5</v>
      </c>
      <c r="AL1124" s="11">
        <f t="shared" si="440"/>
        <v>6690</v>
      </c>
      <c r="AM1124" s="11" t="b">
        <f t="shared" si="442"/>
        <v>0</v>
      </c>
      <c r="AN1124" s="11">
        <f t="shared" si="444"/>
        <v>36000</v>
      </c>
      <c r="AO1124" s="11">
        <f t="shared" si="445"/>
        <v>0</v>
      </c>
      <c r="AP1124" s="11">
        <f t="shared" si="446"/>
        <v>0.21198225571213519</v>
      </c>
      <c r="AQ1124" s="11">
        <f t="shared" si="447"/>
        <v>0</v>
      </c>
      <c r="AT1124" s="3"/>
      <c r="AU1124" s="17"/>
      <c r="AV1124" s="19"/>
      <c r="AW1124" s="17"/>
      <c r="AX1124" s="17">
        <f t="shared" si="441"/>
        <v>1115</v>
      </c>
      <c r="AY1124" s="17">
        <f t="shared" si="448"/>
        <v>111.5</v>
      </c>
      <c r="AZ1124" s="17">
        <v>21.19822557121352</v>
      </c>
      <c r="BA1124" s="17"/>
      <c r="BB1124" s="17">
        <v>36</v>
      </c>
      <c r="BC1124" s="17"/>
      <c r="BD1124" s="17"/>
      <c r="BE1124" s="17"/>
      <c r="BF1124" s="17"/>
      <c r="BG1124" s="17"/>
      <c r="BH1124" s="17"/>
      <c r="BI1124" s="17"/>
      <c r="BJ1124" s="17"/>
      <c r="BK1124" s="17"/>
      <c r="BL1124" s="17"/>
      <c r="BM1124" s="17"/>
      <c r="BN1124" s="17"/>
      <c r="BO1124" s="17"/>
      <c r="BP1124" s="17"/>
      <c r="BQ1124" s="17"/>
      <c r="BR1124" s="17"/>
      <c r="BS1124" s="17"/>
      <c r="BT1124" s="17"/>
      <c r="BU1124" s="17"/>
      <c r="BV1124" s="17"/>
      <c r="BW1124" s="17"/>
      <c r="BX1124" s="17"/>
      <c r="BY1124" s="17"/>
      <c r="BZ1124" s="17"/>
      <c r="CA1124" s="17"/>
      <c r="CB1124" s="17"/>
      <c r="CC1124" s="17"/>
      <c r="CD1124" s="17"/>
      <c r="CE1124" s="17"/>
      <c r="CF1124" s="17"/>
      <c r="CG1124" s="17"/>
      <c r="CH1124" s="17"/>
    </row>
    <row r="1125" spans="35:86" x14ac:dyDescent="0.15">
      <c r="AI1125" s="3"/>
      <c r="AJ1125" s="3"/>
      <c r="AK1125" s="15">
        <f t="shared" si="443"/>
        <v>5</v>
      </c>
      <c r="AL1125" s="11">
        <f t="shared" si="440"/>
        <v>6696</v>
      </c>
      <c r="AM1125" s="11" t="b">
        <f t="shared" si="442"/>
        <v>0</v>
      </c>
      <c r="AN1125" s="11">
        <f t="shared" si="444"/>
        <v>36000</v>
      </c>
      <c r="AO1125" s="11">
        <f t="shared" si="445"/>
        <v>0</v>
      </c>
      <c r="AP1125" s="11">
        <f t="shared" si="446"/>
        <v>0.21308457052694998</v>
      </c>
      <c r="AQ1125" s="11">
        <f t="shared" si="447"/>
        <v>0</v>
      </c>
      <c r="AT1125" s="3"/>
      <c r="AU1125" s="17"/>
      <c r="AV1125" s="19"/>
      <c r="AW1125" s="17"/>
      <c r="AX1125" s="17">
        <f t="shared" si="441"/>
        <v>1116</v>
      </c>
      <c r="AY1125" s="17">
        <f t="shared" si="448"/>
        <v>111.6</v>
      </c>
      <c r="AZ1125" s="17">
        <v>21.308457052694997</v>
      </c>
      <c r="BA1125" s="17"/>
      <c r="BB1125" s="17">
        <v>36</v>
      </c>
      <c r="BC1125" s="17"/>
      <c r="BD1125" s="17"/>
      <c r="BE1125" s="17"/>
      <c r="BF1125" s="17"/>
      <c r="BG1125" s="17"/>
      <c r="BH1125" s="17"/>
      <c r="BI1125" s="17"/>
      <c r="BJ1125" s="17"/>
      <c r="BK1125" s="17"/>
      <c r="BL1125" s="17"/>
      <c r="BM1125" s="17"/>
      <c r="BN1125" s="17"/>
      <c r="BO1125" s="17"/>
      <c r="BP1125" s="17"/>
      <c r="BQ1125" s="17"/>
      <c r="BR1125" s="17"/>
      <c r="BS1125" s="17"/>
      <c r="BT1125" s="17"/>
      <c r="BU1125" s="17"/>
      <c r="BV1125" s="17"/>
      <c r="BW1125" s="17"/>
      <c r="BX1125" s="17"/>
      <c r="BY1125" s="17"/>
      <c r="BZ1125" s="17"/>
      <c r="CA1125" s="17"/>
      <c r="CB1125" s="17"/>
      <c r="CC1125" s="17"/>
      <c r="CD1125" s="17"/>
      <c r="CE1125" s="17"/>
      <c r="CF1125" s="17"/>
      <c r="CG1125" s="17"/>
      <c r="CH1125" s="17"/>
    </row>
    <row r="1126" spans="35:86" x14ac:dyDescent="0.15">
      <c r="AI1126" s="3"/>
      <c r="AJ1126" s="3"/>
      <c r="AK1126" s="15">
        <f t="shared" si="443"/>
        <v>5</v>
      </c>
      <c r="AL1126" s="11">
        <f t="shared" si="440"/>
        <v>6702</v>
      </c>
      <c r="AM1126" s="11" t="b">
        <f t="shared" si="442"/>
        <v>0</v>
      </c>
      <c r="AN1126" s="11">
        <f t="shared" si="444"/>
        <v>36000</v>
      </c>
      <c r="AO1126" s="11">
        <f t="shared" si="445"/>
        <v>0</v>
      </c>
      <c r="AP1126" s="11">
        <f t="shared" si="446"/>
        <v>0.21418688534176478</v>
      </c>
      <c r="AQ1126" s="11">
        <f t="shared" si="447"/>
        <v>0</v>
      </c>
      <c r="AT1126" s="3"/>
      <c r="AU1126" s="17"/>
      <c r="AV1126" s="19"/>
      <c r="AW1126" s="17"/>
      <c r="AX1126" s="17">
        <f t="shared" si="441"/>
        <v>1117</v>
      </c>
      <c r="AY1126" s="17">
        <f t="shared" si="448"/>
        <v>111.7</v>
      </c>
      <c r="AZ1126" s="17">
        <v>21.418688534176479</v>
      </c>
      <c r="BA1126" s="17"/>
      <c r="BB1126" s="17">
        <v>36</v>
      </c>
      <c r="BC1126" s="17"/>
      <c r="BD1126" s="17"/>
      <c r="BE1126" s="17"/>
      <c r="BF1126" s="17"/>
      <c r="BG1126" s="17"/>
      <c r="BH1126" s="17"/>
      <c r="BI1126" s="17"/>
      <c r="BJ1126" s="17"/>
      <c r="BK1126" s="17"/>
      <c r="BL1126" s="17"/>
      <c r="BM1126" s="17"/>
      <c r="BN1126" s="17"/>
      <c r="BO1126" s="17"/>
      <c r="BP1126" s="17"/>
      <c r="BQ1126" s="17"/>
      <c r="BR1126" s="17"/>
      <c r="BS1126" s="17"/>
      <c r="BT1126" s="17"/>
      <c r="BU1126" s="17"/>
      <c r="BV1126" s="17"/>
      <c r="BW1126" s="17"/>
      <c r="BX1126" s="17"/>
      <c r="BY1126" s="17"/>
      <c r="BZ1126" s="17"/>
      <c r="CA1126" s="17"/>
      <c r="CB1126" s="17"/>
      <c r="CC1126" s="17"/>
      <c r="CD1126" s="17"/>
      <c r="CE1126" s="17"/>
      <c r="CF1126" s="17"/>
      <c r="CG1126" s="17"/>
      <c r="CH1126" s="17"/>
    </row>
    <row r="1127" spans="35:86" x14ac:dyDescent="0.15">
      <c r="AI1127" s="3"/>
      <c r="AJ1127" s="3"/>
      <c r="AK1127" s="15">
        <f t="shared" si="443"/>
        <v>5</v>
      </c>
      <c r="AL1127" s="11">
        <f t="shared" si="440"/>
        <v>6708</v>
      </c>
      <c r="AM1127" s="11" t="b">
        <f t="shared" si="442"/>
        <v>0</v>
      </c>
      <c r="AN1127" s="11">
        <f t="shared" si="444"/>
        <v>36000</v>
      </c>
      <c r="AO1127" s="11">
        <f t="shared" si="445"/>
        <v>0</v>
      </c>
      <c r="AP1127" s="11">
        <f t="shared" si="446"/>
        <v>0.21528920015657957</v>
      </c>
      <c r="AQ1127" s="11">
        <f t="shared" si="447"/>
        <v>0</v>
      </c>
      <c r="AT1127" s="3"/>
      <c r="AU1127" s="17"/>
      <c r="AV1127" s="19"/>
      <c r="AW1127" s="17"/>
      <c r="AX1127" s="17">
        <f t="shared" si="441"/>
        <v>1118</v>
      </c>
      <c r="AY1127" s="17">
        <f t="shared" si="448"/>
        <v>111.8</v>
      </c>
      <c r="AZ1127" s="17">
        <v>21.528920015657956</v>
      </c>
      <c r="BA1127" s="17"/>
      <c r="BB1127" s="17">
        <v>36</v>
      </c>
      <c r="BC1127" s="17"/>
      <c r="BD1127" s="17"/>
      <c r="BE1127" s="17"/>
      <c r="BF1127" s="17"/>
      <c r="BG1127" s="17"/>
      <c r="BH1127" s="17"/>
      <c r="BI1127" s="17"/>
      <c r="BJ1127" s="17"/>
      <c r="BK1127" s="17"/>
      <c r="BL1127" s="17"/>
      <c r="BM1127" s="17"/>
      <c r="BN1127" s="17"/>
      <c r="BO1127" s="17"/>
      <c r="BP1127" s="17"/>
      <c r="BQ1127" s="17"/>
      <c r="BR1127" s="17"/>
      <c r="BS1127" s="17"/>
      <c r="BT1127" s="17"/>
      <c r="BU1127" s="17"/>
      <c r="BV1127" s="17"/>
      <c r="BW1127" s="17"/>
      <c r="BX1127" s="17"/>
      <c r="BY1127" s="17"/>
      <c r="BZ1127" s="17"/>
      <c r="CA1127" s="17"/>
      <c r="CB1127" s="17"/>
      <c r="CC1127" s="17"/>
      <c r="CD1127" s="17"/>
      <c r="CE1127" s="17"/>
      <c r="CF1127" s="17"/>
      <c r="CG1127" s="17"/>
      <c r="CH1127" s="17"/>
    </row>
    <row r="1128" spans="35:86" x14ac:dyDescent="0.15">
      <c r="AI1128" s="3"/>
      <c r="AJ1128" s="3"/>
      <c r="AK1128" s="15">
        <f t="shared" si="443"/>
        <v>5</v>
      </c>
      <c r="AL1128" s="11">
        <f t="shared" si="440"/>
        <v>6714</v>
      </c>
      <c r="AM1128" s="11" t="b">
        <f t="shared" si="442"/>
        <v>0</v>
      </c>
      <c r="AN1128" s="11">
        <f t="shared" si="444"/>
        <v>36000</v>
      </c>
      <c r="AO1128" s="11">
        <f t="shared" si="445"/>
        <v>0</v>
      </c>
      <c r="AP1128" s="11">
        <f t="shared" si="446"/>
        <v>0.21639151497139439</v>
      </c>
      <c r="AQ1128" s="11">
        <f t="shared" si="447"/>
        <v>0</v>
      </c>
      <c r="AT1128" s="3"/>
      <c r="AU1128" s="17"/>
      <c r="AV1128" s="19"/>
      <c r="AW1128" s="17"/>
      <c r="AX1128" s="17">
        <f t="shared" si="441"/>
        <v>1119</v>
      </c>
      <c r="AY1128" s="17">
        <f t="shared" si="448"/>
        <v>111.9</v>
      </c>
      <c r="AZ1128" s="17">
        <v>21.639151497139437</v>
      </c>
      <c r="BA1128" s="17"/>
      <c r="BB1128" s="17">
        <v>36</v>
      </c>
      <c r="BC1128" s="17"/>
      <c r="BD1128" s="17"/>
      <c r="BE1128" s="17"/>
      <c r="BF1128" s="17"/>
      <c r="BG1128" s="17"/>
      <c r="BH1128" s="17"/>
      <c r="BI1128" s="17"/>
      <c r="BJ1128" s="17"/>
      <c r="BK1128" s="17"/>
      <c r="BL1128" s="17"/>
      <c r="BM1128" s="17"/>
      <c r="BN1128" s="17"/>
      <c r="BO1128" s="17"/>
      <c r="BP1128" s="17"/>
      <c r="BQ1128" s="17"/>
      <c r="BR1128" s="17"/>
      <c r="BS1128" s="17"/>
      <c r="BT1128" s="17"/>
      <c r="BU1128" s="17"/>
      <c r="BV1128" s="17"/>
      <c r="BW1128" s="17"/>
      <c r="BX1128" s="17"/>
      <c r="BY1128" s="17"/>
      <c r="BZ1128" s="17"/>
      <c r="CA1128" s="17"/>
      <c r="CB1128" s="17"/>
      <c r="CC1128" s="17"/>
      <c r="CD1128" s="17"/>
      <c r="CE1128" s="17"/>
      <c r="CF1128" s="17"/>
      <c r="CG1128" s="17"/>
      <c r="CH1128" s="17"/>
    </row>
    <row r="1129" spans="35:86" x14ac:dyDescent="0.15">
      <c r="AI1129" s="3"/>
      <c r="AJ1129" s="3"/>
      <c r="AK1129" s="15">
        <f t="shared" si="443"/>
        <v>5</v>
      </c>
      <c r="AL1129" s="11">
        <f t="shared" si="440"/>
        <v>6720</v>
      </c>
      <c r="AM1129" s="11" t="b">
        <f t="shared" si="442"/>
        <v>0</v>
      </c>
      <c r="AN1129" s="11">
        <f t="shared" si="444"/>
        <v>36000</v>
      </c>
      <c r="AO1129" s="11">
        <f t="shared" si="445"/>
        <v>0</v>
      </c>
      <c r="AP1129" s="11">
        <f t="shared" si="446"/>
        <v>0.21749382978620921</v>
      </c>
      <c r="AQ1129" s="11">
        <f t="shared" si="447"/>
        <v>0</v>
      </c>
      <c r="AT1129" s="3"/>
      <c r="AU1129" s="17"/>
      <c r="AV1129" s="19"/>
      <c r="AW1129" s="17"/>
      <c r="AX1129" s="17">
        <f t="shared" si="441"/>
        <v>1120</v>
      </c>
      <c r="AY1129" s="17">
        <f t="shared" si="448"/>
        <v>112</v>
      </c>
      <c r="AZ1129" s="17">
        <v>21.749382978620922</v>
      </c>
      <c r="BA1129" s="17"/>
      <c r="BB1129" s="17">
        <v>36</v>
      </c>
      <c r="BC1129" s="17"/>
      <c r="BD1129" s="17"/>
      <c r="BE1129" s="17"/>
      <c r="BF1129" s="17"/>
      <c r="BG1129" s="17"/>
      <c r="BH1129" s="17"/>
      <c r="BI1129" s="17"/>
      <c r="BJ1129" s="17"/>
      <c r="BK1129" s="17"/>
      <c r="BL1129" s="17"/>
      <c r="BM1129" s="17"/>
      <c r="BN1129" s="17"/>
      <c r="BO1129" s="17"/>
      <c r="BP1129" s="17"/>
      <c r="BQ1129" s="17"/>
      <c r="BR1129" s="17"/>
      <c r="BS1129" s="17"/>
      <c r="BT1129" s="17"/>
      <c r="BU1129" s="17"/>
      <c r="BV1129" s="17"/>
      <c r="BW1129" s="17"/>
      <c r="BX1129" s="17"/>
      <c r="BY1129" s="17"/>
      <c r="BZ1129" s="17"/>
      <c r="CA1129" s="17"/>
      <c r="CB1129" s="17"/>
      <c r="CC1129" s="17"/>
      <c r="CD1129" s="17"/>
      <c r="CE1129" s="17"/>
      <c r="CF1129" s="17"/>
      <c r="CG1129" s="17"/>
      <c r="CH1129" s="17"/>
    </row>
    <row r="1130" spans="35:86" x14ac:dyDescent="0.15">
      <c r="AI1130" s="3"/>
      <c r="AJ1130" s="3"/>
      <c r="AK1130" s="15">
        <f t="shared" si="443"/>
        <v>5</v>
      </c>
      <c r="AL1130" s="11">
        <f t="shared" si="440"/>
        <v>6726</v>
      </c>
      <c r="AM1130" s="11" t="b">
        <f t="shared" si="442"/>
        <v>0</v>
      </c>
      <c r="AN1130" s="11">
        <f t="shared" si="444"/>
        <v>36000</v>
      </c>
      <c r="AO1130" s="11">
        <f t="shared" si="445"/>
        <v>0</v>
      </c>
      <c r="AP1130" s="11">
        <f t="shared" si="446"/>
        <v>0.21859614460102403</v>
      </c>
      <c r="AQ1130" s="11">
        <f t="shared" si="447"/>
        <v>0</v>
      </c>
      <c r="AT1130" s="3"/>
      <c r="AU1130" s="17"/>
      <c r="AV1130" s="19"/>
      <c r="AW1130" s="17"/>
      <c r="AX1130" s="17">
        <f t="shared" si="441"/>
        <v>1121</v>
      </c>
      <c r="AY1130" s="17">
        <f t="shared" si="448"/>
        <v>112.1</v>
      </c>
      <c r="AZ1130" s="17">
        <v>21.859614460102403</v>
      </c>
      <c r="BA1130" s="17"/>
      <c r="BB1130" s="17">
        <v>36</v>
      </c>
      <c r="BC1130" s="17"/>
      <c r="BD1130" s="17"/>
      <c r="BE1130" s="17"/>
      <c r="BF1130" s="17"/>
      <c r="BG1130" s="17"/>
      <c r="BH1130" s="17"/>
      <c r="BI1130" s="17"/>
      <c r="BJ1130" s="17"/>
      <c r="BK1130" s="17"/>
      <c r="BL1130" s="17"/>
      <c r="BM1130" s="17"/>
      <c r="BN1130" s="17"/>
      <c r="BO1130" s="17"/>
      <c r="BP1130" s="17"/>
      <c r="BQ1130" s="17"/>
      <c r="BR1130" s="17"/>
      <c r="BS1130" s="17"/>
      <c r="BT1130" s="17"/>
      <c r="BU1130" s="17"/>
      <c r="BV1130" s="17"/>
      <c r="BW1130" s="17"/>
      <c r="BX1130" s="17"/>
      <c r="BY1130" s="17"/>
      <c r="BZ1130" s="17"/>
      <c r="CA1130" s="17"/>
      <c r="CB1130" s="17"/>
      <c r="CC1130" s="17"/>
      <c r="CD1130" s="17"/>
      <c r="CE1130" s="17"/>
      <c r="CF1130" s="17"/>
      <c r="CG1130" s="17"/>
      <c r="CH1130" s="17"/>
    </row>
    <row r="1131" spans="35:86" x14ac:dyDescent="0.15">
      <c r="AI1131" s="3"/>
      <c r="AJ1131" s="3"/>
      <c r="AK1131" s="15">
        <f t="shared" si="443"/>
        <v>5</v>
      </c>
      <c r="AL1131" s="11">
        <f t="shared" si="440"/>
        <v>6732</v>
      </c>
      <c r="AM1131" s="11" t="b">
        <f t="shared" si="442"/>
        <v>0</v>
      </c>
      <c r="AN1131" s="11">
        <f t="shared" si="444"/>
        <v>36000</v>
      </c>
      <c r="AO1131" s="11">
        <f t="shared" si="445"/>
        <v>0</v>
      </c>
      <c r="AP1131" s="11">
        <f t="shared" si="446"/>
        <v>0.21969845941583885</v>
      </c>
      <c r="AQ1131" s="11">
        <f t="shared" si="447"/>
        <v>0</v>
      </c>
      <c r="AT1131" s="3"/>
      <c r="AU1131" s="17"/>
      <c r="AV1131" s="19"/>
      <c r="AW1131" s="17"/>
      <c r="AX1131" s="17">
        <f t="shared" si="441"/>
        <v>1122</v>
      </c>
      <c r="AY1131" s="17">
        <f t="shared" si="448"/>
        <v>112.2</v>
      </c>
      <c r="AZ1131" s="17">
        <v>21.969845941583884</v>
      </c>
      <c r="BA1131" s="17"/>
      <c r="BB1131" s="17">
        <v>36</v>
      </c>
      <c r="BC1131" s="17"/>
      <c r="BD1131" s="17"/>
      <c r="BE1131" s="17"/>
      <c r="BF1131" s="17"/>
      <c r="BG1131" s="17"/>
      <c r="BH1131" s="17"/>
      <c r="BI1131" s="17"/>
      <c r="BJ1131" s="17"/>
      <c r="BK1131" s="17"/>
      <c r="BL1131" s="17"/>
      <c r="BM1131" s="17"/>
      <c r="BN1131" s="17"/>
      <c r="BO1131" s="17"/>
      <c r="BP1131" s="17"/>
      <c r="BQ1131" s="17"/>
      <c r="BR1131" s="17"/>
      <c r="BS1131" s="17"/>
      <c r="BT1131" s="17"/>
      <c r="BU1131" s="17"/>
      <c r="BV1131" s="17"/>
      <c r="BW1131" s="17"/>
      <c r="BX1131" s="17"/>
      <c r="BY1131" s="17"/>
      <c r="BZ1131" s="17"/>
      <c r="CA1131" s="17"/>
      <c r="CB1131" s="17"/>
      <c r="CC1131" s="17"/>
      <c r="CD1131" s="17"/>
      <c r="CE1131" s="17"/>
      <c r="CF1131" s="17"/>
      <c r="CG1131" s="17"/>
      <c r="CH1131" s="17"/>
    </row>
    <row r="1132" spans="35:86" x14ac:dyDescent="0.15">
      <c r="AI1132" s="3"/>
      <c r="AJ1132" s="3"/>
      <c r="AK1132" s="15">
        <f t="shared" si="443"/>
        <v>5</v>
      </c>
      <c r="AL1132" s="11">
        <f t="shared" si="440"/>
        <v>6738</v>
      </c>
      <c r="AM1132" s="11" t="b">
        <f t="shared" si="442"/>
        <v>0</v>
      </c>
      <c r="AN1132" s="11">
        <f t="shared" si="444"/>
        <v>36000</v>
      </c>
      <c r="AO1132" s="11">
        <f t="shared" si="445"/>
        <v>0</v>
      </c>
      <c r="AP1132" s="11">
        <f t="shared" si="446"/>
        <v>0.22080077423065367</v>
      </c>
      <c r="AQ1132" s="11">
        <f t="shared" si="447"/>
        <v>0</v>
      </c>
      <c r="AT1132" s="3"/>
      <c r="AU1132" s="17"/>
      <c r="AV1132" s="19"/>
      <c r="AW1132" s="17"/>
      <c r="AX1132" s="17">
        <f t="shared" si="441"/>
        <v>1123</v>
      </c>
      <c r="AY1132" s="17">
        <f t="shared" si="448"/>
        <v>112.3</v>
      </c>
      <c r="AZ1132" s="17">
        <v>22.080077423065365</v>
      </c>
      <c r="BA1132" s="17"/>
      <c r="BB1132" s="17">
        <v>36</v>
      </c>
      <c r="BC1132" s="17"/>
      <c r="BD1132" s="17"/>
      <c r="BE1132" s="17"/>
      <c r="BF1132" s="17"/>
      <c r="BG1132" s="17"/>
      <c r="BH1132" s="17"/>
      <c r="BI1132" s="17"/>
      <c r="BJ1132" s="17"/>
      <c r="BK1132" s="17"/>
      <c r="BL1132" s="17"/>
      <c r="BM1132" s="17"/>
      <c r="BN1132" s="17"/>
      <c r="BO1132" s="17"/>
      <c r="BP1132" s="17"/>
      <c r="BQ1132" s="17"/>
      <c r="BR1132" s="17"/>
      <c r="BS1132" s="17"/>
      <c r="BT1132" s="17"/>
      <c r="BU1132" s="17"/>
      <c r="BV1132" s="17"/>
      <c r="BW1132" s="17"/>
      <c r="BX1132" s="17"/>
      <c r="BY1132" s="17"/>
      <c r="BZ1132" s="17"/>
      <c r="CA1132" s="17"/>
      <c r="CB1132" s="17"/>
      <c r="CC1132" s="17"/>
      <c r="CD1132" s="17"/>
      <c r="CE1132" s="17"/>
      <c r="CF1132" s="17"/>
      <c r="CG1132" s="17"/>
      <c r="CH1132" s="17"/>
    </row>
    <row r="1133" spans="35:86" x14ac:dyDescent="0.15">
      <c r="AI1133" s="3"/>
      <c r="AJ1133" s="3"/>
      <c r="AK1133" s="15">
        <f t="shared" si="443"/>
        <v>5</v>
      </c>
      <c r="AL1133" s="11">
        <f t="shared" ref="AL1133:AL1196" si="449">AL1132+$AB$15</f>
        <v>6744</v>
      </c>
      <c r="AM1133" s="11" t="b">
        <f t="shared" si="442"/>
        <v>0</v>
      </c>
      <c r="AN1133" s="11">
        <f t="shared" si="444"/>
        <v>36000</v>
      </c>
      <c r="AO1133" s="11">
        <f t="shared" si="445"/>
        <v>0</v>
      </c>
      <c r="AP1133" s="11">
        <f t="shared" si="446"/>
        <v>0.22190308904546849</v>
      </c>
      <c r="AQ1133" s="11">
        <f t="shared" si="447"/>
        <v>0</v>
      </c>
      <c r="AT1133" s="3"/>
      <c r="AU1133" s="17"/>
      <c r="AV1133" s="19"/>
      <c r="AW1133" s="17"/>
      <c r="AX1133" s="17">
        <f t="shared" si="441"/>
        <v>1124</v>
      </c>
      <c r="AY1133" s="17">
        <f t="shared" si="448"/>
        <v>112.4</v>
      </c>
      <c r="AZ1133" s="17">
        <v>22.19030890454685</v>
      </c>
      <c r="BA1133" s="17"/>
      <c r="BB1133" s="17">
        <v>36</v>
      </c>
      <c r="BC1133" s="17"/>
      <c r="BD1133" s="17"/>
      <c r="BE1133" s="17"/>
      <c r="BF1133" s="17"/>
      <c r="BG1133" s="17"/>
      <c r="BH1133" s="17"/>
      <c r="BI1133" s="17"/>
      <c r="BJ1133" s="17"/>
      <c r="BK1133" s="17"/>
      <c r="BL1133" s="17"/>
      <c r="BM1133" s="17"/>
      <c r="BN1133" s="17"/>
      <c r="BO1133" s="17"/>
      <c r="BP1133" s="17"/>
      <c r="BQ1133" s="17"/>
      <c r="BR1133" s="17"/>
      <c r="BS1133" s="17"/>
      <c r="BT1133" s="17"/>
      <c r="BU1133" s="17"/>
      <c r="BV1133" s="17"/>
      <c r="BW1133" s="17"/>
      <c r="BX1133" s="17"/>
      <c r="BY1133" s="17"/>
      <c r="BZ1133" s="17"/>
      <c r="CA1133" s="17"/>
      <c r="CB1133" s="17"/>
      <c r="CC1133" s="17"/>
      <c r="CD1133" s="17"/>
      <c r="CE1133" s="17"/>
      <c r="CF1133" s="17"/>
      <c r="CG1133" s="17"/>
      <c r="CH1133" s="17"/>
    </row>
    <row r="1134" spans="35:86" x14ac:dyDescent="0.15">
      <c r="AI1134" s="3"/>
      <c r="AJ1134" s="3"/>
      <c r="AK1134" s="15">
        <f t="shared" si="443"/>
        <v>5</v>
      </c>
      <c r="AL1134" s="11">
        <f t="shared" si="449"/>
        <v>6750</v>
      </c>
      <c r="AM1134" s="11" t="b">
        <f t="shared" si="442"/>
        <v>0</v>
      </c>
      <c r="AN1134" s="11">
        <f t="shared" si="444"/>
        <v>36000</v>
      </c>
      <c r="AO1134" s="11">
        <f t="shared" si="445"/>
        <v>0</v>
      </c>
      <c r="AP1134" s="11">
        <f t="shared" si="446"/>
        <v>0.22300540386028331</v>
      </c>
      <c r="AQ1134" s="11">
        <f t="shared" si="447"/>
        <v>0</v>
      </c>
      <c r="AT1134" s="3"/>
      <c r="AU1134" s="17"/>
      <c r="AV1134" s="19"/>
      <c r="AW1134" s="17"/>
      <c r="AX1134" s="17">
        <f t="shared" ref="AX1134:AX1197" si="450">IF(AX1133&gt;=$AG$14,$AG$14,AX1133+1)</f>
        <v>1125</v>
      </c>
      <c r="AY1134" s="17">
        <f t="shared" si="448"/>
        <v>112.5</v>
      </c>
      <c r="AZ1134" s="17">
        <v>22.300540386028331</v>
      </c>
      <c r="BA1134" s="17"/>
      <c r="BB1134" s="17">
        <v>36</v>
      </c>
      <c r="BC1134" s="17"/>
      <c r="BD1134" s="17"/>
      <c r="BE1134" s="17"/>
      <c r="BF1134" s="17"/>
      <c r="BG1134" s="17"/>
      <c r="BH1134" s="17"/>
      <c r="BI1134" s="17"/>
      <c r="BJ1134" s="17"/>
      <c r="BK1134" s="17"/>
      <c r="BL1134" s="17"/>
      <c r="BM1134" s="17"/>
      <c r="BN1134" s="17"/>
      <c r="BO1134" s="17"/>
      <c r="BP1134" s="17"/>
      <c r="BQ1134" s="17"/>
      <c r="BR1134" s="17"/>
      <c r="BS1134" s="17"/>
      <c r="BT1134" s="17"/>
      <c r="BU1134" s="17"/>
      <c r="BV1134" s="17"/>
      <c r="BW1134" s="17"/>
      <c r="BX1134" s="17"/>
      <c r="BY1134" s="17"/>
      <c r="BZ1134" s="17"/>
      <c r="CA1134" s="17"/>
      <c r="CB1134" s="17"/>
      <c r="CC1134" s="17"/>
      <c r="CD1134" s="17"/>
      <c r="CE1134" s="17"/>
      <c r="CF1134" s="17"/>
      <c r="CG1134" s="17"/>
      <c r="CH1134" s="17"/>
    </row>
    <row r="1135" spans="35:86" x14ac:dyDescent="0.15">
      <c r="AI1135" s="3"/>
      <c r="AJ1135" s="3"/>
      <c r="AK1135" s="15">
        <f t="shared" si="443"/>
        <v>5</v>
      </c>
      <c r="AL1135" s="11">
        <f t="shared" si="449"/>
        <v>6756</v>
      </c>
      <c r="AM1135" s="11" t="b">
        <f t="shared" si="442"/>
        <v>0</v>
      </c>
      <c r="AN1135" s="11">
        <f t="shared" si="444"/>
        <v>36000</v>
      </c>
      <c r="AO1135" s="11">
        <f t="shared" si="445"/>
        <v>0</v>
      </c>
      <c r="AP1135" s="11">
        <f t="shared" si="446"/>
        <v>0.2241077186750981</v>
      </c>
      <c r="AQ1135" s="11">
        <f t="shared" si="447"/>
        <v>0</v>
      </c>
      <c r="AT1135" s="3"/>
      <c r="AU1135" s="17"/>
      <c r="AV1135" s="19"/>
      <c r="AW1135" s="17"/>
      <c r="AX1135" s="17">
        <f t="shared" si="450"/>
        <v>1126</v>
      </c>
      <c r="AY1135" s="17">
        <f t="shared" si="448"/>
        <v>112.6</v>
      </c>
      <c r="AZ1135" s="17">
        <v>22.410771867509808</v>
      </c>
      <c r="BA1135" s="17"/>
      <c r="BB1135" s="17">
        <v>36</v>
      </c>
      <c r="BC1135" s="17"/>
      <c r="BD1135" s="17"/>
      <c r="BE1135" s="17"/>
      <c r="BF1135" s="17"/>
      <c r="BG1135" s="17"/>
      <c r="BH1135" s="17"/>
      <c r="BI1135" s="17"/>
      <c r="BJ1135" s="17"/>
      <c r="BK1135" s="17"/>
      <c r="BL1135" s="17"/>
      <c r="BM1135" s="17"/>
      <c r="BN1135" s="17"/>
      <c r="BO1135" s="17"/>
      <c r="BP1135" s="17"/>
      <c r="BQ1135" s="17"/>
      <c r="BR1135" s="17"/>
      <c r="BS1135" s="17"/>
      <c r="BT1135" s="17"/>
      <c r="BU1135" s="17"/>
      <c r="BV1135" s="17"/>
      <c r="BW1135" s="17"/>
      <c r="BX1135" s="17"/>
      <c r="BY1135" s="17"/>
      <c r="BZ1135" s="17"/>
      <c r="CA1135" s="17"/>
      <c r="CB1135" s="17"/>
      <c r="CC1135" s="17"/>
      <c r="CD1135" s="17"/>
      <c r="CE1135" s="17"/>
      <c r="CF1135" s="17"/>
      <c r="CG1135" s="17"/>
      <c r="CH1135" s="17"/>
    </row>
    <row r="1136" spans="35:86" x14ac:dyDescent="0.15">
      <c r="AI1136" s="3"/>
      <c r="AJ1136" s="3"/>
      <c r="AK1136" s="15">
        <f t="shared" si="443"/>
        <v>5</v>
      </c>
      <c r="AL1136" s="11">
        <f t="shared" si="449"/>
        <v>6762</v>
      </c>
      <c r="AM1136" s="11" t="b">
        <f t="shared" si="442"/>
        <v>0</v>
      </c>
      <c r="AN1136" s="11">
        <f t="shared" si="444"/>
        <v>36000</v>
      </c>
      <c r="AO1136" s="11">
        <f t="shared" si="445"/>
        <v>0</v>
      </c>
      <c r="AP1136" s="11">
        <f t="shared" si="446"/>
        <v>0.22521003348991289</v>
      </c>
      <c r="AQ1136" s="11">
        <f t="shared" si="447"/>
        <v>0</v>
      </c>
      <c r="AT1136" s="3"/>
      <c r="AU1136" s="17"/>
      <c r="AV1136" s="19"/>
      <c r="AW1136" s="17"/>
      <c r="AX1136" s="17">
        <f t="shared" si="450"/>
        <v>1127</v>
      </c>
      <c r="AY1136" s="17">
        <f t="shared" si="448"/>
        <v>112.7</v>
      </c>
      <c r="AZ1136" s="17">
        <v>22.52100334899129</v>
      </c>
      <c r="BA1136" s="17"/>
      <c r="BB1136" s="17">
        <v>36</v>
      </c>
      <c r="BC1136" s="17"/>
      <c r="BD1136" s="17"/>
      <c r="BE1136" s="17"/>
      <c r="BF1136" s="17"/>
      <c r="BG1136" s="17"/>
      <c r="BH1136" s="17"/>
      <c r="BI1136" s="17"/>
      <c r="BJ1136" s="17"/>
      <c r="BK1136" s="17"/>
      <c r="BL1136" s="17"/>
      <c r="BM1136" s="17"/>
      <c r="BN1136" s="17"/>
      <c r="BO1136" s="17"/>
      <c r="BP1136" s="17"/>
      <c r="BQ1136" s="17"/>
      <c r="BR1136" s="17"/>
      <c r="BS1136" s="17"/>
      <c r="BT1136" s="17"/>
      <c r="BU1136" s="17"/>
      <c r="BV1136" s="17"/>
      <c r="BW1136" s="17"/>
      <c r="BX1136" s="17"/>
      <c r="BY1136" s="17"/>
      <c r="BZ1136" s="17"/>
      <c r="CA1136" s="17"/>
      <c r="CB1136" s="17"/>
      <c r="CC1136" s="17"/>
      <c r="CD1136" s="17"/>
      <c r="CE1136" s="17"/>
      <c r="CF1136" s="17"/>
      <c r="CG1136" s="17"/>
      <c r="CH1136" s="17"/>
    </row>
    <row r="1137" spans="35:86" x14ac:dyDescent="0.15">
      <c r="AI1137" s="3"/>
      <c r="AJ1137" s="3"/>
      <c r="AK1137" s="15">
        <f t="shared" si="443"/>
        <v>5</v>
      </c>
      <c r="AL1137" s="11">
        <f t="shared" si="449"/>
        <v>6768</v>
      </c>
      <c r="AM1137" s="11" t="b">
        <f t="shared" si="442"/>
        <v>0</v>
      </c>
      <c r="AN1137" s="11">
        <f t="shared" si="444"/>
        <v>36000</v>
      </c>
      <c r="AO1137" s="11">
        <f t="shared" si="445"/>
        <v>0</v>
      </c>
      <c r="AP1137" s="11">
        <f t="shared" si="446"/>
        <v>0.22631234830472771</v>
      </c>
      <c r="AQ1137" s="11">
        <f t="shared" si="447"/>
        <v>0</v>
      </c>
      <c r="AT1137" s="3"/>
      <c r="AU1137" s="17"/>
      <c r="AV1137" s="19"/>
      <c r="AW1137" s="17"/>
      <c r="AX1137" s="17">
        <f t="shared" si="450"/>
        <v>1128</v>
      </c>
      <c r="AY1137" s="17">
        <f t="shared" si="448"/>
        <v>112.8</v>
      </c>
      <c r="AZ1137" s="17">
        <v>22.631234830472771</v>
      </c>
      <c r="BA1137" s="17"/>
      <c r="BB1137" s="17">
        <v>36</v>
      </c>
      <c r="BC1137" s="17"/>
      <c r="BD1137" s="17"/>
      <c r="BE1137" s="17"/>
      <c r="BF1137" s="17"/>
      <c r="BG1137" s="17"/>
      <c r="BH1137" s="17"/>
      <c r="BI1137" s="17"/>
      <c r="BJ1137" s="17"/>
      <c r="BK1137" s="17"/>
      <c r="BL1137" s="17"/>
      <c r="BM1137" s="17"/>
      <c r="BN1137" s="17"/>
      <c r="BO1137" s="17"/>
      <c r="BP1137" s="17"/>
      <c r="BQ1137" s="17"/>
      <c r="BR1137" s="17"/>
      <c r="BS1137" s="17"/>
      <c r="BT1137" s="17"/>
      <c r="BU1137" s="17"/>
      <c r="BV1137" s="17"/>
      <c r="BW1137" s="17"/>
      <c r="BX1137" s="17"/>
      <c r="BY1137" s="17"/>
      <c r="BZ1137" s="17"/>
      <c r="CA1137" s="17"/>
      <c r="CB1137" s="17"/>
      <c r="CC1137" s="17"/>
      <c r="CD1137" s="17"/>
      <c r="CE1137" s="17"/>
      <c r="CF1137" s="17"/>
      <c r="CG1137" s="17"/>
      <c r="CH1137" s="17"/>
    </row>
    <row r="1138" spans="35:86" x14ac:dyDescent="0.15">
      <c r="AI1138" s="3"/>
      <c r="AJ1138" s="3"/>
      <c r="AK1138" s="15">
        <f t="shared" si="443"/>
        <v>5</v>
      </c>
      <c r="AL1138" s="11">
        <f t="shared" si="449"/>
        <v>6774</v>
      </c>
      <c r="AM1138" s="11" t="b">
        <f t="shared" si="442"/>
        <v>0</v>
      </c>
      <c r="AN1138" s="11">
        <f t="shared" si="444"/>
        <v>36000</v>
      </c>
      <c r="AO1138" s="11">
        <f t="shared" si="445"/>
        <v>0</v>
      </c>
      <c r="AP1138" s="11">
        <f t="shared" si="446"/>
        <v>0.22741466311954253</v>
      </c>
      <c r="AQ1138" s="11">
        <f t="shared" si="447"/>
        <v>0</v>
      </c>
      <c r="AT1138" s="3"/>
      <c r="AU1138" s="17"/>
      <c r="AV1138" s="19"/>
      <c r="AW1138" s="17"/>
      <c r="AX1138" s="17">
        <f t="shared" si="450"/>
        <v>1129</v>
      </c>
      <c r="AY1138" s="17">
        <f t="shared" si="448"/>
        <v>112.9</v>
      </c>
      <c r="AZ1138" s="17">
        <v>22.741466311954252</v>
      </c>
      <c r="BA1138" s="17"/>
      <c r="BB1138" s="17">
        <v>36</v>
      </c>
      <c r="BC1138" s="17"/>
      <c r="BD1138" s="17"/>
      <c r="BE1138" s="17"/>
      <c r="BF1138" s="17"/>
      <c r="BG1138" s="17"/>
      <c r="BH1138" s="17"/>
      <c r="BI1138" s="17"/>
      <c r="BJ1138" s="17"/>
      <c r="BK1138" s="17"/>
      <c r="BL1138" s="17"/>
      <c r="BM1138" s="17"/>
      <c r="BN1138" s="17"/>
      <c r="BO1138" s="17"/>
      <c r="BP1138" s="17"/>
      <c r="BQ1138" s="17"/>
      <c r="BR1138" s="17"/>
      <c r="BS1138" s="17"/>
      <c r="BT1138" s="17"/>
      <c r="BU1138" s="17"/>
      <c r="BV1138" s="17"/>
      <c r="BW1138" s="17"/>
      <c r="BX1138" s="17"/>
      <c r="BY1138" s="17"/>
      <c r="BZ1138" s="17"/>
      <c r="CA1138" s="17"/>
      <c r="CB1138" s="17"/>
      <c r="CC1138" s="17"/>
      <c r="CD1138" s="17"/>
      <c r="CE1138" s="17"/>
      <c r="CF1138" s="17"/>
      <c r="CG1138" s="17"/>
      <c r="CH1138" s="17"/>
    </row>
    <row r="1139" spans="35:86" x14ac:dyDescent="0.15">
      <c r="AI1139" s="3"/>
      <c r="AJ1139" s="3"/>
      <c r="AK1139" s="15">
        <f t="shared" si="443"/>
        <v>5</v>
      </c>
      <c r="AL1139" s="11">
        <f t="shared" si="449"/>
        <v>6780</v>
      </c>
      <c r="AM1139" s="11" t="b">
        <f t="shared" si="442"/>
        <v>0</v>
      </c>
      <c r="AN1139" s="11">
        <f t="shared" si="444"/>
        <v>36000</v>
      </c>
      <c r="AO1139" s="11">
        <f t="shared" si="445"/>
        <v>0</v>
      </c>
      <c r="AP1139" s="11">
        <f t="shared" si="446"/>
        <v>0.22851697793435732</v>
      </c>
      <c r="AQ1139" s="11">
        <f t="shared" si="447"/>
        <v>0</v>
      </c>
      <c r="AT1139" s="3"/>
      <c r="AU1139" s="17"/>
      <c r="AV1139" s="19"/>
      <c r="AW1139" s="17"/>
      <c r="AX1139" s="17">
        <f t="shared" si="450"/>
        <v>1130</v>
      </c>
      <c r="AY1139" s="17">
        <f t="shared" si="448"/>
        <v>113</v>
      </c>
      <c r="AZ1139" s="17">
        <v>22.851697793435733</v>
      </c>
      <c r="BA1139" s="17"/>
      <c r="BB1139" s="17">
        <v>36</v>
      </c>
      <c r="BC1139" s="17"/>
      <c r="BD1139" s="17"/>
      <c r="BE1139" s="17"/>
      <c r="BF1139" s="17"/>
      <c r="BG1139" s="17"/>
      <c r="BH1139" s="17"/>
      <c r="BI1139" s="17"/>
      <c r="BJ1139" s="17"/>
      <c r="BK1139" s="17"/>
      <c r="BL1139" s="17"/>
      <c r="BM1139" s="17"/>
      <c r="BN1139" s="17"/>
      <c r="BO1139" s="17"/>
      <c r="BP1139" s="17"/>
      <c r="BQ1139" s="17"/>
      <c r="BR1139" s="17"/>
      <c r="BS1139" s="17"/>
      <c r="BT1139" s="17"/>
      <c r="BU1139" s="17"/>
      <c r="BV1139" s="17"/>
      <c r="BW1139" s="17"/>
      <c r="BX1139" s="17"/>
      <c r="BY1139" s="17"/>
      <c r="BZ1139" s="17"/>
      <c r="CA1139" s="17"/>
      <c r="CB1139" s="17"/>
      <c r="CC1139" s="17"/>
      <c r="CD1139" s="17"/>
      <c r="CE1139" s="17"/>
      <c r="CF1139" s="17"/>
      <c r="CG1139" s="17"/>
      <c r="CH1139" s="17"/>
    </row>
    <row r="1140" spans="35:86" x14ac:dyDescent="0.15">
      <c r="AI1140" s="3"/>
      <c r="AJ1140" s="3"/>
      <c r="AK1140" s="15">
        <f t="shared" si="443"/>
        <v>5</v>
      </c>
      <c r="AL1140" s="11">
        <f t="shared" si="449"/>
        <v>6786</v>
      </c>
      <c r="AM1140" s="11" t="b">
        <f t="shared" si="442"/>
        <v>0</v>
      </c>
      <c r="AN1140" s="11">
        <f t="shared" si="444"/>
        <v>36000</v>
      </c>
      <c r="AO1140" s="11">
        <f t="shared" si="445"/>
        <v>0</v>
      </c>
      <c r="AP1140" s="11">
        <f t="shared" si="446"/>
        <v>0.22961929274917212</v>
      </c>
      <c r="AQ1140" s="11">
        <f t="shared" si="447"/>
        <v>0</v>
      </c>
      <c r="AT1140" s="3"/>
      <c r="AU1140" s="17"/>
      <c r="AV1140" s="19"/>
      <c r="AW1140" s="17"/>
      <c r="AX1140" s="17">
        <f t="shared" si="450"/>
        <v>1131</v>
      </c>
      <c r="AY1140" s="17">
        <f t="shared" si="448"/>
        <v>113.1</v>
      </c>
      <c r="AZ1140" s="17">
        <v>22.96192927491721</v>
      </c>
      <c r="BA1140" s="17"/>
      <c r="BB1140" s="17">
        <v>36</v>
      </c>
      <c r="BC1140" s="17"/>
      <c r="BD1140" s="17"/>
      <c r="BE1140" s="17"/>
      <c r="BF1140" s="17"/>
      <c r="BG1140" s="17"/>
      <c r="BH1140" s="17"/>
      <c r="BI1140" s="17"/>
      <c r="BJ1140" s="17"/>
      <c r="BK1140" s="17"/>
      <c r="BL1140" s="17"/>
      <c r="BM1140" s="17"/>
      <c r="BN1140" s="17"/>
      <c r="BO1140" s="17"/>
      <c r="BP1140" s="17"/>
      <c r="BQ1140" s="17"/>
      <c r="BR1140" s="17"/>
      <c r="BS1140" s="17"/>
      <c r="BT1140" s="17"/>
      <c r="BU1140" s="17"/>
      <c r="BV1140" s="17"/>
      <c r="BW1140" s="17"/>
      <c r="BX1140" s="17"/>
      <c r="BY1140" s="17"/>
      <c r="BZ1140" s="17"/>
      <c r="CA1140" s="17"/>
      <c r="CB1140" s="17"/>
      <c r="CC1140" s="17"/>
      <c r="CD1140" s="17"/>
      <c r="CE1140" s="17"/>
      <c r="CF1140" s="17"/>
      <c r="CG1140" s="17"/>
      <c r="CH1140" s="17"/>
    </row>
    <row r="1141" spans="35:86" x14ac:dyDescent="0.15">
      <c r="AI1141" s="3"/>
      <c r="AJ1141" s="3"/>
      <c r="AK1141" s="15">
        <f t="shared" si="443"/>
        <v>5</v>
      </c>
      <c r="AL1141" s="11">
        <f t="shared" si="449"/>
        <v>6792</v>
      </c>
      <c r="AM1141" s="11" t="b">
        <f t="shared" si="442"/>
        <v>0</v>
      </c>
      <c r="AN1141" s="11">
        <f t="shared" si="444"/>
        <v>36000</v>
      </c>
      <c r="AO1141" s="11">
        <f t="shared" si="445"/>
        <v>0</v>
      </c>
      <c r="AP1141" s="11">
        <f t="shared" si="446"/>
        <v>0.23072160756398691</v>
      </c>
      <c r="AQ1141" s="11">
        <f t="shared" si="447"/>
        <v>0</v>
      </c>
      <c r="AT1141" s="3"/>
      <c r="AU1141" s="17"/>
      <c r="AV1141" s="19"/>
      <c r="AW1141" s="17"/>
      <c r="AX1141" s="17">
        <f t="shared" si="450"/>
        <v>1132</v>
      </c>
      <c r="AY1141" s="17">
        <f t="shared" si="448"/>
        <v>113.2</v>
      </c>
      <c r="AZ1141" s="17">
        <v>23.072160756398691</v>
      </c>
      <c r="BA1141" s="17"/>
      <c r="BB1141" s="17">
        <v>36</v>
      </c>
      <c r="BC1141" s="17"/>
      <c r="BD1141" s="17"/>
      <c r="BE1141" s="17"/>
      <c r="BF1141" s="17"/>
      <c r="BG1141" s="17"/>
      <c r="BH1141" s="17"/>
      <c r="BI1141" s="17"/>
      <c r="BJ1141" s="17"/>
      <c r="BK1141" s="17"/>
      <c r="BL1141" s="17"/>
      <c r="BM1141" s="17"/>
      <c r="BN1141" s="17"/>
      <c r="BO1141" s="17"/>
      <c r="BP1141" s="17"/>
      <c r="BQ1141" s="17"/>
      <c r="BR1141" s="17"/>
      <c r="BS1141" s="17"/>
      <c r="BT1141" s="17"/>
      <c r="BU1141" s="17"/>
      <c r="BV1141" s="17"/>
      <c r="BW1141" s="17"/>
      <c r="BX1141" s="17"/>
      <c r="BY1141" s="17"/>
      <c r="BZ1141" s="17"/>
      <c r="CA1141" s="17"/>
      <c r="CB1141" s="17"/>
      <c r="CC1141" s="17"/>
      <c r="CD1141" s="17"/>
      <c r="CE1141" s="17"/>
      <c r="CF1141" s="17"/>
      <c r="CG1141" s="17"/>
      <c r="CH1141" s="17"/>
    </row>
    <row r="1142" spans="35:86" x14ac:dyDescent="0.15">
      <c r="AI1142" s="3"/>
      <c r="AJ1142" s="3"/>
      <c r="AK1142" s="15">
        <f t="shared" si="443"/>
        <v>5</v>
      </c>
      <c r="AL1142" s="11">
        <f t="shared" si="449"/>
        <v>6798</v>
      </c>
      <c r="AM1142" s="11" t="b">
        <f t="shared" si="442"/>
        <v>0</v>
      </c>
      <c r="AN1142" s="11">
        <f t="shared" si="444"/>
        <v>36000</v>
      </c>
      <c r="AO1142" s="11">
        <f t="shared" si="445"/>
        <v>0</v>
      </c>
      <c r="AP1142" s="11">
        <f t="shared" si="446"/>
        <v>0.2318239223788017</v>
      </c>
      <c r="AQ1142" s="11">
        <f t="shared" si="447"/>
        <v>0</v>
      </c>
      <c r="AT1142" s="3"/>
      <c r="AU1142" s="17"/>
      <c r="AV1142" s="19"/>
      <c r="AW1142" s="17"/>
      <c r="AX1142" s="17">
        <f t="shared" si="450"/>
        <v>1133</v>
      </c>
      <c r="AY1142" s="17">
        <f t="shared" si="448"/>
        <v>113.3</v>
      </c>
      <c r="AZ1142" s="17">
        <v>23.182392237880169</v>
      </c>
      <c r="BA1142" s="17"/>
      <c r="BB1142" s="17">
        <v>36</v>
      </c>
      <c r="BC1142" s="17"/>
      <c r="BD1142" s="17"/>
      <c r="BE1142" s="17"/>
      <c r="BF1142" s="17"/>
      <c r="BG1142" s="17"/>
      <c r="BH1142" s="17"/>
      <c r="BI1142" s="17"/>
      <c r="BJ1142" s="17"/>
      <c r="BK1142" s="17"/>
      <c r="BL1142" s="17"/>
      <c r="BM1142" s="17"/>
      <c r="BN1142" s="17"/>
      <c r="BO1142" s="17"/>
      <c r="BP1142" s="17"/>
      <c r="BQ1142" s="17"/>
      <c r="BR1142" s="17"/>
      <c r="BS1142" s="17"/>
      <c r="BT1142" s="17"/>
      <c r="BU1142" s="17"/>
      <c r="BV1142" s="17"/>
      <c r="BW1142" s="17"/>
      <c r="BX1142" s="17"/>
      <c r="BY1142" s="17"/>
      <c r="BZ1142" s="17"/>
      <c r="CA1142" s="17"/>
      <c r="CB1142" s="17"/>
      <c r="CC1142" s="17"/>
      <c r="CD1142" s="17"/>
      <c r="CE1142" s="17"/>
      <c r="CF1142" s="17"/>
      <c r="CG1142" s="17"/>
      <c r="CH1142" s="17"/>
    </row>
    <row r="1143" spans="35:86" x14ac:dyDescent="0.15">
      <c r="AI1143" s="3"/>
      <c r="AJ1143" s="3"/>
      <c r="AK1143" s="15">
        <f t="shared" si="443"/>
        <v>5</v>
      </c>
      <c r="AL1143" s="11">
        <f t="shared" si="449"/>
        <v>6804</v>
      </c>
      <c r="AM1143" s="11" t="b">
        <f t="shared" si="442"/>
        <v>0</v>
      </c>
      <c r="AN1143" s="11">
        <f t="shared" si="444"/>
        <v>36000</v>
      </c>
      <c r="AO1143" s="11">
        <f t="shared" si="445"/>
        <v>0</v>
      </c>
      <c r="AP1143" s="11">
        <f t="shared" si="446"/>
        <v>0.23292623719361649</v>
      </c>
      <c r="AQ1143" s="11">
        <f t="shared" si="447"/>
        <v>0</v>
      </c>
      <c r="AT1143" s="3"/>
      <c r="AU1143" s="17"/>
      <c r="AV1143" s="19"/>
      <c r="AW1143" s="17"/>
      <c r="AX1143" s="17">
        <f t="shared" si="450"/>
        <v>1134</v>
      </c>
      <c r="AY1143" s="17">
        <f t="shared" si="448"/>
        <v>113.4</v>
      </c>
      <c r="AZ1143" s="17">
        <v>23.29262371936165</v>
      </c>
      <c r="BA1143" s="17"/>
      <c r="BB1143" s="17">
        <v>36</v>
      </c>
      <c r="BC1143" s="17"/>
      <c r="BD1143" s="17"/>
      <c r="BE1143" s="17"/>
      <c r="BF1143" s="17"/>
      <c r="BG1143" s="17"/>
      <c r="BH1143" s="17"/>
      <c r="BI1143" s="17"/>
      <c r="BJ1143" s="17"/>
      <c r="BK1143" s="17"/>
      <c r="BL1143" s="17"/>
      <c r="BM1143" s="17"/>
      <c r="BN1143" s="17"/>
      <c r="BO1143" s="17"/>
      <c r="BP1143" s="17"/>
      <c r="BQ1143" s="17"/>
      <c r="BR1143" s="17"/>
      <c r="BS1143" s="17"/>
      <c r="BT1143" s="17"/>
      <c r="BU1143" s="17"/>
      <c r="BV1143" s="17"/>
      <c r="BW1143" s="17"/>
      <c r="BX1143" s="17"/>
      <c r="BY1143" s="17"/>
      <c r="BZ1143" s="17"/>
      <c r="CA1143" s="17"/>
      <c r="CB1143" s="17"/>
      <c r="CC1143" s="17"/>
      <c r="CD1143" s="17"/>
      <c r="CE1143" s="17"/>
      <c r="CF1143" s="17"/>
      <c r="CG1143" s="17"/>
      <c r="CH1143" s="17"/>
    </row>
    <row r="1144" spans="35:86" x14ac:dyDescent="0.15">
      <c r="AI1144" s="3"/>
      <c r="AJ1144" s="3"/>
      <c r="AK1144" s="15">
        <f t="shared" si="443"/>
        <v>5</v>
      </c>
      <c r="AL1144" s="11">
        <f t="shared" si="449"/>
        <v>6810</v>
      </c>
      <c r="AM1144" s="11" t="b">
        <f t="shared" si="442"/>
        <v>0</v>
      </c>
      <c r="AN1144" s="11">
        <f t="shared" si="444"/>
        <v>36000</v>
      </c>
      <c r="AO1144" s="11">
        <f t="shared" si="445"/>
        <v>0</v>
      </c>
      <c r="AP1144" s="11">
        <f t="shared" si="446"/>
        <v>0.23402855200843128</v>
      </c>
      <c r="AQ1144" s="11">
        <f t="shared" si="447"/>
        <v>0</v>
      </c>
      <c r="AT1144" s="3"/>
      <c r="AU1144" s="17"/>
      <c r="AV1144" s="19"/>
      <c r="AW1144" s="17"/>
      <c r="AX1144" s="17">
        <f t="shared" si="450"/>
        <v>1135</v>
      </c>
      <c r="AY1144" s="17">
        <f t="shared" si="448"/>
        <v>113.5</v>
      </c>
      <c r="AZ1144" s="17">
        <v>23.402855200843128</v>
      </c>
      <c r="BA1144" s="17"/>
      <c r="BB1144" s="17">
        <v>36</v>
      </c>
      <c r="BC1144" s="17"/>
      <c r="BD1144" s="17"/>
      <c r="BE1144" s="17"/>
      <c r="BF1144" s="17"/>
      <c r="BG1144" s="17"/>
      <c r="BH1144" s="17"/>
      <c r="BI1144" s="17"/>
      <c r="BJ1144" s="17"/>
      <c r="BK1144" s="17"/>
      <c r="BL1144" s="17"/>
      <c r="BM1144" s="17"/>
      <c r="BN1144" s="17"/>
      <c r="BO1144" s="17"/>
      <c r="BP1144" s="17"/>
      <c r="BQ1144" s="17"/>
      <c r="BR1144" s="17"/>
      <c r="BS1144" s="17"/>
      <c r="BT1144" s="17"/>
      <c r="BU1144" s="17"/>
      <c r="BV1144" s="17"/>
      <c r="BW1144" s="17"/>
      <c r="BX1144" s="17"/>
      <c r="BY1144" s="17"/>
      <c r="BZ1144" s="17"/>
      <c r="CA1144" s="17"/>
      <c r="CB1144" s="17"/>
      <c r="CC1144" s="17"/>
      <c r="CD1144" s="17"/>
      <c r="CE1144" s="17"/>
      <c r="CF1144" s="17"/>
      <c r="CG1144" s="17"/>
      <c r="CH1144" s="17"/>
    </row>
    <row r="1145" spans="35:86" x14ac:dyDescent="0.15">
      <c r="AI1145" s="3"/>
      <c r="AJ1145" s="3"/>
      <c r="AK1145" s="15">
        <f t="shared" si="443"/>
        <v>5</v>
      </c>
      <c r="AL1145" s="11">
        <f t="shared" si="449"/>
        <v>6816</v>
      </c>
      <c r="AM1145" s="11" t="b">
        <f t="shared" si="442"/>
        <v>0</v>
      </c>
      <c r="AN1145" s="11">
        <f t="shared" si="444"/>
        <v>36000</v>
      </c>
      <c r="AO1145" s="11">
        <f t="shared" si="445"/>
        <v>0</v>
      </c>
      <c r="AP1145" s="11">
        <f t="shared" si="446"/>
        <v>0.23513086682324608</v>
      </c>
      <c r="AQ1145" s="11">
        <f t="shared" si="447"/>
        <v>0</v>
      </c>
      <c r="AT1145" s="3"/>
      <c r="AU1145" s="17"/>
      <c r="AV1145" s="19"/>
      <c r="AW1145" s="17"/>
      <c r="AX1145" s="17">
        <f t="shared" si="450"/>
        <v>1136</v>
      </c>
      <c r="AY1145" s="17">
        <f t="shared" si="448"/>
        <v>113.6</v>
      </c>
      <c r="AZ1145" s="17">
        <v>23.513086682324609</v>
      </c>
      <c r="BA1145" s="17"/>
      <c r="BB1145" s="17">
        <v>36</v>
      </c>
      <c r="BC1145" s="17"/>
      <c r="BD1145" s="17"/>
      <c r="BE1145" s="17"/>
      <c r="BF1145" s="17"/>
      <c r="BG1145" s="17"/>
      <c r="BH1145" s="17"/>
      <c r="BI1145" s="17"/>
      <c r="BJ1145" s="17"/>
      <c r="BK1145" s="17"/>
      <c r="BL1145" s="17"/>
      <c r="BM1145" s="17"/>
      <c r="BN1145" s="17"/>
      <c r="BO1145" s="17"/>
      <c r="BP1145" s="17"/>
      <c r="BQ1145" s="17"/>
      <c r="BR1145" s="17"/>
      <c r="BS1145" s="17"/>
      <c r="BT1145" s="17"/>
      <c r="BU1145" s="17"/>
      <c r="BV1145" s="17"/>
      <c r="BW1145" s="17"/>
      <c r="BX1145" s="17"/>
      <c r="BY1145" s="17"/>
      <c r="BZ1145" s="17"/>
      <c r="CA1145" s="17"/>
      <c r="CB1145" s="17"/>
      <c r="CC1145" s="17"/>
      <c r="CD1145" s="17"/>
      <c r="CE1145" s="17"/>
      <c r="CF1145" s="17"/>
      <c r="CG1145" s="17"/>
      <c r="CH1145" s="17"/>
    </row>
    <row r="1146" spans="35:86" x14ac:dyDescent="0.15">
      <c r="AI1146" s="3"/>
      <c r="AJ1146" s="3"/>
      <c r="AK1146" s="15">
        <f t="shared" si="443"/>
        <v>5</v>
      </c>
      <c r="AL1146" s="11">
        <f t="shared" si="449"/>
        <v>6822</v>
      </c>
      <c r="AM1146" s="11" t="b">
        <f t="shared" si="442"/>
        <v>0</v>
      </c>
      <c r="AN1146" s="11">
        <f t="shared" si="444"/>
        <v>36000</v>
      </c>
      <c r="AO1146" s="11">
        <f t="shared" si="445"/>
        <v>0</v>
      </c>
      <c r="AP1146" s="11">
        <f t="shared" si="446"/>
        <v>0.23623318163806087</v>
      </c>
      <c r="AQ1146" s="11">
        <f t="shared" si="447"/>
        <v>0</v>
      </c>
      <c r="AT1146" s="3"/>
      <c r="AU1146" s="17"/>
      <c r="AV1146" s="19"/>
      <c r="AW1146" s="17"/>
      <c r="AX1146" s="17">
        <f t="shared" si="450"/>
        <v>1137</v>
      </c>
      <c r="AY1146" s="17">
        <f t="shared" si="448"/>
        <v>113.7</v>
      </c>
      <c r="AZ1146" s="17">
        <v>23.623318163806086</v>
      </c>
      <c r="BA1146" s="17"/>
      <c r="BB1146" s="17">
        <v>36</v>
      </c>
      <c r="BC1146" s="17"/>
      <c r="BD1146" s="17"/>
      <c r="BE1146" s="17"/>
      <c r="BF1146" s="17"/>
      <c r="BG1146" s="17"/>
      <c r="BH1146" s="17"/>
      <c r="BI1146" s="17"/>
      <c r="BJ1146" s="17"/>
      <c r="BK1146" s="17"/>
      <c r="BL1146" s="17"/>
      <c r="BM1146" s="17"/>
      <c r="BN1146" s="17"/>
      <c r="BO1146" s="17"/>
      <c r="BP1146" s="17"/>
      <c r="BQ1146" s="17"/>
      <c r="BR1146" s="17"/>
      <c r="BS1146" s="17"/>
      <c r="BT1146" s="17"/>
      <c r="BU1146" s="17"/>
      <c r="BV1146" s="17"/>
      <c r="BW1146" s="17"/>
      <c r="BX1146" s="17"/>
      <c r="BY1146" s="17"/>
      <c r="BZ1146" s="17"/>
      <c r="CA1146" s="17"/>
      <c r="CB1146" s="17"/>
      <c r="CC1146" s="17"/>
      <c r="CD1146" s="17"/>
      <c r="CE1146" s="17"/>
      <c r="CF1146" s="17"/>
      <c r="CG1146" s="17"/>
      <c r="CH1146" s="17"/>
    </row>
    <row r="1147" spans="35:86" x14ac:dyDescent="0.15">
      <c r="AI1147" s="3"/>
      <c r="AJ1147" s="3"/>
      <c r="AK1147" s="15">
        <f t="shared" si="443"/>
        <v>5</v>
      </c>
      <c r="AL1147" s="11">
        <f t="shared" si="449"/>
        <v>6828</v>
      </c>
      <c r="AM1147" s="11" t="b">
        <f t="shared" si="442"/>
        <v>0</v>
      </c>
      <c r="AN1147" s="11">
        <f t="shared" si="444"/>
        <v>36000</v>
      </c>
      <c r="AO1147" s="11">
        <f t="shared" si="445"/>
        <v>0</v>
      </c>
      <c r="AP1147" s="11">
        <f t="shared" si="446"/>
        <v>0.23733549645287566</v>
      </c>
      <c r="AQ1147" s="11">
        <f t="shared" si="447"/>
        <v>0</v>
      </c>
      <c r="AT1147" s="3"/>
      <c r="AU1147" s="17"/>
      <c r="AV1147" s="19"/>
      <c r="AW1147" s="17"/>
      <c r="AX1147" s="17">
        <f t="shared" si="450"/>
        <v>1138</v>
      </c>
      <c r="AY1147" s="17">
        <f t="shared" si="448"/>
        <v>113.8</v>
      </c>
      <c r="AZ1147" s="17">
        <v>23.733549645287567</v>
      </c>
      <c r="BA1147" s="17"/>
      <c r="BB1147" s="17">
        <v>36</v>
      </c>
      <c r="BC1147" s="17"/>
      <c r="BD1147" s="17"/>
      <c r="BE1147" s="17"/>
      <c r="BF1147" s="17"/>
      <c r="BG1147" s="17"/>
      <c r="BH1147" s="17"/>
      <c r="BI1147" s="17"/>
      <c r="BJ1147" s="17"/>
      <c r="BK1147" s="17"/>
      <c r="BL1147" s="17"/>
      <c r="BM1147" s="17"/>
      <c r="BN1147" s="17"/>
      <c r="BO1147" s="17"/>
      <c r="BP1147" s="17"/>
      <c r="BQ1147" s="17"/>
      <c r="BR1147" s="17"/>
      <c r="BS1147" s="17"/>
      <c r="BT1147" s="17"/>
      <c r="BU1147" s="17"/>
      <c r="BV1147" s="17"/>
      <c r="BW1147" s="17"/>
      <c r="BX1147" s="17"/>
      <c r="BY1147" s="17"/>
      <c r="BZ1147" s="17"/>
      <c r="CA1147" s="17"/>
      <c r="CB1147" s="17"/>
      <c r="CC1147" s="17"/>
      <c r="CD1147" s="17"/>
      <c r="CE1147" s="17"/>
      <c r="CF1147" s="17"/>
      <c r="CG1147" s="17"/>
      <c r="CH1147" s="17"/>
    </row>
    <row r="1148" spans="35:86" x14ac:dyDescent="0.15">
      <c r="AI1148" s="3"/>
      <c r="AJ1148" s="3"/>
      <c r="AK1148" s="15">
        <f t="shared" si="443"/>
        <v>5</v>
      </c>
      <c r="AL1148" s="11">
        <f t="shared" si="449"/>
        <v>6834</v>
      </c>
      <c r="AM1148" s="11" t="b">
        <f t="shared" si="442"/>
        <v>0</v>
      </c>
      <c r="AN1148" s="11">
        <f t="shared" si="444"/>
        <v>36000</v>
      </c>
      <c r="AO1148" s="11">
        <f t="shared" si="445"/>
        <v>0</v>
      </c>
      <c r="AP1148" s="11">
        <f t="shared" si="446"/>
        <v>0.23843781126769045</v>
      </c>
      <c r="AQ1148" s="11">
        <f t="shared" si="447"/>
        <v>0</v>
      </c>
      <c r="AT1148" s="3"/>
      <c r="AU1148" s="17"/>
      <c r="AV1148" s="19"/>
      <c r="AW1148" s="17"/>
      <c r="AX1148" s="17">
        <f t="shared" si="450"/>
        <v>1139</v>
      </c>
      <c r="AY1148" s="17">
        <f t="shared" si="448"/>
        <v>113.9</v>
      </c>
      <c r="AZ1148" s="17">
        <v>23.843781126769045</v>
      </c>
      <c r="BA1148" s="17"/>
      <c r="BB1148" s="17">
        <v>36</v>
      </c>
      <c r="BC1148" s="17"/>
      <c r="BD1148" s="17"/>
      <c r="BE1148" s="17"/>
      <c r="BF1148" s="17"/>
      <c r="BG1148" s="17"/>
      <c r="BH1148" s="17"/>
      <c r="BI1148" s="17"/>
      <c r="BJ1148" s="17"/>
      <c r="BK1148" s="17"/>
      <c r="BL1148" s="17"/>
      <c r="BM1148" s="17"/>
      <c r="BN1148" s="17"/>
      <c r="BO1148" s="17"/>
      <c r="BP1148" s="17"/>
      <c r="BQ1148" s="17"/>
      <c r="BR1148" s="17"/>
      <c r="BS1148" s="17"/>
      <c r="BT1148" s="17"/>
      <c r="BU1148" s="17"/>
      <c r="BV1148" s="17"/>
      <c r="BW1148" s="17"/>
      <c r="BX1148" s="17"/>
      <c r="BY1148" s="17"/>
      <c r="BZ1148" s="17"/>
      <c r="CA1148" s="17"/>
      <c r="CB1148" s="17"/>
      <c r="CC1148" s="17"/>
      <c r="CD1148" s="17"/>
      <c r="CE1148" s="17"/>
      <c r="CF1148" s="17"/>
      <c r="CG1148" s="17"/>
      <c r="CH1148" s="17"/>
    </row>
    <row r="1149" spans="35:86" x14ac:dyDescent="0.15">
      <c r="AI1149" s="3"/>
      <c r="AJ1149" s="3"/>
      <c r="AK1149" s="15">
        <f t="shared" si="443"/>
        <v>5</v>
      </c>
      <c r="AL1149" s="11">
        <f t="shared" si="449"/>
        <v>6840</v>
      </c>
      <c r="AM1149" s="11" t="b">
        <f t="shared" si="442"/>
        <v>0</v>
      </c>
      <c r="AN1149" s="11">
        <f t="shared" si="444"/>
        <v>36000</v>
      </c>
      <c r="AO1149" s="11">
        <f t="shared" si="445"/>
        <v>0</v>
      </c>
      <c r="AP1149" s="11">
        <f t="shared" si="446"/>
        <v>0.23954012608250524</v>
      </c>
      <c r="AQ1149" s="11">
        <f t="shared" si="447"/>
        <v>0</v>
      </c>
      <c r="AT1149" s="3"/>
      <c r="AU1149" s="17"/>
      <c r="AV1149" s="19"/>
      <c r="AW1149" s="17"/>
      <c r="AX1149" s="17">
        <f t="shared" si="450"/>
        <v>1140</v>
      </c>
      <c r="AY1149" s="17">
        <f t="shared" si="448"/>
        <v>114</v>
      </c>
      <c r="AZ1149" s="17">
        <v>23.954012608250526</v>
      </c>
      <c r="BA1149" s="17"/>
      <c r="BB1149" s="17">
        <v>36</v>
      </c>
      <c r="BC1149" s="17"/>
      <c r="BD1149" s="17"/>
      <c r="BE1149" s="17"/>
      <c r="BF1149" s="17"/>
      <c r="BG1149" s="17"/>
      <c r="BH1149" s="17"/>
      <c r="BI1149" s="17"/>
      <c r="BJ1149" s="17"/>
      <c r="BK1149" s="17"/>
      <c r="BL1149" s="17"/>
      <c r="BM1149" s="17"/>
      <c r="BN1149" s="17"/>
      <c r="BO1149" s="17"/>
      <c r="BP1149" s="17"/>
      <c r="BQ1149" s="17"/>
      <c r="BR1149" s="17"/>
      <c r="BS1149" s="17"/>
      <c r="BT1149" s="17"/>
      <c r="BU1149" s="17"/>
      <c r="BV1149" s="17"/>
      <c r="BW1149" s="17"/>
      <c r="BX1149" s="17"/>
      <c r="BY1149" s="17"/>
      <c r="BZ1149" s="17"/>
      <c r="CA1149" s="17"/>
      <c r="CB1149" s="17"/>
      <c r="CC1149" s="17"/>
      <c r="CD1149" s="17"/>
      <c r="CE1149" s="17"/>
      <c r="CF1149" s="17"/>
      <c r="CG1149" s="17"/>
      <c r="CH1149" s="17"/>
    </row>
    <row r="1150" spans="35:86" x14ac:dyDescent="0.15">
      <c r="AI1150" s="3"/>
      <c r="AJ1150" s="3"/>
      <c r="AK1150" s="15">
        <f t="shared" si="443"/>
        <v>5</v>
      </c>
      <c r="AL1150" s="11">
        <f t="shared" si="449"/>
        <v>6846</v>
      </c>
      <c r="AM1150" s="11" t="b">
        <f t="shared" si="442"/>
        <v>0</v>
      </c>
      <c r="AN1150" s="11">
        <f t="shared" si="444"/>
        <v>36000</v>
      </c>
      <c r="AO1150" s="11">
        <f t="shared" si="445"/>
        <v>0</v>
      </c>
      <c r="AP1150" s="11">
        <f t="shared" si="446"/>
        <v>0.24064244089732004</v>
      </c>
      <c r="AQ1150" s="11">
        <f t="shared" si="447"/>
        <v>0</v>
      </c>
      <c r="AT1150" s="3"/>
      <c r="AU1150" s="17"/>
      <c r="AV1150" s="19"/>
      <c r="AW1150" s="17"/>
      <c r="AX1150" s="17">
        <f t="shared" si="450"/>
        <v>1141</v>
      </c>
      <c r="AY1150" s="17">
        <f t="shared" si="448"/>
        <v>114.1</v>
      </c>
      <c r="AZ1150" s="17">
        <v>24.064244089732004</v>
      </c>
      <c r="BA1150" s="17"/>
      <c r="BB1150" s="17">
        <v>36</v>
      </c>
      <c r="BC1150" s="17"/>
      <c r="BD1150" s="17"/>
      <c r="BE1150" s="17"/>
      <c r="BF1150" s="17"/>
      <c r="BG1150" s="17"/>
      <c r="BH1150" s="17"/>
      <c r="BI1150" s="17"/>
      <c r="BJ1150" s="17"/>
      <c r="BK1150" s="17"/>
      <c r="BL1150" s="17"/>
      <c r="BM1150" s="17"/>
      <c r="BN1150" s="17"/>
      <c r="BO1150" s="17"/>
      <c r="BP1150" s="17"/>
      <c r="BQ1150" s="17"/>
      <c r="BR1150" s="17"/>
      <c r="BS1150" s="17"/>
      <c r="BT1150" s="17"/>
      <c r="BU1150" s="17"/>
      <c r="BV1150" s="17"/>
      <c r="BW1150" s="17"/>
      <c r="BX1150" s="17"/>
      <c r="BY1150" s="17"/>
      <c r="BZ1150" s="17"/>
      <c r="CA1150" s="17"/>
      <c r="CB1150" s="17"/>
      <c r="CC1150" s="17"/>
      <c r="CD1150" s="17"/>
      <c r="CE1150" s="17"/>
      <c r="CF1150" s="17"/>
      <c r="CG1150" s="17"/>
      <c r="CH1150" s="17"/>
    </row>
    <row r="1151" spans="35:86" x14ac:dyDescent="0.15">
      <c r="AI1151" s="3"/>
      <c r="AJ1151" s="3"/>
      <c r="AK1151" s="15">
        <f t="shared" si="443"/>
        <v>5</v>
      </c>
      <c r="AL1151" s="11">
        <f t="shared" si="449"/>
        <v>6852</v>
      </c>
      <c r="AM1151" s="11" t="b">
        <f t="shared" si="442"/>
        <v>0</v>
      </c>
      <c r="AN1151" s="11">
        <f t="shared" si="444"/>
        <v>36000</v>
      </c>
      <c r="AO1151" s="11">
        <f t="shared" si="445"/>
        <v>0</v>
      </c>
      <c r="AP1151" s="11">
        <f t="shared" si="446"/>
        <v>0.24174475571213483</v>
      </c>
      <c r="AQ1151" s="11">
        <f t="shared" si="447"/>
        <v>0</v>
      </c>
      <c r="AT1151" s="3"/>
      <c r="AU1151" s="17"/>
      <c r="AV1151" s="19"/>
      <c r="AW1151" s="17"/>
      <c r="AX1151" s="17">
        <f t="shared" si="450"/>
        <v>1142</v>
      </c>
      <c r="AY1151" s="17">
        <f t="shared" si="448"/>
        <v>114.2</v>
      </c>
      <c r="AZ1151" s="17">
        <v>24.174475571213485</v>
      </c>
      <c r="BA1151" s="17"/>
      <c r="BB1151" s="17">
        <v>36</v>
      </c>
      <c r="BC1151" s="17"/>
      <c r="BD1151" s="17"/>
      <c r="BE1151" s="17"/>
      <c r="BF1151" s="17"/>
      <c r="BG1151" s="17"/>
      <c r="BH1151" s="17"/>
      <c r="BI1151" s="17"/>
      <c r="BJ1151" s="17"/>
      <c r="BK1151" s="17"/>
      <c r="BL1151" s="17"/>
      <c r="BM1151" s="17"/>
      <c r="BN1151" s="17"/>
      <c r="BO1151" s="17"/>
      <c r="BP1151" s="17"/>
      <c r="BQ1151" s="17"/>
      <c r="BR1151" s="17"/>
      <c r="BS1151" s="17"/>
      <c r="BT1151" s="17"/>
      <c r="BU1151" s="17"/>
      <c r="BV1151" s="17"/>
      <c r="BW1151" s="17"/>
      <c r="BX1151" s="17"/>
      <c r="BY1151" s="17"/>
      <c r="BZ1151" s="17"/>
      <c r="CA1151" s="17"/>
      <c r="CB1151" s="17"/>
      <c r="CC1151" s="17"/>
      <c r="CD1151" s="17"/>
      <c r="CE1151" s="17"/>
      <c r="CF1151" s="17"/>
      <c r="CG1151" s="17"/>
      <c r="CH1151" s="17"/>
    </row>
    <row r="1152" spans="35:86" x14ac:dyDescent="0.15">
      <c r="AI1152" s="3"/>
      <c r="AJ1152" s="3"/>
      <c r="AK1152" s="15">
        <f t="shared" si="443"/>
        <v>5</v>
      </c>
      <c r="AL1152" s="11">
        <f t="shared" si="449"/>
        <v>6858</v>
      </c>
      <c r="AM1152" s="11" t="b">
        <f t="shared" si="442"/>
        <v>0</v>
      </c>
      <c r="AN1152" s="11">
        <f t="shared" si="444"/>
        <v>36000</v>
      </c>
      <c r="AO1152" s="11">
        <f t="shared" si="445"/>
        <v>0</v>
      </c>
      <c r="AP1152" s="11">
        <f t="shared" si="446"/>
        <v>0.24284707052694962</v>
      </c>
      <c r="AQ1152" s="11">
        <f t="shared" si="447"/>
        <v>0</v>
      </c>
      <c r="AT1152" s="3"/>
      <c r="AU1152" s="17"/>
      <c r="AV1152" s="19"/>
      <c r="AW1152" s="17"/>
      <c r="AX1152" s="17">
        <f t="shared" si="450"/>
        <v>1143</v>
      </c>
      <c r="AY1152" s="17">
        <f t="shared" si="448"/>
        <v>114.3</v>
      </c>
      <c r="AZ1152" s="17">
        <v>24.284707052694962</v>
      </c>
      <c r="BA1152" s="17"/>
      <c r="BB1152" s="17">
        <v>36</v>
      </c>
      <c r="BC1152" s="17"/>
      <c r="BD1152" s="17"/>
      <c r="BE1152" s="17"/>
      <c r="BF1152" s="17"/>
      <c r="BG1152" s="17"/>
      <c r="BH1152" s="17"/>
      <c r="BI1152" s="17"/>
      <c r="BJ1152" s="17"/>
      <c r="BK1152" s="17"/>
      <c r="BL1152" s="17"/>
      <c r="BM1152" s="17"/>
      <c r="BN1152" s="17"/>
      <c r="BO1152" s="17"/>
      <c r="BP1152" s="17"/>
      <c r="BQ1152" s="17"/>
      <c r="BR1152" s="17"/>
      <c r="BS1152" s="17"/>
      <c r="BT1152" s="17"/>
      <c r="BU1152" s="17"/>
      <c r="BV1152" s="17"/>
      <c r="BW1152" s="17"/>
      <c r="BX1152" s="17"/>
      <c r="BY1152" s="17"/>
      <c r="BZ1152" s="17"/>
      <c r="CA1152" s="17"/>
      <c r="CB1152" s="17"/>
      <c r="CC1152" s="17"/>
      <c r="CD1152" s="17"/>
      <c r="CE1152" s="17"/>
      <c r="CF1152" s="17"/>
      <c r="CG1152" s="17"/>
      <c r="CH1152" s="17"/>
    </row>
    <row r="1153" spans="35:86" x14ac:dyDescent="0.15">
      <c r="AI1153" s="3"/>
      <c r="AJ1153" s="3"/>
      <c r="AK1153" s="15">
        <f t="shared" si="443"/>
        <v>5</v>
      </c>
      <c r="AL1153" s="11">
        <f t="shared" si="449"/>
        <v>6864</v>
      </c>
      <c r="AM1153" s="11" t="b">
        <f t="shared" si="442"/>
        <v>0</v>
      </c>
      <c r="AN1153" s="11">
        <f t="shared" si="444"/>
        <v>36000</v>
      </c>
      <c r="AO1153" s="11">
        <f t="shared" si="445"/>
        <v>0</v>
      </c>
      <c r="AP1153" s="11">
        <f t="shared" si="446"/>
        <v>0.24394938534176441</v>
      </c>
      <c r="AQ1153" s="11">
        <f t="shared" si="447"/>
        <v>0</v>
      </c>
      <c r="AT1153" s="3"/>
      <c r="AU1153" s="17"/>
      <c r="AV1153" s="19"/>
      <c r="AW1153" s="17"/>
      <c r="AX1153" s="17">
        <f t="shared" si="450"/>
        <v>1144</v>
      </c>
      <c r="AY1153" s="17">
        <f t="shared" si="448"/>
        <v>114.4</v>
      </c>
      <c r="AZ1153" s="17">
        <v>24.39493853417644</v>
      </c>
      <c r="BA1153" s="17"/>
      <c r="BB1153" s="17">
        <v>36</v>
      </c>
      <c r="BC1153" s="17"/>
      <c r="BD1153" s="17"/>
      <c r="BE1153" s="17"/>
      <c r="BF1153" s="17"/>
      <c r="BG1153" s="17"/>
      <c r="BH1153" s="17"/>
      <c r="BI1153" s="17"/>
      <c r="BJ1153" s="17"/>
      <c r="BK1153" s="17"/>
      <c r="BL1153" s="17"/>
      <c r="BM1153" s="17"/>
      <c r="BN1153" s="17"/>
      <c r="BO1153" s="17"/>
      <c r="BP1153" s="17"/>
      <c r="BQ1153" s="17"/>
      <c r="BR1153" s="17"/>
      <c r="BS1153" s="17"/>
      <c r="BT1153" s="17"/>
      <c r="BU1153" s="17"/>
      <c r="BV1153" s="17"/>
      <c r="BW1153" s="17"/>
      <c r="BX1153" s="17"/>
      <c r="BY1153" s="17"/>
      <c r="BZ1153" s="17"/>
      <c r="CA1153" s="17"/>
      <c r="CB1153" s="17"/>
      <c r="CC1153" s="17"/>
      <c r="CD1153" s="17"/>
      <c r="CE1153" s="17"/>
      <c r="CF1153" s="17"/>
      <c r="CG1153" s="17"/>
      <c r="CH1153" s="17"/>
    </row>
    <row r="1154" spans="35:86" x14ac:dyDescent="0.15">
      <c r="AI1154" s="3"/>
      <c r="AJ1154" s="3"/>
      <c r="AK1154" s="15">
        <f t="shared" si="443"/>
        <v>5</v>
      </c>
      <c r="AL1154" s="11">
        <f t="shared" si="449"/>
        <v>6870</v>
      </c>
      <c r="AM1154" s="11" t="b">
        <f t="shared" si="442"/>
        <v>0</v>
      </c>
      <c r="AN1154" s="11">
        <f t="shared" si="444"/>
        <v>36000</v>
      </c>
      <c r="AO1154" s="11">
        <f t="shared" si="445"/>
        <v>0</v>
      </c>
      <c r="AP1154" s="11">
        <f t="shared" si="446"/>
        <v>0.24505170015657921</v>
      </c>
      <c r="AQ1154" s="11">
        <f t="shared" si="447"/>
        <v>0</v>
      </c>
      <c r="AT1154" s="3"/>
      <c r="AU1154" s="17"/>
      <c r="AV1154" s="19"/>
      <c r="AW1154" s="17"/>
      <c r="AX1154" s="17">
        <f t="shared" si="450"/>
        <v>1145</v>
      </c>
      <c r="AY1154" s="17">
        <f t="shared" si="448"/>
        <v>114.5</v>
      </c>
      <c r="AZ1154" s="17">
        <v>24.505170015657921</v>
      </c>
      <c r="BA1154" s="17"/>
      <c r="BB1154" s="17">
        <v>36</v>
      </c>
      <c r="BC1154" s="17"/>
      <c r="BD1154" s="17"/>
      <c r="BE1154" s="17"/>
      <c r="BF1154" s="17"/>
      <c r="BG1154" s="17"/>
      <c r="BH1154" s="17"/>
      <c r="BI1154" s="17"/>
      <c r="BJ1154" s="17"/>
      <c r="BK1154" s="17"/>
      <c r="BL1154" s="17"/>
      <c r="BM1154" s="17"/>
      <c r="BN1154" s="17"/>
      <c r="BO1154" s="17"/>
      <c r="BP1154" s="17"/>
      <c r="BQ1154" s="17"/>
      <c r="BR1154" s="17"/>
      <c r="BS1154" s="17"/>
      <c r="BT1154" s="17"/>
      <c r="BU1154" s="17"/>
      <c r="BV1154" s="17"/>
      <c r="BW1154" s="17"/>
      <c r="BX1154" s="17"/>
      <c r="BY1154" s="17"/>
      <c r="BZ1154" s="17"/>
      <c r="CA1154" s="17"/>
      <c r="CB1154" s="17"/>
      <c r="CC1154" s="17"/>
      <c r="CD1154" s="17"/>
      <c r="CE1154" s="17"/>
      <c r="CF1154" s="17"/>
      <c r="CG1154" s="17"/>
      <c r="CH1154" s="17"/>
    </row>
    <row r="1155" spans="35:86" x14ac:dyDescent="0.15">
      <c r="AI1155" s="3"/>
      <c r="AJ1155" s="3"/>
      <c r="AK1155" s="15">
        <f t="shared" si="443"/>
        <v>5</v>
      </c>
      <c r="AL1155" s="11">
        <f t="shared" si="449"/>
        <v>6876</v>
      </c>
      <c r="AM1155" s="11" t="b">
        <f t="shared" si="442"/>
        <v>0</v>
      </c>
      <c r="AN1155" s="11">
        <f t="shared" si="444"/>
        <v>36000</v>
      </c>
      <c r="AO1155" s="11">
        <f t="shared" si="445"/>
        <v>0</v>
      </c>
      <c r="AP1155" s="11">
        <f t="shared" si="446"/>
        <v>0.246154014971394</v>
      </c>
      <c r="AQ1155" s="11">
        <f t="shared" si="447"/>
        <v>0</v>
      </c>
      <c r="AT1155" s="3"/>
      <c r="AU1155" s="17"/>
      <c r="AV1155" s="19"/>
      <c r="AW1155" s="17"/>
      <c r="AX1155" s="17">
        <f t="shared" si="450"/>
        <v>1146</v>
      </c>
      <c r="AY1155" s="17">
        <f t="shared" si="448"/>
        <v>114.6</v>
      </c>
      <c r="AZ1155" s="17">
        <v>24.615401497139398</v>
      </c>
      <c r="BA1155" s="17"/>
      <c r="BB1155" s="17">
        <v>36</v>
      </c>
      <c r="BC1155" s="17"/>
      <c r="BD1155" s="17"/>
      <c r="BE1155" s="17"/>
      <c r="BF1155" s="17"/>
      <c r="BG1155" s="17"/>
      <c r="BH1155" s="17"/>
      <c r="BI1155" s="17"/>
      <c r="BJ1155" s="17"/>
      <c r="BK1155" s="17"/>
      <c r="BL1155" s="17"/>
      <c r="BM1155" s="17"/>
      <c r="BN1155" s="17"/>
      <c r="BO1155" s="17"/>
      <c r="BP1155" s="17"/>
      <c r="BQ1155" s="17"/>
      <c r="BR1155" s="17"/>
      <c r="BS1155" s="17"/>
      <c r="BT1155" s="17"/>
      <c r="BU1155" s="17"/>
      <c r="BV1155" s="17"/>
      <c r="BW1155" s="17"/>
      <c r="BX1155" s="17"/>
      <c r="BY1155" s="17"/>
      <c r="BZ1155" s="17"/>
      <c r="CA1155" s="17"/>
      <c r="CB1155" s="17"/>
      <c r="CC1155" s="17"/>
      <c r="CD1155" s="17"/>
      <c r="CE1155" s="17"/>
      <c r="CF1155" s="17"/>
      <c r="CG1155" s="17"/>
      <c r="CH1155" s="17"/>
    </row>
    <row r="1156" spans="35:86" x14ac:dyDescent="0.15">
      <c r="AI1156" s="3"/>
      <c r="AJ1156" s="3"/>
      <c r="AK1156" s="15">
        <f t="shared" si="443"/>
        <v>5</v>
      </c>
      <c r="AL1156" s="11">
        <f t="shared" si="449"/>
        <v>6882</v>
      </c>
      <c r="AM1156" s="11" t="b">
        <f t="shared" si="442"/>
        <v>0</v>
      </c>
      <c r="AN1156" s="11">
        <f t="shared" si="444"/>
        <v>36000</v>
      </c>
      <c r="AO1156" s="11">
        <f t="shared" si="445"/>
        <v>0</v>
      </c>
      <c r="AP1156" s="11">
        <f t="shared" si="446"/>
        <v>0.24725632978620879</v>
      </c>
      <c r="AQ1156" s="11">
        <f t="shared" si="447"/>
        <v>0</v>
      </c>
      <c r="AT1156" s="3"/>
      <c r="AU1156" s="17"/>
      <c r="AV1156" s="19"/>
      <c r="AW1156" s="17"/>
      <c r="AX1156" s="17">
        <f t="shared" si="450"/>
        <v>1147</v>
      </c>
      <c r="AY1156" s="17">
        <f t="shared" si="448"/>
        <v>114.7</v>
      </c>
      <c r="AZ1156" s="17">
        <v>24.725632978620879</v>
      </c>
      <c r="BA1156" s="17"/>
      <c r="BB1156" s="17">
        <v>36</v>
      </c>
      <c r="BC1156" s="17"/>
      <c r="BD1156" s="17"/>
      <c r="BE1156" s="17"/>
      <c r="BF1156" s="17"/>
      <c r="BG1156" s="17"/>
      <c r="BH1156" s="17"/>
      <c r="BI1156" s="17"/>
      <c r="BJ1156" s="17"/>
      <c r="BK1156" s="17"/>
      <c r="BL1156" s="17"/>
      <c r="BM1156" s="17"/>
      <c r="BN1156" s="17"/>
      <c r="BO1156" s="17"/>
      <c r="BP1156" s="17"/>
      <c r="BQ1156" s="17"/>
      <c r="BR1156" s="17"/>
      <c r="BS1156" s="17"/>
      <c r="BT1156" s="17"/>
      <c r="BU1156" s="17"/>
      <c r="BV1156" s="17"/>
      <c r="BW1156" s="17"/>
      <c r="BX1156" s="17"/>
      <c r="BY1156" s="17"/>
      <c r="BZ1156" s="17"/>
      <c r="CA1156" s="17"/>
      <c r="CB1156" s="17"/>
      <c r="CC1156" s="17"/>
      <c r="CD1156" s="17"/>
      <c r="CE1156" s="17"/>
      <c r="CF1156" s="17"/>
      <c r="CG1156" s="17"/>
      <c r="CH1156" s="17"/>
    </row>
    <row r="1157" spans="35:86" x14ac:dyDescent="0.15">
      <c r="AI1157" s="3"/>
      <c r="AJ1157" s="3"/>
      <c r="AK1157" s="15">
        <f t="shared" si="443"/>
        <v>5</v>
      </c>
      <c r="AL1157" s="11">
        <f t="shared" si="449"/>
        <v>6888</v>
      </c>
      <c r="AM1157" s="11" t="b">
        <f t="shared" si="442"/>
        <v>0</v>
      </c>
      <c r="AN1157" s="11">
        <f t="shared" si="444"/>
        <v>36000</v>
      </c>
      <c r="AO1157" s="11">
        <f t="shared" si="445"/>
        <v>0</v>
      </c>
      <c r="AP1157" s="11">
        <f t="shared" si="446"/>
        <v>0.24835864460102358</v>
      </c>
      <c r="AQ1157" s="11">
        <f t="shared" si="447"/>
        <v>0</v>
      </c>
      <c r="AT1157" s="3"/>
      <c r="AU1157" s="17"/>
      <c r="AV1157" s="19"/>
      <c r="AW1157" s="17"/>
      <c r="AX1157" s="17">
        <f t="shared" si="450"/>
        <v>1148</v>
      </c>
      <c r="AY1157" s="17">
        <f t="shared" si="448"/>
        <v>114.8</v>
      </c>
      <c r="AZ1157" s="17">
        <v>24.835864460102357</v>
      </c>
      <c r="BA1157" s="17"/>
      <c r="BB1157" s="17">
        <v>36</v>
      </c>
      <c r="BC1157" s="17"/>
      <c r="BD1157" s="17"/>
      <c r="BE1157" s="17"/>
      <c r="BF1157" s="17"/>
      <c r="BG1157" s="17"/>
      <c r="BH1157" s="17"/>
      <c r="BI1157" s="17"/>
      <c r="BJ1157" s="17"/>
      <c r="BK1157" s="17"/>
      <c r="BL1157" s="17"/>
      <c r="BM1157" s="17"/>
      <c r="BN1157" s="17"/>
      <c r="BO1157" s="17"/>
      <c r="BP1157" s="17"/>
      <c r="BQ1157" s="17"/>
      <c r="BR1157" s="17"/>
      <c r="BS1157" s="17"/>
      <c r="BT1157" s="17"/>
      <c r="BU1157" s="17"/>
      <c r="BV1157" s="17"/>
      <c r="BW1157" s="17"/>
      <c r="BX1157" s="17"/>
      <c r="BY1157" s="17"/>
      <c r="BZ1157" s="17"/>
      <c r="CA1157" s="17"/>
      <c r="CB1157" s="17"/>
      <c r="CC1157" s="17"/>
      <c r="CD1157" s="17"/>
      <c r="CE1157" s="17"/>
      <c r="CF1157" s="17"/>
      <c r="CG1157" s="17"/>
      <c r="CH1157" s="17"/>
    </row>
    <row r="1158" spans="35:86" x14ac:dyDescent="0.15">
      <c r="AI1158" s="3"/>
      <c r="AJ1158" s="3"/>
      <c r="AK1158" s="15">
        <f t="shared" si="443"/>
        <v>5</v>
      </c>
      <c r="AL1158" s="11">
        <f t="shared" si="449"/>
        <v>6894</v>
      </c>
      <c r="AM1158" s="11" t="b">
        <f t="shared" si="442"/>
        <v>0</v>
      </c>
      <c r="AN1158" s="11">
        <f t="shared" si="444"/>
        <v>36000</v>
      </c>
      <c r="AO1158" s="11">
        <f t="shared" si="445"/>
        <v>0</v>
      </c>
      <c r="AP1158" s="11">
        <f t="shared" si="446"/>
        <v>0.24946095941583837</v>
      </c>
      <c r="AQ1158" s="11">
        <f t="shared" si="447"/>
        <v>0</v>
      </c>
      <c r="AT1158" s="3"/>
      <c r="AU1158" s="17"/>
      <c r="AV1158" s="19"/>
      <c r="AW1158" s="17"/>
      <c r="AX1158" s="17">
        <f t="shared" si="450"/>
        <v>1149</v>
      </c>
      <c r="AY1158" s="17">
        <f t="shared" si="448"/>
        <v>114.9</v>
      </c>
      <c r="AZ1158" s="17">
        <v>24.946095941583838</v>
      </c>
      <c r="BA1158" s="17"/>
      <c r="BB1158" s="17">
        <v>36</v>
      </c>
      <c r="BC1158" s="17"/>
      <c r="BD1158" s="17"/>
      <c r="BE1158" s="17"/>
      <c r="BF1158" s="17"/>
      <c r="BG1158" s="17"/>
      <c r="BH1158" s="17"/>
      <c r="BI1158" s="17"/>
      <c r="BJ1158" s="17"/>
      <c r="BK1158" s="17"/>
      <c r="BL1158" s="17"/>
      <c r="BM1158" s="17"/>
      <c r="BN1158" s="17"/>
      <c r="BO1158" s="17"/>
      <c r="BP1158" s="17"/>
      <c r="BQ1158" s="17"/>
      <c r="BR1158" s="17"/>
      <c r="BS1158" s="17"/>
      <c r="BT1158" s="17"/>
      <c r="BU1158" s="17"/>
      <c r="BV1158" s="17"/>
      <c r="BW1158" s="17"/>
      <c r="BX1158" s="17"/>
      <c r="BY1158" s="17"/>
      <c r="BZ1158" s="17"/>
      <c r="CA1158" s="17"/>
      <c r="CB1158" s="17"/>
      <c r="CC1158" s="17"/>
      <c r="CD1158" s="17"/>
      <c r="CE1158" s="17"/>
      <c r="CF1158" s="17"/>
      <c r="CG1158" s="17"/>
      <c r="CH1158" s="17"/>
    </row>
    <row r="1159" spans="35:86" x14ac:dyDescent="0.15">
      <c r="AI1159" s="3"/>
      <c r="AJ1159" s="3"/>
      <c r="AK1159" s="15">
        <f t="shared" si="443"/>
        <v>5</v>
      </c>
      <c r="AL1159" s="11">
        <f t="shared" si="449"/>
        <v>6900</v>
      </c>
      <c r="AM1159" s="11" t="b">
        <f t="shared" si="442"/>
        <v>0</v>
      </c>
      <c r="AN1159" s="11">
        <f t="shared" si="444"/>
        <v>36000</v>
      </c>
      <c r="AO1159" s="11">
        <f t="shared" si="445"/>
        <v>0</v>
      </c>
      <c r="AP1159" s="11">
        <f t="shared" si="446"/>
        <v>0.25056327423065317</v>
      </c>
      <c r="AQ1159" s="11">
        <f t="shared" si="447"/>
        <v>0</v>
      </c>
      <c r="AT1159" s="3"/>
      <c r="AU1159" s="17"/>
      <c r="AV1159" s="19"/>
      <c r="AW1159" s="17"/>
      <c r="AX1159" s="17">
        <f t="shared" si="450"/>
        <v>1150</v>
      </c>
      <c r="AY1159" s="17">
        <f t="shared" si="448"/>
        <v>115</v>
      </c>
      <c r="AZ1159" s="17">
        <v>25.056327423065316</v>
      </c>
      <c r="BA1159" s="17"/>
      <c r="BB1159" s="17">
        <v>36</v>
      </c>
      <c r="BC1159" s="17"/>
      <c r="BD1159" s="17"/>
      <c r="BE1159" s="17"/>
      <c r="BF1159" s="17"/>
      <c r="BG1159" s="17"/>
      <c r="BH1159" s="17"/>
      <c r="BI1159" s="17"/>
      <c r="BJ1159" s="17"/>
      <c r="BK1159" s="17"/>
      <c r="BL1159" s="17"/>
      <c r="BM1159" s="17"/>
      <c r="BN1159" s="17"/>
      <c r="BO1159" s="17"/>
      <c r="BP1159" s="17"/>
      <c r="BQ1159" s="17"/>
      <c r="BR1159" s="17"/>
      <c r="BS1159" s="17"/>
      <c r="BT1159" s="17"/>
      <c r="BU1159" s="17"/>
      <c r="BV1159" s="17"/>
      <c r="BW1159" s="17"/>
      <c r="BX1159" s="17"/>
      <c r="BY1159" s="17"/>
      <c r="BZ1159" s="17"/>
      <c r="CA1159" s="17"/>
      <c r="CB1159" s="17"/>
      <c r="CC1159" s="17"/>
      <c r="CD1159" s="17"/>
      <c r="CE1159" s="17"/>
      <c r="CF1159" s="17"/>
      <c r="CG1159" s="17"/>
      <c r="CH1159" s="17"/>
    </row>
    <row r="1160" spans="35:86" x14ac:dyDescent="0.15">
      <c r="AI1160" s="3"/>
      <c r="AJ1160" s="3"/>
      <c r="AK1160" s="15">
        <f t="shared" si="443"/>
        <v>5</v>
      </c>
      <c r="AL1160" s="11">
        <f t="shared" si="449"/>
        <v>6906</v>
      </c>
      <c r="AM1160" s="11" t="b">
        <f t="shared" si="442"/>
        <v>0</v>
      </c>
      <c r="AN1160" s="11">
        <f t="shared" si="444"/>
        <v>36000</v>
      </c>
      <c r="AO1160" s="11">
        <f t="shared" si="445"/>
        <v>0</v>
      </c>
      <c r="AP1160" s="11">
        <f t="shared" si="446"/>
        <v>0.25166558904546793</v>
      </c>
      <c r="AQ1160" s="11">
        <f t="shared" si="447"/>
        <v>0</v>
      </c>
      <c r="AT1160" s="3"/>
      <c r="AU1160" s="17"/>
      <c r="AV1160" s="19"/>
      <c r="AW1160" s="17"/>
      <c r="AX1160" s="17">
        <f t="shared" si="450"/>
        <v>1151</v>
      </c>
      <c r="AY1160" s="17">
        <f t="shared" si="448"/>
        <v>115.1</v>
      </c>
      <c r="AZ1160" s="17">
        <v>25.166558904546793</v>
      </c>
      <c r="BA1160" s="17"/>
      <c r="BB1160" s="17">
        <v>36</v>
      </c>
      <c r="BC1160" s="17"/>
      <c r="BD1160" s="17"/>
      <c r="BE1160" s="17"/>
      <c r="BF1160" s="17"/>
      <c r="BG1160" s="17"/>
      <c r="BH1160" s="17"/>
      <c r="BI1160" s="17"/>
      <c r="BJ1160" s="17"/>
      <c r="BK1160" s="17"/>
      <c r="BL1160" s="17"/>
      <c r="BM1160" s="17"/>
      <c r="BN1160" s="17"/>
      <c r="BO1160" s="17"/>
      <c r="BP1160" s="17"/>
      <c r="BQ1160" s="17"/>
      <c r="BR1160" s="17"/>
      <c r="BS1160" s="17"/>
      <c r="BT1160" s="17"/>
      <c r="BU1160" s="17"/>
      <c r="BV1160" s="17"/>
      <c r="BW1160" s="17"/>
      <c r="BX1160" s="17"/>
      <c r="BY1160" s="17"/>
      <c r="BZ1160" s="17"/>
      <c r="CA1160" s="17"/>
      <c r="CB1160" s="17"/>
      <c r="CC1160" s="17"/>
      <c r="CD1160" s="17"/>
      <c r="CE1160" s="17"/>
      <c r="CF1160" s="17"/>
      <c r="CG1160" s="17"/>
      <c r="CH1160" s="17"/>
    </row>
    <row r="1161" spans="35:86" x14ac:dyDescent="0.15">
      <c r="AI1161" s="3"/>
      <c r="AJ1161" s="3"/>
      <c r="AK1161" s="15">
        <f t="shared" si="443"/>
        <v>5</v>
      </c>
      <c r="AL1161" s="11">
        <f t="shared" si="449"/>
        <v>6912</v>
      </c>
      <c r="AM1161" s="11" t="b">
        <f t="shared" ref="AM1161:AM1224" si="451">OR(AND(AL1161&gt;=$AC$5,AL1161&lt;=$AD$5),AND(AL1161&gt;=$AC$6,AL1161&lt;=$AD$6),AND(AL1161&gt;=$AC$7,AL1161&lt;=$AD$7),AND(AL1161&gt;=$AC$8,AL1161&lt;=$AD$8),AND(AL1161&gt;=$AC$9,AL1161&lt;=$AD$9),AND(AL1161&gt;=$AC$10,AL1161&lt;=$AD$10),AND(AL1161&gt;=$AC$11,AL1161&lt;=$AD$11),AND($AD$11&lt;$AC$11,OR(AL1161&lt;$AD$11,AL1161&gt;$AC$11)))</f>
        <v>0</v>
      </c>
      <c r="AN1161" s="11">
        <f t="shared" si="444"/>
        <v>36000</v>
      </c>
      <c r="AO1161" s="11">
        <f t="shared" si="445"/>
        <v>0</v>
      </c>
      <c r="AP1161" s="11">
        <f t="shared" si="446"/>
        <v>0.25276790386028275</v>
      </c>
      <c r="AQ1161" s="11">
        <f t="shared" si="447"/>
        <v>0</v>
      </c>
      <c r="AT1161" s="3"/>
      <c r="AU1161" s="17"/>
      <c r="AV1161" s="19"/>
      <c r="AW1161" s="17"/>
      <c r="AX1161" s="17">
        <f t="shared" si="450"/>
        <v>1152</v>
      </c>
      <c r="AY1161" s="17">
        <f t="shared" si="448"/>
        <v>115.2</v>
      </c>
      <c r="AZ1161" s="17">
        <v>25.276790386028274</v>
      </c>
      <c r="BA1161" s="17"/>
      <c r="BB1161" s="17">
        <v>36</v>
      </c>
      <c r="BC1161" s="17"/>
      <c r="BD1161" s="17"/>
      <c r="BE1161" s="17"/>
      <c r="BF1161" s="17"/>
      <c r="BG1161" s="17"/>
      <c r="BH1161" s="17"/>
      <c r="BI1161" s="17"/>
      <c r="BJ1161" s="17"/>
      <c r="BK1161" s="17"/>
      <c r="BL1161" s="17"/>
      <c r="BM1161" s="17"/>
      <c r="BN1161" s="17"/>
      <c r="BO1161" s="17"/>
      <c r="BP1161" s="17"/>
      <c r="BQ1161" s="17"/>
      <c r="BR1161" s="17"/>
      <c r="BS1161" s="17"/>
      <c r="BT1161" s="17"/>
      <c r="BU1161" s="17"/>
      <c r="BV1161" s="17"/>
      <c r="BW1161" s="17"/>
      <c r="BX1161" s="17"/>
      <c r="BY1161" s="17"/>
      <c r="BZ1161" s="17"/>
      <c r="CA1161" s="17"/>
      <c r="CB1161" s="17"/>
      <c r="CC1161" s="17"/>
      <c r="CD1161" s="17"/>
      <c r="CE1161" s="17"/>
      <c r="CF1161" s="17"/>
      <c r="CG1161" s="17"/>
      <c r="CH1161" s="17"/>
    </row>
    <row r="1162" spans="35:86" x14ac:dyDescent="0.15">
      <c r="AI1162" s="3"/>
      <c r="AJ1162" s="3"/>
      <c r="AK1162" s="15">
        <f t="shared" ref="AK1162:AK1225" si="452">1+INT(MOD(AL1162/60/24-0.5,7))</f>
        <v>5</v>
      </c>
      <c r="AL1162" s="11">
        <f t="shared" si="449"/>
        <v>6918</v>
      </c>
      <c r="AM1162" s="11" t="b">
        <f t="shared" si="451"/>
        <v>0</v>
      </c>
      <c r="AN1162" s="11">
        <f t="shared" ref="AN1162:AN1225" si="453">IF(AND(AM1162,NOT(AM1163)),$AB$26,AN1161+($AB$28-IF(AND(AM1161,AM1162),CHOOSE(AK1162,$AG$5,$AG$6,$AG$7,$AG$8,$AG$9,$AG$10,$AG$11)*$AA$22/$AA$24,0))*$AB$15)</f>
        <v>36000</v>
      </c>
      <c r="AO1162" s="11">
        <f t="shared" ref="AO1162:AO1225" si="454">IF(AND(AM1162,NOT(AM1163)),$AB$27,AO1161+($AB$29-IF(AND(AM1161,AM1162),CHOOSE(AK1162,$AG$5,$AG$6,$AG$7,$AG$8,$AG$9,$AG$10,$AG$11)*$AA$23/$AA$24,0))*$AB$15)</f>
        <v>0</v>
      </c>
      <c r="AP1162" s="11">
        <f t="shared" ref="AP1162:AP1225" si="455">IF(AN1161&lt;=0,0,(AP1161*AN1161-(IF(AND(AM1161,AM1162),CHOOSE(AK1162,$AI$5,$AI$6,$AI$7,$AI$8,$AI$9,$AI$10,$AI$11),$AA$37))*AP1161*$AB$15+$AA$34*(AQ1161-AP1161)*$AB$15+$AA$33*$AB$15)/AN1161)</f>
        <v>0.25387021867509751</v>
      </c>
      <c r="AQ1162" s="11">
        <f t="shared" si="447"/>
        <v>0</v>
      </c>
      <c r="AT1162" s="3"/>
      <c r="AU1162" s="17"/>
      <c r="AV1162" s="19"/>
      <c r="AW1162" s="17"/>
      <c r="AX1162" s="17">
        <f t="shared" si="450"/>
        <v>1153</v>
      </c>
      <c r="AY1162" s="17">
        <f t="shared" si="448"/>
        <v>115.3</v>
      </c>
      <c r="AZ1162" s="17">
        <v>25.387021867509752</v>
      </c>
      <c r="BA1162" s="17"/>
      <c r="BB1162" s="17">
        <v>36</v>
      </c>
      <c r="BC1162" s="17"/>
      <c r="BD1162" s="17"/>
      <c r="BE1162" s="17"/>
      <c r="BF1162" s="17"/>
      <c r="BG1162" s="17"/>
      <c r="BH1162" s="17"/>
      <c r="BI1162" s="17"/>
      <c r="BJ1162" s="17"/>
      <c r="BK1162" s="17"/>
      <c r="BL1162" s="17"/>
      <c r="BM1162" s="17"/>
      <c r="BN1162" s="17"/>
      <c r="BO1162" s="17"/>
      <c r="BP1162" s="17"/>
      <c r="BQ1162" s="17"/>
      <c r="BR1162" s="17"/>
      <c r="BS1162" s="17"/>
      <c r="BT1162" s="17"/>
      <c r="BU1162" s="17"/>
      <c r="BV1162" s="17"/>
      <c r="BW1162" s="17"/>
      <c r="BX1162" s="17"/>
      <c r="BY1162" s="17"/>
      <c r="BZ1162" s="17"/>
      <c r="CA1162" s="17"/>
      <c r="CB1162" s="17"/>
      <c r="CC1162" s="17"/>
      <c r="CD1162" s="17"/>
      <c r="CE1162" s="17"/>
      <c r="CF1162" s="17"/>
      <c r="CG1162" s="17"/>
      <c r="CH1162" s="17"/>
    </row>
    <row r="1163" spans="35:86" x14ac:dyDescent="0.15">
      <c r="AI1163" s="3"/>
      <c r="AJ1163" s="3"/>
      <c r="AK1163" s="15">
        <f t="shared" si="452"/>
        <v>5</v>
      </c>
      <c r="AL1163" s="11">
        <f t="shared" si="449"/>
        <v>6924</v>
      </c>
      <c r="AM1163" s="11" t="b">
        <f t="shared" si="451"/>
        <v>0</v>
      </c>
      <c r="AN1163" s="11">
        <f t="shared" si="453"/>
        <v>36000</v>
      </c>
      <c r="AO1163" s="11">
        <f t="shared" si="454"/>
        <v>0</v>
      </c>
      <c r="AP1163" s="11">
        <f t="shared" si="455"/>
        <v>0.25497253348991233</v>
      </c>
      <c r="AQ1163" s="11">
        <f t="shared" ref="AQ1163:AQ1226" si="456">IF(AO1162&lt;=0,0,(AQ1162*AO1162-$AA$34*(AQ1162-AP1162)*$AB$15)/AO1162)</f>
        <v>0</v>
      </c>
      <c r="AT1163" s="3"/>
      <c r="AU1163" s="17"/>
      <c r="AV1163" s="19"/>
      <c r="AW1163" s="17"/>
      <c r="AX1163" s="17">
        <f t="shared" si="450"/>
        <v>1154</v>
      </c>
      <c r="AY1163" s="17">
        <f t="shared" si="448"/>
        <v>115.4</v>
      </c>
      <c r="AZ1163" s="17">
        <v>25.497253348991233</v>
      </c>
      <c r="BA1163" s="17"/>
      <c r="BB1163" s="17">
        <v>36</v>
      </c>
      <c r="BC1163" s="17"/>
      <c r="BD1163" s="17"/>
      <c r="BE1163" s="17"/>
      <c r="BF1163" s="17"/>
      <c r="BG1163" s="17"/>
      <c r="BH1163" s="17"/>
      <c r="BI1163" s="17"/>
      <c r="BJ1163" s="17"/>
      <c r="BK1163" s="17"/>
      <c r="BL1163" s="17"/>
      <c r="BM1163" s="17"/>
      <c r="BN1163" s="17"/>
      <c r="BO1163" s="17"/>
      <c r="BP1163" s="17"/>
      <c r="BQ1163" s="17"/>
      <c r="BR1163" s="17"/>
      <c r="BS1163" s="17"/>
      <c r="BT1163" s="17"/>
      <c r="BU1163" s="17"/>
      <c r="BV1163" s="17"/>
      <c r="BW1163" s="17"/>
      <c r="BX1163" s="17"/>
      <c r="BY1163" s="17"/>
      <c r="BZ1163" s="17"/>
      <c r="CA1163" s="17"/>
      <c r="CB1163" s="17"/>
      <c r="CC1163" s="17"/>
      <c r="CD1163" s="17"/>
      <c r="CE1163" s="17"/>
      <c r="CF1163" s="17"/>
      <c r="CG1163" s="17"/>
      <c r="CH1163" s="17"/>
    </row>
    <row r="1164" spans="35:86" x14ac:dyDescent="0.15">
      <c r="AI1164" s="3"/>
      <c r="AJ1164" s="3"/>
      <c r="AK1164" s="15">
        <f t="shared" si="452"/>
        <v>5</v>
      </c>
      <c r="AL1164" s="11">
        <f t="shared" si="449"/>
        <v>6930</v>
      </c>
      <c r="AM1164" s="11" t="b">
        <f t="shared" si="451"/>
        <v>0</v>
      </c>
      <c r="AN1164" s="11">
        <f t="shared" si="453"/>
        <v>36000</v>
      </c>
      <c r="AO1164" s="11">
        <f t="shared" si="454"/>
        <v>0</v>
      </c>
      <c r="AP1164" s="11">
        <f t="shared" si="455"/>
        <v>0.2560748483047271</v>
      </c>
      <c r="AQ1164" s="11">
        <f t="shared" si="456"/>
        <v>0</v>
      </c>
      <c r="AT1164" s="3"/>
      <c r="AU1164" s="17"/>
      <c r="AV1164" s="19"/>
      <c r="AW1164" s="17"/>
      <c r="AX1164" s="17">
        <f t="shared" si="450"/>
        <v>1155</v>
      </c>
      <c r="AY1164" s="17">
        <f t="shared" si="448"/>
        <v>115.5</v>
      </c>
      <c r="AZ1164" s="17">
        <v>25.607484830472711</v>
      </c>
      <c r="BA1164" s="17"/>
      <c r="BB1164" s="17">
        <v>36</v>
      </c>
      <c r="BC1164" s="17"/>
      <c r="BD1164" s="17"/>
      <c r="BE1164" s="17"/>
      <c r="BF1164" s="17"/>
      <c r="BG1164" s="17"/>
      <c r="BH1164" s="17"/>
      <c r="BI1164" s="17"/>
      <c r="BJ1164" s="17"/>
      <c r="BK1164" s="17"/>
      <c r="BL1164" s="17"/>
      <c r="BM1164" s="17"/>
      <c r="BN1164" s="17"/>
      <c r="BO1164" s="17"/>
      <c r="BP1164" s="17"/>
      <c r="BQ1164" s="17"/>
      <c r="BR1164" s="17"/>
      <c r="BS1164" s="17"/>
      <c r="BT1164" s="17"/>
      <c r="BU1164" s="17"/>
      <c r="BV1164" s="17"/>
      <c r="BW1164" s="17"/>
      <c r="BX1164" s="17"/>
      <c r="BY1164" s="17"/>
      <c r="BZ1164" s="17"/>
      <c r="CA1164" s="17"/>
      <c r="CB1164" s="17"/>
      <c r="CC1164" s="17"/>
      <c r="CD1164" s="17"/>
      <c r="CE1164" s="17"/>
      <c r="CF1164" s="17"/>
      <c r="CG1164" s="17"/>
      <c r="CH1164" s="17"/>
    </row>
    <row r="1165" spans="35:86" x14ac:dyDescent="0.15">
      <c r="AI1165" s="3"/>
      <c r="AJ1165" s="3"/>
      <c r="AK1165" s="15">
        <f t="shared" si="452"/>
        <v>5</v>
      </c>
      <c r="AL1165" s="11">
        <f t="shared" si="449"/>
        <v>6936</v>
      </c>
      <c r="AM1165" s="11" t="b">
        <f t="shared" si="451"/>
        <v>0</v>
      </c>
      <c r="AN1165" s="11">
        <f t="shared" si="453"/>
        <v>36000</v>
      </c>
      <c r="AO1165" s="11">
        <f t="shared" si="454"/>
        <v>0</v>
      </c>
      <c r="AP1165" s="11">
        <f t="shared" si="455"/>
        <v>0.25717716311954192</v>
      </c>
      <c r="AQ1165" s="11">
        <f t="shared" si="456"/>
        <v>0</v>
      </c>
      <c r="AT1165" s="3"/>
      <c r="AU1165" s="17"/>
      <c r="AV1165" s="19"/>
      <c r="AW1165" s="17"/>
      <c r="AX1165" s="17">
        <f t="shared" si="450"/>
        <v>1156</v>
      </c>
      <c r="AY1165" s="17">
        <f t="shared" si="448"/>
        <v>115.6</v>
      </c>
      <c r="AZ1165" s="17">
        <v>25.717716311954192</v>
      </c>
      <c r="BA1165" s="17"/>
      <c r="BB1165" s="17">
        <v>36</v>
      </c>
      <c r="BC1165" s="17"/>
      <c r="BD1165" s="17"/>
      <c r="BE1165" s="17"/>
      <c r="BF1165" s="17"/>
      <c r="BG1165" s="17"/>
      <c r="BH1165" s="17"/>
      <c r="BI1165" s="17"/>
      <c r="BJ1165" s="17"/>
      <c r="BK1165" s="17"/>
      <c r="BL1165" s="17"/>
      <c r="BM1165" s="17"/>
      <c r="BN1165" s="17"/>
      <c r="BO1165" s="17"/>
      <c r="BP1165" s="17"/>
      <c r="BQ1165" s="17"/>
      <c r="BR1165" s="17"/>
      <c r="BS1165" s="17"/>
      <c r="BT1165" s="17"/>
      <c r="BU1165" s="17"/>
      <c r="BV1165" s="17"/>
      <c r="BW1165" s="17"/>
      <c r="BX1165" s="17"/>
      <c r="BY1165" s="17"/>
      <c r="BZ1165" s="17"/>
      <c r="CA1165" s="17"/>
      <c r="CB1165" s="17"/>
      <c r="CC1165" s="17"/>
      <c r="CD1165" s="17"/>
      <c r="CE1165" s="17"/>
      <c r="CF1165" s="17"/>
      <c r="CG1165" s="17"/>
      <c r="CH1165" s="17"/>
    </row>
    <row r="1166" spans="35:86" x14ac:dyDescent="0.15">
      <c r="AI1166" s="3"/>
      <c r="AJ1166" s="3"/>
      <c r="AK1166" s="15">
        <f t="shared" si="452"/>
        <v>5</v>
      </c>
      <c r="AL1166" s="11">
        <f t="shared" si="449"/>
        <v>6942</v>
      </c>
      <c r="AM1166" s="11" t="b">
        <f t="shared" si="451"/>
        <v>0</v>
      </c>
      <c r="AN1166" s="11">
        <f t="shared" si="453"/>
        <v>36000</v>
      </c>
      <c r="AO1166" s="11">
        <f t="shared" si="454"/>
        <v>0</v>
      </c>
      <c r="AP1166" s="11">
        <f t="shared" si="455"/>
        <v>0.25827947793435668</v>
      </c>
      <c r="AQ1166" s="11">
        <f t="shared" si="456"/>
        <v>0</v>
      </c>
      <c r="AT1166" s="3"/>
      <c r="AU1166" s="17"/>
      <c r="AV1166" s="19"/>
      <c r="AW1166" s="17"/>
      <c r="AX1166" s="17">
        <f t="shared" si="450"/>
        <v>1157</v>
      </c>
      <c r="AY1166" s="17">
        <f t="shared" si="448"/>
        <v>115.7</v>
      </c>
      <c r="AZ1166" s="17">
        <v>25.827947793435669</v>
      </c>
      <c r="BA1166" s="17"/>
      <c r="BB1166" s="17">
        <v>36</v>
      </c>
      <c r="BC1166" s="17"/>
      <c r="BD1166" s="17"/>
      <c r="BE1166" s="17"/>
      <c r="BF1166" s="17"/>
      <c r="BG1166" s="17"/>
      <c r="BH1166" s="17"/>
      <c r="BI1166" s="17"/>
      <c r="BJ1166" s="17"/>
      <c r="BK1166" s="17"/>
      <c r="BL1166" s="17"/>
      <c r="BM1166" s="17"/>
      <c r="BN1166" s="17"/>
      <c r="BO1166" s="17"/>
      <c r="BP1166" s="17"/>
      <c r="BQ1166" s="17"/>
      <c r="BR1166" s="17"/>
      <c r="BS1166" s="17"/>
      <c r="BT1166" s="17"/>
      <c r="BU1166" s="17"/>
      <c r="BV1166" s="17"/>
      <c r="BW1166" s="17"/>
      <c r="BX1166" s="17"/>
      <c r="BY1166" s="17"/>
      <c r="BZ1166" s="17"/>
      <c r="CA1166" s="17"/>
      <c r="CB1166" s="17"/>
      <c r="CC1166" s="17"/>
      <c r="CD1166" s="17"/>
      <c r="CE1166" s="17"/>
      <c r="CF1166" s="17"/>
      <c r="CG1166" s="17"/>
      <c r="CH1166" s="17"/>
    </row>
    <row r="1167" spans="35:86" x14ac:dyDescent="0.15">
      <c r="AI1167" s="3"/>
      <c r="AJ1167" s="3"/>
      <c r="AK1167" s="15">
        <f t="shared" si="452"/>
        <v>5</v>
      </c>
      <c r="AL1167" s="11">
        <f t="shared" si="449"/>
        <v>6948</v>
      </c>
      <c r="AM1167" s="11" t="b">
        <f t="shared" si="451"/>
        <v>0</v>
      </c>
      <c r="AN1167" s="11">
        <f t="shared" si="453"/>
        <v>36000</v>
      </c>
      <c r="AO1167" s="11">
        <f t="shared" si="454"/>
        <v>0</v>
      </c>
      <c r="AP1167" s="11">
        <f t="shared" si="455"/>
        <v>0.2593817927491715</v>
      </c>
      <c r="AQ1167" s="11">
        <f t="shared" si="456"/>
        <v>0</v>
      </c>
      <c r="AT1167" s="3"/>
      <c r="AU1167" s="17"/>
      <c r="AV1167" s="19"/>
      <c r="AW1167" s="17"/>
      <c r="AX1167" s="17">
        <f t="shared" si="450"/>
        <v>1158</v>
      </c>
      <c r="AY1167" s="17">
        <f t="shared" si="448"/>
        <v>115.8</v>
      </c>
      <c r="AZ1167" s="17">
        <v>25.93817927491715</v>
      </c>
      <c r="BA1167" s="17"/>
      <c r="BB1167" s="17">
        <v>36</v>
      </c>
      <c r="BC1167" s="17"/>
      <c r="BD1167" s="17"/>
      <c r="BE1167" s="17"/>
      <c r="BF1167" s="17"/>
      <c r="BG1167" s="17"/>
      <c r="BH1167" s="17"/>
      <c r="BI1167" s="17"/>
      <c r="BJ1167" s="17"/>
      <c r="BK1167" s="17"/>
      <c r="BL1167" s="17"/>
      <c r="BM1167" s="17"/>
      <c r="BN1167" s="17"/>
      <c r="BO1167" s="17"/>
      <c r="BP1167" s="17"/>
      <c r="BQ1167" s="17"/>
      <c r="BR1167" s="17"/>
      <c r="BS1167" s="17"/>
      <c r="BT1167" s="17"/>
      <c r="BU1167" s="17"/>
      <c r="BV1167" s="17"/>
      <c r="BW1167" s="17"/>
      <c r="BX1167" s="17"/>
      <c r="BY1167" s="17"/>
      <c r="BZ1167" s="17"/>
      <c r="CA1167" s="17"/>
      <c r="CB1167" s="17"/>
      <c r="CC1167" s="17"/>
      <c r="CD1167" s="17"/>
      <c r="CE1167" s="17"/>
      <c r="CF1167" s="17"/>
      <c r="CG1167" s="17"/>
      <c r="CH1167" s="17"/>
    </row>
    <row r="1168" spans="35:86" x14ac:dyDescent="0.15">
      <c r="AI1168" s="3"/>
      <c r="AJ1168" s="3"/>
      <c r="AK1168" s="15">
        <f t="shared" si="452"/>
        <v>5</v>
      </c>
      <c r="AL1168" s="11">
        <f t="shared" si="449"/>
        <v>6954</v>
      </c>
      <c r="AM1168" s="11" t="b">
        <f t="shared" si="451"/>
        <v>0</v>
      </c>
      <c r="AN1168" s="11">
        <f t="shared" si="453"/>
        <v>36000</v>
      </c>
      <c r="AO1168" s="11">
        <f t="shared" si="454"/>
        <v>0</v>
      </c>
      <c r="AP1168" s="11">
        <f t="shared" si="455"/>
        <v>0.26048410756398627</v>
      </c>
      <c r="AQ1168" s="11">
        <f t="shared" si="456"/>
        <v>0</v>
      </c>
      <c r="AT1168" s="3"/>
      <c r="AU1168" s="17"/>
      <c r="AV1168" s="19"/>
      <c r="AW1168" s="17"/>
      <c r="AX1168" s="17">
        <f t="shared" si="450"/>
        <v>1159</v>
      </c>
      <c r="AY1168" s="17">
        <f t="shared" si="448"/>
        <v>115.9</v>
      </c>
      <c r="AZ1168" s="17">
        <v>26.048410756398628</v>
      </c>
      <c r="BA1168" s="17"/>
      <c r="BB1168" s="17">
        <v>36</v>
      </c>
      <c r="BC1168" s="17"/>
      <c r="BD1168" s="17"/>
      <c r="BE1168" s="17"/>
      <c r="BF1168" s="17"/>
      <c r="BG1168" s="17"/>
      <c r="BH1168" s="17"/>
      <c r="BI1168" s="17"/>
      <c r="BJ1168" s="17"/>
      <c r="BK1168" s="17"/>
      <c r="BL1168" s="17"/>
      <c r="BM1168" s="17"/>
      <c r="BN1168" s="17"/>
      <c r="BO1168" s="17"/>
      <c r="BP1168" s="17"/>
      <c r="BQ1168" s="17"/>
      <c r="BR1168" s="17"/>
      <c r="BS1168" s="17"/>
      <c r="BT1168" s="17"/>
      <c r="BU1168" s="17"/>
      <c r="BV1168" s="17"/>
      <c r="BW1168" s="17"/>
      <c r="BX1168" s="17"/>
      <c r="BY1168" s="17"/>
      <c r="BZ1168" s="17"/>
      <c r="CA1168" s="17"/>
      <c r="CB1168" s="17"/>
      <c r="CC1168" s="17"/>
      <c r="CD1168" s="17"/>
      <c r="CE1168" s="17"/>
      <c r="CF1168" s="17"/>
      <c r="CG1168" s="17"/>
      <c r="CH1168" s="17"/>
    </row>
    <row r="1169" spans="35:86" x14ac:dyDescent="0.15">
      <c r="AI1169" s="3"/>
      <c r="AJ1169" s="3"/>
      <c r="AK1169" s="15">
        <f t="shared" si="452"/>
        <v>5</v>
      </c>
      <c r="AL1169" s="11">
        <f t="shared" si="449"/>
        <v>6960</v>
      </c>
      <c r="AM1169" s="11" t="b">
        <f t="shared" si="451"/>
        <v>0</v>
      </c>
      <c r="AN1169" s="11">
        <f t="shared" si="453"/>
        <v>36000</v>
      </c>
      <c r="AO1169" s="11">
        <f t="shared" si="454"/>
        <v>0</v>
      </c>
      <c r="AP1169" s="11">
        <f t="shared" si="455"/>
        <v>0.26158642237880109</v>
      </c>
      <c r="AQ1169" s="11">
        <f t="shared" si="456"/>
        <v>0</v>
      </c>
      <c r="AT1169" s="3"/>
      <c r="AU1169" s="17"/>
      <c r="AV1169" s="19"/>
      <c r="AW1169" s="17"/>
      <c r="AX1169" s="17">
        <f t="shared" si="450"/>
        <v>1160</v>
      </c>
      <c r="AY1169" s="17">
        <f t="shared" si="448"/>
        <v>116</v>
      </c>
      <c r="AZ1169" s="17">
        <v>26.158642237880109</v>
      </c>
      <c r="BA1169" s="17"/>
      <c r="BB1169" s="17">
        <v>36</v>
      </c>
      <c r="BC1169" s="17"/>
      <c r="BD1169" s="17"/>
      <c r="BE1169" s="17"/>
      <c r="BF1169" s="17"/>
      <c r="BG1169" s="17"/>
      <c r="BH1169" s="17"/>
      <c r="BI1169" s="17"/>
      <c r="BJ1169" s="17"/>
      <c r="BK1169" s="17"/>
      <c r="BL1169" s="17"/>
      <c r="BM1169" s="17"/>
      <c r="BN1169" s="17"/>
      <c r="BO1169" s="17"/>
      <c r="BP1169" s="17"/>
      <c r="BQ1169" s="17"/>
      <c r="BR1169" s="17"/>
      <c r="BS1169" s="17"/>
      <c r="BT1169" s="17"/>
      <c r="BU1169" s="17"/>
      <c r="BV1169" s="17"/>
      <c r="BW1169" s="17"/>
      <c r="BX1169" s="17"/>
      <c r="BY1169" s="17"/>
      <c r="BZ1169" s="17"/>
      <c r="CA1169" s="17"/>
      <c r="CB1169" s="17"/>
      <c r="CC1169" s="17"/>
      <c r="CD1169" s="17"/>
      <c r="CE1169" s="17"/>
      <c r="CF1169" s="17"/>
      <c r="CG1169" s="17"/>
      <c r="CH1169" s="17"/>
    </row>
    <row r="1170" spans="35:86" x14ac:dyDescent="0.15">
      <c r="AI1170" s="3"/>
      <c r="AJ1170" s="3"/>
      <c r="AK1170" s="15">
        <f t="shared" si="452"/>
        <v>5</v>
      </c>
      <c r="AL1170" s="11">
        <f t="shared" si="449"/>
        <v>6966</v>
      </c>
      <c r="AM1170" s="11" t="b">
        <f t="shared" si="451"/>
        <v>0</v>
      </c>
      <c r="AN1170" s="11">
        <f t="shared" si="453"/>
        <v>36000</v>
      </c>
      <c r="AO1170" s="11">
        <f t="shared" si="454"/>
        <v>0</v>
      </c>
      <c r="AP1170" s="11">
        <f t="shared" si="455"/>
        <v>0.26268873719361585</v>
      </c>
      <c r="AQ1170" s="11">
        <f t="shared" si="456"/>
        <v>0</v>
      </c>
      <c r="AT1170" s="3"/>
      <c r="AU1170" s="17"/>
      <c r="AV1170" s="19"/>
      <c r="AW1170" s="17"/>
      <c r="AX1170" s="17">
        <f t="shared" si="450"/>
        <v>1161</v>
      </c>
      <c r="AY1170" s="17">
        <f t="shared" si="448"/>
        <v>116.1</v>
      </c>
      <c r="AZ1170" s="17">
        <v>26.268873719361586</v>
      </c>
      <c r="BA1170" s="17"/>
      <c r="BB1170" s="17">
        <v>36</v>
      </c>
      <c r="BC1170" s="17"/>
      <c r="BD1170" s="17"/>
      <c r="BE1170" s="17"/>
      <c r="BF1170" s="17"/>
      <c r="BG1170" s="17"/>
      <c r="BH1170" s="17"/>
      <c r="BI1170" s="17"/>
      <c r="BJ1170" s="17"/>
      <c r="BK1170" s="17"/>
      <c r="BL1170" s="17"/>
      <c r="BM1170" s="17"/>
      <c r="BN1170" s="17"/>
      <c r="BO1170" s="17"/>
      <c r="BP1170" s="17"/>
      <c r="BQ1170" s="17"/>
      <c r="BR1170" s="17"/>
      <c r="BS1170" s="17"/>
      <c r="BT1170" s="17"/>
      <c r="BU1170" s="17"/>
      <c r="BV1170" s="17"/>
      <c r="BW1170" s="17"/>
      <c r="BX1170" s="17"/>
      <c r="BY1170" s="17"/>
      <c r="BZ1170" s="17"/>
      <c r="CA1170" s="17"/>
      <c r="CB1170" s="17"/>
      <c r="CC1170" s="17"/>
      <c r="CD1170" s="17"/>
      <c r="CE1170" s="17"/>
      <c r="CF1170" s="17"/>
      <c r="CG1170" s="17"/>
      <c r="CH1170" s="17"/>
    </row>
    <row r="1171" spans="35:86" x14ac:dyDescent="0.15">
      <c r="AI1171" s="3"/>
      <c r="AJ1171" s="3"/>
      <c r="AK1171" s="15">
        <f t="shared" si="452"/>
        <v>5</v>
      </c>
      <c r="AL1171" s="11">
        <f t="shared" si="449"/>
        <v>6972</v>
      </c>
      <c r="AM1171" s="11" t="b">
        <f t="shared" si="451"/>
        <v>0</v>
      </c>
      <c r="AN1171" s="11">
        <f t="shared" si="453"/>
        <v>36000</v>
      </c>
      <c r="AO1171" s="11">
        <f t="shared" si="454"/>
        <v>0</v>
      </c>
      <c r="AP1171" s="11">
        <f t="shared" si="455"/>
        <v>0.26379105200843067</v>
      </c>
      <c r="AQ1171" s="11">
        <f t="shared" si="456"/>
        <v>0</v>
      </c>
      <c r="AT1171" s="3"/>
      <c r="AU1171" s="17"/>
      <c r="AV1171" s="19"/>
      <c r="AW1171" s="17"/>
      <c r="AX1171" s="17">
        <f t="shared" si="450"/>
        <v>1162</v>
      </c>
      <c r="AY1171" s="17">
        <f t="shared" si="448"/>
        <v>116.2</v>
      </c>
      <c r="AZ1171" s="17">
        <v>26.379105200843068</v>
      </c>
      <c r="BA1171" s="17"/>
      <c r="BB1171" s="17">
        <v>36</v>
      </c>
      <c r="BC1171" s="17"/>
      <c r="BD1171" s="17"/>
      <c r="BE1171" s="17"/>
      <c r="BF1171" s="17"/>
      <c r="BG1171" s="17"/>
      <c r="BH1171" s="17"/>
      <c r="BI1171" s="17"/>
      <c r="BJ1171" s="17"/>
      <c r="BK1171" s="17"/>
      <c r="BL1171" s="17"/>
      <c r="BM1171" s="17"/>
      <c r="BN1171" s="17"/>
      <c r="BO1171" s="17"/>
      <c r="BP1171" s="17"/>
      <c r="BQ1171" s="17"/>
      <c r="BR1171" s="17"/>
      <c r="BS1171" s="17"/>
      <c r="BT1171" s="17"/>
      <c r="BU1171" s="17"/>
      <c r="BV1171" s="17"/>
      <c r="BW1171" s="17"/>
      <c r="BX1171" s="17"/>
      <c r="BY1171" s="17"/>
      <c r="BZ1171" s="17"/>
      <c r="CA1171" s="17"/>
      <c r="CB1171" s="17"/>
      <c r="CC1171" s="17"/>
      <c r="CD1171" s="17"/>
      <c r="CE1171" s="17"/>
      <c r="CF1171" s="17"/>
      <c r="CG1171" s="17"/>
      <c r="CH1171" s="17"/>
    </row>
    <row r="1172" spans="35:86" x14ac:dyDescent="0.15">
      <c r="AI1172" s="3"/>
      <c r="AJ1172" s="3"/>
      <c r="AK1172" s="15">
        <f t="shared" si="452"/>
        <v>5</v>
      </c>
      <c r="AL1172" s="11">
        <f t="shared" si="449"/>
        <v>6978</v>
      </c>
      <c r="AM1172" s="11" t="b">
        <f t="shared" si="451"/>
        <v>0</v>
      </c>
      <c r="AN1172" s="11">
        <f t="shared" si="453"/>
        <v>36000</v>
      </c>
      <c r="AO1172" s="11">
        <f t="shared" si="454"/>
        <v>0</v>
      </c>
      <c r="AP1172" s="11">
        <f t="shared" si="455"/>
        <v>0.26489336682324544</v>
      </c>
      <c r="AQ1172" s="11">
        <f t="shared" si="456"/>
        <v>0</v>
      </c>
      <c r="AT1172" s="3"/>
      <c r="AU1172" s="17"/>
      <c r="AV1172" s="19"/>
      <c r="AW1172" s="17"/>
      <c r="AX1172" s="17">
        <f t="shared" si="450"/>
        <v>1163</v>
      </c>
      <c r="AY1172" s="17">
        <f t="shared" ref="AY1172:AY1235" si="457">IF(ISNUMBER(AX1172),IF(ROUND((AX1172)*$AG$15*$AB$15,0) &lt;= 10080, ROUND((AX1172)*$AG$15,0)*$AB$15/60, 168),168)</f>
        <v>116.3</v>
      </c>
      <c r="AZ1172" s="17">
        <v>26.489336682324545</v>
      </c>
      <c r="BA1172" s="17"/>
      <c r="BB1172" s="17">
        <v>36</v>
      </c>
      <c r="BC1172" s="17"/>
      <c r="BD1172" s="17"/>
      <c r="BE1172" s="17"/>
      <c r="BF1172" s="17"/>
      <c r="BG1172" s="17"/>
      <c r="BH1172" s="17"/>
      <c r="BI1172" s="17"/>
      <c r="BJ1172" s="17"/>
      <c r="BK1172" s="17"/>
      <c r="BL1172" s="17"/>
      <c r="BM1172" s="17"/>
      <c r="BN1172" s="17"/>
      <c r="BO1172" s="17"/>
      <c r="BP1172" s="17"/>
      <c r="BQ1172" s="17"/>
      <c r="BR1172" s="17"/>
      <c r="BS1172" s="17"/>
      <c r="BT1172" s="17"/>
      <c r="BU1172" s="17"/>
      <c r="BV1172" s="17"/>
      <c r="BW1172" s="17"/>
      <c r="BX1172" s="17"/>
      <c r="BY1172" s="17"/>
      <c r="BZ1172" s="17"/>
      <c r="CA1172" s="17"/>
      <c r="CB1172" s="17"/>
      <c r="CC1172" s="17"/>
      <c r="CD1172" s="17"/>
      <c r="CE1172" s="17"/>
      <c r="CF1172" s="17"/>
      <c r="CG1172" s="17"/>
      <c r="CH1172" s="17"/>
    </row>
    <row r="1173" spans="35:86" x14ac:dyDescent="0.15">
      <c r="AI1173" s="3"/>
      <c r="AJ1173" s="3"/>
      <c r="AK1173" s="15">
        <f t="shared" si="452"/>
        <v>5</v>
      </c>
      <c r="AL1173" s="11">
        <f t="shared" si="449"/>
        <v>6984</v>
      </c>
      <c r="AM1173" s="11" t="b">
        <f t="shared" si="451"/>
        <v>0</v>
      </c>
      <c r="AN1173" s="11">
        <f t="shared" si="453"/>
        <v>36000</v>
      </c>
      <c r="AO1173" s="11">
        <f t="shared" si="454"/>
        <v>0</v>
      </c>
      <c r="AP1173" s="11">
        <f t="shared" si="455"/>
        <v>0.26599568163806026</v>
      </c>
      <c r="AQ1173" s="11">
        <f t="shared" si="456"/>
        <v>0</v>
      </c>
      <c r="AT1173" s="3"/>
      <c r="AU1173" s="17"/>
      <c r="AV1173" s="19"/>
      <c r="AW1173" s="17"/>
      <c r="AX1173" s="17">
        <f t="shared" si="450"/>
        <v>1164</v>
      </c>
      <c r="AY1173" s="17">
        <f t="shared" si="457"/>
        <v>116.4</v>
      </c>
      <c r="AZ1173" s="17">
        <v>26.599568163806026</v>
      </c>
      <c r="BA1173" s="17"/>
      <c r="BB1173" s="17">
        <v>36</v>
      </c>
      <c r="BC1173" s="17"/>
      <c r="BD1173" s="17"/>
      <c r="BE1173" s="17"/>
      <c r="BF1173" s="17"/>
      <c r="BG1173" s="17"/>
      <c r="BH1173" s="17"/>
      <c r="BI1173" s="17"/>
      <c r="BJ1173" s="17"/>
      <c r="BK1173" s="17"/>
      <c r="BL1173" s="17"/>
      <c r="BM1173" s="17"/>
      <c r="BN1173" s="17"/>
      <c r="BO1173" s="17"/>
      <c r="BP1173" s="17"/>
      <c r="BQ1173" s="17"/>
      <c r="BR1173" s="17"/>
      <c r="BS1173" s="17"/>
      <c r="BT1173" s="17"/>
      <c r="BU1173" s="17"/>
      <c r="BV1173" s="17"/>
      <c r="BW1173" s="17"/>
      <c r="BX1173" s="17"/>
      <c r="BY1173" s="17"/>
      <c r="BZ1173" s="17"/>
      <c r="CA1173" s="17"/>
      <c r="CB1173" s="17"/>
      <c r="CC1173" s="17"/>
      <c r="CD1173" s="17"/>
      <c r="CE1173" s="17"/>
      <c r="CF1173" s="17"/>
      <c r="CG1173" s="17"/>
      <c r="CH1173" s="17"/>
    </row>
    <row r="1174" spans="35:86" x14ac:dyDescent="0.15">
      <c r="AI1174" s="3"/>
      <c r="AJ1174" s="3"/>
      <c r="AK1174" s="15">
        <f t="shared" si="452"/>
        <v>5</v>
      </c>
      <c r="AL1174" s="11">
        <f t="shared" si="449"/>
        <v>6990</v>
      </c>
      <c r="AM1174" s="11" t="b">
        <f t="shared" si="451"/>
        <v>0</v>
      </c>
      <c r="AN1174" s="11">
        <f t="shared" si="453"/>
        <v>36000</v>
      </c>
      <c r="AO1174" s="11">
        <f t="shared" si="454"/>
        <v>0</v>
      </c>
      <c r="AP1174" s="11">
        <f t="shared" si="455"/>
        <v>0.26709799645287502</v>
      </c>
      <c r="AQ1174" s="11">
        <f t="shared" si="456"/>
        <v>0</v>
      </c>
      <c r="AT1174" s="3"/>
      <c r="AU1174" s="17"/>
      <c r="AV1174" s="19"/>
      <c r="AW1174" s="17"/>
      <c r="AX1174" s="17">
        <f t="shared" si="450"/>
        <v>1165</v>
      </c>
      <c r="AY1174" s="17">
        <f t="shared" si="457"/>
        <v>116.5</v>
      </c>
      <c r="AZ1174" s="17">
        <v>26.709799645287504</v>
      </c>
      <c r="BA1174" s="17"/>
      <c r="BB1174" s="17">
        <v>36</v>
      </c>
      <c r="BC1174" s="17"/>
      <c r="BD1174" s="17"/>
      <c r="BE1174" s="17"/>
      <c r="BF1174" s="17"/>
      <c r="BG1174" s="17"/>
      <c r="BH1174" s="17"/>
      <c r="BI1174" s="17"/>
      <c r="BJ1174" s="17"/>
      <c r="BK1174" s="17"/>
      <c r="BL1174" s="17"/>
      <c r="BM1174" s="17"/>
      <c r="BN1174" s="17"/>
      <c r="BO1174" s="17"/>
      <c r="BP1174" s="17"/>
      <c r="BQ1174" s="17"/>
      <c r="BR1174" s="17"/>
      <c r="BS1174" s="17"/>
      <c r="BT1174" s="17"/>
      <c r="BU1174" s="17"/>
      <c r="BV1174" s="17"/>
      <c r="BW1174" s="17"/>
      <c r="BX1174" s="17"/>
      <c r="BY1174" s="17"/>
      <c r="BZ1174" s="17"/>
      <c r="CA1174" s="17"/>
      <c r="CB1174" s="17"/>
      <c r="CC1174" s="17"/>
      <c r="CD1174" s="17"/>
      <c r="CE1174" s="17"/>
      <c r="CF1174" s="17"/>
      <c r="CG1174" s="17"/>
      <c r="CH1174" s="17"/>
    </row>
    <row r="1175" spans="35:86" x14ac:dyDescent="0.15">
      <c r="AI1175" s="3"/>
      <c r="AJ1175" s="3"/>
      <c r="AK1175" s="15">
        <f t="shared" si="452"/>
        <v>5</v>
      </c>
      <c r="AL1175" s="11">
        <f t="shared" si="449"/>
        <v>6996</v>
      </c>
      <c r="AM1175" s="11" t="b">
        <f t="shared" si="451"/>
        <v>0</v>
      </c>
      <c r="AN1175" s="11">
        <f t="shared" si="453"/>
        <v>36000</v>
      </c>
      <c r="AO1175" s="11">
        <f t="shared" si="454"/>
        <v>0</v>
      </c>
      <c r="AP1175" s="11">
        <f t="shared" si="455"/>
        <v>0.26820031126768984</v>
      </c>
      <c r="AQ1175" s="11">
        <f t="shared" si="456"/>
        <v>0</v>
      </c>
      <c r="AT1175" s="3"/>
      <c r="AU1175" s="17"/>
      <c r="AV1175" s="19"/>
      <c r="AW1175" s="17"/>
      <c r="AX1175" s="17">
        <f t="shared" si="450"/>
        <v>1166</v>
      </c>
      <c r="AY1175" s="17">
        <f t="shared" si="457"/>
        <v>116.6</v>
      </c>
      <c r="AZ1175" s="17">
        <v>26.820031126768985</v>
      </c>
      <c r="BA1175" s="17"/>
      <c r="BB1175" s="17">
        <v>36</v>
      </c>
      <c r="BC1175" s="17"/>
      <c r="BD1175" s="17"/>
      <c r="BE1175" s="17"/>
      <c r="BF1175" s="17"/>
      <c r="BG1175" s="17"/>
      <c r="BH1175" s="17"/>
      <c r="BI1175" s="17"/>
      <c r="BJ1175" s="17"/>
      <c r="BK1175" s="17"/>
      <c r="BL1175" s="17"/>
      <c r="BM1175" s="17"/>
      <c r="BN1175" s="17"/>
      <c r="BO1175" s="17"/>
      <c r="BP1175" s="17"/>
      <c r="BQ1175" s="17"/>
      <c r="BR1175" s="17"/>
      <c r="BS1175" s="17"/>
      <c r="BT1175" s="17"/>
      <c r="BU1175" s="17"/>
      <c r="BV1175" s="17"/>
      <c r="BW1175" s="17"/>
      <c r="BX1175" s="17"/>
      <c r="BY1175" s="17"/>
      <c r="BZ1175" s="17"/>
      <c r="CA1175" s="17"/>
      <c r="CB1175" s="17"/>
      <c r="CC1175" s="17"/>
      <c r="CD1175" s="17"/>
      <c r="CE1175" s="17"/>
      <c r="CF1175" s="17"/>
      <c r="CG1175" s="17"/>
      <c r="CH1175" s="17"/>
    </row>
    <row r="1176" spans="35:86" x14ac:dyDescent="0.15">
      <c r="AI1176" s="3"/>
      <c r="AJ1176" s="3"/>
      <c r="AK1176" s="15">
        <f t="shared" si="452"/>
        <v>5</v>
      </c>
      <c r="AL1176" s="11">
        <f t="shared" si="449"/>
        <v>7002</v>
      </c>
      <c r="AM1176" s="11" t="b">
        <f t="shared" si="451"/>
        <v>0</v>
      </c>
      <c r="AN1176" s="11">
        <f t="shared" si="453"/>
        <v>36000</v>
      </c>
      <c r="AO1176" s="11">
        <f t="shared" si="454"/>
        <v>0</v>
      </c>
      <c r="AP1176" s="11">
        <f t="shared" si="455"/>
        <v>0.26930262608250466</v>
      </c>
      <c r="AQ1176" s="11">
        <f t="shared" si="456"/>
        <v>0</v>
      </c>
      <c r="AT1176" s="3"/>
      <c r="AU1176" s="17"/>
      <c r="AV1176" s="19"/>
      <c r="AW1176" s="17"/>
      <c r="AX1176" s="17">
        <f t="shared" si="450"/>
        <v>1167</v>
      </c>
      <c r="AY1176" s="17">
        <f t="shared" si="457"/>
        <v>116.7</v>
      </c>
      <c r="AZ1176" s="17">
        <v>26.930262608250466</v>
      </c>
      <c r="BA1176" s="17"/>
      <c r="BB1176" s="17">
        <v>36</v>
      </c>
      <c r="BC1176" s="17"/>
      <c r="BD1176" s="17"/>
      <c r="BE1176" s="17"/>
      <c r="BF1176" s="17"/>
      <c r="BG1176" s="17"/>
      <c r="BH1176" s="17"/>
      <c r="BI1176" s="17"/>
      <c r="BJ1176" s="17"/>
      <c r="BK1176" s="17"/>
      <c r="BL1176" s="17"/>
      <c r="BM1176" s="17"/>
      <c r="BN1176" s="17"/>
      <c r="BO1176" s="17"/>
      <c r="BP1176" s="17"/>
      <c r="BQ1176" s="17"/>
      <c r="BR1176" s="17"/>
      <c r="BS1176" s="17"/>
      <c r="BT1176" s="17"/>
      <c r="BU1176" s="17"/>
      <c r="BV1176" s="17"/>
      <c r="BW1176" s="17"/>
      <c r="BX1176" s="17"/>
      <c r="BY1176" s="17"/>
      <c r="BZ1176" s="17"/>
      <c r="CA1176" s="17"/>
      <c r="CB1176" s="17"/>
      <c r="CC1176" s="17"/>
      <c r="CD1176" s="17"/>
      <c r="CE1176" s="17"/>
      <c r="CF1176" s="17"/>
      <c r="CG1176" s="17"/>
      <c r="CH1176" s="17"/>
    </row>
    <row r="1177" spans="35:86" x14ac:dyDescent="0.15">
      <c r="AI1177" s="3"/>
      <c r="AJ1177" s="3"/>
      <c r="AK1177" s="15">
        <f t="shared" si="452"/>
        <v>5</v>
      </c>
      <c r="AL1177" s="11">
        <f t="shared" si="449"/>
        <v>7008</v>
      </c>
      <c r="AM1177" s="11" t="b">
        <f t="shared" si="451"/>
        <v>0</v>
      </c>
      <c r="AN1177" s="11">
        <f t="shared" si="453"/>
        <v>36000</v>
      </c>
      <c r="AO1177" s="11">
        <f t="shared" si="454"/>
        <v>0</v>
      </c>
      <c r="AP1177" s="11">
        <f t="shared" si="455"/>
        <v>0.27040494089731942</v>
      </c>
      <c r="AQ1177" s="11">
        <f t="shared" si="456"/>
        <v>0</v>
      </c>
      <c r="AT1177" s="3"/>
      <c r="AU1177" s="17"/>
      <c r="AV1177" s="19"/>
      <c r="AW1177" s="17"/>
      <c r="AX1177" s="17">
        <f t="shared" si="450"/>
        <v>1168</v>
      </c>
      <c r="AY1177" s="17">
        <f t="shared" si="457"/>
        <v>116.8</v>
      </c>
      <c r="AZ1177" s="17">
        <v>27.040494089731943</v>
      </c>
      <c r="BA1177" s="17"/>
      <c r="BB1177" s="17">
        <v>36</v>
      </c>
      <c r="BC1177" s="17"/>
      <c r="BD1177" s="17"/>
      <c r="BE1177" s="17"/>
      <c r="BF1177" s="17"/>
      <c r="BG1177" s="17"/>
      <c r="BH1177" s="17"/>
      <c r="BI1177" s="17"/>
      <c r="BJ1177" s="17"/>
      <c r="BK1177" s="17"/>
      <c r="BL1177" s="17"/>
      <c r="BM1177" s="17"/>
      <c r="BN1177" s="17"/>
      <c r="BO1177" s="17"/>
      <c r="BP1177" s="17"/>
      <c r="BQ1177" s="17"/>
      <c r="BR1177" s="17"/>
      <c r="BS1177" s="17"/>
      <c r="BT1177" s="17"/>
      <c r="BU1177" s="17"/>
      <c r="BV1177" s="17"/>
      <c r="BW1177" s="17"/>
      <c r="BX1177" s="17"/>
      <c r="BY1177" s="17"/>
      <c r="BZ1177" s="17"/>
      <c r="CA1177" s="17"/>
      <c r="CB1177" s="17"/>
      <c r="CC1177" s="17"/>
      <c r="CD1177" s="17"/>
      <c r="CE1177" s="17"/>
      <c r="CF1177" s="17"/>
      <c r="CG1177" s="17"/>
      <c r="CH1177" s="17"/>
    </row>
    <row r="1178" spans="35:86" x14ac:dyDescent="0.15">
      <c r="AI1178" s="3"/>
      <c r="AJ1178" s="3"/>
      <c r="AK1178" s="15">
        <f t="shared" si="452"/>
        <v>5</v>
      </c>
      <c r="AL1178" s="11">
        <f t="shared" si="449"/>
        <v>7014</v>
      </c>
      <c r="AM1178" s="11" t="b">
        <f t="shared" si="451"/>
        <v>0</v>
      </c>
      <c r="AN1178" s="11">
        <f t="shared" si="453"/>
        <v>36000</v>
      </c>
      <c r="AO1178" s="11">
        <f t="shared" si="454"/>
        <v>0</v>
      </c>
      <c r="AP1178" s="11">
        <f t="shared" si="455"/>
        <v>0.27150725571213424</v>
      </c>
      <c r="AQ1178" s="11">
        <f t="shared" si="456"/>
        <v>0</v>
      </c>
      <c r="AT1178" s="3"/>
      <c r="AU1178" s="17"/>
      <c r="AV1178" s="19"/>
      <c r="AW1178" s="17"/>
      <c r="AX1178" s="17">
        <f t="shared" si="450"/>
        <v>1169</v>
      </c>
      <c r="AY1178" s="17">
        <f t="shared" si="457"/>
        <v>116.9</v>
      </c>
      <c r="AZ1178" s="17">
        <v>27.150725571213425</v>
      </c>
      <c r="BA1178" s="17"/>
      <c r="BB1178" s="17">
        <v>36</v>
      </c>
      <c r="BC1178" s="17"/>
      <c r="BD1178" s="17"/>
      <c r="BE1178" s="17"/>
      <c r="BF1178" s="17"/>
      <c r="BG1178" s="17"/>
      <c r="BH1178" s="17"/>
      <c r="BI1178" s="17"/>
      <c r="BJ1178" s="17"/>
      <c r="BK1178" s="17"/>
      <c r="BL1178" s="17"/>
      <c r="BM1178" s="17"/>
      <c r="BN1178" s="17"/>
      <c r="BO1178" s="17"/>
      <c r="BP1178" s="17"/>
      <c r="BQ1178" s="17"/>
      <c r="BR1178" s="17"/>
      <c r="BS1178" s="17"/>
      <c r="BT1178" s="17"/>
      <c r="BU1178" s="17"/>
      <c r="BV1178" s="17"/>
      <c r="BW1178" s="17"/>
      <c r="BX1178" s="17"/>
      <c r="BY1178" s="17"/>
      <c r="BZ1178" s="17"/>
      <c r="CA1178" s="17"/>
      <c r="CB1178" s="17"/>
      <c r="CC1178" s="17"/>
      <c r="CD1178" s="17"/>
      <c r="CE1178" s="17"/>
      <c r="CF1178" s="17"/>
      <c r="CG1178" s="17"/>
      <c r="CH1178" s="17"/>
    </row>
    <row r="1179" spans="35:86" x14ac:dyDescent="0.15">
      <c r="AI1179" s="3"/>
      <c r="AJ1179" s="3"/>
      <c r="AK1179" s="15">
        <f t="shared" si="452"/>
        <v>5</v>
      </c>
      <c r="AL1179" s="11">
        <f t="shared" si="449"/>
        <v>7020</v>
      </c>
      <c r="AM1179" s="11" t="b">
        <f t="shared" si="451"/>
        <v>0</v>
      </c>
      <c r="AN1179" s="11">
        <f t="shared" si="453"/>
        <v>36000</v>
      </c>
      <c r="AO1179" s="11">
        <f t="shared" si="454"/>
        <v>0</v>
      </c>
      <c r="AP1179" s="11">
        <f t="shared" si="455"/>
        <v>0.27260957052694901</v>
      </c>
      <c r="AQ1179" s="11">
        <f t="shared" si="456"/>
        <v>0</v>
      </c>
      <c r="AT1179" s="3"/>
      <c r="AU1179" s="17"/>
      <c r="AV1179" s="19"/>
      <c r="AW1179" s="17"/>
      <c r="AX1179" s="17">
        <f t="shared" si="450"/>
        <v>1170</v>
      </c>
      <c r="AY1179" s="17">
        <f t="shared" si="457"/>
        <v>117</v>
      </c>
      <c r="AZ1179" s="17">
        <v>27.260957052694902</v>
      </c>
      <c r="BA1179" s="17"/>
      <c r="BB1179" s="17">
        <v>36</v>
      </c>
      <c r="BC1179" s="17"/>
      <c r="BD1179" s="17"/>
      <c r="BE1179" s="17"/>
      <c r="BF1179" s="17"/>
      <c r="BG1179" s="17"/>
      <c r="BH1179" s="17"/>
      <c r="BI1179" s="17"/>
      <c r="BJ1179" s="17"/>
      <c r="BK1179" s="17"/>
      <c r="BL1179" s="17"/>
      <c r="BM1179" s="17"/>
      <c r="BN1179" s="17"/>
      <c r="BO1179" s="17"/>
      <c r="BP1179" s="17"/>
      <c r="BQ1179" s="17"/>
      <c r="BR1179" s="17"/>
      <c r="BS1179" s="17"/>
      <c r="BT1179" s="17"/>
      <c r="BU1179" s="17"/>
      <c r="BV1179" s="17"/>
      <c r="BW1179" s="17"/>
      <c r="BX1179" s="17"/>
      <c r="BY1179" s="17"/>
      <c r="BZ1179" s="17"/>
      <c r="CA1179" s="17"/>
      <c r="CB1179" s="17"/>
      <c r="CC1179" s="17"/>
      <c r="CD1179" s="17"/>
      <c r="CE1179" s="17"/>
      <c r="CF1179" s="17"/>
      <c r="CG1179" s="17"/>
      <c r="CH1179" s="17"/>
    </row>
    <row r="1180" spans="35:86" x14ac:dyDescent="0.15">
      <c r="AI1180" s="3"/>
      <c r="AJ1180" s="3"/>
      <c r="AK1180" s="15">
        <f t="shared" si="452"/>
        <v>5</v>
      </c>
      <c r="AL1180" s="11">
        <f t="shared" si="449"/>
        <v>7026</v>
      </c>
      <c r="AM1180" s="11" t="b">
        <f t="shared" si="451"/>
        <v>0</v>
      </c>
      <c r="AN1180" s="11">
        <f t="shared" si="453"/>
        <v>36000</v>
      </c>
      <c r="AO1180" s="11">
        <f t="shared" si="454"/>
        <v>0</v>
      </c>
      <c r="AP1180" s="11">
        <f t="shared" si="455"/>
        <v>0.27371188534176383</v>
      </c>
      <c r="AQ1180" s="11">
        <f t="shared" si="456"/>
        <v>0</v>
      </c>
      <c r="AT1180" s="3"/>
      <c r="AU1180" s="17"/>
      <c r="AV1180" s="19"/>
      <c r="AW1180" s="17"/>
      <c r="AX1180" s="17">
        <f t="shared" si="450"/>
        <v>1171</v>
      </c>
      <c r="AY1180" s="17">
        <f t="shared" si="457"/>
        <v>117.1</v>
      </c>
      <c r="AZ1180" s="17">
        <v>27.371188534176383</v>
      </c>
      <c r="BA1180" s="17"/>
      <c r="BB1180" s="17">
        <v>36</v>
      </c>
      <c r="BC1180" s="17"/>
      <c r="BD1180" s="17"/>
      <c r="BE1180" s="17"/>
      <c r="BF1180" s="17"/>
      <c r="BG1180" s="17"/>
      <c r="BH1180" s="17"/>
      <c r="BI1180" s="17"/>
      <c r="BJ1180" s="17"/>
      <c r="BK1180" s="17"/>
      <c r="BL1180" s="17"/>
      <c r="BM1180" s="17"/>
      <c r="BN1180" s="17"/>
      <c r="BO1180" s="17"/>
      <c r="BP1180" s="17"/>
      <c r="BQ1180" s="17"/>
      <c r="BR1180" s="17"/>
      <c r="BS1180" s="17"/>
      <c r="BT1180" s="17"/>
      <c r="BU1180" s="17"/>
      <c r="BV1180" s="17"/>
      <c r="BW1180" s="17"/>
      <c r="BX1180" s="17"/>
      <c r="BY1180" s="17"/>
      <c r="BZ1180" s="17"/>
      <c r="CA1180" s="17"/>
      <c r="CB1180" s="17"/>
      <c r="CC1180" s="17"/>
      <c r="CD1180" s="17"/>
      <c r="CE1180" s="17"/>
      <c r="CF1180" s="17"/>
      <c r="CG1180" s="17"/>
      <c r="CH1180" s="17"/>
    </row>
    <row r="1181" spans="35:86" x14ac:dyDescent="0.15">
      <c r="AI1181" s="3"/>
      <c r="AJ1181" s="3"/>
      <c r="AK1181" s="15">
        <f t="shared" si="452"/>
        <v>5</v>
      </c>
      <c r="AL1181" s="11">
        <f t="shared" si="449"/>
        <v>7032</v>
      </c>
      <c r="AM1181" s="11" t="b">
        <f t="shared" si="451"/>
        <v>0</v>
      </c>
      <c r="AN1181" s="11">
        <f t="shared" si="453"/>
        <v>36000</v>
      </c>
      <c r="AO1181" s="11">
        <f t="shared" si="454"/>
        <v>0</v>
      </c>
      <c r="AP1181" s="11">
        <f t="shared" si="455"/>
        <v>0.27481420015657859</v>
      </c>
      <c r="AQ1181" s="11">
        <f t="shared" si="456"/>
        <v>0</v>
      </c>
      <c r="AT1181" s="3"/>
      <c r="AU1181" s="17"/>
      <c r="AV1181" s="19"/>
      <c r="AW1181" s="17"/>
      <c r="AX1181" s="17">
        <f t="shared" si="450"/>
        <v>1172</v>
      </c>
      <c r="AY1181" s="17">
        <f t="shared" si="457"/>
        <v>117.2</v>
      </c>
      <c r="AZ1181" s="17">
        <v>27.481420015657861</v>
      </c>
      <c r="BA1181" s="17"/>
      <c r="BB1181" s="17">
        <v>36</v>
      </c>
      <c r="BC1181" s="17"/>
      <c r="BD1181" s="17"/>
      <c r="BE1181" s="17"/>
      <c r="BF1181" s="17"/>
      <c r="BG1181" s="17"/>
      <c r="BH1181" s="17"/>
      <c r="BI1181" s="17"/>
      <c r="BJ1181" s="17"/>
      <c r="BK1181" s="17"/>
      <c r="BL1181" s="17"/>
      <c r="BM1181" s="17"/>
      <c r="BN1181" s="17"/>
      <c r="BO1181" s="17"/>
      <c r="BP1181" s="17"/>
      <c r="BQ1181" s="17"/>
      <c r="BR1181" s="17"/>
      <c r="BS1181" s="17"/>
      <c r="BT1181" s="17"/>
      <c r="BU1181" s="17"/>
      <c r="BV1181" s="17"/>
      <c r="BW1181" s="17"/>
      <c r="BX1181" s="17"/>
      <c r="BY1181" s="17"/>
      <c r="BZ1181" s="17"/>
      <c r="CA1181" s="17"/>
      <c r="CB1181" s="17"/>
      <c r="CC1181" s="17"/>
      <c r="CD1181" s="17"/>
      <c r="CE1181" s="17"/>
      <c r="CF1181" s="17"/>
      <c r="CG1181" s="17"/>
      <c r="CH1181" s="17"/>
    </row>
    <row r="1182" spans="35:86" x14ac:dyDescent="0.15">
      <c r="AI1182" s="3"/>
      <c r="AJ1182" s="3"/>
      <c r="AK1182" s="15">
        <f t="shared" si="452"/>
        <v>5</v>
      </c>
      <c r="AL1182" s="11">
        <f t="shared" si="449"/>
        <v>7038</v>
      </c>
      <c r="AM1182" s="11" t="b">
        <f t="shared" si="451"/>
        <v>0</v>
      </c>
      <c r="AN1182" s="11">
        <f t="shared" si="453"/>
        <v>36000</v>
      </c>
      <c r="AO1182" s="11">
        <f t="shared" si="454"/>
        <v>0</v>
      </c>
      <c r="AP1182" s="11">
        <f t="shared" si="455"/>
        <v>0.27591651497139341</v>
      </c>
      <c r="AQ1182" s="11">
        <f t="shared" si="456"/>
        <v>0</v>
      </c>
      <c r="AT1182" s="3"/>
      <c r="AU1182" s="17"/>
      <c r="AV1182" s="19"/>
      <c r="AW1182" s="17"/>
      <c r="AX1182" s="17">
        <f t="shared" si="450"/>
        <v>1173</v>
      </c>
      <c r="AY1182" s="17">
        <f t="shared" si="457"/>
        <v>117.3</v>
      </c>
      <c r="AZ1182" s="17">
        <v>27.591651497139342</v>
      </c>
      <c r="BA1182" s="17"/>
      <c r="BB1182" s="17">
        <v>36</v>
      </c>
      <c r="BC1182" s="17"/>
      <c r="BD1182" s="17"/>
      <c r="BE1182" s="17"/>
      <c r="BF1182" s="17"/>
      <c r="BG1182" s="17"/>
      <c r="BH1182" s="17"/>
      <c r="BI1182" s="17"/>
      <c r="BJ1182" s="17"/>
      <c r="BK1182" s="17"/>
      <c r="BL1182" s="17"/>
      <c r="BM1182" s="17"/>
      <c r="BN1182" s="17"/>
      <c r="BO1182" s="17"/>
      <c r="BP1182" s="17"/>
      <c r="BQ1182" s="17"/>
      <c r="BR1182" s="17"/>
      <c r="BS1182" s="17"/>
      <c r="BT1182" s="17"/>
      <c r="BU1182" s="17"/>
      <c r="BV1182" s="17"/>
      <c r="BW1182" s="17"/>
      <c r="BX1182" s="17"/>
      <c r="BY1182" s="17"/>
      <c r="BZ1182" s="17"/>
      <c r="CA1182" s="17"/>
      <c r="CB1182" s="17"/>
      <c r="CC1182" s="17"/>
      <c r="CD1182" s="17"/>
      <c r="CE1182" s="17"/>
      <c r="CF1182" s="17"/>
      <c r="CG1182" s="17"/>
      <c r="CH1182" s="17"/>
    </row>
    <row r="1183" spans="35:86" x14ac:dyDescent="0.15">
      <c r="AI1183" s="3"/>
      <c r="AJ1183" s="3"/>
      <c r="AK1183" s="15">
        <f t="shared" si="452"/>
        <v>5</v>
      </c>
      <c r="AL1183" s="11">
        <f t="shared" si="449"/>
        <v>7044</v>
      </c>
      <c r="AM1183" s="11" t="b">
        <f t="shared" si="451"/>
        <v>0</v>
      </c>
      <c r="AN1183" s="11">
        <f t="shared" si="453"/>
        <v>36000</v>
      </c>
      <c r="AO1183" s="11">
        <f t="shared" si="454"/>
        <v>0</v>
      </c>
      <c r="AP1183" s="11">
        <f t="shared" si="455"/>
        <v>0.27701882978620818</v>
      </c>
      <c r="AQ1183" s="11">
        <f t="shared" si="456"/>
        <v>0</v>
      </c>
      <c r="AT1183" s="3"/>
      <c r="AU1183" s="17"/>
      <c r="AV1183" s="19"/>
      <c r="AW1183" s="17"/>
      <c r="AX1183" s="17">
        <f t="shared" si="450"/>
        <v>1174</v>
      </c>
      <c r="AY1183" s="17">
        <f t="shared" si="457"/>
        <v>117.4</v>
      </c>
      <c r="AZ1183" s="17">
        <v>27.701882978620816</v>
      </c>
      <c r="BA1183" s="17"/>
      <c r="BB1183" s="17">
        <v>36</v>
      </c>
      <c r="BC1183" s="17"/>
      <c r="BD1183" s="17"/>
      <c r="BE1183" s="17"/>
      <c r="BF1183" s="17"/>
      <c r="BG1183" s="17"/>
      <c r="BH1183" s="17"/>
      <c r="BI1183" s="17"/>
      <c r="BJ1183" s="17"/>
      <c r="BK1183" s="17"/>
      <c r="BL1183" s="17"/>
      <c r="BM1183" s="17"/>
      <c r="BN1183" s="17"/>
      <c r="BO1183" s="17"/>
      <c r="BP1183" s="17"/>
      <c r="BQ1183" s="17"/>
      <c r="BR1183" s="17"/>
      <c r="BS1183" s="17"/>
      <c r="BT1183" s="17"/>
      <c r="BU1183" s="17"/>
      <c r="BV1183" s="17"/>
      <c r="BW1183" s="17"/>
      <c r="BX1183" s="17"/>
      <c r="BY1183" s="17"/>
      <c r="BZ1183" s="17"/>
      <c r="CA1183" s="17"/>
      <c r="CB1183" s="17"/>
      <c r="CC1183" s="17"/>
      <c r="CD1183" s="17"/>
      <c r="CE1183" s="17"/>
      <c r="CF1183" s="17"/>
      <c r="CG1183" s="17"/>
      <c r="CH1183" s="17"/>
    </row>
    <row r="1184" spans="35:86" x14ac:dyDescent="0.15">
      <c r="AI1184" s="3"/>
      <c r="AJ1184" s="3"/>
      <c r="AK1184" s="15">
        <f t="shared" si="452"/>
        <v>5</v>
      </c>
      <c r="AL1184" s="11">
        <f t="shared" si="449"/>
        <v>7050</v>
      </c>
      <c r="AM1184" s="11" t="b">
        <f t="shared" si="451"/>
        <v>0</v>
      </c>
      <c r="AN1184" s="11">
        <f t="shared" si="453"/>
        <v>36000</v>
      </c>
      <c r="AO1184" s="11">
        <f t="shared" si="454"/>
        <v>0</v>
      </c>
      <c r="AP1184" s="11">
        <f t="shared" si="455"/>
        <v>0.278121144601023</v>
      </c>
      <c r="AQ1184" s="11">
        <f t="shared" si="456"/>
        <v>0</v>
      </c>
      <c r="AT1184" s="3"/>
      <c r="AU1184" s="17"/>
      <c r="AV1184" s="19"/>
      <c r="AW1184" s="17"/>
      <c r="AX1184" s="17">
        <f t="shared" si="450"/>
        <v>1175</v>
      </c>
      <c r="AY1184" s="17">
        <f t="shared" si="457"/>
        <v>117.5</v>
      </c>
      <c r="AZ1184" s="17">
        <v>27.8121144601023</v>
      </c>
      <c r="BA1184" s="17"/>
      <c r="BB1184" s="17">
        <v>36</v>
      </c>
      <c r="BC1184" s="17"/>
      <c r="BD1184" s="17"/>
      <c r="BE1184" s="17"/>
      <c r="BF1184" s="17"/>
      <c r="BG1184" s="17"/>
      <c r="BH1184" s="17"/>
      <c r="BI1184" s="17"/>
      <c r="BJ1184" s="17"/>
      <c r="BK1184" s="17"/>
      <c r="BL1184" s="17"/>
      <c r="BM1184" s="17"/>
      <c r="BN1184" s="17"/>
      <c r="BO1184" s="17"/>
      <c r="BP1184" s="17"/>
      <c r="BQ1184" s="17"/>
      <c r="BR1184" s="17"/>
      <c r="BS1184" s="17"/>
      <c r="BT1184" s="17"/>
      <c r="BU1184" s="17"/>
      <c r="BV1184" s="17"/>
      <c r="BW1184" s="17"/>
      <c r="BX1184" s="17"/>
      <c r="BY1184" s="17"/>
      <c r="BZ1184" s="17"/>
      <c r="CA1184" s="17"/>
      <c r="CB1184" s="17"/>
      <c r="CC1184" s="17"/>
      <c r="CD1184" s="17"/>
      <c r="CE1184" s="17"/>
      <c r="CF1184" s="17"/>
      <c r="CG1184" s="17"/>
      <c r="CH1184" s="17"/>
    </row>
    <row r="1185" spans="35:86" x14ac:dyDescent="0.15">
      <c r="AI1185" s="3"/>
      <c r="AJ1185" s="3"/>
      <c r="AK1185" s="15">
        <f t="shared" si="452"/>
        <v>5</v>
      </c>
      <c r="AL1185" s="11">
        <f t="shared" si="449"/>
        <v>7056</v>
      </c>
      <c r="AM1185" s="11" t="b">
        <f t="shared" si="451"/>
        <v>0</v>
      </c>
      <c r="AN1185" s="11">
        <f t="shared" si="453"/>
        <v>36000</v>
      </c>
      <c r="AO1185" s="11">
        <f t="shared" si="454"/>
        <v>0</v>
      </c>
      <c r="AP1185" s="11">
        <f t="shared" si="455"/>
        <v>0.27922345941583776</v>
      </c>
      <c r="AQ1185" s="11">
        <f t="shared" si="456"/>
        <v>0</v>
      </c>
      <c r="AT1185" s="3"/>
      <c r="AU1185" s="17"/>
      <c r="AV1185" s="19"/>
      <c r="AW1185" s="17"/>
      <c r="AX1185" s="17">
        <f t="shared" si="450"/>
        <v>1176</v>
      </c>
      <c r="AY1185" s="17">
        <f t="shared" si="457"/>
        <v>117.6</v>
      </c>
      <c r="AZ1185" s="17">
        <v>27.922345941583774</v>
      </c>
      <c r="BA1185" s="17"/>
      <c r="BB1185" s="17">
        <v>36</v>
      </c>
      <c r="BC1185" s="17"/>
      <c r="BD1185" s="17"/>
      <c r="BE1185" s="17"/>
      <c r="BF1185" s="17"/>
      <c r="BG1185" s="17"/>
      <c r="BH1185" s="17"/>
      <c r="BI1185" s="17"/>
      <c r="BJ1185" s="17"/>
      <c r="BK1185" s="17"/>
      <c r="BL1185" s="17"/>
      <c r="BM1185" s="17"/>
      <c r="BN1185" s="17"/>
      <c r="BO1185" s="17"/>
      <c r="BP1185" s="17"/>
      <c r="BQ1185" s="17"/>
      <c r="BR1185" s="17"/>
      <c r="BS1185" s="17"/>
      <c r="BT1185" s="17"/>
      <c r="BU1185" s="17"/>
      <c r="BV1185" s="17"/>
      <c r="BW1185" s="17"/>
      <c r="BX1185" s="17"/>
      <c r="BY1185" s="17"/>
      <c r="BZ1185" s="17"/>
      <c r="CA1185" s="17"/>
      <c r="CB1185" s="17"/>
      <c r="CC1185" s="17"/>
      <c r="CD1185" s="17"/>
      <c r="CE1185" s="17"/>
      <c r="CF1185" s="17"/>
      <c r="CG1185" s="17"/>
      <c r="CH1185" s="17"/>
    </row>
    <row r="1186" spans="35:86" x14ac:dyDescent="0.15">
      <c r="AI1186" s="3"/>
      <c r="AJ1186" s="3"/>
      <c r="AK1186" s="15">
        <f t="shared" si="452"/>
        <v>5</v>
      </c>
      <c r="AL1186" s="11">
        <f t="shared" si="449"/>
        <v>7062</v>
      </c>
      <c r="AM1186" s="11" t="b">
        <f t="shared" si="451"/>
        <v>0</v>
      </c>
      <c r="AN1186" s="11">
        <f t="shared" si="453"/>
        <v>36000</v>
      </c>
      <c r="AO1186" s="11">
        <f t="shared" si="454"/>
        <v>0</v>
      </c>
      <c r="AP1186" s="11">
        <f t="shared" si="455"/>
        <v>0.28032577423065258</v>
      </c>
      <c r="AQ1186" s="11">
        <f t="shared" si="456"/>
        <v>0</v>
      </c>
      <c r="AT1186" s="3"/>
      <c r="AU1186" s="17"/>
      <c r="AV1186" s="19"/>
      <c r="AW1186" s="17"/>
      <c r="AX1186" s="17">
        <f t="shared" si="450"/>
        <v>1177</v>
      </c>
      <c r="AY1186" s="17">
        <f t="shared" si="457"/>
        <v>117.7</v>
      </c>
      <c r="AZ1186" s="17">
        <v>28.032577423065259</v>
      </c>
      <c r="BA1186" s="17"/>
      <c r="BB1186" s="17">
        <v>36</v>
      </c>
      <c r="BC1186" s="17"/>
      <c r="BD1186" s="17"/>
      <c r="BE1186" s="17"/>
      <c r="BF1186" s="17"/>
      <c r="BG1186" s="17"/>
      <c r="BH1186" s="17"/>
      <c r="BI1186" s="17"/>
      <c r="BJ1186" s="17"/>
      <c r="BK1186" s="17"/>
      <c r="BL1186" s="17"/>
      <c r="BM1186" s="17"/>
      <c r="BN1186" s="17"/>
      <c r="BO1186" s="17"/>
      <c r="BP1186" s="17"/>
      <c r="BQ1186" s="17"/>
      <c r="BR1186" s="17"/>
      <c r="BS1186" s="17"/>
      <c r="BT1186" s="17"/>
      <c r="BU1186" s="17"/>
      <c r="BV1186" s="17"/>
      <c r="BW1186" s="17"/>
      <c r="BX1186" s="17"/>
      <c r="BY1186" s="17"/>
      <c r="BZ1186" s="17"/>
      <c r="CA1186" s="17"/>
      <c r="CB1186" s="17"/>
      <c r="CC1186" s="17"/>
      <c r="CD1186" s="17"/>
      <c r="CE1186" s="17"/>
      <c r="CF1186" s="17"/>
      <c r="CG1186" s="17"/>
      <c r="CH1186" s="17"/>
    </row>
    <row r="1187" spans="35:86" x14ac:dyDescent="0.15">
      <c r="AI1187" s="3"/>
      <c r="AJ1187" s="3"/>
      <c r="AK1187" s="15">
        <f t="shared" si="452"/>
        <v>5</v>
      </c>
      <c r="AL1187" s="11">
        <f t="shared" si="449"/>
        <v>7068</v>
      </c>
      <c r="AM1187" s="11" t="b">
        <f t="shared" si="451"/>
        <v>0</v>
      </c>
      <c r="AN1187" s="11">
        <f t="shared" si="453"/>
        <v>36000</v>
      </c>
      <c r="AO1187" s="11">
        <f t="shared" si="454"/>
        <v>0</v>
      </c>
      <c r="AP1187" s="11">
        <f t="shared" si="455"/>
        <v>0.28142808904546734</v>
      </c>
      <c r="AQ1187" s="11">
        <f t="shared" si="456"/>
        <v>0</v>
      </c>
      <c r="AT1187" s="3"/>
      <c r="AU1187" s="17"/>
      <c r="AV1187" s="19"/>
      <c r="AW1187" s="17"/>
      <c r="AX1187" s="17">
        <f t="shared" si="450"/>
        <v>1178</v>
      </c>
      <c r="AY1187" s="17">
        <f t="shared" si="457"/>
        <v>117.8</v>
      </c>
      <c r="AZ1187" s="17">
        <v>28.142808904546733</v>
      </c>
      <c r="BA1187" s="17"/>
      <c r="BB1187" s="17">
        <v>36</v>
      </c>
      <c r="BC1187" s="17"/>
      <c r="BD1187" s="17"/>
      <c r="BE1187" s="17"/>
      <c r="BF1187" s="17"/>
      <c r="BG1187" s="17"/>
      <c r="BH1187" s="17"/>
      <c r="BI1187" s="17"/>
      <c r="BJ1187" s="17"/>
      <c r="BK1187" s="17"/>
      <c r="BL1187" s="17"/>
      <c r="BM1187" s="17"/>
      <c r="BN1187" s="17"/>
      <c r="BO1187" s="17"/>
      <c r="BP1187" s="17"/>
      <c r="BQ1187" s="17"/>
      <c r="BR1187" s="17"/>
      <c r="BS1187" s="17"/>
      <c r="BT1187" s="17"/>
      <c r="BU1187" s="17"/>
      <c r="BV1187" s="17"/>
      <c r="BW1187" s="17"/>
      <c r="BX1187" s="17"/>
      <c r="BY1187" s="17"/>
      <c r="BZ1187" s="17"/>
      <c r="CA1187" s="17"/>
      <c r="CB1187" s="17"/>
      <c r="CC1187" s="17"/>
      <c r="CD1187" s="17"/>
      <c r="CE1187" s="17"/>
      <c r="CF1187" s="17"/>
      <c r="CG1187" s="17"/>
      <c r="CH1187" s="17"/>
    </row>
    <row r="1188" spans="35:86" x14ac:dyDescent="0.15">
      <c r="AI1188" s="3"/>
      <c r="AJ1188" s="3"/>
      <c r="AK1188" s="15">
        <f t="shared" si="452"/>
        <v>5</v>
      </c>
      <c r="AL1188" s="11">
        <f t="shared" si="449"/>
        <v>7074</v>
      </c>
      <c r="AM1188" s="11" t="b">
        <f t="shared" si="451"/>
        <v>0</v>
      </c>
      <c r="AN1188" s="11">
        <f t="shared" si="453"/>
        <v>36000</v>
      </c>
      <c r="AO1188" s="11">
        <f t="shared" si="454"/>
        <v>0</v>
      </c>
      <c r="AP1188" s="11">
        <f t="shared" si="455"/>
        <v>0.28253040386028216</v>
      </c>
      <c r="AQ1188" s="11">
        <f t="shared" si="456"/>
        <v>0</v>
      </c>
      <c r="AT1188" s="3"/>
      <c r="AU1188" s="17"/>
      <c r="AV1188" s="19"/>
      <c r="AW1188" s="17"/>
      <c r="AX1188" s="17">
        <f t="shared" si="450"/>
        <v>1179</v>
      </c>
      <c r="AY1188" s="17">
        <f t="shared" si="457"/>
        <v>117.9</v>
      </c>
      <c r="AZ1188" s="17">
        <v>28.253040386028218</v>
      </c>
      <c r="BA1188" s="17"/>
      <c r="BB1188" s="17">
        <v>36</v>
      </c>
      <c r="BC1188" s="17"/>
      <c r="BD1188" s="17"/>
      <c r="BE1188" s="17"/>
      <c r="BF1188" s="17"/>
      <c r="BG1188" s="17"/>
      <c r="BH1188" s="17"/>
      <c r="BI1188" s="17"/>
      <c r="BJ1188" s="17"/>
      <c r="BK1188" s="17"/>
      <c r="BL1188" s="17"/>
      <c r="BM1188" s="17"/>
      <c r="BN1188" s="17"/>
      <c r="BO1188" s="17"/>
      <c r="BP1188" s="17"/>
      <c r="BQ1188" s="17"/>
      <c r="BR1188" s="17"/>
      <c r="BS1188" s="17"/>
      <c r="BT1188" s="17"/>
      <c r="BU1188" s="17"/>
      <c r="BV1188" s="17"/>
      <c r="BW1188" s="17"/>
      <c r="BX1188" s="17"/>
      <c r="BY1188" s="17"/>
      <c r="BZ1188" s="17"/>
      <c r="CA1188" s="17"/>
      <c r="CB1188" s="17"/>
      <c r="CC1188" s="17"/>
      <c r="CD1188" s="17"/>
      <c r="CE1188" s="17"/>
      <c r="CF1188" s="17"/>
      <c r="CG1188" s="17"/>
      <c r="CH1188" s="17"/>
    </row>
    <row r="1189" spans="35:86" x14ac:dyDescent="0.15">
      <c r="AI1189" s="3"/>
      <c r="AJ1189" s="3"/>
      <c r="AK1189" s="15">
        <f t="shared" si="452"/>
        <v>5</v>
      </c>
      <c r="AL1189" s="11">
        <f t="shared" si="449"/>
        <v>7080</v>
      </c>
      <c r="AM1189" s="11" t="b">
        <f t="shared" si="451"/>
        <v>0</v>
      </c>
      <c r="AN1189" s="11">
        <f t="shared" si="453"/>
        <v>36000</v>
      </c>
      <c r="AO1189" s="11">
        <f t="shared" si="454"/>
        <v>0</v>
      </c>
      <c r="AP1189" s="11">
        <f t="shared" si="455"/>
        <v>0.28363271867509693</v>
      </c>
      <c r="AQ1189" s="11">
        <f t="shared" si="456"/>
        <v>0</v>
      </c>
      <c r="AT1189" s="3"/>
      <c r="AU1189" s="17"/>
      <c r="AV1189" s="19"/>
      <c r="AW1189" s="17"/>
      <c r="AX1189" s="17">
        <f t="shared" si="450"/>
        <v>1180</v>
      </c>
      <c r="AY1189" s="17">
        <f t="shared" si="457"/>
        <v>118</v>
      </c>
      <c r="AZ1189" s="17">
        <v>28.363271867509692</v>
      </c>
      <c r="BA1189" s="17"/>
      <c r="BB1189" s="17">
        <v>36</v>
      </c>
      <c r="BC1189" s="17"/>
      <c r="BD1189" s="17"/>
      <c r="BE1189" s="17"/>
      <c r="BF1189" s="17"/>
      <c r="BG1189" s="17"/>
      <c r="BH1189" s="17"/>
      <c r="BI1189" s="17"/>
      <c r="BJ1189" s="17"/>
      <c r="BK1189" s="17"/>
      <c r="BL1189" s="17"/>
      <c r="BM1189" s="17"/>
      <c r="BN1189" s="17"/>
      <c r="BO1189" s="17"/>
      <c r="BP1189" s="17"/>
      <c r="BQ1189" s="17"/>
      <c r="BR1189" s="17"/>
      <c r="BS1189" s="17"/>
      <c r="BT1189" s="17"/>
      <c r="BU1189" s="17"/>
      <c r="BV1189" s="17"/>
      <c r="BW1189" s="17"/>
      <c r="BX1189" s="17"/>
      <c r="BY1189" s="17"/>
      <c r="BZ1189" s="17"/>
      <c r="CA1189" s="17"/>
      <c r="CB1189" s="17"/>
      <c r="CC1189" s="17"/>
      <c r="CD1189" s="17"/>
      <c r="CE1189" s="17"/>
      <c r="CF1189" s="17"/>
      <c r="CG1189" s="17"/>
      <c r="CH1189" s="17"/>
    </row>
    <row r="1190" spans="35:86" x14ac:dyDescent="0.15">
      <c r="AI1190" s="3"/>
      <c r="AJ1190" s="3"/>
      <c r="AK1190" s="15">
        <f t="shared" si="452"/>
        <v>5</v>
      </c>
      <c r="AL1190" s="11">
        <f t="shared" si="449"/>
        <v>7086</v>
      </c>
      <c r="AM1190" s="11" t="b">
        <f t="shared" si="451"/>
        <v>0</v>
      </c>
      <c r="AN1190" s="11">
        <f t="shared" si="453"/>
        <v>36000</v>
      </c>
      <c r="AO1190" s="11">
        <f t="shared" si="454"/>
        <v>0</v>
      </c>
      <c r="AP1190" s="11">
        <f t="shared" si="455"/>
        <v>0.28473503348991175</v>
      </c>
      <c r="AQ1190" s="11">
        <f t="shared" si="456"/>
        <v>0</v>
      </c>
      <c r="AT1190" s="3"/>
      <c r="AU1190" s="17"/>
      <c r="AV1190" s="19"/>
      <c r="AW1190" s="17"/>
      <c r="AX1190" s="17">
        <f t="shared" si="450"/>
        <v>1181</v>
      </c>
      <c r="AY1190" s="17">
        <f t="shared" si="457"/>
        <v>118.1</v>
      </c>
      <c r="AZ1190" s="17">
        <v>28.473503348991176</v>
      </c>
      <c r="BA1190" s="17"/>
      <c r="BB1190" s="17">
        <v>36</v>
      </c>
      <c r="BC1190" s="17"/>
      <c r="BD1190" s="17"/>
      <c r="BE1190" s="17"/>
      <c r="BF1190" s="17"/>
      <c r="BG1190" s="17"/>
      <c r="BH1190" s="17"/>
      <c r="BI1190" s="17"/>
      <c r="BJ1190" s="17"/>
      <c r="BK1190" s="17"/>
      <c r="BL1190" s="17"/>
      <c r="BM1190" s="17"/>
      <c r="BN1190" s="17"/>
      <c r="BO1190" s="17"/>
      <c r="BP1190" s="17"/>
      <c r="BQ1190" s="17"/>
      <c r="BR1190" s="17"/>
      <c r="BS1190" s="17"/>
      <c r="BT1190" s="17"/>
      <c r="BU1190" s="17"/>
      <c r="BV1190" s="17"/>
      <c r="BW1190" s="17"/>
      <c r="BX1190" s="17"/>
      <c r="BY1190" s="17"/>
      <c r="BZ1190" s="17"/>
      <c r="CA1190" s="17"/>
      <c r="CB1190" s="17"/>
      <c r="CC1190" s="17"/>
      <c r="CD1190" s="17"/>
      <c r="CE1190" s="17"/>
      <c r="CF1190" s="17"/>
      <c r="CG1190" s="17"/>
      <c r="CH1190" s="17"/>
    </row>
    <row r="1191" spans="35:86" x14ac:dyDescent="0.15">
      <c r="AI1191" s="3"/>
      <c r="AJ1191" s="3"/>
      <c r="AK1191" s="15">
        <f t="shared" si="452"/>
        <v>5</v>
      </c>
      <c r="AL1191" s="11">
        <f t="shared" si="449"/>
        <v>7092</v>
      </c>
      <c r="AM1191" s="11" t="b">
        <f t="shared" si="451"/>
        <v>0</v>
      </c>
      <c r="AN1191" s="11">
        <f t="shared" si="453"/>
        <v>36000</v>
      </c>
      <c r="AO1191" s="11">
        <f t="shared" si="454"/>
        <v>0</v>
      </c>
      <c r="AP1191" s="11">
        <f t="shared" si="455"/>
        <v>0.28583734830472651</v>
      </c>
      <c r="AQ1191" s="11">
        <f t="shared" si="456"/>
        <v>0</v>
      </c>
      <c r="AT1191" s="3"/>
      <c r="AU1191" s="17"/>
      <c r="AV1191" s="19"/>
      <c r="AW1191" s="17"/>
      <c r="AX1191" s="17">
        <f t="shared" si="450"/>
        <v>1182</v>
      </c>
      <c r="AY1191" s="17">
        <f t="shared" si="457"/>
        <v>118.2</v>
      </c>
      <c r="AZ1191" s="17">
        <v>28.58373483047265</v>
      </c>
      <c r="BA1191" s="17"/>
      <c r="BB1191" s="17">
        <v>36</v>
      </c>
      <c r="BC1191" s="17"/>
      <c r="BD1191" s="17"/>
      <c r="BE1191" s="17"/>
      <c r="BF1191" s="17"/>
      <c r="BG1191" s="17"/>
      <c r="BH1191" s="17"/>
      <c r="BI1191" s="17"/>
      <c r="BJ1191" s="17"/>
      <c r="BK1191" s="17"/>
      <c r="BL1191" s="17"/>
      <c r="BM1191" s="17"/>
      <c r="BN1191" s="17"/>
      <c r="BO1191" s="17"/>
      <c r="BP1191" s="17"/>
      <c r="BQ1191" s="17"/>
      <c r="BR1191" s="17"/>
      <c r="BS1191" s="17"/>
      <c r="BT1191" s="17"/>
      <c r="BU1191" s="17"/>
      <c r="BV1191" s="17"/>
      <c r="BW1191" s="17"/>
      <c r="BX1191" s="17"/>
      <c r="BY1191" s="17"/>
      <c r="BZ1191" s="17"/>
      <c r="CA1191" s="17"/>
      <c r="CB1191" s="17"/>
      <c r="CC1191" s="17"/>
      <c r="CD1191" s="17"/>
      <c r="CE1191" s="17"/>
      <c r="CF1191" s="17"/>
      <c r="CG1191" s="17"/>
      <c r="CH1191" s="17"/>
    </row>
    <row r="1192" spans="35:86" x14ac:dyDescent="0.15">
      <c r="AI1192" s="3"/>
      <c r="AJ1192" s="3"/>
      <c r="AK1192" s="15">
        <f t="shared" si="452"/>
        <v>5</v>
      </c>
      <c r="AL1192" s="11">
        <f t="shared" si="449"/>
        <v>7098</v>
      </c>
      <c r="AM1192" s="11" t="b">
        <f t="shared" si="451"/>
        <v>0</v>
      </c>
      <c r="AN1192" s="11">
        <f t="shared" si="453"/>
        <v>36000</v>
      </c>
      <c r="AO1192" s="11">
        <f t="shared" si="454"/>
        <v>0</v>
      </c>
      <c r="AP1192" s="11">
        <f t="shared" si="455"/>
        <v>0.28693966311954133</v>
      </c>
      <c r="AQ1192" s="11">
        <f t="shared" si="456"/>
        <v>0</v>
      </c>
      <c r="AT1192" s="3"/>
      <c r="AU1192" s="17"/>
      <c r="AV1192" s="19"/>
      <c r="AW1192" s="17"/>
      <c r="AX1192" s="17">
        <f t="shared" si="450"/>
        <v>1183</v>
      </c>
      <c r="AY1192" s="17">
        <f t="shared" si="457"/>
        <v>118.3</v>
      </c>
      <c r="AZ1192" s="17">
        <v>28.693966311954135</v>
      </c>
      <c r="BA1192" s="17"/>
      <c r="BB1192" s="17">
        <v>36</v>
      </c>
      <c r="BC1192" s="17"/>
      <c r="BD1192" s="17"/>
      <c r="BE1192" s="17"/>
      <c r="BF1192" s="17"/>
      <c r="BG1192" s="17"/>
      <c r="BH1192" s="17"/>
      <c r="BI1192" s="17"/>
      <c r="BJ1192" s="17"/>
      <c r="BK1192" s="17"/>
      <c r="BL1192" s="17"/>
      <c r="BM1192" s="17"/>
      <c r="BN1192" s="17"/>
      <c r="BO1192" s="17"/>
      <c r="BP1192" s="17"/>
      <c r="BQ1192" s="17"/>
      <c r="BR1192" s="17"/>
      <c r="BS1192" s="17"/>
      <c r="BT1192" s="17"/>
      <c r="BU1192" s="17"/>
      <c r="BV1192" s="17"/>
      <c r="BW1192" s="17"/>
      <c r="BX1192" s="17"/>
      <c r="BY1192" s="17"/>
      <c r="BZ1192" s="17"/>
      <c r="CA1192" s="17"/>
      <c r="CB1192" s="17"/>
      <c r="CC1192" s="17"/>
      <c r="CD1192" s="17"/>
      <c r="CE1192" s="17"/>
      <c r="CF1192" s="17"/>
      <c r="CG1192" s="17"/>
      <c r="CH1192" s="17"/>
    </row>
    <row r="1193" spans="35:86" x14ac:dyDescent="0.15">
      <c r="AI1193" s="3"/>
      <c r="AJ1193" s="3"/>
      <c r="AK1193" s="15">
        <f t="shared" si="452"/>
        <v>5</v>
      </c>
      <c r="AL1193" s="11">
        <f t="shared" si="449"/>
        <v>7104</v>
      </c>
      <c r="AM1193" s="11" t="b">
        <f t="shared" si="451"/>
        <v>0</v>
      </c>
      <c r="AN1193" s="11">
        <f t="shared" si="453"/>
        <v>36000</v>
      </c>
      <c r="AO1193" s="11">
        <f t="shared" si="454"/>
        <v>0</v>
      </c>
      <c r="AP1193" s="11">
        <f t="shared" si="455"/>
        <v>0.2880419779343561</v>
      </c>
      <c r="AQ1193" s="11">
        <f t="shared" si="456"/>
        <v>0</v>
      </c>
      <c r="AT1193" s="3"/>
      <c r="AU1193" s="17"/>
      <c r="AV1193" s="19"/>
      <c r="AW1193" s="17"/>
      <c r="AX1193" s="17">
        <f t="shared" si="450"/>
        <v>1184</v>
      </c>
      <c r="AY1193" s="17">
        <f t="shared" si="457"/>
        <v>118.4</v>
      </c>
      <c r="AZ1193" s="17">
        <v>28.804197793435609</v>
      </c>
      <c r="BA1193" s="17"/>
      <c r="BB1193" s="17">
        <v>36</v>
      </c>
      <c r="BC1193" s="17"/>
      <c r="BD1193" s="17"/>
      <c r="BE1193" s="17"/>
      <c r="BF1193" s="17"/>
      <c r="BG1193" s="17"/>
      <c r="BH1193" s="17"/>
      <c r="BI1193" s="17"/>
      <c r="BJ1193" s="17"/>
      <c r="BK1193" s="17"/>
      <c r="BL1193" s="17"/>
      <c r="BM1193" s="17"/>
      <c r="BN1193" s="17"/>
      <c r="BO1193" s="17"/>
      <c r="BP1193" s="17"/>
      <c r="BQ1193" s="17"/>
      <c r="BR1193" s="17"/>
      <c r="BS1193" s="17"/>
      <c r="BT1193" s="17"/>
      <c r="BU1193" s="17"/>
      <c r="BV1193" s="17"/>
      <c r="BW1193" s="17"/>
      <c r="BX1193" s="17"/>
      <c r="BY1193" s="17"/>
      <c r="BZ1193" s="17"/>
      <c r="CA1193" s="17"/>
      <c r="CB1193" s="17"/>
      <c r="CC1193" s="17"/>
      <c r="CD1193" s="17"/>
      <c r="CE1193" s="17"/>
      <c r="CF1193" s="17"/>
      <c r="CG1193" s="17"/>
      <c r="CH1193" s="17"/>
    </row>
    <row r="1194" spans="35:86" x14ac:dyDescent="0.15">
      <c r="AI1194" s="3"/>
      <c r="AJ1194" s="3"/>
      <c r="AK1194" s="15">
        <f t="shared" si="452"/>
        <v>5</v>
      </c>
      <c r="AL1194" s="11">
        <f t="shared" si="449"/>
        <v>7110</v>
      </c>
      <c r="AM1194" s="11" t="b">
        <f t="shared" si="451"/>
        <v>0</v>
      </c>
      <c r="AN1194" s="11">
        <f t="shared" si="453"/>
        <v>36000</v>
      </c>
      <c r="AO1194" s="11">
        <f t="shared" si="454"/>
        <v>0</v>
      </c>
      <c r="AP1194" s="11">
        <f t="shared" si="455"/>
        <v>0.28914429274917092</v>
      </c>
      <c r="AQ1194" s="11">
        <f t="shared" si="456"/>
        <v>0</v>
      </c>
      <c r="AT1194" s="3"/>
      <c r="AU1194" s="17"/>
      <c r="AV1194" s="19"/>
      <c r="AW1194" s="17"/>
      <c r="AX1194" s="17">
        <f t="shared" si="450"/>
        <v>1185</v>
      </c>
      <c r="AY1194" s="17">
        <f t="shared" si="457"/>
        <v>118.5</v>
      </c>
      <c r="AZ1194" s="17">
        <v>28.91442927491709</v>
      </c>
      <c r="BA1194" s="17"/>
      <c r="BB1194" s="17">
        <v>36</v>
      </c>
      <c r="BC1194" s="17"/>
      <c r="BD1194" s="17"/>
      <c r="BE1194" s="17"/>
      <c r="BF1194" s="17"/>
      <c r="BG1194" s="17"/>
      <c r="BH1194" s="17"/>
      <c r="BI1194" s="17"/>
      <c r="BJ1194" s="17"/>
      <c r="BK1194" s="17"/>
      <c r="BL1194" s="17"/>
      <c r="BM1194" s="17"/>
      <c r="BN1194" s="17"/>
      <c r="BO1194" s="17"/>
      <c r="BP1194" s="17"/>
      <c r="BQ1194" s="17"/>
      <c r="BR1194" s="17"/>
      <c r="BS1194" s="17"/>
      <c r="BT1194" s="17"/>
      <c r="BU1194" s="17"/>
      <c r="BV1194" s="17"/>
      <c r="BW1194" s="17"/>
      <c r="BX1194" s="17"/>
      <c r="BY1194" s="17"/>
      <c r="BZ1194" s="17"/>
      <c r="CA1194" s="17"/>
      <c r="CB1194" s="17"/>
      <c r="CC1194" s="17"/>
      <c r="CD1194" s="17"/>
      <c r="CE1194" s="17"/>
      <c r="CF1194" s="17"/>
      <c r="CG1194" s="17"/>
      <c r="CH1194" s="17"/>
    </row>
    <row r="1195" spans="35:86" x14ac:dyDescent="0.15">
      <c r="AI1195" s="3"/>
      <c r="AJ1195" s="3"/>
      <c r="AK1195" s="15">
        <f t="shared" si="452"/>
        <v>5</v>
      </c>
      <c r="AL1195" s="11">
        <f t="shared" si="449"/>
        <v>7116</v>
      </c>
      <c r="AM1195" s="11" t="b">
        <f t="shared" si="451"/>
        <v>0</v>
      </c>
      <c r="AN1195" s="11">
        <f t="shared" si="453"/>
        <v>36000</v>
      </c>
      <c r="AO1195" s="11">
        <f t="shared" si="454"/>
        <v>0</v>
      </c>
      <c r="AP1195" s="11">
        <f t="shared" si="455"/>
        <v>0.29024660756398568</v>
      </c>
      <c r="AQ1195" s="11">
        <f t="shared" si="456"/>
        <v>0</v>
      </c>
      <c r="AT1195" s="3"/>
      <c r="AU1195" s="17"/>
      <c r="AV1195" s="19"/>
      <c r="AW1195" s="17"/>
      <c r="AX1195" s="17">
        <f t="shared" si="450"/>
        <v>1186</v>
      </c>
      <c r="AY1195" s="17">
        <f t="shared" si="457"/>
        <v>118.6</v>
      </c>
      <c r="AZ1195" s="17">
        <v>29.024660756398568</v>
      </c>
      <c r="BA1195" s="17"/>
      <c r="BB1195" s="17">
        <v>36</v>
      </c>
      <c r="BC1195" s="17"/>
      <c r="BD1195" s="17"/>
      <c r="BE1195" s="17"/>
      <c r="BF1195" s="17"/>
      <c r="BG1195" s="17"/>
      <c r="BH1195" s="17"/>
      <c r="BI1195" s="17"/>
      <c r="BJ1195" s="17"/>
      <c r="BK1195" s="17"/>
      <c r="BL1195" s="17"/>
      <c r="BM1195" s="17"/>
      <c r="BN1195" s="17"/>
      <c r="BO1195" s="17"/>
      <c r="BP1195" s="17"/>
      <c r="BQ1195" s="17"/>
      <c r="BR1195" s="17"/>
      <c r="BS1195" s="17"/>
      <c r="BT1195" s="17"/>
      <c r="BU1195" s="17"/>
      <c r="BV1195" s="17"/>
      <c r="BW1195" s="17"/>
      <c r="BX1195" s="17"/>
      <c r="BY1195" s="17"/>
      <c r="BZ1195" s="17"/>
      <c r="CA1195" s="17"/>
      <c r="CB1195" s="17"/>
      <c r="CC1195" s="17"/>
      <c r="CD1195" s="17"/>
      <c r="CE1195" s="17"/>
      <c r="CF1195" s="17"/>
      <c r="CG1195" s="17"/>
      <c r="CH1195" s="17"/>
    </row>
    <row r="1196" spans="35:86" x14ac:dyDescent="0.15">
      <c r="AI1196" s="3"/>
      <c r="AJ1196" s="3"/>
      <c r="AK1196" s="15">
        <f t="shared" si="452"/>
        <v>5</v>
      </c>
      <c r="AL1196" s="11">
        <f t="shared" si="449"/>
        <v>7122</v>
      </c>
      <c r="AM1196" s="11" t="b">
        <f t="shared" si="451"/>
        <v>0</v>
      </c>
      <c r="AN1196" s="11">
        <f t="shared" si="453"/>
        <v>36000</v>
      </c>
      <c r="AO1196" s="11">
        <f t="shared" si="454"/>
        <v>0</v>
      </c>
      <c r="AP1196" s="11">
        <f t="shared" si="455"/>
        <v>0.2913489223788005</v>
      </c>
      <c r="AQ1196" s="11">
        <f t="shared" si="456"/>
        <v>0</v>
      </c>
      <c r="AT1196" s="3"/>
      <c r="AU1196" s="17"/>
      <c r="AV1196" s="19"/>
      <c r="AW1196" s="17"/>
      <c r="AX1196" s="17">
        <f t="shared" si="450"/>
        <v>1187</v>
      </c>
      <c r="AY1196" s="17">
        <f t="shared" si="457"/>
        <v>118.7</v>
      </c>
      <c r="AZ1196" s="17">
        <v>29.134892237880049</v>
      </c>
      <c r="BA1196" s="17"/>
      <c r="BB1196" s="17">
        <v>36</v>
      </c>
      <c r="BC1196" s="17"/>
      <c r="BD1196" s="17"/>
      <c r="BE1196" s="17"/>
      <c r="BF1196" s="17"/>
      <c r="BG1196" s="17"/>
      <c r="BH1196" s="17"/>
      <c r="BI1196" s="17"/>
      <c r="BJ1196" s="17"/>
      <c r="BK1196" s="17"/>
      <c r="BL1196" s="17"/>
      <c r="BM1196" s="17"/>
      <c r="BN1196" s="17"/>
      <c r="BO1196" s="17"/>
      <c r="BP1196" s="17"/>
      <c r="BQ1196" s="17"/>
      <c r="BR1196" s="17"/>
      <c r="BS1196" s="17"/>
      <c r="BT1196" s="17"/>
      <c r="BU1196" s="17"/>
      <c r="BV1196" s="17"/>
      <c r="BW1196" s="17"/>
      <c r="BX1196" s="17"/>
      <c r="BY1196" s="17"/>
      <c r="BZ1196" s="17"/>
      <c r="CA1196" s="17"/>
      <c r="CB1196" s="17"/>
      <c r="CC1196" s="17"/>
      <c r="CD1196" s="17"/>
      <c r="CE1196" s="17"/>
      <c r="CF1196" s="17"/>
      <c r="CG1196" s="17"/>
      <c r="CH1196" s="17"/>
    </row>
    <row r="1197" spans="35:86" x14ac:dyDescent="0.15">
      <c r="AI1197" s="3"/>
      <c r="AJ1197" s="3"/>
      <c r="AK1197" s="15">
        <f t="shared" si="452"/>
        <v>5</v>
      </c>
      <c r="AL1197" s="11">
        <f t="shared" ref="AL1197:AL1260" si="458">AL1196+$AB$15</f>
        <v>7128</v>
      </c>
      <c r="AM1197" s="11" t="b">
        <f t="shared" si="451"/>
        <v>0</v>
      </c>
      <c r="AN1197" s="11">
        <f t="shared" si="453"/>
        <v>36000</v>
      </c>
      <c r="AO1197" s="11">
        <f t="shared" si="454"/>
        <v>0</v>
      </c>
      <c r="AP1197" s="11">
        <f t="shared" si="455"/>
        <v>0.29245123719361527</v>
      </c>
      <c r="AQ1197" s="11">
        <f t="shared" si="456"/>
        <v>0</v>
      </c>
      <c r="AT1197" s="3"/>
      <c r="AU1197" s="17"/>
      <c r="AV1197" s="19"/>
      <c r="AW1197" s="17"/>
      <c r="AX1197" s="17">
        <f t="shared" si="450"/>
        <v>1188</v>
      </c>
      <c r="AY1197" s="17">
        <f t="shared" si="457"/>
        <v>118.8</v>
      </c>
      <c r="AZ1197" s="17">
        <v>29.245123719361526</v>
      </c>
      <c r="BA1197" s="17"/>
      <c r="BB1197" s="17">
        <v>36</v>
      </c>
      <c r="BC1197" s="17"/>
      <c r="BD1197" s="17"/>
      <c r="BE1197" s="17"/>
      <c r="BF1197" s="17"/>
      <c r="BG1197" s="17"/>
      <c r="BH1197" s="17"/>
      <c r="BI1197" s="17"/>
      <c r="BJ1197" s="17"/>
      <c r="BK1197" s="17"/>
      <c r="BL1197" s="17"/>
      <c r="BM1197" s="17"/>
      <c r="BN1197" s="17"/>
      <c r="BO1197" s="17"/>
      <c r="BP1197" s="17"/>
      <c r="BQ1197" s="17"/>
      <c r="BR1197" s="17"/>
      <c r="BS1197" s="17"/>
      <c r="BT1197" s="17"/>
      <c r="BU1197" s="17"/>
      <c r="BV1197" s="17"/>
      <c r="BW1197" s="17"/>
      <c r="BX1197" s="17"/>
      <c r="BY1197" s="17"/>
      <c r="BZ1197" s="17"/>
      <c r="CA1197" s="17"/>
      <c r="CB1197" s="17"/>
      <c r="CC1197" s="17"/>
      <c r="CD1197" s="17"/>
      <c r="CE1197" s="17"/>
      <c r="CF1197" s="17"/>
      <c r="CG1197" s="17"/>
      <c r="CH1197" s="17"/>
    </row>
    <row r="1198" spans="35:86" x14ac:dyDescent="0.15">
      <c r="AI1198" s="3"/>
      <c r="AJ1198" s="3"/>
      <c r="AK1198" s="15">
        <f t="shared" si="452"/>
        <v>5</v>
      </c>
      <c r="AL1198" s="11">
        <f t="shared" si="458"/>
        <v>7134</v>
      </c>
      <c r="AM1198" s="11" t="b">
        <f t="shared" si="451"/>
        <v>0</v>
      </c>
      <c r="AN1198" s="11">
        <f t="shared" si="453"/>
        <v>36000</v>
      </c>
      <c r="AO1198" s="11">
        <f t="shared" si="454"/>
        <v>0</v>
      </c>
      <c r="AP1198" s="11">
        <f t="shared" si="455"/>
        <v>0.29355355200843009</v>
      </c>
      <c r="AQ1198" s="11">
        <f t="shared" si="456"/>
        <v>0</v>
      </c>
      <c r="AT1198" s="3"/>
      <c r="AU1198" s="17"/>
      <c r="AV1198" s="19"/>
      <c r="AW1198" s="17"/>
      <c r="AX1198" s="17">
        <f t="shared" ref="AX1198:AX1261" si="459">IF(AX1197&gt;=$AG$14,$AG$14,AX1197+1)</f>
        <v>1189</v>
      </c>
      <c r="AY1198" s="17">
        <f t="shared" si="457"/>
        <v>118.9</v>
      </c>
      <c r="AZ1198" s="17">
        <v>29.355355200843007</v>
      </c>
      <c r="BA1198" s="17"/>
      <c r="BB1198" s="17">
        <v>36</v>
      </c>
      <c r="BC1198" s="17"/>
      <c r="BD1198" s="17"/>
      <c r="BE1198" s="17"/>
      <c r="BF1198" s="17"/>
      <c r="BG1198" s="17"/>
      <c r="BH1198" s="17"/>
      <c r="BI1198" s="17"/>
      <c r="BJ1198" s="17"/>
      <c r="BK1198" s="17"/>
      <c r="BL1198" s="17"/>
      <c r="BM1198" s="17"/>
      <c r="BN1198" s="17"/>
      <c r="BO1198" s="17"/>
      <c r="BP1198" s="17"/>
      <c r="BQ1198" s="17"/>
      <c r="BR1198" s="17"/>
      <c r="BS1198" s="17"/>
      <c r="BT1198" s="17"/>
      <c r="BU1198" s="17"/>
      <c r="BV1198" s="17"/>
      <c r="BW1198" s="17"/>
      <c r="BX1198" s="17"/>
      <c r="BY1198" s="17"/>
      <c r="BZ1198" s="17"/>
      <c r="CA1198" s="17"/>
      <c r="CB1198" s="17"/>
      <c r="CC1198" s="17"/>
      <c r="CD1198" s="17"/>
      <c r="CE1198" s="17"/>
      <c r="CF1198" s="17"/>
      <c r="CG1198" s="17"/>
      <c r="CH1198" s="17"/>
    </row>
    <row r="1199" spans="35:86" x14ac:dyDescent="0.15">
      <c r="AI1199" s="3"/>
      <c r="AJ1199" s="3"/>
      <c r="AK1199" s="15">
        <f t="shared" si="452"/>
        <v>5</v>
      </c>
      <c r="AL1199" s="11">
        <f t="shared" si="458"/>
        <v>7140</v>
      </c>
      <c r="AM1199" s="11" t="b">
        <f t="shared" si="451"/>
        <v>0</v>
      </c>
      <c r="AN1199" s="11">
        <f t="shared" si="453"/>
        <v>36000</v>
      </c>
      <c r="AO1199" s="11">
        <f t="shared" si="454"/>
        <v>0</v>
      </c>
      <c r="AP1199" s="11">
        <f t="shared" si="455"/>
        <v>0.29465586682324485</v>
      </c>
      <c r="AQ1199" s="11">
        <f t="shared" si="456"/>
        <v>0</v>
      </c>
      <c r="AT1199" s="3"/>
      <c r="AU1199" s="17"/>
      <c r="AV1199" s="19"/>
      <c r="AW1199" s="17"/>
      <c r="AX1199" s="17">
        <f t="shared" si="459"/>
        <v>1190</v>
      </c>
      <c r="AY1199" s="17">
        <f t="shared" si="457"/>
        <v>119</v>
      </c>
      <c r="AZ1199" s="17">
        <v>29.465586682324485</v>
      </c>
      <c r="BA1199" s="17"/>
      <c r="BB1199" s="17">
        <v>36</v>
      </c>
      <c r="BC1199" s="17"/>
      <c r="BD1199" s="17"/>
      <c r="BE1199" s="17"/>
      <c r="BF1199" s="17"/>
      <c r="BG1199" s="17"/>
      <c r="BH1199" s="17"/>
      <c r="BI1199" s="17"/>
      <c r="BJ1199" s="17"/>
      <c r="BK1199" s="17"/>
      <c r="BL1199" s="17"/>
      <c r="BM1199" s="17"/>
      <c r="BN1199" s="17"/>
      <c r="BO1199" s="17"/>
      <c r="BP1199" s="17"/>
      <c r="BQ1199" s="17"/>
      <c r="BR1199" s="17"/>
      <c r="BS1199" s="17"/>
      <c r="BT1199" s="17"/>
      <c r="BU1199" s="17"/>
      <c r="BV1199" s="17"/>
      <c r="BW1199" s="17"/>
      <c r="BX1199" s="17"/>
      <c r="BY1199" s="17"/>
      <c r="BZ1199" s="17"/>
      <c r="CA1199" s="17"/>
      <c r="CB1199" s="17"/>
      <c r="CC1199" s="17"/>
      <c r="CD1199" s="17"/>
      <c r="CE1199" s="17"/>
      <c r="CF1199" s="17"/>
      <c r="CG1199" s="17"/>
      <c r="CH1199" s="17"/>
    </row>
    <row r="1200" spans="35:86" x14ac:dyDescent="0.15">
      <c r="AI1200" s="3"/>
      <c r="AJ1200" s="3"/>
      <c r="AK1200" s="15">
        <f t="shared" si="452"/>
        <v>5</v>
      </c>
      <c r="AL1200" s="11">
        <f t="shared" si="458"/>
        <v>7146</v>
      </c>
      <c r="AM1200" s="11" t="b">
        <f t="shared" si="451"/>
        <v>0</v>
      </c>
      <c r="AN1200" s="11">
        <f t="shared" si="453"/>
        <v>36000</v>
      </c>
      <c r="AO1200" s="11">
        <f t="shared" si="454"/>
        <v>0</v>
      </c>
      <c r="AP1200" s="11">
        <f t="shared" si="455"/>
        <v>0.29575818163805967</v>
      </c>
      <c r="AQ1200" s="11">
        <f t="shared" si="456"/>
        <v>0</v>
      </c>
      <c r="AT1200" s="3"/>
      <c r="AU1200" s="17"/>
      <c r="AV1200" s="19"/>
      <c r="AW1200" s="17"/>
      <c r="AX1200" s="17">
        <f t="shared" si="459"/>
        <v>1191</v>
      </c>
      <c r="AY1200" s="17">
        <f t="shared" si="457"/>
        <v>119.1</v>
      </c>
      <c r="AZ1200" s="17">
        <v>29.575818163805966</v>
      </c>
      <c r="BA1200" s="17"/>
      <c r="BB1200" s="17">
        <v>36</v>
      </c>
      <c r="BC1200" s="17"/>
      <c r="BD1200" s="17"/>
      <c r="BE1200" s="17"/>
      <c r="BF1200" s="17"/>
      <c r="BG1200" s="17"/>
      <c r="BH1200" s="17"/>
      <c r="BI1200" s="17"/>
      <c r="BJ1200" s="17"/>
      <c r="BK1200" s="17"/>
      <c r="BL1200" s="17"/>
      <c r="BM1200" s="17"/>
      <c r="BN1200" s="17"/>
      <c r="BO1200" s="17"/>
      <c r="BP1200" s="17"/>
      <c r="BQ1200" s="17"/>
      <c r="BR1200" s="17"/>
      <c r="BS1200" s="17"/>
      <c r="BT1200" s="17"/>
      <c r="BU1200" s="17"/>
      <c r="BV1200" s="17"/>
      <c r="BW1200" s="17"/>
      <c r="BX1200" s="17"/>
      <c r="BY1200" s="17"/>
      <c r="BZ1200" s="17"/>
      <c r="CA1200" s="17"/>
      <c r="CB1200" s="17"/>
      <c r="CC1200" s="17"/>
      <c r="CD1200" s="17"/>
      <c r="CE1200" s="17"/>
      <c r="CF1200" s="17"/>
      <c r="CG1200" s="17"/>
      <c r="CH1200" s="17"/>
    </row>
    <row r="1201" spans="35:86" x14ac:dyDescent="0.15">
      <c r="AI1201" s="3"/>
      <c r="AJ1201" s="3"/>
      <c r="AK1201" s="15">
        <f t="shared" si="452"/>
        <v>5</v>
      </c>
      <c r="AL1201" s="11">
        <f t="shared" si="458"/>
        <v>7152</v>
      </c>
      <c r="AM1201" s="11" t="b">
        <f t="shared" si="451"/>
        <v>0</v>
      </c>
      <c r="AN1201" s="11">
        <f t="shared" si="453"/>
        <v>36000</v>
      </c>
      <c r="AO1201" s="11">
        <f t="shared" si="454"/>
        <v>0</v>
      </c>
      <c r="AP1201" s="11">
        <f t="shared" si="455"/>
        <v>0.29686049645287449</v>
      </c>
      <c r="AQ1201" s="11">
        <f t="shared" si="456"/>
        <v>0</v>
      </c>
      <c r="AT1201" s="3"/>
      <c r="AU1201" s="17"/>
      <c r="AV1201" s="19"/>
      <c r="AW1201" s="17"/>
      <c r="AX1201" s="17">
        <f t="shared" si="459"/>
        <v>1192</v>
      </c>
      <c r="AY1201" s="17">
        <f t="shared" si="457"/>
        <v>119.2</v>
      </c>
      <c r="AZ1201" s="17">
        <v>29.686049645287447</v>
      </c>
      <c r="BA1201" s="17"/>
      <c r="BB1201" s="17">
        <v>36</v>
      </c>
      <c r="BC1201" s="17"/>
      <c r="BD1201" s="17"/>
      <c r="BE1201" s="17"/>
      <c r="BF1201" s="17"/>
      <c r="BG1201" s="17"/>
      <c r="BH1201" s="17"/>
      <c r="BI1201" s="17"/>
      <c r="BJ1201" s="17"/>
      <c r="BK1201" s="17"/>
      <c r="BL1201" s="17"/>
      <c r="BM1201" s="17"/>
      <c r="BN1201" s="17"/>
      <c r="BO1201" s="17"/>
      <c r="BP1201" s="17"/>
      <c r="BQ1201" s="17"/>
      <c r="BR1201" s="17"/>
      <c r="BS1201" s="17"/>
      <c r="BT1201" s="17"/>
      <c r="BU1201" s="17"/>
      <c r="BV1201" s="17"/>
      <c r="BW1201" s="17"/>
      <c r="BX1201" s="17"/>
      <c r="BY1201" s="17"/>
      <c r="BZ1201" s="17"/>
      <c r="CA1201" s="17"/>
      <c r="CB1201" s="17"/>
      <c r="CC1201" s="17"/>
      <c r="CD1201" s="17"/>
      <c r="CE1201" s="17"/>
      <c r="CF1201" s="17"/>
      <c r="CG1201" s="17"/>
      <c r="CH1201" s="17"/>
    </row>
    <row r="1202" spans="35:86" x14ac:dyDescent="0.15">
      <c r="AI1202" s="3"/>
      <c r="AJ1202" s="3"/>
      <c r="AK1202" s="15">
        <f t="shared" si="452"/>
        <v>5</v>
      </c>
      <c r="AL1202" s="11">
        <f t="shared" si="458"/>
        <v>7158</v>
      </c>
      <c r="AM1202" s="11" t="b">
        <f t="shared" si="451"/>
        <v>0</v>
      </c>
      <c r="AN1202" s="11">
        <f t="shared" si="453"/>
        <v>36000</v>
      </c>
      <c r="AO1202" s="11">
        <f t="shared" si="454"/>
        <v>0</v>
      </c>
      <c r="AP1202" s="11">
        <f t="shared" si="455"/>
        <v>0.29796281126768925</v>
      </c>
      <c r="AQ1202" s="11">
        <f t="shared" si="456"/>
        <v>0</v>
      </c>
      <c r="AT1202" s="3"/>
      <c r="AU1202" s="17"/>
      <c r="AV1202" s="19"/>
      <c r="AW1202" s="17"/>
      <c r="AX1202" s="17">
        <f t="shared" si="459"/>
        <v>1193</v>
      </c>
      <c r="AY1202" s="17">
        <f t="shared" si="457"/>
        <v>119.3</v>
      </c>
      <c r="AZ1202" s="17">
        <v>29.796281126768925</v>
      </c>
      <c r="BA1202" s="17"/>
      <c r="BB1202" s="17">
        <v>36</v>
      </c>
      <c r="BC1202" s="17"/>
      <c r="BD1202" s="17"/>
      <c r="BE1202" s="17"/>
      <c r="BF1202" s="17"/>
      <c r="BG1202" s="17"/>
      <c r="BH1202" s="17"/>
      <c r="BI1202" s="17"/>
      <c r="BJ1202" s="17"/>
      <c r="BK1202" s="17"/>
      <c r="BL1202" s="17"/>
      <c r="BM1202" s="17"/>
      <c r="BN1202" s="17"/>
      <c r="BO1202" s="17"/>
      <c r="BP1202" s="17"/>
      <c r="BQ1202" s="17"/>
      <c r="BR1202" s="17"/>
      <c r="BS1202" s="17"/>
      <c r="BT1202" s="17"/>
      <c r="BU1202" s="17"/>
      <c r="BV1202" s="17"/>
      <c r="BW1202" s="17"/>
      <c r="BX1202" s="17"/>
      <c r="BY1202" s="17"/>
      <c r="BZ1202" s="17"/>
      <c r="CA1202" s="17"/>
      <c r="CB1202" s="17"/>
      <c r="CC1202" s="17"/>
      <c r="CD1202" s="17"/>
      <c r="CE1202" s="17"/>
      <c r="CF1202" s="17"/>
      <c r="CG1202" s="17"/>
      <c r="CH1202" s="17"/>
    </row>
    <row r="1203" spans="35:86" x14ac:dyDescent="0.15">
      <c r="AI1203" s="3"/>
      <c r="AJ1203" s="3"/>
      <c r="AK1203" s="15">
        <f t="shared" si="452"/>
        <v>5</v>
      </c>
      <c r="AL1203" s="11">
        <f t="shared" si="458"/>
        <v>7164</v>
      </c>
      <c r="AM1203" s="11" t="b">
        <f t="shared" si="451"/>
        <v>0</v>
      </c>
      <c r="AN1203" s="11">
        <f t="shared" si="453"/>
        <v>36000</v>
      </c>
      <c r="AO1203" s="11">
        <f t="shared" si="454"/>
        <v>0</v>
      </c>
      <c r="AP1203" s="11">
        <f t="shared" si="455"/>
        <v>0.29906512608250407</v>
      </c>
      <c r="AQ1203" s="11">
        <f t="shared" si="456"/>
        <v>0</v>
      </c>
      <c r="AT1203" s="3"/>
      <c r="AU1203" s="17"/>
      <c r="AV1203" s="19"/>
      <c r="AW1203" s="17"/>
      <c r="AX1203" s="17">
        <f t="shared" si="459"/>
        <v>1194</v>
      </c>
      <c r="AY1203" s="17">
        <f t="shared" si="457"/>
        <v>119.4</v>
      </c>
      <c r="AZ1203" s="17">
        <v>29.906512608250406</v>
      </c>
      <c r="BA1203" s="17"/>
      <c r="BB1203" s="17">
        <v>36</v>
      </c>
      <c r="BC1203" s="17"/>
      <c r="BD1203" s="17"/>
      <c r="BE1203" s="17"/>
      <c r="BF1203" s="17"/>
      <c r="BG1203" s="17"/>
      <c r="BH1203" s="17"/>
      <c r="BI1203" s="17"/>
      <c r="BJ1203" s="17"/>
      <c r="BK1203" s="17"/>
      <c r="BL1203" s="17"/>
      <c r="BM1203" s="17"/>
      <c r="BN1203" s="17"/>
      <c r="BO1203" s="17"/>
      <c r="BP1203" s="17"/>
      <c r="BQ1203" s="17"/>
      <c r="BR1203" s="17"/>
      <c r="BS1203" s="17"/>
      <c r="BT1203" s="17"/>
      <c r="BU1203" s="17"/>
      <c r="BV1203" s="17"/>
      <c r="BW1203" s="17"/>
      <c r="BX1203" s="17"/>
      <c r="BY1203" s="17"/>
      <c r="BZ1203" s="17"/>
      <c r="CA1203" s="17"/>
      <c r="CB1203" s="17"/>
      <c r="CC1203" s="17"/>
      <c r="CD1203" s="17"/>
      <c r="CE1203" s="17"/>
      <c r="CF1203" s="17"/>
      <c r="CG1203" s="17"/>
      <c r="CH1203" s="17"/>
    </row>
    <row r="1204" spans="35:86" x14ac:dyDescent="0.15">
      <c r="AI1204" s="3"/>
      <c r="AJ1204" s="3"/>
      <c r="AK1204" s="15">
        <f t="shared" si="452"/>
        <v>5</v>
      </c>
      <c r="AL1204" s="11">
        <f t="shared" si="458"/>
        <v>7170</v>
      </c>
      <c r="AM1204" s="11" t="b">
        <f t="shared" si="451"/>
        <v>0</v>
      </c>
      <c r="AN1204" s="11">
        <f t="shared" si="453"/>
        <v>36000</v>
      </c>
      <c r="AO1204" s="11">
        <f t="shared" si="454"/>
        <v>0</v>
      </c>
      <c r="AP1204" s="11">
        <f t="shared" si="455"/>
        <v>0.30016744089731884</v>
      </c>
      <c r="AQ1204" s="11">
        <f t="shared" si="456"/>
        <v>0</v>
      </c>
      <c r="AT1204" s="3"/>
      <c r="AU1204" s="17"/>
      <c r="AV1204" s="19"/>
      <c r="AW1204" s="17"/>
      <c r="AX1204" s="17">
        <f t="shared" si="459"/>
        <v>1195</v>
      </c>
      <c r="AY1204" s="17">
        <f t="shared" si="457"/>
        <v>119.5</v>
      </c>
      <c r="AZ1204" s="17">
        <v>30.016744089731883</v>
      </c>
      <c r="BA1204" s="17"/>
      <c r="BB1204" s="17">
        <v>36</v>
      </c>
      <c r="BC1204" s="17"/>
      <c r="BD1204" s="17"/>
      <c r="BE1204" s="17"/>
      <c r="BF1204" s="17"/>
      <c r="BG1204" s="17"/>
      <c r="BH1204" s="17"/>
      <c r="BI1204" s="17"/>
      <c r="BJ1204" s="17"/>
      <c r="BK1204" s="17"/>
      <c r="BL1204" s="17"/>
      <c r="BM1204" s="17"/>
      <c r="BN1204" s="17"/>
      <c r="BO1204" s="17"/>
      <c r="BP1204" s="17"/>
      <c r="BQ1204" s="17"/>
      <c r="BR1204" s="17"/>
      <c r="BS1204" s="17"/>
      <c r="BT1204" s="17"/>
      <c r="BU1204" s="17"/>
      <c r="BV1204" s="17"/>
      <c r="BW1204" s="17"/>
      <c r="BX1204" s="17"/>
      <c r="BY1204" s="17"/>
      <c r="BZ1204" s="17"/>
      <c r="CA1204" s="17"/>
      <c r="CB1204" s="17"/>
      <c r="CC1204" s="17"/>
      <c r="CD1204" s="17"/>
      <c r="CE1204" s="17"/>
      <c r="CF1204" s="17"/>
      <c r="CG1204" s="17"/>
      <c r="CH1204" s="17"/>
    </row>
    <row r="1205" spans="35:86" x14ac:dyDescent="0.15">
      <c r="AI1205" s="3"/>
      <c r="AJ1205" s="3"/>
      <c r="AK1205" s="15">
        <f t="shared" si="452"/>
        <v>5</v>
      </c>
      <c r="AL1205" s="11">
        <f t="shared" si="458"/>
        <v>7176</v>
      </c>
      <c r="AM1205" s="11" t="b">
        <f t="shared" si="451"/>
        <v>0</v>
      </c>
      <c r="AN1205" s="11">
        <f t="shared" si="453"/>
        <v>36000</v>
      </c>
      <c r="AO1205" s="11">
        <f t="shared" si="454"/>
        <v>0</v>
      </c>
      <c r="AP1205" s="11">
        <f t="shared" si="455"/>
        <v>0.30126975571213366</v>
      </c>
      <c r="AQ1205" s="11">
        <f t="shared" si="456"/>
        <v>0</v>
      </c>
      <c r="AT1205" s="3"/>
      <c r="AU1205" s="17"/>
      <c r="AV1205" s="19"/>
      <c r="AW1205" s="17"/>
      <c r="AX1205" s="17">
        <f t="shared" si="459"/>
        <v>1196</v>
      </c>
      <c r="AY1205" s="17">
        <f t="shared" si="457"/>
        <v>119.6</v>
      </c>
      <c r="AZ1205" s="17">
        <v>30.126975571213364</v>
      </c>
      <c r="BA1205" s="17"/>
      <c r="BB1205" s="17">
        <v>36</v>
      </c>
      <c r="BC1205" s="17"/>
      <c r="BD1205" s="17"/>
      <c r="BE1205" s="17"/>
      <c r="BF1205" s="17"/>
      <c r="BG1205" s="17"/>
      <c r="BH1205" s="17"/>
      <c r="BI1205" s="17"/>
      <c r="BJ1205" s="17"/>
      <c r="BK1205" s="17"/>
      <c r="BL1205" s="17"/>
      <c r="BM1205" s="17"/>
      <c r="BN1205" s="17"/>
      <c r="BO1205" s="17"/>
      <c r="BP1205" s="17"/>
      <c r="BQ1205" s="17"/>
      <c r="BR1205" s="17"/>
      <c r="BS1205" s="17"/>
      <c r="BT1205" s="17"/>
      <c r="BU1205" s="17"/>
      <c r="BV1205" s="17"/>
      <c r="BW1205" s="17"/>
      <c r="BX1205" s="17"/>
      <c r="BY1205" s="17"/>
      <c r="BZ1205" s="17"/>
      <c r="CA1205" s="17"/>
      <c r="CB1205" s="17"/>
      <c r="CC1205" s="17"/>
      <c r="CD1205" s="17"/>
      <c r="CE1205" s="17"/>
      <c r="CF1205" s="17"/>
      <c r="CG1205" s="17"/>
      <c r="CH1205" s="17"/>
    </row>
    <row r="1206" spans="35:86" x14ac:dyDescent="0.15">
      <c r="AI1206" s="3"/>
      <c r="AJ1206" s="3"/>
      <c r="AK1206" s="15">
        <f t="shared" si="452"/>
        <v>5</v>
      </c>
      <c r="AL1206" s="11">
        <f t="shared" si="458"/>
        <v>7182</v>
      </c>
      <c r="AM1206" s="11" t="b">
        <f t="shared" si="451"/>
        <v>0</v>
      </c>
      <c r="AN1206" s="11">
        <f t="shared" si="453"/>
        <v>36000</v>
      </c>
      <c r="AO1206" s="11">
        <f t="shared" si="454"/>
        <v>0</v>
      </c>
      <c r="AP1206" s="11">
        <f t="shared" si="455"/>
        <v>0.30237207052694842</v>
      </c>
      <c r="AQ1206" s="11">
        <f t="shared" si="456"/>
        <v>0</v>
      </c>
      <c r="AT1206" s="3"/>
      <c r="AU1206" s="17"/>
      <c r="AV1206" s="19"/>
      <c r="AW1206" s="17"/>
      <c r="AX1206" s="17">
        <f t="shared" si="459"/>
        <v>1197</v>
      </c>
      <c r="AY1206" s="17">
        <f t="shared" si="457"/>
        <v>119.7</v>
      </c>
      <c r="AZ1206" s="17">
        <v>30.237207052694842</v>
      </c>
      <c r="BA1206" s="17"/>
      <c r="BB1206" s="17">
        <v>36</v>
      </c>
      <c r="BC1206" s="17"/>
      <c r="BD1206" s="17"/>
      <c r="BE1206" s="17"/>
      <c r="BF1206" s="17"/>
      <c r="BG1206" s="17"/>
      <c r="BH1206" s="17"/>
      <c r="BI1206" s="17"/>
      <c r="BJ1206" s="17"/>
      <c r="BK1206" s="17"/>
      <c r="BL1206" s="17"/>
      <c r="BM1206" s="17"/>
      <c r="BN1206" s="17"/>
      <c r="BO1206" s="17"/>
      <c r="BP1206" s="17"/>
      <c r="BQ1206" s="17"/>
      <c r="BR1206" s="17"/>
      <c r="BS1206" s="17"/>
      <c r="BT1206" s="17"/>
      <c r="BU1206" s="17"/>
      <c r="BV1206" s="17"/>
      <c r="BW1206" s="17"/>
      <c r="BX1206" s="17"/>
      <c r="BY1206" s="17"/>
      <c r="BZ1206" s="17"/>
      <c r="CA1206" s="17"/>
      <c r="CB1206" s="17"/>
      <c r="CC1206" s="17"/>
      <c r="CD1206" s="17"/>
      <c r="CE1206" s="17"/>
      <c r="CF1206" s="17"/>
      <c r="CG1206" s="17"/>
      <c r="CH1206" s="17"/>
    </row>
    <row r="1207" spans="35:86" x14ac:dyDescent="0.15">
      <c r="AI1207" s="3"/>
      <c r="AJ1207" s="3"/>
      <c r="AK1207" s="15">
        <f t="shared" si="452"/>
        <v>5</v>
      </c>
      <c r="AL1207" s="11">
        <f t="shared" si="458"/>
        <v>7188</v>
      </c>
      <c r="AM1207" s="11" t="b">
        <f t="shared" si="451"/>
        <v>0</v>
      </c>
      <c r="AN1207" s="11">
        <f t="shared" si="453"/>
        <v>36000</v>
      </c>
      <c r="AO1207" s="11">
        <f t="shared" si="454"/>
        <v>0</v>
      </c>
      <c r="AP1207" s="11">
        <f t="shared" si="455"/>
        <v>0.30347438534176324</v>
      </c>
      <c r="AQ1207" s="11">
        <f t="shared" si="456"/>
        <v>0</v>
      </c>
      <c r="AT1207" s="3"/>
      <c r="AU1207" s="17"/>
      <c r="AV1207" s="19"/>
      <c r="AW1207" s="17"/>
      <c r="AX1207" s="17">
        <f t="shared" si="459"/>
        <v>1198</v>
      </c>
      <c r="AY1207" s="17">
        <f t="shared" si="457"/>
        <v>119.8</v>
      </c>
      <c r="AZ1207" s="17">
        <v>30.347438534176323</v>
      </c>
      <c r="BA1207" s="17"/>
      <c r="BB1207" s="17">
        <v>36</v>
      </c>
      <c r="BC1207" s="17"/>
      <c r="BD1207" s="17"/>
      <c r="BE1207" s="17"/>
      <c r="BF1207" s="17"/>
      <c r="BG1207" s="17"/>
      <c r="BH1207" s="17"/>
      <c r="BI1207" s="17"/>
      <c r="BJ1207" s="17"/>
      <c r="BK1207" s="17"/>
      <c r="BL1207" s="17"/>
      <c r="BM1207" s="17"/>
      <c r="BN1207" s="17"/>
      <c r="BO1207" s="17"/>
      <c r="BP1207" s="17"/>
      <c r="BQ1207" s="17"/>
      <c r="BR1207" s="17"/>
      <c r="BS1207" s="17"/>
      <c r="BT1207" s="17"/>
      <c r="BU1207" s="17"/>
      <c r="BV1207" s="17"/>
      <c r="BW1207" s="17"/>
      <c r="BX1207" s="17"/>
      <c r="BY1207" s="17"/>
      <c r="BZ1207" s="17"/>
      <c r="CA1207" s="17"/>
      <c r="CB1207" s="17"/>
      <c r="CC1207" s="17"/>
      <c r="CD1207" s="17"/>
      <c r="CE1207" s="17"/>
      <c r="CF1207" s="17"/>
      <c r="CG1207" s="17"/>
      <c r="CH1207" s="17"/>
    </row>
    <row r="1208" spans="35:86" x14ac:dyDescent="0.15">
      <c r="AI1208" s="3"/>
      <c r="AJ1208" s="3"/>
      <c r="AK1208" s="15">
        <f t="shared" si="452"/>
        <v>5</v>
      </c>
      <c r="AL1208" s="11">
        <f t="shared" si="458"/>
        <v>7194</v>
      </c>
      <c r="AM1208" s="11" t="b">
        <f t="shared" si="451"/>
        <v>0</v>
      </c>
      <c r="AN1208" s="11">
        <f t="shared" si="453"/>
        <v>36000</v>
      </c>
      <c r="AO1208" s="11">
        <f t="shared" si="454"/>
        <v>0</v>
      </c>
      <c r="AP1208" s="11">
        <f t="shared" si="455"/>
        <v>0.30457670015657801</v>
      </c>
      <c r="AQ1208" s="11">
        <f t="shared" si="456"/>
        <v>0</v>
      </c>
      <c r="AT1208" s="3"/>
      <c r="AU1208" s="17"/>
      <c r="AV1208" s="19"/>
      <c r="AW1208" s="17"/>
      <c r="AX1208" s="17">
        <f t="shared" si="459"/>
        <v>1199</v>
      </c>
      <c r="AY1208" s="17">
        <f t="shared" si="457"/>
        <v>119.9</v>
      </c>
      <c r="AZ1208" s="17">
        <v>30.457670015657801</v>
      </c>
      <c r="BA1208" s="17"/>
      <c r="BB1208" s="17">
        <v>36</v>
      </c>
      <c r="BC1208" s="17"/>
      <c r="BD1208" s="17"/>
      <c r="BE1208" s="17"/>
      <c r="BF1208" s="17"/>
      <c r="BG1208" s="17"/>
      <c r="BH1208" s="17"/>
      <c r="BI1208" s="17"/>
      <c r="BJ1208" s="17"/>
      <c r="BK1208" s="17"/>
      <c r="BL1208" s="17"/>
      <c r="BM1208" s="17"/>
      <c r="BN1208" s="17"/>
      <c r="BO1208" s="17"/>
      <c r="BP1208" s="17"/>
      <c r="BQ1208" s="17"/>
      <c r="BR1208" s="17"/>
      <c r="BS1208" s="17"/>
      <c r="BT1208" s="17"/>
      <c r="BU1208" s="17"/>
      <c r="BV1208" s="17"/>
      <c r="BW1208" s="17"/>
      <c r="BX1208" s="17"/>
      <c r="BY1208" s="17"/>
      <c r="BZ1208" s="17"/>
      <c r="CA1208" s="17"/>
      <c r="CB1208" s="17"/>
      <c r="CC1208" s="17"/>
      <c r="CD1208" s="17"/>
      <c r="CE1208" s="17"/>
      <c r="CF1208" s="17"/>
      <c r="CG1208" s="17"/>
      <c r="CH1208" s="17"/>
    </row>
    <row r="1209" spans="35:86" x14ac:dyDescent="0.15">
      <c r="AI1209" s="3"/>
      <c r="AJ1209" s="3"/>
      <c r="AK1209" s="15">
        <f t="shared" si="452"/>
        <v>5</v>
      </c>
      <c r="AL1209" s="11">
        <f t="shared" si="458"/>
        <v>7200</v>
      </c>
      <c r="AM1209" s="11" t="b">
        <f t="shared" si="451"/>
        <v>0</v>
      </c>
      <c r="AN1209" s="11">
        <f t="shared" si="453"/>
        <v>36000</v>
      </c>
      <c r="AO1209" s="11">
        <f t="shared" si="454"/>
        <v>0</v>
      </c>
      <c r="AP1209" s="11">
        <f t="shared" si="455"/>
        <v>0.30567901497139283</v>
      </c>
      <c r="AQ1209" s="11">
        <f t="shared" si="456"/>
        <v>0</v>
      </c>
      <c r="AT1209" s="3"/>
      <c r="AU1209" s="17"/>
      <c r="AV1209" s="19"/>
      <c r="AW1209" s="17"/>
      <c r="AX1209" s="17">
        <f t="shared" si="459"/>
        <v>1200</v>
      </c>
      <c r="AY1209" s="17">
        <f t="shared" si="457"/>
        <v>120</v>
      </c>
      <c r="AZ1209" s="17">
        <v>30.567901497139282</v>
      </c>
      <c r="BA1209" s="17"/>
      <c r="BB1209" s="17">
        <v>36</v>
      </c>
      <c r="BC1209" s="17"/>
      <c r="BD1209" s="17"/>
      <c r="BE1209" s="17"/>
      <c r="BF1209" s="17"/>
      <c r="BG1209" s="17"/>
      <c r="BH1209" s="17"/>
      <c r="BI1209" s="17"/>
      <c r="BJ1209" s="17"/>
      <c r="BK1209" s="17"/>
      <c r="BL1209" s="17"/>
      <c r="BM1209" s="17"/>
      <c r="BN1209" s="17"/>
      <c r="BO1209" s="17"/>
      <c r="BP1209" s="17"/>
      <c r="BQ1209" s="17"/>
      <c r="BR1209" s="17"/>
      <c r="BS1209" s="17"/>
      <c r="BT1209" s="17"/>
      <c r="BU1209" s="17"/>
      <c r="BV1209" s="17"/>
      <c r="BW1209" s="17"/>
      <c r="BX1209" s="17"/>
      <c r="BY1209" s="17"/>
      <c r="BZ1209" s="17"/>
      <c r="CA1209" s="17"/>
      <c r="CB1209" s="17"/>
      <c r="CC1209" s="17"/>
      <c r="CD1209" s="17"/>
      <c r="CE1209" s="17"/>
      <c r="CF1209" s="17"/>
      <c r="CG1209" s="17"/>
      <c r="CH1209" s="17"/>
    </row>
    <row r="1210" spans="35:86" x14ac:dyDescent="0.15">
      <c r="AI1210" s="3"/>
      <c r="AJ1210" s="3"/>
      <c r="AK1210" s="15">
        <f t="shared" si="452"/>
        <v>5</v>
      </c>
      <c r="AL1210" s="11">
        <f t="shared" si="458"/>
        <v>7206</v>
      </c>
      <c r="AM1210" s="11" t="b">
        <f t="shared" si="451"/>
        <v>0</v>
      </c>
      <c r="AN1210" s="11">
        <f t="shared" si="453"/>
        <v>36000</v>
      </c>
      <c r="AO1210" s="11">
        <f t="shared" si="454"/>
        <v>0</v>
      </c>
      <c r="AP1210" s="11">
        <f t="shared" si="455"/>
        <v>0.30678132978620759</v>
      </c>
      <c r="AQ1210" s="11">
        <f t="shared" si="456"/>
        <v>0</v>
      </c>
      <c r="AT1210" s="3"/>
      <c r="AU1210" s="17"/>
      <c r="AV1210" s="19"/>
      <c r="AW1210" s="17"/>
      <c r="AX1210" s="17">
        <f t="shared" si="459"/>
        <v>1201</v>
      </c>
      <c r="AY1210" s="17">
        <f t="shared" si="457"/>
        <v>120.1</v>
      </c>
      <c r="AZ1210" s="17">
        <v>30.678132978620759</v>
      </c>
      <c r="BA1210" s="17"/>
      <c r="BB1210" s="17">
        <v>36</v>
      </c>
      <c r="BC1210" s="17"/>
      <c r="BD1210" s="17"/>
      <c r="BE1210" s="17"/>
      <c r="BF1210" s="17"/>
      <c r="BG1210" s="17"/>
      <c r="BH1210" s="17"/>
      <c r="BI1210" s="17"/>
      <c r="BJ1210" s="17"/>
      <c r="BK1210" s="17"/>
      <c r="BL1210" s="17"/>
      <c r="BM1210" s="17"/>
      <c r="BN1210" s="17"/>
      <c r="BO1210" s="17"/>
      <c r="BP1210" s="17"/>
      <c r="BQ1210" s="17"/>
      <c r="BR1210" s="17"/>
      <c r="BS1210" s="17"/>
      <c r="BT1210" s="17"/>
      <c r="BU1210" s="17"/>
      <c r="BV1210" s="17"/>
      <c r="BW1210" s="17"/>
      <c r="BX1210" s="17"/>
      <c r="BY1210" s="17"/>
      <c r="BZ1210" s="17"/>
      <c r="CA1210" s="17"/>
      <c r="CB1210" s="17"/>
      <c r="CC1210" s="17"/>
      <c r="CD1210" s="17"/>
      <c r="CE1210" s="17"/>
      <c r="CF1210" s="17"/>
      <c r="CG1210" s="17"/>
      <c r="CH1210" s="17"/>
    </row>
    <row r="1211" spans="35:86" x14ac:dyDescent="0.15">
      <c r="AI1211" s="3"/>
      <c r="AJ1211" s="3"/>
      <c r="AK1211" s="15">
        <f t="shared" si="452"/>
        <v>5</v>
      </c>
      <c r="AL1211" s="11">
        <f t="shared" si="458"/>
        <v>7212</v>
      </c>
      <c r="AM1211" s="11" t="b">
        <f t="shared" si="451"/>
        <v>0</v>
      </c>
      <c r="AN1211" s="11">
        <f t="shared" si="453"/>
        <v>36000</v>
      </c>
      <c r="AO1211" s="11">
        <f t="shared" si="454"/>
        <v>0</v>
      </c>
      <c r="AP1211" s="11">
        <f t="shared" si="455"/>
        <v>0.30788364460102241</v>
      </c>
      <c r="AQ1211" s="11">
        <f t="shared" si="456"/>
        <v>0</v>
      </c>
      <c r="AT1211" s="3"/>
      <c r="AU1211" s="17"/>
      <c r="AV1211" s="19"/>
      <c r="AW1211" s="17"/>
      <c r="AX1211" s="17">
        <f t="shared" si="459"/>
        <v>1202</v>
      </c>
      <c r="AY1211" s="17">
        <f t="shared" si="457"/>
        <v>120.2</v>
      </c>
      <c r="AZ1211" s="17">
        <v>30.78836446010224</v>
      </c>
      <c r="BA1211" s="17"/>
      <c r="BB1211" s="17">
        <v>36</v>
      </c>
      <c r="BC1211" s="17"/>
      <c r="BD1211" s="17"/>
      <c r="BE1211" s="17"/>
      <c r="BF1211" s="17"/>
      <c r="BG1211" s="17"/>
      <c r="BH1211" s="17"/>
      <c r="BI1211" s="17"/>
      <c r="BJ1211" s="17"/>
      <c r="BK1211" s="17"/>
      <c r="BL1211" s="17"/>
      <c r="BM1211" s="17"/>
      <c r="BN1211" s="17"/>
      <c r="BO1211" s="17"/>
      <c r="BP1211" s="17"/>
      <c r="BQ1211" s="17"/>
      <c r="BR1211" s="17"/>
      <c r="BS1211" s="17"/>
      <c r="BT1211" s="17"/>
      <c r="BU1211" s="17"/>
      <c r="BV1211" s="17"/>
      <c r="BW1211" s="17"/>
      <c r="BX1211" s="17"/>
      <c r="BY1211" s="17"/>
      <c r="BZ1211" s="17"/>
      <c r="CA1211" s="17"/>
      <c r="CB1211" s="17"/>
      <c r="CC1211" s="17"/>
      <c r="CD1211" s="17"/>
      <c r="CE1211" s="17"/>
      <c r="CF1211" s="17"/>
      <c r="CG1211" s="17"/>
      <c r="CH1211" s="17"/>
    </row>
    <row r="1212" spans="35:86" x14ac:dyDescent="0.15">
      <c r="AI1212" s="3"/>
      <c r="AJ1212" s="3"/>
      <c r="AK1212" s="15">
        <f t="shared" si="452"/>
        <v>5</v>
      </c>
      <c r="AL1212" s="11">
        <f t="shared" si="458"/>
        <v>7218</v>
      </c>
      <c r="AM1212" s="11" t="b">
        <f t="shared" si="451"/>
        <v>0</v>
      </c>
      <c r="AN1212" s="11">
        <f t="shared" si="453"/>
        <v>36000</v>
      </c>
      <c r="AO1212" s="11">
        <f t="shared" si="454"/>
        <v>0</v>
      </c>
      <c r="AP1212" s="11">
        <f t="shared" si="455"/>
        <v>0.30898595941583717</v>
      </c>
      <c r="AQ1212" s="11">
        <f t="shared" si="456"/>
        <v>0</v>
      </c>
      <c r="AT1212" s="3"/>
      <c r="AU1212" s="17"/>
      <c r="AV1212" s="19"/>
      <c r="AW1212" s="17"/>
      <c r="AX1212" s="17">
        <f t="shared" si="459"/>
        <v>1203</v>
      </c>
      <c r="AY1212" s="17">
        <f t="shared" si="457"/>
        <v>120.3</v>
      </c>
      <c r="AZ1212" s="17">
        <v>30.898595941583718</v>
      </c>
      <c r="BA1212" s="17"/>
      <c r="BB1212" s="17">
        <v>36</v>
      </c>
      <c r="BC1212" s="17"/>
      <c r="BD1212" s="17"/>
      <c r="BE1212" s="17"/>
      <c r="BF1212" s="17"/>
      <c r="BG1212" s="17"/>
      <c r="BH1212" s="17"/>
      <c r="BI1212" s="17"/>
      <c r="BJ1212" s="17"/>
      <c r="BK1212" s="17"/>
      <c r="BL1212" s="17"/>
      <c r="BM1212" s="17"/>
      <c r="BN1212" s="17"/>
      <c r="BO1212" s="17"/>
      <c r="BP1212" s="17"/>
      <c r="BQ1212" s="17"/>
      <c r="BR1212" s="17"/>
      <c r="BS1212" s="17"/>
      <c r="BT1212" s="17"/>
      <c r="BU1212" s="17"/>
      <c r="BV1212" s="17"/>
      <c r="BW1212" s="17"/>
      <c r="BX1212" s="17"/>
      <c r="BY1212" s="17"/>
      <c r="BZ1212" s="17"/>
      <c r="CA1212" s="17"/>
      <c r="CB1212" s="17"/>
      <c r="CC1212" s="17"/>
      <c r="CD1212" s="17"/>
      <c r="CE1212" s="17"/>
      <c r="CF1212" s="17"/>
      <c r="CG1212" s="17"/>
      <c r="CH1212" s="17"/>
    </row>
    <row r="1213" spans="35:86" x14ac:dyDescent="0.15">
      <c r="AI1213" s="3"/>
      <c r="AJ1213" s="3"/>
      <c r="AK1213" s="15">
        <f t="shared" si="452"/>
        <v>5</v>
      </c>
      <c r="AL1213" s="11">
        <f t="shared" si="458"/>
        <v>7224</v>
      </c>
      <c r="AM1213" s="11" t="b">
        <f t="shared" si="451"/>
        <v>0</v>
      </c>
      <c r="AN1213" s="11">
        <f t="shared" si="453"/>
        <v>36000</v>
      </c>
      <c r="AO1213" s="11">
        <f t="shared" si="454"/>
        <v>0</v>
      </c>
      <c r="AP1213" s="11">
        <f t="shared" si="455"/>
        <v>0.31008827423065199</v>
      </c>
      <c r="AQ1213" s="11">
        <f t="shared" si="456"/>
        <v>0</v>
      </c>
      <c r="AT1213" s="3"/>
      <c r="AU1213" s="17"/>
      <c r="AV1213" s="19"/>
      <c r="AW1213" s="17"/>
      <c r="AX1213" s="17">
        <f t="shared" si="459"/>
        <v>1204</v>
      </c>
      <c r="AY1213" s="17">
        <f t="shared" si="457"/>
        <v>120.4</v>
      </c>
      <c r="AZ1213" s="17">
        <v>31.008827423065199</v>
      </c>
      <c r="BA1213" s="17"/>
      <c r="BB1213" s="17">
        <v>36</v>
      </c>
      <c r="BC1213" s="17"/>
      <c r="BD1213" s="17"/>
      <c r="BE1213" s="17"/>
      <c r="BF1213" s="17"/>
      <c r="BG1213" s="17"/>
      <c r="BH1213" s="17"/>
      <c r="BI1213" s="17"/>
      <c r="BJ1213" s="17"/>
      <c r="BK1213" s="17"/>
      <c r="BL1213" s="17"/>
      <c r="BM1213" s="17"/>
      <c r="BN1213" s="17"/>
      <c r="BO1213" s="17"/>
      <c r="BP1213" s="17"/>
      <c r="BQ1213" s="17"/>
      <c r="BR1213" s="17"/>
      <c r="BS1213" s="17"/>
      <c r="BT1213" s="17"/>
      <c r="BU1213" s="17"/>
      <c r="BV1213" s="17"/>
      <c r="BW1213" s="17"/>
      <c r="BX1213" s="17"/>
      <c r="BY1213" s="17"/>
      <c r="BZ1213" s="17"/>
      <c r="CA1213" s="17"/>
      <c r="CB1213" s="17"/>
      <c r="CC1213" s="17"/>
      <c r="CD1213" s="17"/>
      <c r="CE1213" s="17"/>
      <c r="CF1213" s="17"/>
      <c r="CG1213" s="17"/>
      <c r="CH1213" s="17"/>
    </row>
    <row r="1214" spans="35:86" x14ac:dyDescent="0.15">
      <c r="AI1214" s="3"/>
      <c r="AJ1214" s="3"/>
      <c r="AK1214" s="15">
        <f t="shared" si="452"/>
        <v>5</v>
      </c>
      <c r="AL1214" s="11">
        <f t="shared" si="458"/>
        <v>7230</v>
      </c>
      <c r="AM1214" s="11" t="b">
        <f t="shared" si="451"/>
        <v>0</v>
      </c>
      <c r="AN1214" s="11">
        <f t="shared" si="453"/>
        <v>36000</v>
      </c>
      <c r="AO1214" s="11">
        <f t="shared" si="454"/>
        <v>0</v>
      </c>
      <c r="AP1214" s="11">
        <f t="shared" si="455"/>
        <v>0.31119058904546676</v>
      </c>
      <c r="AQ1214" s="11">
        <f t="shared" si="456"/>
        <v>0</v>
      </c>
      <c r="AT1214" s="3"/>
      <c r="AU1214" s="17"/>
      <c r="AV1214" s="19"/>
      <c r="AW1214" s="17"/>
      <c r="AX1214" s="17">
        <f t="shared" si="459"/>
        <v>1205</v>
      </c>
      <c r="AY1214" s="17">
        <f t="shared" si="457"/>
        <v>120.5</v>
      </c>
      <c r="AZ1214" s="17">
        <v>31.119058904546677</v>
      </c>
      <c r="BA1214" s="17"/>
      <c r="BB1214" s="17">
        <v>36</v>
      </c>
      <c r="BC1214" s="17"/>
      <c r="BD1214" s="17"/>
      <c r="BE1214" s="17"/>
      <c r="BF1214" s="17"/>
      <c r="BG1214" s="17"/>
      <c r="BH1214" s="17"/>
      <c r="BI1214" s="17"/>
      <c r="BJ1214" s="17"/>
      <c r="BK1214" s="17"/>
      <c r="BL1214" s="17"/>
      <c r="BM1214" s="17"/>
      <c r="BN1214" s="17"/>
      <c r="BO1214" s="17"/>
      <c r="BP1214" s="17"/>
      <c r="BQ1214" s="17"/>
      <c r="BR1214" s="17"/>
      <c r="BS1214" s="17"/>
      <c r="BT1214" s="17"/>
      <c r="BU1214" s="17"/>
      <c r="BV1214" s="17"/>
      <c r="BW1214" s="17"/>
      <c r="BX1214" s="17"/>
      <c r="BY1214" s="17"/>
      <c r="BZ1214" s="17"/>
      <c r="CA1214" s="17"/>
      <c r="CB1214" s="17"/>
      <c r="CC1214" s="17"/>
      <c r="CD1214" s="17"/>
      <c r="CE1214" s="17"/>
      <c r="CF1214" s="17"/>
      <c r="CG1214" s="17"/>
      <c r="CH1214" s="17"/>
    </row>
    <row r="1215" spans="35:86" x14ac:dyDescent="0.15">
      <c r="AI1215" s="3"/>
      <c r="AJ1215" s="3"/>
      <c r="AK1215" s="15">
        <f t="shared" si="452"/>
        <v>5</v>
      </c>
      <c r="AL1215" s="11">
        <f t="shared" si="458"/>
        <v>7236</v>
      </c>
      <c r="AM1215" s="11" t="b">
        <f t="shared" si="451"/>
        <v>0</v>
      </c>
      <c r="AN1215" s="11">
        <f t="shared" si="453"/>
        <v>36000</v>
      </c>
      <c r="AO1215" s="11">
        <f t="shared" si="454"/>
        <v>0</v>
      </c>
      <c r="AP1215" s="11">
        <f t="shared" si="455"/>
        <v>0.31229290386028158</v>
      </c>
      <c r="AQ1215" s="11">
        <f t="shared" si="456"/>
        <v>0</v>
      </c>
      <c r="AT1215" s="3"/>
      <c r="AU1215" s="17"/>
      <c r="AV1215" s="19"/>
      <c r="AW1215" s="17"/>
      <c r="AX1215" s="17">
        <f t="shared" si="459"/>
        <v>1206</v>
      </c>
      <c r="AY1215" s="17">
        <f t="shared" si="457"/>
        <v>120.6</v>
      </c>
      <c r="AZ1215" s="17">
        <v>31.229290386028158</v>
      </c>
      <c r="BA1215" s="17"/>
      <c r="BB1215" s="17">
        <v>36</v>
      </c>
      <c r="BC1215" s="17"/>
      <c r="BD1215" s="17"/>
      <c r="BE1215" s="17"/>
      <c r="BF1215" s="17"/>
      <c r="BG1215" s="17"/>
      <c r="BH1215" s="17"/>
      <c r="BI1215" s="17"/>
      <c r="BJ1215" s="17"/>
      <c r="BK1215" s="17"/>
      <c r="BL1215" s="17"/>
      <c r="BM1215" s="17"/>
      <c r="BN1215" s="17"/>
      <c r="BO1215" s="17"/>
      <c r="BP1215" s="17"/>
      <c r="BQ1215" s="17"/>
      <c r="BR1215" s="17"/>
      <c r="BS1215" s="17"/>
      <c r="BT1215" s="17"/>
      <c r="BU1215" s="17"/>
      <c r="BV1215" s="17"/>
      <c r="BW1215" s="17"/>
      <c r="BX1215" s="17"/>
      <c r="BY1215" s="17"/>
      <c r="BZ1215" s="17"/>
      <c r="CA1215" s="17"/>
      <c r="CB1215" s="17"/>
      <c r="CC1215" s="17"/>
      <c r="CD1215" s="17"/>
      <c r="CE1215" s="17"/>
      <c r="CF1215" s="17"/>
      <c r="CG1215" s="17"/>
      <c r="CH1215" s="17"/>
    </row>
    <row r="1216" spans="35:86" x14ac:dyDescent="0.15">
      <c r="AI1216" s="3"/>
      <c r="AJ1216" s="3"/>
      <c r="AK1216" s="15">
        <f t="shared" si="452"/>
        <v>5</v>
      </c>
      <c r="AL1216" s="11">
        <f t="shared" si="458"/>
        <v>7242</v>
      </c>
      <c r="AM1216" s="11" t="b">
        <f t="shared" si="451"/>
        <v>0</v>
      </c>
      <c r="AN1216" s="11">
        <f t="shared" si="453"/>
        <v>36000</v>
      </c>
      <c r="AO1216" s="11">
        <f t="shared" si="454"/>
        <v>0</v>
      </c>
      <c r="AP1216" s="11">
        <f t="shared" si="455"/>
        <v>0.31339521867509634</v>
      </c>
      <c r="AQ1216" s="11">
        <f t="shared" si="456"/>
        <v>0</v>
      </c>
      <c r="AT1216" s="3"/>
      <c r="AU1216" s="17"/>
      <c r="AV1216" s="19"/>
      <c r="AW1216" s="17"/>
      <c r="AX1216" s="17">
        <f t="shared" si="459"/>
        <v>1207</v>
      </c>
      <c r="AY1216" s="17">
        <f t="shared" si="457"/>
        <v>120.7</v>
      </c>
      <c r="AZ1216" s="17">
        <v>31.339521867509635</v>
      </c>
      <c r="BA1216" s="17"/>
      <c r="BB1216" s="17">
        <v>36</v>
      </c>
      <c r="BC1216" s="17"/>
      <c r="BD1216" s="17"/>
      <c r="BE1216" s="17"/>
      <c r="BF1216" s="17"/>
      <c r="BG1216" s="17"/>
      <c r="BH1216" s="17"/>
      <c r="BI1216" s="17"/>
      <c r="BJ1216" s="17"/>
      <c r="BK1216" s="17"/>
      <c r="BL1216" s="17"/>
      <c r="BM1216" s="17"/>
      <c r="BN1216" s="17"/>
      <c r="BO1216" s="17"/>
      <c r="BP1216" s="17"/>
      <c r="BQ1216" s="17"/>
      <c r="BR1216" s="17"/>
      <c r="BS1216" s="17"/>
      <c r="BT1216" s="17"/>
      <c r="BU1216" s="17"/>
      <c r="BV1216" s="17"/>
      <c r="BW1216" s="17"/>
      <c r="BX1216" s="17"/>
      <c r="BY1216" s="17"/>
      <c r="BZ1216" s="17"/>
      <c r="CA1216" s="17"/>
      <c r="CB1216" s="17"/>
      <c r="CC1216" s="17"/>
      <c r="CD1216" s="17"/>
      <c r="CE1216" s="17"/>
      <c r="CF1216" s="17"/>
      <c r="CG1216" s="17"/>
      <c r="CH1216" s="17"/>
    </row>
    <row r="1217" spans="35:86" x14ac:dyDescent="0.15">
      <c r="AI1217" s="3"/>
      <c r="AJ1217" s="3"/>
      <c r="AK1217" s="15">
        <f t="shared" si="452"/>
        <v>5</v>
      </c>
      <c r="AL1217" s="11">
        <f t="shared" si="458"/>
        <v>7248</v>
      </c>
      <c r="AM1217" s="11" t="b">
        <f t="shared" si="451"/>
        <v>0</v>
      </c>
      <c r="AN1217" s="11">
        <f t="shared" si="453"/>
        <v>36000</v>
      </c>
      <c r="AO1217" s="11">
        <f t="shared" si="454"/>
        <v>0</v>
      </c>
      <c r="AP1217" s="11">
        <f t="shared" si="455"/>
        <v>0.31449753348991116</v>
      </c>
      <c r="AQ1217" s="11">
        <f t="shared" si="456"/>
        <v>0</v>
      </c>
      <c r="AT1217" s="3"/>
      <c r="AU1217" s="17"/>
      <c r="AV1217" s="19"/>
      <c r="AW1217" s="17"/>
      <c r="AX1217" s="17">
        <f t="shared" si="459"/>
        <v>1208</v>
      </c>
      <c r="AY1217" s="17">
        <f t="shared" si="457"/>
        <v>120.8</v>
      </c>
      <c r="AZ1217" s="17">
        <v>31.449753348991116</v>
      </c>
      <c r="BA1217" s="17"/>
      <c r="BB1217" s="17">
        <v>36</v>
      </c>
      <c r="BC1217" s="17"/>
      <c r="BD1217" s="17"/>
      <c r="BE1217" s="17"/>
      <c r="BF1217" s="17"/>
      <c r="BG1217" s="17"/>
      <c r="BH1217" s="17"/>
      <c r="BI1217" s="17"/>
      <c r="BJ1217" s="17"/>
      <c r="BK1217" s="17"/>
      <c r="BL1217" s="17"/>
      <c r="BM1217" s="17"/>
      <c r="BN1217" s="17"/>
      <c r="BO1217" s="17"/>
      <c r="BP1217" s="17"/>
      <c r="BQ1217" s="17"/>
      <c r="BR1217" s="17"/>
      <c r="BS1217" s="17"/>
      <c r="BT1217" s="17"/>
      <c r="BU1217" s="17"/>
      <c r="BV1217" s="17"/>
      <c r="BW1217" s="17"/>
      <c r="BX1217" s="17"/>
      <c r="BY1217" s="17"/>
      <c r="BZ1217" s="17"/>
      <c r="CA1217" s="17"/>
      <c r="CB1217" s="17"/>
      <c r="CC1217" s="17"/>
      <c r="CD1217" s="17"/>
      <c r="CE1217" s="17"/>
      <c r="CF1217" s="17"/>
      <c r="CG1217" s="17"/>
      <c r="CH1217" s="17"/>
    </row>
    <row r="1218" spans="35:86" x14ac:dyDescent="0.15">
      <c r="AI1218" s="3"/>
      <c r="AJ1218" s="3"/>
      <c r="AK1218" s="15">
        <f t="shared" si="452"/>
        <v>5</v>
      </c>
      <c r="AL1218" s="11">
        <f t="shared" si="458"/>
        <v>7254</v>
      </c>
      <c r="AM1218" s="11" t="b">
        <f t="shared" si="451"/>
        <v>0</v>
      </c>
      <c r="AN1218" s="11">
        <f t="shared" si="453"/>
        <v>36000</v>
      </c>
      <c r="AO1218" s="11">
        <f t="shared" si="454"/>
        <v>0</v>
      </c>
      <c r="AP1218" s="11">
        <f t="shared" si="455"/>
        <v>0.31559984830472593</v>
      </c>
      <c r="AQ1218" s="11">
        <f t="shared" si="456"/>
        <v>0</v>
      </c>
      <c r="AT1218" s="3"/>
      <c r="AU1218" s="17"/>
      <c r="AV1218" s="19"/>
      <c r="AW1218" s="17"/>
      <c r="AX1218" s="17">
        <f t="shared" si="459"/>
        <v>1209</v>
      </c>
      <c r="AY1218" s="17">
        <f t="shared" si="457"/>
        <v>120.9</v>
      </c>
      <c r="AZ1218" s="17">
        <v>31.559984830472594</v>
      </c>
      <c r="BA1218" s="17"/>
      <c r="BB1218" s="17">
        <v>36</v>
      </c>
      <c r="BC1218" s="17"/>
      <c r="BD1218" s="17"/>
      <c r="BE1218" s="17"/>
      <c r="BF1218" s="17"/>
      <c r="BG1218" s="17"/>
      <c r="BH1218" s="17"/>
      <c r="BI1218" s="17"/>
      <c r="BJ1218" s="17"/>
      <c r="BK1218" s="17"/>
      <c r="BL1218" s="17"/>
      <c r="BM1218" s="17"/>
      <c r="BN1218" s="17"/>
      <c r="BO1218" s="17"/>
      <c r="BP1218" s="17"/>
      <c r="BQ1218" s="17"/>
      <c r="BR1218" s="17"/>
      <c r="BS1218" s="17"/>
      <c r="BT1218" s="17"/>
      <c r="BU1218" s="17"/>
      <c r="BV1218" s="17"/>
      <c r="BW1218" s="17"/>
      <c r="BX1218" s="17"/>
      <c r="BY1218" s="17"/>
      <c r="BZ1218" s="17"/>
      <c r="CA1218" s="17"/>
      <c r="CB1218" s="17"/>
      <c r="CC1218" s="17"/>
      <c r="CD1218" s="17"/>
      <c r="CE1218" s="17"/>
      <c r="CF1218" s="17"/>
      <c r="CG1218" s="17"/>
      <c r="CH1218" s="17"/>
    </row>
    <row r="1219" spans="35:86" x14ac:dyDescent="0.15">
      <c r="AI1219" s="3"/>
      <c r="AJ1219" s="3"/>
      <c r="AK1219" s="15">
        <f t="shared" si="452"/>
        <v>5</v>
      </c>
      <c r="AL1219" s="11">
        <f t="shared" si="458"/>
        <v>7260</v>
      </c>
      <c r="AM1219" s="11" t="b">
        <f t="shared" si="451"/>
        <v>0</v>
      </c>
      <c r="AN1219" s="11">
        <f t="shared" si="453"/>
        <v>36000</v>
      </c>
      <c r="AO1219" s="11">
        <f t="shared" si="454"/>
        <v>0</v>
      </c>
      <c r="AP1219" s="11">
        <f t="shared" si="455"/>
        <v>0.31670216311954075</v>
      </c>
      <c r="AQ1219" s="11">
        <f t="shared" si="456"/>
        <v>0</v>
      </c>
      <c r="AT1219" s="3"/>
      <c r="AU1219" s="17"/>
      <c r="AV1219" s="19"/>
      <c r="AW1219" s="17"/>
      <c r="AX1219" s="17">
        <f t="shared" si="459"/>
        <v>1210</v>
      </c>
      <c r="AY1219" s="17">
        <f t="shared" si="457"/>
        <v>121</v>
      </c>
      <c r="AZ1219" s="17">
        <v>31.670216311954075</v>
      </c>
      <c r="BA1219" s="17"/>
      <c r="BB1219" s="17">
        <v>36</v>
      </c>
      <c r="BC1219" s="17"/>
      <c r="BD1219" s="17"/>
      <c r="BE1219" s="17"/>
      <c r="BF1219" s="17"/>
      <c r="BG1219" s="17"/>
      <c r="BH1219" s="17"/>
      <c r="BI1219" s="17"/>
      <c r="BJ1219" s="17"/>
      <c r="BK1219" s="17"/>
      <c r="BL1219" s="17"/>
      <c r="BM1219" s="17"/>
      <c r="BN1219" s="17"/>
      <c r="BO1219" s="17"/>
      <c r="BP1219" s="17"/>
      <c r="BQ1219" s="17"/>
      <c r="BR1219" s="17"/>
      <c r="BS1219" s="17"/>
      <c r="BT1219" s="17"/>
      <c r="BU1219" s="17"/>
      <c r="BV1219" s="17"/>
      <c r="BW1219" s="17"/>
      <c r="BX1219" s="17"/>
      <c r="BY1219" s="17"/>
      <c r="BZ1219" s="17"/>
      <c r="CA1219" s="17"/>
      <c r="CB1219" s="17"/>
      <c r="CC1219" s="17"/>
      <c r="CD1219" s="17"/>
      <c r="CE1219" s="17"/>
      <c r="CF1219" s="17"/>
      <c r="CG1219" s="17"/>
      <c r="CH1219" s="17"/>
    </row>
    <row r="1220" spans="35:86" x14ac:dyDescent="0.15">
      <c r="AI1220" s="3"/>
      <c r="AJ1220" s="3"/>
      <c r="AK1220" s="15">
        <f t="shared" si="452"/>
        <v>5</v>
      </c>
      <c r="AL1220" s="11">
        <f t="shared" si="458"/>
        <v>7266</v>
      </c>
      <c r="AM1220" s="11" t="b">
        <f t="shared" si="451"/>
        <v>0</v>
      </c>
      <c r="AN1220" s="11">
        <f t="shared" si="453"/>
        <v>36000</v>
      </c>
      <c r="AO1220" s="11">
        <f t="shared" si="454"/>
        <v>0</v>
      </c>
      <c r="AP1220" s="11">
        <f t="shared" si="455"/>
        <v>0.31780447793435551</v>
      </c>
      <c r="AQ1220" s="11">
        <f t="shared" si="456"/>
        <v>0</v>
      </c>
      <c r="AT1220" s="3"/>
      <c r="AU1220" s="17"/>
      <c r="AV1220" s="19"/>
      <c r="AW1220" s="17"/>
      <c r="AX1220" s="17">
        <f t="shared" si="459"/>
        <v>1211</v>
      </c>
      <c r="AY1220" s="17">
        <f t="shared" si="457"/>
        <v>121.1</v>
      </c>
      <c r="AZ1220" s="17">
        <v>31.780447793435552</v>
      </c>
      <c r="BA1220" s="17"/>
      <c r="BB1220" s="17">
        <v>36</v>
      </c>
      <c r="BC1220" s="17"/>
      <c r="BD1220" s="17"/>
      <c r="BE1220" s="17"/>
      <c r="BF1220" s="17"/>
      <c r="BG1220" s="17"/>
      <c r="BH1220" s="17"/>
      <c r="BI1220" s="17"/>
      <c r="BJ1220" s="17"/>
      <c r="BK1220" s="17"/>
      <c r="BL1220" s="17"/>
      <c r="BM1220" s="17"/>
      <c r="BN1220" s="17"/>
      <c r="BO1220" s="17"/>
      <c r="BP1220" s="17"/>
      <c r="BQ1220" s="17"/>
      <c r="BR1220" s="17"/>
      <c r="BS1220" s="17"/>
      <c r="BT1220" s="17"/>
      <c r="BU1220" s="17"/>
      <c r="BV1220" s="17"/>
      <c r="BW1220" s="17"/>
      <c r="BX1220" s="17"/>
      <c r="BY1220" s="17"/>
      <c r="BZ1220" s="17"/>
      <c r="CA1220" s="17"/>
      <c r="CB1220" s="17"/>
      <c r="CC1220" s="17"/>
      <c r="CD1220" s="17"/>
      <c r="CE1220" s="17"/>
      <c r="CF1220" s="17"/>
      <c r="CG1220" s="17"/>
      <c r="CH1220" s="17"/>
    </row>
    <row r="1221" spans="35:86" x14ac:dyDescent="0.15">
      <c r="AI1221" s="3"/>
      <c r="AJ1221" s="3"/>
      <c r="AK1221" s="15">
        <f t="shared" si="452"/>
        <v>5</v>
      </c>
      <c r="AL1221" s="11">
        <f t="shared" si="458"/>
        <v>7272</v>
      </c>
      <c r="AM1221" s="11" t="b">
        <f t="shared" si="451"/>
        <v>0</v>
      </c>
      <c r="AN1221" s="11">
        <f t="shared" si="453"/>
        <v>36000</v>
      </c>
      <c r="AO1221" s="11">
        <f t="shared" si="454"/>
        <v>0</v>
      </c>
      <c r="AP1221" s="11">
        <f t="shared" si="455"/>
        <v>0.31890679274917033</v>
      </c>
      <c r="AQ1221" s="11">
        <f t="shared" si="456"/>
        <v>0</v>
      </c>
      <c r="AT1221" s="3"/>
      <c r="AU1221" s="17"/>
      <c r="AV1221" s="19"/>
      <c r="AW1221" s="17"/>
      <c r="AX1221" s="17">
        <f t="shared" si="459"/>
        <v>1212</v>
      </c>
      <c r="AY1221" s="17">
        <f t="shared" si="457"/>
        <v>121.2</v>
      </c>
      <c r="AZ1221" s="17">
        <v>31.890679274917034</v>
      </c>
      <c r="BA1221" s="17"/>
      <c r="BB1221" s="17">
        <v>36</v>
      </c>
      <c r="BC1221" s="17"/>
      <c r="BD1221" s="17"/>
      <c r="BE1221" s="17"/>
      <c r="BF1221" s="17"/>
      <c r="BG1221" s="17"/>
      <c r="BH1221" s="17"/>
      <c r="BI1221" s="17"/>
      <c r="BJ1221" s="17"/>
      <c r="BK1221" s="17"/>
      <c r="BL1221" s="17"/>
      <c r="BM1221" s="17"/>
      <c r="BN1221" s="17"/>
      <c r="BO1221" s="17"/>
      <c r="BP1221" s="17"/>
      <c r="BQ1221" s="17"/>
      <c r="BR1221" s="17"/>
      <c r="BS1221" s="17"/>
      <c r="BT1221" s="17"/>
      <c r="BU1221" s="17"/>
      <c r="BV1221" s="17"/>
      <c r="BW1221" s="17"/>
      <c r="BX1221" s="17"/>
      <c r="BY1221" s="17"/>
      <c r="BZ1221" s="17"/>
      <c r="CA1221" s="17"/>
      <c r="CB1221" s="17"/>
      <c r="CC1221" s="17"/>
      <c r="CD1221" s="17"/>
      <c r="CE1221" s="17"/>
      <c r="CF1221" s="17"/>
      <c r="CG1221" s="17"/>
      <c r="CH1221" s="17"/>
    </row>
    <row r="1222" spans="35:86" x14ac:dyDescent="0.15">
      <c r="AI1222" s="3"/>
      <c r="AJ1222" s="3"/>
      <c r="AK1222" s="15">
        <f t="shared" si="452"/>
        <v>5</v>
      </c>
      <c r="AL1222" s="11">
        <f t="shared" si="458"/>
        <v>7278</v>
      </c>
      <c r="AM1222" s="11" t="b">
        <f t="shared" si="451"/>
        <v>0</v>
      </c>
      <c r="AN1222" s="11">
        <f t="shared" si="453"/>
        <v>36000</v>
      </c>
      <c r="AO1222" s="11">
        <f t="shared" si="454"/>
        <v>0</v>
      </c>
      <c r="AP1222" s="11">
        <f t="shared" si="455"/>
        <v>0.3200091075639851</v>
      </c>
      <c r="AQ1222" s="11">
        <f t="shared" si="456"/>
        <v>0</v>
      </c>
      <c r="AT1222" s="3"/>
      <c r="AU1222" s="17"/>
      <c r="AV1222" s="19"/>
      <c r="AW1222" s="17"/>
      <c r="AX1222" s="17">
        <f t="shared" si="459"/>
        <v>1213</v>
      </c>
      <c r="AY1222" s="17">
        <f t="shared" si="457"/>
        <v>121.3</v>
      </c>
      <c r="AZ1222" s="17">
        <v>32.000910756398511</v>
      </c>
      <c r="BA1222" s="17"/>
      <c r="BB1222" s="17">
        <v>36</v>
      </c>
      <c r="BC1222" s="17"/>
      <c r="BD1222" s="17"/>
      <c r="BE1222" s="17"/>
      <c r="BF1222" s="17"/>
      <c r="BG1222" s="17"/>
      <c r="BH1222" s="17"/>
      <c r="BI1222" s="17"/>
      <c r="BJ1222" s="17"/>
      <c r="BK1222" s="17"/>
      <c r="BL1222" s="17"/>
      <c r="BM1222" s="17"/>
      <c r="BN1222" s="17"/>
      <c r="BO1222" s="17"/>
      <c r="BP1222" s="17"/>
      <c r="BQ1222" s="17"/>
      <c r="BR1222" s="17"/>
      <c r="BS1222" s="17"/>
      <c r="BT1222" s="17"/>
      <c r="BU1222" s="17"/>
      <c r="BV1222" s="17"/>
      <c r="BW1222" s="17"/>
      <c r="BX1222" s="17"/>
      <c r="BY1222" s="17"/>
      <c r="BZ1222" s="17"/>
      <c r="CA1222" s="17"/>
      <c r="CB1222" s="17"/>
      <c r="CC1222" s="17"/>
      <c r="CD1222" s="17"/>
      <c r="CE1222" s="17"/>
      <c r="CF1222" s="17"/>
      <c r="CG1222" s="17"/>
      <c r="CH1222" s="17"/>
    </row>
    <row r="1223" spans="35:86" x14ac:dyDescent="0.15">
      <c r="AI1223" s="3"/>
      <c r="AJ1223" s="3"/>
      <c r="AK1223" s="15">
        <f t="shared" si="452"/>
        <v>5</v>
      </c>
      <c r="AL1223" s="11">
        <f t="shared" si="458"/>
        <v>7284</v>
      </c>
      <c r="AM1223" s="11" t="b">
        <f t="shared" si="451"/>
        <v>0</v>
      </c>
      <c r="AN1223" s="11">
        <f t="shared" si="453"/>
        <v>36000</v>
      </c>
      <c r="AO1223" s="11">
        <f t="shared" si="454"/>
        <v>0</v>
      </c>
      <c r="AP1223" s="11">
        <f t="shared" si="455"/>
        <v>0.32111142237879992</v>
      </c>
      <c r="AQ1223" s="11">
        <f t="shared" si="456"/>
        <v>0</v>
      </c>
      <c r="AT1223" s="3"/>
      <c r="AU1223" s="17"/>
      <c r="AV1223" s="19"/>
      <c r="AW1223" s="17"/>
      <c r="AX1223" s="17">
        <f t="shared" si="459"/>
        <v>1214</v>
      </c>
      <c r="AY1223" s="17">
        <f t="shared" si="457"/>
        <v>121.4</v>
      </c>
      <c r="AZ1223" s="17">
        <v>32.111142237879989</v>
      </c>
      <c r="BA1223" s="17"/>
      <c r="BB1223" s="17">
        <v>36</v>
      </c>
      <c r="BC1223" s="17"/>
      <c r="BD1223" s="17"/>
      <c r="BE1223" s="17"/>
      <c r="BF1223" s="17"/>
      <c r="BG1223" s="17"/>
      <c r="BH1223" s="17"/>
      <c r="BI1223" s="17"/>
      <c r="BJ1223" s="17"/>
      <c r="BK1223" s="17"/>
      <c r="BL1223" s="17"/>
      <c r="BM1223" s="17"/>
      <c r="BN1223" s="17"/>
      <c r="BO1223" s="17"/>
      <c r="BP1223" s="17"/>
      <c r="BQ1223" s="17"/>
      <c r="BR1223" s="17"/>
      <c r="BS1223" s="17"/>
      <c r="BT1223" s="17"/>
      <c r="BU1223" s="17"/>
      <c r="BV1223" s="17"/>
      <c r="BW1223" s="17"/>
      <c r="BX1223" s="17"/>
      <c r="BY1223" s="17"/>
      <c r="BZ1223" s="17"/>
      <c r="CA1223" s="17"/>
      <c r="CB1223" s="17"/>
      <c r="CC1223" s="17"/>
      <c r="CD1223" s="17"/>
      <c r="CE1223" s="17"/>
      <c r="CF1223" s="17"/>
      <c r="CG1223" s="17"/>
      <c r="CH1223" s="17"/>
    </row>
    <row r="1224" spans="35:86" x14ac:dyDescent="0.15">
      <c r="AI1224" s="3"/>
      <c r="AJ1224" s="3"/>
      <c r="AK1224" s="15">
        <f t="shared" si="452"/>
        <v>5</v>
      </c>
      <c r="AL1224" s="11">
        <f t="shared" si="458"/>
        <v>7290</v>
      </c>
      <c r="AM1224" s="11" t="b">
        <f t="shared" si="451"/>
        <v>0</v>
      </c>
      <c r="AN1224" s="11">
        <f t="shared" si="453"/>
        <v>36000</v>
      </c>
      <c r="AO1224" s="11">
        <f t="shared" si="454"/>
        <v>0</v>
      </c>
      <c r="AP1224" s="11">
        <f t="shared" si="455"/>
        <v>0.32221373719361468</v>
      </c>
      <c r="AQ1224" s="11">
        <f t="shared" si="456"/>
        <v>0</v>
      </c>
      <c r="AT1224" s="3"/>
      <c r="AU1224" s="17"/>
      <c r="AV1224" s="19"/>
      <c r="AW1224" s="17"/>
      <c r="AX1224" s="17">
        <f t="shared" si="459"/>
        <v>1215</v>
      </c>
      <c r="AY1224" s="17">
        <f t="shared" si="457"/>
        <v>121.5</v>
      </c>
      <c r="AZ1224" s="17">
        <v>32.221373719361466</v>
      </c>
      <c r="BA1224" s="17"/>
      <c r="BB1224" s="17">
        <v>36</v>
      </c>
      <c r="BC1224" s="17"/>
      <c r="BD1224" s="17"/>
      <c r="BE1224" s="17"/>
      <c r="BF1224" s="17"/>
      <c r="BG1224" s="17"/>
      <c r="BH1224" s="17"/>
      <c r="BI1224" s="17"/>
      <c r="BJ1224" s="17"/>
      <c r="BK1224" s="17"/>
      <c r="BL1224" s="17"/>
      <c r="BM1224" s="17"/>
      <c r="BN1224" s="17"/>
      <c r="BO1224" s="17"/>
      <c r="BP1224" s="17"/>
      <c r="BQ1224" s="17"/>
      <c r="BR1224" s="17"/>
      <c r="BS1224" s="17"/>
      <c r="BT1224" s="17"/>
      <c r="BU1224" s="17"/>
      <c r="BV1224" s="17"/>
      <c r="BW1224" s="17"/>
      <c r="BX1224" s="17"/>
      <c r="BY1224" s="17"/>
      <c r="BZ1224" s="17"/>
      <c r="CA1224" s="17"/>
      <c r="CB1224" s="17"/>
      <c r="CC1224" s="17"/>
      <c r="CD1224" s="17"/>
      <c r="CE1224" s="17"/>
      <c r="CF1224" s="17"/>
      <c r="CG1224" s="17"/>
      <c r="CH1224" s="17"/>
    </row>
    <row r="1225" spans="35:86" x14ac:dyDescent="0.15">
      <c r="AI1225" s="3"/>
      <c r="AJ1225" s="3"/>
      <c r="AK1225" s="15">
        <f t="shared" si="452"/>
        <v>5</v>
      </c>
      <c r="AL1225" s="11">
        <f t="shared" si="458"/>
        <v>7296</v>
      </c>
      <c r="AM1225" s="11" t="b">
        <f t="shared" ref="AM1225:AM1288" si="460">OR(AND(AL1225&gt;=$AC$5,AL1225&lt;=$AD$5),AND(AL1225&gt;=$AC$6,AL1225&lt;=$AD$6),AND(AL1225&gt;=$AC$7,AL1225&lt;=$AD$7),AND(AL1225&gt;=$AC$8,AL1225&lt;=$AD$8),AND(AL1225&gt;=$AC$9,AL1225&lt;=$AD$9),AND(AL1225&gt;=$AC$10,AL1225&lt;=$AD$10),AND(AL1225&gt;=$AC$11,AL1225&lt;=$AD$11),AND($AD$11&lt;$AC$11,OR(AL1225&lt;$AD$11,AL1225&gt;$AC$11)))</f>
        <v>0</v>
      </c>
      <c r="AN1225" s="11">
        <f t="shared" si="453"/>
        <v>36000</v>
      </c>
      <c r="AO1225" s="11">
        <f t="shared" si="454"/>
        <v>0</v>
      </c>
      <c r="AP1225" s="11">
        <f t="shared" si="455"/>
        <v>0.3233160520084295</v>
      </c>
      <c r="AQ1225" s="11">
        <f t="shared" si="456"/>
        <v>0</v>
      </c>
      <c r="AT1225" s="3"/>
      <c r="AU1225" s="17"/>
      <c r="AV1225" s="19"/>
      <c r="AW1225" s="17"/>
      <c r="AX1225" s="17">
        <f t="shared" si="459"/>
        <v>1216</v>
      </c>
      <c r="AY1225" s="17">
        <f t="shared" si="457"/>
        <v>121.6</v>
      </c>
      <c r="AZ1225" s="17">
        <v>32.331605200842951</v>
      </c>
      <c r="BA1225" s="17"/>
      <c r="BB1225" s="17">
        <v>36</v>
      </c>
      <c r="BC1225" s="17"/>
      <c r="BD1225" s="17"/>
      <c r="BE1225" s="17"/>
      <c r="BF1225" s="17"/>
      <c r="BG1225" s="17"/>
      <c r="BH1225" s="17"/>
      <c r="BI1225" s="17"/>
      <c r="BJ1225" s="17"/>
      <c r="BK1225" s="17"/>
      <c r="BL1225" s="17"/>
      <c r="BM1225" s="17"/>
      <c r="BN1225" s="17"/>
      <c r="BO1225" s="17"/>
      <c r="BP1225" s="17"/>
      <c r="BQ1225" s="17"/>
      <c r="BR1225" s="17"/>
      <c r="BS1225" s="17"/>
      <c r="BT1225" s="17"/>
      <c r="BU1225" s="17"/>
      <c r="BV1225" s="17"/>
      <c r="BW1225" s="17"/>
      <c r="BX1225" s="17"/>
      <c r="BY1225" s="17"/>
      <c r="BZ1225" s="17"/>
      <c r="CA1225" s="17"/>
      <c r="CB1225" s="17"/>
      <c r="CC1225" s="17"/>
      <c r="CD1225" s="17"/>
      <c r="CE1225" s="17"/>
      <c r="CF1225" s="17"/>
      <c r="CG1225" s="17"/>
      <c r="CH1225" s="17"/>
    </row>
    <row r="1226" spans="35:86" x14ac:dyDescent="0.15">
      <c r="AI1226" s="3"/>
      <c r="AJ1226" s="3"/>
      <c r="AK1226" s="15">
        <f t="shared" ref="AK1226:AK1289" si="461">1+INT(MOD(AL1226/60/24-0.5,7))</f>
        <v>5</v>
      </c>
      <c r="AL1226" s="11">
        <f t="shared" si="458"/>
        <v>7302</v>
      </c>
      <c r="AM1226" s="11" t="b">
        <f t="shared" si="460"/>
        <v>0</v>
      </c>
      <c r="AN1226" s="11">
        <f t="shared" ref="AN1226:AN1289" si="462">IF(AND(AM1226,NOT(AM1227)),$AB$26,AN1225+($AB$28-IF(AND(AM1225,AM1226),CHOOSE(AK1226,$AG$5,$AG$6,$AG$7,$AG$8,$AG$9,$AG$10,$AG$11)*$AA$22/$AA$24,0))*$AB$15)</f>
        <v>36000</v>
      </c>
      <c r="AO1226" s="11">
        <f t="shared" ref="AO1226:AO1289" si="463">IF(AND(AM1226,NOT(AM1227)),$AB$27,AO1225+($AB$29-IF(AND(AM1225,AM1226),CHOOSE(AK1226,$AG$5,$AG$6,$AG$7,$AG$8,$AG$9,$AG$10,$AG$11)*$AA$23/$AA$24,0))*$AB$15)</f>
        <v>0</v>
      </c>
      <c r="AP1226" s="11">
        <f t="shared" ref="AP1226:AP1289" si="464">IF(AN1225&lt;=0,0,(AP1225*AN1225-(IF(AND(AM1225,AM1226),CHOOSE(AK1226,$AI$5,$AI$6,$AI$7,$AI$8,$AI$9,$AI$10,$AI$11),$AA$37))*AP1225*$AB$15+$AA$34*(AQ1225-AP1225)*$AB$15+$AA$33*$AB$15)/AN1225)</f>
        <v>0.32441836682324426</v>
      </c>
      <c r="AQ1226" s="11">
        <f t="shared" si="456"/>
        <v>0</v>
      </c>
      <c r="AT1226" s="3"/>
      <c r="AU1226" s="17"/>
      <c r="AV1226" s="19"/>
      <c r="AW1226" s="17"/>
      <c r="AX1226" s="17">
        <f t="shared" si="459"/>
        <v>1217</v>
      </c>
      <c r="AY1226" s="17">
        <f t="shared" si="457"/>
        <v>121.7</v>
      </c>
      <c r="AZ1226" s="17">
        <v>32.441836682324428</v>
      </c>
      <c r="BA1226" s="17"/>
      <c r="BB1226" s="17">
        <v>36</v>
      </c>
      <c r="BC1226" s="17"/>
      <c r="BD1226" s="17"/>
      <c r="BE1226" s="17"/>
      <c r="BF1226" s="17"/>
      <c r="BG1226" s="17"/>
      <c r="BH1226" s="17"/>
      <c r="BI1226" s="17"/>
      <c r="BJ1226" s="17"/>
      <c r="BK1226" s="17"/>
      <c r="BL1226" s="17"/>
      <c r="BM1226" s="17"/>
      <c r="BN1226" s="17"/>
      <c r="BO1226" s="17"/>
      <c r="BP1226" s="17"/>
      <c r="BQ1226" s="17"/>
      <c r="BR1226" s="17"/>
      <c r="BS1226" s="17"/>
      <c r="BT1226" s="17"/>
      <c r="BU1226" s="17"/>
      <c r="BV1226" s="17"/>
      <c r="BW1226" s="17"/>
      <c r="BX1226" s="17"/>
      <c r="BY1226" s="17"/>
      <c r="BZ1226" s="17"/>
      <c r="CA1226" s="17"/>
      <c r="CB1226" s="17"/>
      <c r="CC1226" s="17"/>
      <c r="CD1226" s="17"/>
      <c r="CE1226" s="17"/>
      <c r="CF1226" s="17"/>
      <c r="CG1226" s="17"/>
      <c r="CH1226" s="17"/>
    </row>
    <row r="1227" spans="35:86" x14ac:dyDescent="0.15">
      <c r="AI1227" s="3"/>
      <c r="AJ1227" s="3"/>
      <c r="AK1227" s="15">
        <f t="shared" si="461"/>
        <v>5</v>
      </c>
      <c r="AL1227" s="11">
        <f t="shared" si="458"/>
        <v>7308</v>
      </c>
      <c r="AM1227" s="11" t="b">
        <f t="shared" si="460"/>
        <v>0</v>
      </c>
      <c r="AN1227" s="11">
        <f t="shared" si="462"/>
        <v>36000</v>
      </c>
      <c r="AO1227" s="11">
        <f t="shared" si="463"/>
        <v>0</v>
      </c>
      <c r="AP1227" s="11">
        <f t="shared" si="464"/>
        <v>0.32552068163805908</v>
      </c>
      <c r="AQ1227" s="11">
        <f t="shared" ref="AQ1227:AQ1290" si="465">IF(AO1226&lt;=0,0,(AQ1226*AO1226-$AA$34*(AQ1226-AP1226)*$AB$15)/AO1226)</f>
        <v>0</v>
      </c>
      <c r="AT1227" s="3"/>
      <c r="AU1227" s="17"/>
      <c r="AV1227" s="19"/>
      <c r="AW1227" s="17"/>
      <c r="AX1227" s="17">
        <f t="shared" si="459"/>
        <v>1218</v>
      </c>
      <c r="AY1227" s="17">
        <f t="shared" si="457"/>
        <v>121.8</v>
      </c>
      <c r="AZ1227" s="17">
        <v>32.552068163805906</v>
      </c>
      <c r="BA1227" s="17"/>
      <c r="BB1227" s="17">
        <v>36</v>
      </c>
      <c r="BC1227" s="17"/>
      <c r="BD1227" s="17"/>
      <c r="BE1227" s="17"/>
      <c r="BF1227" s="17"/>
      <c r="BG1227" s="17"/>
      <c r="BH1227" s="17"/>
      <c r="BI1227" s="17"/>
      <c r="BJ1227" s="17"/>
      <c r="BK1227" s="17"/>
      <c r="BL1227" s="17"/>
      <c r="BM1227" s="17"/>
      <c r="BN1227" s="17"/>
      <c r="BO1227" s="17"/>
      <c r="BP1227" s="17"/>
      <c r="BQ1227" s="17"/>
      <c r="BR1227" s="17"/>
      <c r="BS1227" s="17"/>
      <c r="BT1227" s="17"/>
      <c r="BU1227" s="17"/>
      <c r="BV1227" s="17"/>
      <c r="BW1227" s="17"/>
      <c r="BX1227" s="17"/>
      <c r="BY1227" s="17"/>
      <c r="BZ1227" s="17"/>
      <c r="CA1227" s="17"/>
      <c r="CB1227" s="17"/>
      <c r="CC1227" s="17"/>
      <c r="CD1227" s="17"/>
      <c r="CE1227" s="17"/>
      <c r="CF1227" s="17"/>
      <c r="CG1227" s="17"/>
      <c r="CH1227" s="17"/>
    </row>
    <row r="1228" spans="35:86" x14ac:dyDescent="0.15">
      <c r="AI1228" s="3"/>
      <c r="AJ1228" s="3"/>
      <c r="AK1228" s="15">
        <f t="shared" si="461"/>
        <v>5</v>
      </c>
      <c r="AL1228" s="11">
        <f t="shared" si="458"/>
        <v>7314</v>
      </c>
      <c r="AM1228" s="11" t="b">
        <f t="shared" si="460"/>
        <v>0</v>
      </c>
      <c r="AN1228" s="11">
        <f t="shared" si="462"/>
        <v>36000</v>
      </c>
      <c r="AO1228" s="11">
        <f t="shared" si="463"/>
        <v>0</v>
      </c>
      <c r="AP1228" s="11">
        <f t="shared" si="464"/>
        <v>0.3266229964528739</v>
      </c>
      <c r="AQ1228" s="11">
        <f t="shared" si="465"/>
        <v>0</v>
      </c>
      <c r="AT1228" s="3"/>
      <c r="AU1228" s="17"/>
      <c r="AV1228" s="19"/>
      <c r="AW1228" s="17"/>
      <c r="AX1228" s="17">
        <f t="shared" si="459"/>
        <v>1219</v>
      </c>
      <c r="AY1228" s="17">
        <f t="shared" si="457"/>
        <v>121.9</v>
      </c>
      <c r="AZ1228" s="17">
        <v>32.662299645287391</v>
      </c>
      <c r="BA1228" s="17"/>
      <c r="BB1228" s="17">
        <v>36</v>
      </c>
      <c r="BC1228" s="17"/>
      <c r="BD1228" s="17"/>
      <c r="BE1228" s="17"/>
      <c r="BF1228" s="17"/>
      <c r="BG1228" s="17"/>
      <c r="BH1228" s="17"/>
      <c r="BI1228" s="17"/>
      <c r="BJ1228" s="17"/>
      <c r="BK1228" s="17"/>
      <c r="BL1228" s="17"/>
      <c r="BM1228" s="17"/>
      <c r="BN1228" s="17"/>
      <c r="BO1228" s="17"/>
      <c r="BP1228" s="17"/>
      <c r="BQ1228" s="17"/>
      <c r="BR1228" s="17"/>
      <c r="BS1228" s="17"/>
      <c r="BT1228" s="17"/>
      <c r="BU1228" s="17"/>
      <c r="BV1228" s="17"/>
      <c r="BW1228" s="17"/>
      <c r="BX1228" s="17"/>
      <c r="BY1228" s="17"/>
      <c r="BZ1228" s="17"/>
      <c r="CA1228" s="17"/>
      <c r="CB1228" s="17"/>
      <c r="CC1228" s="17"/>
      <c r="CD1228" s="17"/>
      <c r="CE1228" s="17"/>
      <c r="CF1228" s="17"/>
      <c r="CG1228" s="17"/>
      <c r="CH1228" s="17"/>
    </row>
    <row r="1229" spans="35:86" x14ac:dyDescent="0.15">
      <c r="AI1229" s="3"/>
      <c r="AJ1229" s="3"/>
      <c r="AK1229" s="15">
        <f t="shared" si="461"/>
        <v>5</v>
      </c>
      <c r="AL1229" s="11">
        <f t="shared" si="458"/>
        <v>7320</v>
      </c>
      <c r="AM1229" s="11" t="b">
        <f t="shared" si="460"/>
        <v>0</v>
      </c>
      <c r="AN1229" s="11">
        <f t="shared" si="462"/>
        <v>36000</v>
      </c>
      <c r="AO1229" s="11">
        <f t="shared" si="463"/>
        <v>0</v>
      </c>
      <c r="AP1229" s="11">
        <f t="shared" si="464"/>
        <v>0.32772531126768867</v>
      </c>
      <c r="AQ1229" s="11">
        <f t="shared" si="465"/>
        <v>0</v>
      </c>
      <c r="AT1229" s="3"/>
      <c r="AU1229" s="17"/>
      <c r="AV1229" s="19"/>
      <c r="AW1229" s="17"/>
      <c r="AX1229" s="17">
        <f t="shared" si="459"/>
        <v>1220</v>
      </c>
      <c r="AY1229" s="17">
        <f t="shared" si="457"/>
        <v>122</v>
      </c>
      <c r="AZ1229" s="17">
        <v>32.772531126768868</v>
      </c>
      <c r="BA1229" s="17"/>
      <c r="BB1229" s="17">
        <v>36</v>
      </c>
      <c r="BC1229" s="17"/>
      <c r="BD1229" s="17"/>
      <c r="BE1229" s="17"/>
      <c r="BF1229" s="17"/>
      <c r="BG1229" s="17"/>
      <c r="BH1229" s="17"/>
      <c r="BI1229" s="17"/>
      <c r="BJ1229" s="17"/>
      <c r="BK1229" s="17"/>
      <c r="BL1229" s="17"/>
      <c r="BM1229" s="17"/>
      <c r="BN1229" s="17"/>
      <c r="BO1229" s="17"/>
      <c r="BP1229" s="17"/>
      <c r="BQ1229" s="17"/>
      <c r="BR1229" s="17"/>
      <c r="BS1229" s="17"/>
      <c r="BT1229" s="17"/>
      <c r="BU1229" s="17"/>
      <c r="BV1229" s="17"/>
      <c r="BW1229" s="17"/>
      <c r="BX1229" s="17"/>
      <c r="BY1229" s="17"/>
      <c r="BZ1229" s="17"/>
      <c r="CA1229" s="17"/>
      <c r="CB1229" s="17"/>
      <c r="CC1229" s="17"/>
      <c r="CD1229" s="17"/>
      <c r="CE1229" s="17"/>
      <c r="CF1229" s="17"/>
      <c r="CG1229" s="17"/>
      <c r="CH1229" s="17"/>
    </row>
    <row r="1230" spans="35:86" x14ac:dyDescent="0.15">
      <c r="AI1230" s="3"/>
      <c r="AJ1230" s="3"/>
      <c r="AK1230" s="15">
        <f t="shared" si="461"/>
        <v>5</v>
      </c>
      <c r="AL1230" s="11">
        <f t="shared" si="458"/>
        <v>7326</v>
      </c>
      <c r="AM1230" s="11" t="b">
        <f t="shared" si="460"/>
        <v>0</v>
      </c>
      <c r="AN1230" s="11">
        <f t="shared" si="462"/>
        <v>36000</v>
      </c>
      <c r="AO1230" s="11">
        <f t="shared" si="463"/>
        <v>0</v>
      </c>
      <c r="AP1230" s="11">
        <f t="shared" si="464"/>
        <v>0.32882762608250349</v>
      </c>
      <c r="AQ1230" s="11">
        <f t="shared" si="465"/>
        <v>0</v>
      </c>
      <c r="AT1230" s="3"/>
      <c r="AU1230" s="17"/>
      <c r="AV1230" s="19"/>
      <c r="AW1230" s="17"/>
      <c r="AX1230" s="17">
        <f t="shared" si="459"/>
        <v>1221</v>
      </c>
      <c r="AY1230" s="17">
        <f t="shared" si="457"/>
        <v>122.1</v>
      </c>
      <c r="AZ1230" s="17">
        <v>32.882762608250346</v>
      </c>
      <c r="BA1230" s="17"/>
      <c r="BB1230" s="17">
        <v>36</v>
      </c>
      <c r="BC1230" s="17"/>
      <c r="BD1230" s="17"/>
      <c r="BE1230" s="17"/>
      <c r="BF1230" s="17"/>
      <c r="BG1230" s="17"/>
      <c r="BH1230" s="17"/>
      <c r="BI1230" s="17"/>
      <c r="BJ1230" s="17"/>
      <c r="BK1230" s="17"/>
      <c r="BL1230" s="17"/>
      <c r="BM1230" s="17"/>
      <c r="BN1230" s="17"/>
      <c r="BO1230" s="17"/>
      <c r="BP1230" s="17"/>
      <c r="BQ1230" s="17"/>
      <c r="BR1230" s="17"/>
      <c r="BS1230" s="17"/>
      <c r="BT1230" s="17"/>
      <c r="BU1230" s="17"/>
      <c r="BV1230" s="17"/>
      <c r="BW1230" s="17"/>
      <c r="BX1230" s="17"/>
      <c r="BY1230" s="17"/>
      <c r="BZ1230" s="17"/>
      <c r="CA1230" s="17"/>
      <c r="CB1230" s="17"/>
      <c r="CC1230" s="17"/>
      <c r="CD1230" s="17"/>
      <c r="CE1230" s="17"/>
      <c r="CF1230" s="17"/>
      <c r="CG1230" s="17"/>
      <c r="CH1230" s="17"/>
    </row>
    <row r="1231" spans="35:86" x14ac:dyDescent="0.15">
      <c r="AI1231" s="3"/>
      <c r="AJ1231" s="3"/>
      <c r="AK1231" s="15">
        <f t="shared" si="461"/>
        <v>5</v>
      </c>
      <c r="AL1231" s="11">
        <f t="shared" si="458"/>
        <v>7332</v>
      </c>
      <c r="AM1231" s="11" t="b">
        <f t="shared" si="460"/>
        <v>0</v>
      </c>
      <c r="AN1231" s="11">
        <f t="shared" si="462"/>
        <v>36000</v>
      </c>
      <c r="AO1231" s="11">
        <f t="shared" si="463"/>
        <v>0</v>
      </c>
      <c r="AP1231" s="11">
        <f t="shared" si="464"/>
        <v>0.32992994089731825</v>
      </c>
      <c r="AQ1231" s="11">
        <f t="shared" si="465"/>
        <v>0</v>
      </c>
      <c r="AT1231" s="3"/>
      <c r="AU1231" s="17"/>
      <c r="AV1231" s="19"/>
      <c r="AW1231" s="17"/>
      <c r="AX1231" s="17">
        <f t="shared" si="459"/>
        <v>1222</v>
      </c>
      <c r="AY1231" s="17">
        <f t="shared" si="457"/>
        <v>122.2</v>
      </c>
      <c r="AZ1231" s="17">
        <v>32.992994089731823</v>
      </c>
      <c r="BA1231" s="17"/>
      <c r="BB1231" s="17">
        <v>36</v>
      </c>
      <c r="BC1231" s="17"/>
      <c r="BD1231" s="17"/>
      <c r="BE1231" s="17"/>
      <c r="BF1231" s="17"/>
      <c r="BG1231" s="17"/>
      <c r="BH1231" s="17"/>
      <c r="BI1231" s="17"/>
      <c r="BJ1231" s="17"/>
      <c r="BK1231" s="17"/>
      <c r="BL1231" s="17"/>
      <c r="BM1231" s="17"/>
      <c r="BN1231" s="17"/>
      <c r="BO1231" s="17"/>
      <c r="BP1231" s="17"/>
      <c r="BQ1231" s="17"/>
      <c r="BR1231" s="17"/>
      <c r="BS1231" s="17"/>
      <c r="BT1231" s="17"/>
      <c r="BU1231" s="17"/>
      <c r="BV1231" s="17"/>
      <c r="BW1231" s="17"/>
      <c r="BX1231" s="17"/>
      <c r="BY1231" s="17"/>
      <c r="BZ1231" s="17"/>
      <c r="CA1231" s="17"/>
      <c r="CB1231" s="17"/>
      <c r="CC1231" s="17"/>
      <c r="CD1231" s="17"/>
      <c r="CE1231" s="17"/>
      <c r="CF1231" s="17"/>
      <c r="CG1231" s="17"/>
      <c r="CH1231" s="17"/>
    </row>
    <row r="1232" spans="35:86" x14ac:dyDescent="0.15">
      <c r="AI1232" s="3"/>
      <c r="AJ1232" s="3"/>
      <c r="AK1232" s="15">
        <f t="shared" si="461"/>
        <v>5</v>
      </c>
      <c r="AL1232" s="11">
        <f t="shared" si="458"/>
        <v>7338</v>
      </c>
      <c r="AM1232" s="11" t="b">
        <f t="shared" si="460"/>
        <v>0</v>
      </c>
      <c r="AN1232" s="11">
        <f t="shared" si="462"/>
        <v>36000</v>
      </c>
      <c r="AO1232" s="11">
        <f t="shared" si="463"/>
        <v>0</v>
      </c>
      <c r="AP1232" s="11">
        <f t="shared" si="464"/>
        <v>0.33103225571213307</v>
      </c>
      <c r="AQ1232" s="11">
        <f t="shared" si="465"/>
        <v>0</v>
      </c>
      <c r="AT1232" s="3"/>
      <c r="AU1232" s="17"/>
      <c r="AV1232" s="19"/>
      <c r="AW1232" s="17"/>
      <c r="AX1232" s="17">
        <f t="shared" si="459"/>
        <v>1223</v>
      </c>
      <c r="AY1232" s="17">
        <f t="shared" si="457"/>
        <v>122.3</v>
      </c>
      <c r="AZ1232" s="17">
        <v>33.103225571213308</v>
      </c>
      <c r="BA1232" s="17"/>
      <c r="BB1232" s="17">
        <v>36</v>
      </c>
      <c r="BC1232" s="17"/>
      <c r="BD1232" s="17"/>
      <c r="BE1232" s="17"/>
      <c r="BF1232" s="17"/>
      <c r="BG1232" s="17"/>
      <c r="BH1232" s="17"/>
      <c r="BI1232" s="17"/>
      <c r="BJ1232" s="17"/>
      <c r="BK1232" s="17"/>
      <c r="BL1232" s="17"/>
      <c r="BM1232" s="17"/>
      <c r="BN1232" s="17"/>
      <c r="BO1232" s="17"/>
      <c r="BP1232" s="17"/>
      <c r="BQ1232" s="17"/>
      <c r="BR1232" s="17"/>
      <c r="BS1232" s="17"/>
      <c r="BT1232" s="17"/>
      <c r="BU1232" s="17"/>
      <c r="BV1232" s="17"/>
      <c r="BW1232" s="17"/>
      <c r="BX1232" s="17"/>
      <c r="BY1232" s="17"/>
      <c r="BZ1232" s="17"/>
      <c r="CA1232" s="17"/>
      <c r="CB1232" s="17"/>
      <c r="CC1232" s="17"/>
      <c r="CD1232" s="17"/>
      <c r="CE1232" s="17"/>
      <c r="CF1232" s="17"/>
      <c r="CG1232" s="17"/>
      <c r="CH1232" s="17"/>
    </row>
    <row r="1233" spans="35:86" x14ac:dyDescent="0.15">
      <c r="AI1233" s="3"/>
      <c r="AJ1233" s="3"/>
      <c r="AK1233" s="15">
        <f t="shared" si="461"/>
        <v>5</v>
      </c>
      <c r="AL1233" s="11">
        <f t="shared" si="458"/>
        <v>7344</v>
      </c>
      <c r="AM1233" s="11" t="b">
        <f t="shared" si="460"/>
        <v>0</v>
      </c>
      <c r="AN1233" s="11">
        <f t="shared" si="462"/>
        <v>36000</v>
      </c>
      <c r="AO1233" s="11">
        <f t="shared" si="463"/>
        <v>0</v>
      </c>
      <c r="AP1233" s="11">
        <f t="shared" si="464"/>
        <v>0.33213457052694784</v>
      </c>
      <c r="AQ1233" s="11">
        <f t="shared" si="465"/>
        <v>0</v>
      </c>
      <c r="AT1233" s="3"/>
      <c r="AU1233" s="17"/>
      <c r="AV1233" s="19"/>
      <c r="AW1233" s="17"/>
      <c r="AX1233" s="17">
        <f t="shared" si="459"/>
        <v>1224</v>
      </c>
      <c r="AY1233" s="17">
        <f t="shared" si="457"/>
        <v>122.4</v>
      </c>
      <c r="AZ1233" s="17">
        <v>33.213457052694785</v>
      </c>
      <c r="BA1233" s="17"/>
      <c r="BB1233" s="17">
        <v>36</v>
      </c>
      <c r="BC1233" s="17"/>
      <c r="BD1233" s="17"/>
      <c r="BE1233" s="17"/>
      <c r="BF1233" s="17"/>
      <c r="BG1233" s="17"/>
      <c r="BH1233" s="17"/>
      <c r="BI1233" s="17"/>
      <c r="BJ1233" s="17"/>
      <c r="BK1233" s="17"/>
      <c r="BL1233" s="17"/>
      <c r="BM1233" s="17"/>
      <c r="BN1233" s="17"/>
      <c r="BO1233" s="17"/>
      <c r="BP1233" s="17"/>
      <c r="BQ1233" s="17"/>
      <c r="BR1233" s="17"/>
      <c r="BS1233" s="17"/>
      <c r="BT1233" s="17"/>
      <c r="BU1233" s="17"/>
      <c r="BV1233" s="17"/>
      <c r="BW1233" s="17"/>
      <c r="BX1233" s="17"/>
      <c r="BY1233" s="17"/>
      <c r="BZ1233" s="17"/>
      <c r="CA1233" s="17"/>
      <c r="CB1233" s="17"/>
      <c r="CC1233" s="17"/>
      <c r="CD1233" s="17"/>
      <c r="CE1233" s="17"/>
      <c r="CF1233" s="17"/>
      <c r="CG1233" s="17"/>
      <c r="CH1233" s="17"/>
    </row>
    <row r="1234" spans="35:86" x14ac:dyDescent="0.15">
      <c r="AI1234" s="3"/>
      <c r="AJ1234" s="3"/>
      <c r="AK1234" s="15">
        <f t="shared" si="461"/>
        <v>5</v>
      </c>
      <c r="AL1234" s="11">
        <f t="shared" si="458"/>
        <v>7350</v>
      </c>
      <c r="AM1234" s="11" t="b">
        <f t="shared" si="460"/>
        <v>0</v>
      </c>
      <c r="AN1234" s="11">
        <f t="shared" si="462"/>
        <v>36000</v>
      </c>
      <c r="AO1234" s="11">
        <f t="shared" si="463"/>
        <v>0</v>
      </c>
      <c r="AP1234" s="11">
        <f t="shared" si="464"/>
        <v>0.33323688534176266</v>
      </c>
      <c r="AQ1234" s="11">
        <f t="shared" si="465"/>
        <v>0</v>
      </c>
      <c r="AT1234" s="3"/>
      <c r="AU1234" s="17"/>
      <c r="AV1234" s="19"/>
      <c r="AW1234" s="17"/>
      <c r="AX1234" s="17">
        <f t="shared" si="459"/>
        <v>1225</v>
      </c>
      <c r="AY1234" s="17">
        <f t="shared" si="457"/>
        <v>122.5</v>
      </c>
      <c r="AZ1234" s="17">
        <v>33.323688534176263</v>
      </c>
      <c r="BA1234" s="17"/>
      <c r="BB1234" s="17">
        <v>36</v>
      </c>
      <c r="BC1234" s="17"/>
      <c r="BD1234" s="17"/>
      <c r="BE1234" s="17"/>
      <c r="BF1234" s="17"/>
      <c r="BG1234" s="17"/>
      <c r="BH1234" s="17"/>
      <c r="BI1234" s="17"/>
      <c r="BJ1234" s="17"/>
      <c r="BK1234" s="17"/>
      <c r="BL1234" s="17"/>
      <c r="BM1234" s="17"/>
      <c r="BN1234" s="17"/>
      <c r="BO1234" s="17"/>
      <c r="BP1234" s="17"/>
      <c r="BQ1234" s="17"/>
      <c r="BR1234" s="17"/>
      <c r="BS1234" s="17"/>
      <c r="BT1234" s="17"/>
      <c r="BU1234" s="17"/>
      <c r="BV1234" s="17"/>
      <c r="BW1234" s="17"/>
      <c r="BX1234" s="17"/>
      <c r="BY1234" s="17"/>
      <c r="BZ1234" s="17"/>
      <c r="CA1234" s="17"/>
      <c r="CB1234" s="17"/>
      <c r="CC1234" s="17"/>
      <c r="CD1234" s="17"/>
      <c r="CE1234" s="17"/>
      <c r="CF1234" s="17"/>
      <c r="CG1234" s="17"/>
      <c r="CH1234" s="17"/>
    </row>
    <row r="1235" spans="35:86" x14ac:dyDescent="0.15">
      <c r="AI1235" s="3"/>
      <c r="AJ1235" s="3"/>
      <c r="AK1235" s="15">
        <f t="shared" si="461"/>
        <v>5</v>
      </c>
      <c r="AL1235" s="11">
        <f t="shared" si="458"/>
        <v>7356</v>
      </c>
      <c r="AM1235" s="11" t="b">
        <f t="shared" si="460"/>
        <v>0</v>
      </c>
      <c r="AN1235" s="11">
        <f t="shared" si="462"/>
        <v>36000</v>
      </c>
      <c r="AO1235" s="11">
        <f t="shared" si="463"/>
        <v>0</v>
      </c>
      <c r="AP1235" s="11">
        <f t="shared" si="464"/>
        <v>0.33433920015657742</v>
      </c>
      <c r="AQ1235" s="11">
        <f t="shared" si="465"/>
        <v>0</v>
      </c>
      <c r="AT1235" s="3"/>
      <c r="AU1235" s="17"/>
      <c r="AV1235" s="19"/>
      <c r="AW1235" s="17"/>
      <c r="AX1235" s="17">
        <f t="shared" si="459"/>
        <v>1226</v>
      </c>
      <c r="AY1235" s="17">
        <f t="shared" si="457"/>
        <v>122.6</v>
      </c>
      <c r="AZ1235" s="17">
        <v>33.433920015657741</v>
      </c>
      <c r="BA1235" s="17"/>
      <c r="BB1235" s="17">
        <v>36</v>
      </c>
      <c r="BC1235" s="17"/>
      <c r="BD1235" s="17"/>
      <c r="BE1235" s="17"/>
      <c r="BF1235" s="17"/>
      <c r="BG1235" s="17"/>
      <c r="BH1235" s="17"/>
      <c r="BI1235" s="17"/>
      <c r="BJ1235" s="17"/>
      <c r="BK1235" s="17"/>
      <c r="BL1235" s="17"/>
      <c r="BM1235" s="17"/>
      <c r="BN1235" s="17"/>
      <c r="BO1235" s="17"/>
      <c r="BP1235" s="17"/>
      <c r="BQ1235" s="17"/>
      <c r="BR1235" s="17"/>
      <c r="BS1235" s="17"/>
      <c r="BT1235" s="17"/>
      <c r="BU1235" s="17"/>
      <c r="BV1235" s="17"/>
      <c r="BW1235" s="17"/>
      <c r="BX1235" s="17"/>
      <c r="BY1235" s="17"/>
      <c r="BZ1235" s="17"/>
      <c r="CA1235" s="17"/>
      <c r="CB1235" s="17"/>
      <c r="CC1235" s="17"/>
      <c r="CD1235" s="17"/>
      <c r="CE1235" s="17"/>
      <c r="CF1235" s="17"/>
      <c r="CG1235" s="17"/>
      <c r="CH1235" s="17"/>
    </row>
    <row r="1236" spans="35:86" x14ac:dyDescent="0.15">
      <c r="AI1236" s="3"/>
      <c r="AJ1236" s="3"/>
      <c r="AK1236" s="15">
        <f t="shared" si="461"/>
        <v>5</v>
      </c>
      <c r="AL1236" s="11">
        <f t="shared" si="458"/>
        <v>7362</v>
      </c>
      <c r="AM1236" s="11" t="b">
        <f t="shared" si="460"/>
        <v>0</v>
      </c>
      <c r="AN1236" s="11">
        <f t="shared" si="462"/>
        <v>36000</v>
      </c>
      <c r="AO1236" s="11">
        <f t="shared" si="463"/>
        <v>0</v>
      </c>
      <c r="AP1236" s="11">
        <f t="shared" si="464"/>
        <v>0.33544151497139224</v>
      </c>
      <c r="AQ1236" s="11">
        <f t="shared" si="465"/>
        <v>0</v>
      </c>
      <c r="AT1236" s="3"/>
      <c r="AU1236" s="17"/>
      <c r="AV1236" s="19"/>
      <c r="AW1236" s="17"/>
      <c r="AX1236" s="17">
        <f t="shared" si="459"/>
        <v>1227</v>
      </c>
      <c r="AY1236" s="17">
        <f t="shared" ref="AY1236:AY1299" si="466">IF(ISNUMBER(AX1236),IF(ROUND((AX1236)*$AG$15*$AB$15,0) &lt;= 10080, ROUND((AX1236)*$AG$15,0)*$AB$15/60, 168),168)</f>
        <v>122.7</v>
      </c>
      <c r="AZ1236" s="17">
        <v>33.544151497139225</v>
      </c>
      <c r="BA1236" s="17"/>
      <c r="BB1236" s="17">
        <v>36</v>
      </c>
      <c r="BC1236" s="17"/>
      <c r="BD1236" s="17"/>
      <c r="BE1236" s="17"/>
      <c r="BF1236" s="17"/>
      <c r="BG1236" s="17"/>
      <c r="BH1236" s="17"/>
      <c r="BI1236" s="17"/>
      <c r="BJ1236" s="17"/>
      <c r="BK1236" s="17"/>
      <c r="BL1236" s="17"/>
      <c r="BM1236" s="17"/>
      <c r="BN1236" s="17"/>
      <c r="BO1236" s="17"/>
      <c r="BP1236" s="17"/>
      <c r="BQ1236" s="17"/>
      <c r="BR1236" s="17"/>
      <c r="BS1236" s="17"/>
      <c r="BT1236" s="17"/>
      <c r="BU1236" s="17"/>
      <c r="BV1236" s="17"/>
      <c r="BW1236" s="17"/>
      <c r="BX1236" s="17"/>
      <c r="BY1236" s="17"/>
      <c r="BZ1236" s="17"/>
      <c r="CA1236" s="17"/>
      <c r="CB1236" s="17"/>
      <c r="CC1236" s="17"/>
      <c r="CD1236" s="17"/>
      <c r="CE1236" s="17"/>
      <c r="CF1236" s="17"/>
      <c r="CG1236" s="17"/>
      <c r="CH1236" s="17"/>
    </row>
    <row r="1237" spans="35:86" x14ac:dyDescent="0.15">
      <c r="AI1237" s="3"/>
      <c r="AJ1237" s="3"/>
      <c r="AK1237" s="15">
        <f t="shared" si="461"/>
        <v>5</v>
      </c>
      <c r="AL1237" s="11">
        <f t="shared" si="458"/>
        <v>7368</v>
      </c>
      <c r="AM1237" s="11" t="b">
        <f t="shared" si="460"/>
        <v>0</v>
      </c>
      <c r="AN1237" s="11">
        <f t="shared" si="462"/>
        <v>36000</v>
      </c>
      <c r="AO1237" s="11">
        <f t="shared" si="463"/>
        <v>0</v>
      </c>
      <c r="AP1237" s="11">
        <f t="shared" si="464"/>
        <v>0.336543829786207</v>
      </c>
      <c r="AQ1237" s="11">
        <f t="shared" si="465"/>
        <v>0</v>
      </c>
      <c r="AT1237" s="3"/>
      <c r="AU1237" s="17"/>
      <c r="AV1237" s="19"/>
      <c r="AW1237" s="17"/>
      <c r="AX1237" s="17">
        <f t="shared" si="459"/>
        <v>1228</v>
      </c>
      <c r="AY1237" s="17">
        <f t="shared" si="466"/>
        <v>122.8</v>
      </c>
      <c r="AZ1237" s="17">
        <v>33.654382978620703</v>
      </c>
      <c r="BA1237" s="17"/>
      <c r="BB1237" s="17">
        <v>36</v>
      </c>
      <c r="BC1237" s="17"/>
      <c r="BD1237" s="17"/>
      <c r="BE1237" s="17"/>
      <c r="BF1237" s="17"/>
      <c r="BG1237" s="17"/>
      <c r="BH1237" s="17"/>
      <c r="BI1237" s="17"/>
      <c r="BJ1237" s="17"/>
      <c r="BK1237" s="17"/>
      <c r="BL1237" s="17"/>
      <c r="BM1237" s="17"/>
      <c r="BN1237" s="17"/>
      <c r="BO1237" s="17"/>
      <c r="BP1237" s="17"/>
      <c r="BQ1237" s="17"/>
      <c r="BR1237" s="17"/>
      <c r="BS1237" s="17"/>
      <c r="BT1237" s="17"/>
      <c r="BU1237" s="17"/>
      <c r="BV1237" s="17"/>
      <c r="BW1237" s="17"/>
      <c r="BX1237" s="17"/>
      <c r="BY1237" s="17"/>
      <c r="BZ1237" s="17"/>
      <c r="CA1237" s="17"/>
      <c r="CB1237" s="17"/>
      <c r="CC1237" s="17"/>
      <c r="CD1237" s="17"/>
      <c r="CE1237" s="17"/>
      <c r="CF1237" s="17"/>
      <c r="CG1237" s="17"/>
      <c r="CH1237" s="17"/>
    </row>
    <row r="1238" spans="35:86" x14ac:dyDescent="0.15">
      <c r="AI1238" s="3"/>
      <c r="AJ1238" s="3"/>
      <c r="AK1238" s="15">
        <f t="shared" si="461"/>
        <v>5</v>
      </c>
      <c r="AL1238" s="11">
        <f t="shared" si="458"/>
        <v>7374</v>
      </c>
      <c r="AM1238" s="11" t="b">
        <f t="shared" si="460"/>
        <v>0</v>
      </c>
      <c r="AN1238" s="11">
        <f t="shared" si="462"/>
        <v>36000</v>
      </c>
      <c r="AO1238" s="11">
        <f t="shared" si="463"/>
        <v>0</v>
      </c>
      <c r="AP1238" s="11">
        <f t="shared" si="464"/>
        <v>0.33764614460102182</v>
      </c>
      <c r="AQ1238" s="11">
        <f t="shared" si="465"/>
        <v>0</v>
      </c>
      <c r="AT1238" s="3"/>
      <c r="AU1238" s="17"/>
      <c r="AV1238" s="19"/>
      <c r="AW1238" s="17"/>
      <c r="AX1238" s="17">
        <f t="shared" si="459"/>
        <v>1229</v>
      </c>
      <c r="AY1238" s="17">
        <f t="shared" si="466"/>
        <v>122.9</v>
      </c>
      <c r="AZ1238" s="17">
        <v>33.76461446010218</v>
      </c>
      <c r="BA1238" s="17"/>
      <c r="BB1238" s="17">
        <v>36</v>
      </c>
      <c r="BC1238" s="17"/>
      <c r="BD1238" s="17"/>
      <c r="BE1238" s="17"/>
      <c r="BF1238" s="17"/>
      <c r="BG1238" s="17"/>
      <c r="BH1238" s="17"/>
      <c r="BI1238" s="17"/>
      <c r="BJ1238" s="17"/>
      <c r="BK1238" s="17"/>
      <c r="BL1238" s="17"/>
      <c r="BM1238" s="17"/>
      <c r="BN1238" s="17"/>
      <c r="BO1238" s="17"/>
      <c r="BP1238" s="17"/>
      <c r="BQ1238" s="17"/>
      <c r="BR1238" s="17"/>
      <c r="BS1238" s="17"/>
      <c r="BT1238" s="17"/>
      <c r="BU1238" s="17"/>
      <c r="BV1238" s="17"/>
      <c r="BW1238" s="17"/>
      <c r="BX1238" s="17"/>
      <c r="BY1238" s="17"/>
      <c r="BZ1238" s="17"/>
      <c r="CA1238" s="17"/>
      <c r="CB1238" s="17"/>
      <c r="CC1238" s="17"/>
      <c r="CD1238" s="17"/>
      <c r="CE1238" s="17"/>
      <c r="CF1238" s="17"/>
      <c r="CG1238" s="17"/>
      <c r="CH1238" s="17"/>
    </row>
    <row r="1239" spans="35:86" x14ac:dyDescent="0.15">
      <c r="AI1239" s="3"/>
      <c r="AJ1239" s="3"/>
      <c r="AK1239" s="15">
        <f t="shared" si="461"/>
        <v>5</v>
      </c>
      <c r="AL1239" s="11">
        <f t="shared" si="458"/>
        <v>7380</v>
      </c>
      <c r="AM1239" s="11" t="b">
        <f t="shared" si="460"/>
        <v>0</v>
      </c>
      <c r="AN1239" s="11">
        <f t="shared" si="462"/>
        <v>36000</v>
      </c>
      <c r="AO1239" s="11">
        <f t="shared" si="463"/>
        <v>0</v>
      </c>
      <c r="AP1239" s="11">
        <f t="shared" si="464"/>
        <v>0.33874845941583659</v>
      </c>
      <c r="AQ1239" s="11">
        <f t="shared" si="465"/>
        <v>0</v>
      </c>
      <c r="AT1239" s="3"/>
      <c r="AU1239" s="17"/>
      <c r="AV1239" s="19"/>
      <c r="AW1239" s="17"/>
      <c r="AX1239" s="17">
        <f t="shared" si="459"/>
        <v>1230</v>
      </c>
      <c r="AY1239" s="17">
        <f t="shared" si="466"/>
        <v>123</v>
      </c>
      <c r="AZ1239" s="17">
        <v>33.874845941583658</v>
      </c>
      <c r="BA1239" s="17"/>
      <c r="BB1239" s="17">
        <v>36</v>
      </c>
      <c r="BC1239" s="17"/>
      <c r="BD1239" s="17"/>
      <c r="BE1239" s="17"/>
      <c r="BF1239" s="17"/>
      <c r="BG1239" s="17"/>
      <c r="BH1239" s="17"/>
      <c r="BI1239" s="17"/>
      <c r="BJ1239" s="17"/>
      <c r="BK1239" s="17"/>
      <c r="BL1239" s="17"/>
      <c r="BM1239" s="17"/>
      <c r="BN1239" s="17"/>
      <c r="BO1239" s="17"/>
      <c r="BP1239" s="17"/>
      <c r="BQ1239" s="17"/>
      <c r="BR1239" s="17"/>
      <c r="BS1239" s="17"/>
      <c r="BT1239" s="17"/>
      <c r="BU1239" s="17"/>
      <c r="BV1239" s="17"/>
      <c r="BW1239" s="17"/>
      <c r="BX1239" s="17"/>
      <c r="BY1239" s="17"/>
      <c r="BZ1239" s="17"/>
      <c r="CA1239" s="17"/>
      <c r="CB1239" s="17"/>
      <c r="CC1239" s="17"/>
      <c r="CD1239" s="17"/>
      <c r="CE1239" s="17"/>
      <c r="CF1239" s="17"/>
      <c r="CG1239" s="17"/>
      <c r="CH1239" s="17"/>
    </row>
    <row r="1240" spans="35:86" x14ac:dyDescent="0.15">
      <c r="AI1240" s="3"/>
      <c r="AJ1240" s="3"/>
      <c r="AK1240" s="15">
        <f t="shared" si="461"/>
        <v>5</v>
      </c>
      <c r="AL1240" s="11">
        <f t="shared" si="458"/>
        <v>7386</v>
      </c>
      <c r="AM1240" s="11" t="b">
        <f t="shared" si="460"/>
        <v>0</v>
      </c>
      <c r="AN1240" s="11">
        <f t="shared" si="462"/>
        <v>36000</v>
      </c>
      <c r="AO1240" s="11">
        <f t="shared" si="463"/>
        <v>0</v>
      </c>
      <c r="AP1240" s="11">
        <f t="shared" si="464"/>
        <v>0.33985077423065141</v>
      </c>
      <c r="AQ1240" s="11">
        <f t="shared" si="465"/>
        <v>0</v>
      </c>
      <c r="AT1240" s="3"/>
      <c r="AU1240" s="17"/>
      <c r="AV1240" s="19"/>
      <c r="AW1240" s="17"/>
      <c r="AX1240" s="17">
        <f t="shared" si="459"/>
        <v>1231</v>
      </c>
      <c r="AY1240" s="17">
        <f t="shared" si="466"/>
        <v>123.1</v>
      </c>
      <c r="AZ1240" s="17">
        <v>33.985077423065142</v>
      </c>
      <c r="BA1240" s="17"/>
      <c r="BB1240" s="17">
        <v>36</v>
      </c>
      <c r="BC1240" s="17"/>
      <c r="BD1240" s="17"/>
      <c r="BE1240" s="17"/>
      <c r="BF1240" s="17"/>
      <c r="BG1240" s="17"/>
      <c r="BH1240" s="17"/>
      <c r="BI1240" s="17"/>
      <c r="BJ1240" s="17"/>
      <c r="BK1240" s="17"/>
      <c r="BL1240" s="17"/>
      <c r="BM1240" s="17"/>
      <c r="BN1240" s="17"/>
      <c r="BO1240" s="17"/>
      <c r="BP1240" s="17"/>
      <c r="BQ1240" s="17"/>
      <c r="BR1240" s="17"/>
      <c r="BS1240" s="17"/>
      <c r="BT1240" s="17"/>
      <c r="BU1240" s="17"/>
      <c r="BV1240" s="17"/>
      <c r="BW1240" s="17"/>
      <c r="BX1240" s="17"/>
      <c r="BY1240" s="17"/>
      <c r="BZ1240" s="17"/>
      <c r="CA1240" s="17"/>
      <c r="CB1240" s="17"/>
      <c r="CC1240" s="17"/>
      <c r="CD1240" s="17"/>
      <c r="CE1240" s="17"/>
      <c r="CF1240" s="17"/>
      <c r="CG1240" s="17"/>
      <c r="CH1240" s="17"/>
    </row>
    <row r="1241" spans="35:86" x14ac:dyDescent="0.15">
      <c r="AI1241" s="3"/>
      <c r="AJ1241" s="3"/>
      <c r="AK1241" s="15">
        <f t="shared" si="461"/>
        <v>5</v>
      </c>
      <c r="AL1241" s="11">
        <f t="shared" si="458"/>
        <v>7392</v>
      </c>
      <c r="AM1241" s="11" t="b">
        <f t="shared" si="460"/>
        <v>0</v>
      </c>
      <c r="AN1241" s="11">
        <f t="shared" si="462"/>
        <v>36000</v>
      </c>
      <c r="AO1241" s="11">
        <f t="shared" si="463"/>
        <v>0</v>
      </c>
      <c r="AP1241" s="11">
        <f t="shared" si="464"/>
        <v>0.34095308904546617</v>
      </c>
      <c r="AQ1241" s="11">
        <f t="shared" si="465"/>
        <v>0</v>
      </c>
      <c r="AT1241" s="3"/>
      <c r="AU1241" s="17"/>
      <c r="AV1241" s="19"/>
      <c r="AW1241" s="17"/>
      <c r="AX1241" s="17">
        <f t="shared" si="459"/>
        <v>1232</v>
      </c>
      <c r="AY1241" s="17">
        <f t="shared" si="466"/>
        <v>123.2</v>
      </c>
      <c r="AZ1241" s="17">
        <v>34.09530890454662</v>
      </c>
      <c r="BA1241" s="17"/>
      <c r="BB1241" s="17">
        <v>36</v>
      </c>
      <c r="BC1241" s="17"/>
      <c r="BD1241" s="17"/>
      <c r="BE1241" s="17"/>
      <c r="BF1241" s="17"/>
      <c r="BG1241" s="17"/>
      <c r="BH1241" s="17"/>
      <c r="BI1241" s="17"/>
      <c r="BJ1241" s="17"/>
      <c r="BK1241" s="17"/>
      <c r="BL1241" s="17"/>
      <c r="BM1241" s="17"/>
      <c r="BN1241" s="17"/>
      <c r="BO1241" s="17"/>
      <c r="BP1241" s="17"/>
      <c r="BQ1241" s="17"/>
      <c r="BR1241" s="17"/>
      <c r="BS1241" s="17"/>
      <c r="BT1241" s="17"/>
      <c r="BU1241" s="17"/>
      <c r="BV1241" s="17"/>
      <c r="BW1241" s="17"/>
      <c r="BX1241" s="17"/>
      <c r="BY1241" s="17"/>
      <c r="BZ1241" s="17"/>
      <c r="CA1241" s="17"/>
      <c r="CB1241" s="17"/>
      <c r="CC1241" s="17"/>
      <c r="CD1241" s="17"/>
      <c r="CE1241" s="17"/>
      <c r="CF1241" s="17"/>
      <c r="CG1241" s="17"/>
      <c r="CH1241" s="17"/>
    </row>
    <row r="1242" spans="35:86" x14ac:dyDescent="0.15">
      <c r="AI1242" s="3"/>
      <c r="AJ1242" s="3"/>
      <c r="AK1242" s="15">
        <f t="shared" si="461"/>
        <v>5</v>
      </c>
      <c r="AL1242" s="11">
        <f t="shared" si="458"/>
        <v>7398</v>
      </c>
      <c r="AM1242" s="11" t="b">
        <f t="shared" si="460"/>
        <v>0</v>
      </c>
      <c r="AN1242" s="11">
        <f t="shared" si="462"/>
        <v>36000</v>
      </c>
      <c r="AO1242" s="11">
        <f t="shared" si="463"/>
        <v>0</v>
      </c>
      <c r="AP1242" s="11">
        <f t="shared" si="464"/>
        <v>0.34205540386028099</v>
      </c>
      <c r="AQ1242" s="11">
        <f t="shared" si="465"/>
        <v>0</v>
      </c>
      <c r="AT1242" s="3"/>
      <c r="AU1242" s="17"/>
      <c r="AV1242" s="19"/>
      <c r="AW1242" s="17"/>
      <c r="AX1242" s="17">
        <f t="shared" si="459"/>
        <v>1233</v>
      </c>
      <c r="AY1242" s="17">
        <f t="shared" si="466"/>
        <v>123.3</v>
      </c>
      <c r="AZ1242" s="17">
        <v>34.205540386028098</v>
      </c>
      <c r="BA1242" s="17"/>
      <c r="BB1242" s="17">
        <v>36</v>
      </c>
      <c r="BC1242" s="17"/>
      <c r="BD1242" s="17"/>
      <c r="BE1242" s="17"/>
      <c r="BF1242" s="17"/>
      <c r="BG1242" s="17"/>
      <c r="BH1242" s="17"/>
      <c r="BI1242" s="17"/>
      <c r="BJ1242" s="17"/>
      <c r="BK1242" s="17"/>
      <c r="BL1242" s="17"/>
      <c r="BM1242" s="17"/>
      <c r="BN1242" s="17"/>
      <c r="BO1242" s="17"/>
      <c r="BP1242" s="17"/>
      <c r="BQ1242" s="17"/>
      <c r="BR1242" s="17"/>
      <c r="BS1242" s="17"/>
      <c r="BT1242" s="17"/>
      <c r="BU1242" s="17"/>
      <c r="BV1242" s="17"/>
      <c r="BW1242" s="17"/>
      <c r="BX1242" s="17"/>
      <c r="BY1242" s="17"/>
      <c r="BZ1242" s="17"/>
      <c r="CA1242" s="17"/>
      <c r="CB1242" s="17"/>
      <c r="CC1242" s="17"/>
      <c r="CD1242" s="17"/>
      <c r="CE1242" s="17"/>
      <c r="CF1242" s="17"/>
      <c r="CG1242" s="17"/>
      <c r="CH1242" s="17"/>
    </row>
    <row r="1243" spans="35:86" x14ac:dyDescent="0.15">
      <c r="AI1243" s="3"/>
      <c r="AJ1243" s="3"/>
      <c r="AK1243" s="15">
        <f t="shared" si="461"/>
        <v>5</v>
      </c>
      <c r="AL1243" s="11">
        <f t="shared" si="458"/>
        <v>7404</v>
      </c>
      <c r="AM1243" s="11" t="b">
        <f t="shared" si="460"/>
        <v>0</v>
      </c>
      <c r="AN1243" s="11">
        <f t="shared" si="462"/>
        <v>36000</v>
      </c>
      <c r="AO1243" s="11">
        <f t="shared" si="463"/>
        <v>0</v>
      </c>
      <c r="AP1243" s="11">
        <f t="shared" si="464"/>
        <v>0.34315771867509576</v>
      </c>
      <c r="AQ1243" s="11">
        <f t="shared" si="465"/>
        <v>0</v>
      </c>
      <c r="AT1243" s="3"/>
      <c r="AU1243" s="17"/>
      <c r="AV1243" s="19"/>
      <c r="AW1243" s="17"/>
      <c r="AX1243" s="17">
        <f t="shared" si="459"/>
        <v>1234</v>
      </c>
      <c r="AY1243" s="17">
        <f t="shared" si="466"/>
        <v>123.4</v>
      </c>
      <c r="AZ1243" s="17">
        <v>34.315771867509575</v>
      </c>
      <c r="BA1243" s="17"/>
      <c r="BB1243" s="17">
        <v>36</v>
      </c>
      <c r="BC1243" s="17"/>
      <c r="BD1243" s="17"/>
      <c r="BE1243" s="17"/>
      <c r="BF1243" s="17"/>
      <c r="BG1243" s="17"/>
      <c r="BH1243" s="17"/>
      <c r="BI1243" s="17"/>
      <c r="BJ1243" s="17"/>
      <c r="BK1243" s="17"/>
      <c r="BL1243" s="17"/>
      <c r="BM1243" s="17"/>
      <c r="BN1243" s="17"/>
      <c r="BO1243" s="17"/>
      <c r="BP1243" s="17"/>
      <c r="BQ1243" s="17"/>
      <c r="BR1243" s="17"/>
      <c r="BS1243" s="17"/>
      <c r="BT1243" s="17"/>
      <c r="BU1243" s="17"/>
      <c r="BV1243" s="17"/>
      <c r="BW1243" s="17"/>
      <c r="BX1243" s="17"/>
      <c r="BY1243" s="17"/>
      <c r="BZ1243" s="17"/>
      <c r="CA1243" s="17"/>
      <c r="CB1243" s="17"/>
      <c r="CC1243" s="17"/>
      <c r="CD1243" s="17"/>
      <c r="CE1243" s="17"/>
      <c r="CF1243" s="17"/>
      <c r="CG1243" s="17"/>
      <c r="CH1243" s="17"/>
    </row>
    <row r="1244" spans="35:86" x14ac:dyDescent="0.15">
      <c r="AI1244" s="3"/>
      <c r="AJ1244" s="3"/>
      <c r="AK1244" s="15">
        <f t="shared" si="461"/>
        <v>5</v>
      </c>
      <c r="AL1244" s="11">
        <f t="shared" si="458"/>
        <v>7410</v>
      </c>
      <c r="AM1244" s="11" t="b">
        <f t="shared" si="460"/>
        <v>0</v>
      </c>
      <c r="AN1244" s="11">
        <f t="shared" si="462"/>
        <v>36000</v>
      </c>
      <c r="AO1244" s="11">
        <f t="shared" si="463"/>
        <v>0</v>
      </c>
      <c r="AP1244" s="11">
        <f t="shared" si="464"/>
        <v>0.34426003348991058</v>
      </c>
      <c r="AQ1244" s="11">
        <f t="shared" si="465"/>
        <v>0</v>
      </c>
      <c r="AT1244" s="3"/>
      <c r="AU1244" s="17"/>
      <c r="AV1244" s="19"/>
      <c r="AW1244" s="17"/>
      <c r="AX1244" s="17">
        <f t="shared" si="459"/>
        <v>1235</v>
      </c>
      <c r="AY1244" s="17">
        <f t="shared" si="466"/>
        <v>123.5</v>
      </c>
      <c r="AZ1244" s="17">
        <v>34.42600334899106</v>
      </c>
      <c r="BA1244" s="17"/>
      <c r="BB1244" s="17">
        <v>36</v>
      </c>
      <c r="BC1244" s="17"/>
      <c r="BD1244" s="17"/>
      <c r="BE1244" s="17"/>
      <c r="BF1244" s="17"/>
      <c r="BG1244" s="17"/>
      <c r="BH1244" s="17"/>
      <c r="BI1244" s="17"/>
      <c r="BJ1244" s="17"/>
      <c r="BK1244" s="17"/>
      <c r="BL1244" s="17"/>
      <c r="BM1244" s="17"/>
      <c r="BN1244" s="17"/>
      <c r="BO1244" s="17"/>
      <c r="BP1244" s="17"/>
      <c r="BQ1244" s="17"/>
      <c r="BR1244" s="17"/>
      <c r="BS1244" s="17"/>
      <c r="BT1244" s="17"/>
      <c r="BU1244" s="17"/>
      <c r="BV1244" s="17"/>
      <c r="BW1244" s="17"/>
      <c r="BX1244" s="17"/>
      <c r="BY1244" s="17"/>
      <c r="BZ1244" s="17"/>
      <c r="CA1244" s="17"/>
      <c r="CB1244" s="17"/>
      <c r="CC1244" s="17"/>
      <c r="CD1244" s="17"/>
      <c r="CE1244" s="17"/>
      <c r="CF1244" s="17"/>
      <c r="CG1244" s="17"/>
      <c r="CH1244" s="17"/>
    </row>
    <row r="1245" spans="35:86" x14ac:dyDescent="0.15">
      <c r="AI1245" s="3"/>
      <c r="AJ1245" s="3"/>
      <c r="AK1245" s="15">
        <f t="shared" si="461"/>
        <v>5</v>
      </c>
      <c r="AL1245" s="11">
        <f t="shared" si="458"/>
        <v>7416</v>
      </c>
      <c r="AM1245" s="11" t="b">
        <f t="shared" si="460"/>
        <v>0</v>
      </c>
      <c r="AN1245" s="11">
        <f t="shared" si="462"/>
        <v>36000</v>
      </c>
      <c r="AO1245" s="11">
        <f t="shared" si="463"/>
        <v>0</v>
      </c>
      <c r="AP1245" s="11">
        <f t="shared" si="464"/>
        <v>0.34536234830472534</v>
      </c>
      <c r="AQ1245" s="11">
        <f t="shared" si="465"/>
        <v>0</v>
      </c>
      <c r="AT1245" s="3"/>
      <c r="AU1245" s="17"/>
      <c r="AV1245" s="19"/>
      <c r="AW1245" s="17"/>
      <c r="AX1245" s="17">
        <f t="shared" si="459"/>
        <v>1236</v>
      </c>
      <c r="AY1245" s="17">
        <f t="shared" si="466"/>
        <v>123.6</v>
      </c>
      <c r="AZ1245" s="17">
        <v>34.536234830472537</v>
      </c>
      <c r="BA1245" s="17"/>
      <c r="BB1245" s="17">
        <v>36</v>
      </c>
      <c r="BC1245" s="17"/>
      <c r="BD1245" s="17"/>
      <c r="BE1245" s="17"/>
      <c r="BF1245" s="17"/>
      <c r="BG1245" s="17"/>
      <c r="BH1245" s="17"/>
      <c r="BI1245" s="17"/>
      <c r="BJ1245" s="17"/>
      <c r="BK1245" s="17"/>
      <c r="BL1245" s="17"/>
      <c r="BM1245" s="17"/>
      <c r="BN1245" s="17"/>
      <c r="BO1245" s="17"/>
      <c r="BP1245" s="17"/>
      <c r="BQ1245" s="17"/>
      <c r="BR1245" s="17"/>
      <c r="BS1245" s="17"/>
      <c r="BT1245" s="17"/>
      <c r="BU1245" s="17"/>
      <c r="BV1245" s="17"/>
      <c r="BW1245" s="17"/>
      <c r="BX1245" s="17"/>
      <c r="BY1245" s="17"/>
      <c r="BZ1245" s="17"/>
      <c r="CA1245" s="17"/>
      <c r="CB1245" s="17"/>
      <c r="CC1245" s="17"/>
      <c r="CD1245" s="17"/>
      <c r="CE1245" s="17"/>
      <c r="CF1245" s="17"/>
      <c r="CG1245" s="17"/>
      <c r="CH1245" s="17"/>
    </row>
    <row r="1246" spans="35:86" x14ac:dyDescent="0.15">
      <c r="AI1246" s="3"/>
      <c r="AJ1246" s="3"/>
      <c r="AK1246" s="15">
        <f t="shared" si="461"/>
        <v>5</v>
      </c>
      <c r="AL1246" s="11">
        <f t="shared" si="458"/>
        <v>7422</v>
      </c>
      <c r="AM1246" s="11" t="b">
        <f t="shared" si="460"/>
        <v>0</v>
      </c>
      <c r="AN1246" s="11">
        <f t="shared" si="462"/>
        <v>36000</v>
      </c>
      <c r="AO1246" s="11">
        <f t="shared" si="463"/>
        <v>0</v>
      </c>
      <c r="AP1246" s="11">
        <f t="shared" si="464"/>
        <v>0.34646466311954016</v>
      </c>
      <c r="AQ1246" s="11">
        <f t="shared" si="465"/>
        <v>0</v>
      </c>
      <c r="AT1246" s="3"/>
      <c r="AU1246" s="17"/>
      <c r="AV1246" s="19"/>
      <c r="AW1246" s="17"/>
      <c r="AX1246" s="17">
        <f t="shared" si="459"/>
        <v>1237</v>
      </c>
      <c r="AY1246" s="17">
        <f t="shared" si="466"/>
        <v>123.7</v>
      </c>
      <c r="AZ1246" s="17">
        <v>34.646466311954015</v>
      </c>
      <c r="BA1246" s="17"/>
      <c r="BB1246" s="17">
        <v>36</v>
      </c>
      <c r="BC1246" s="17"/>
      <c r="BD1246" s="17"/>
      <c r="BE1246" s="17"/>
      <c r="BF1246" s="17"/>
      <c r="BG1246" s="17"/>
      <c r="BH1246" s="17"/>
      <c r="BI1246" s="17"/>
      <c r="BJ1246" s="17"/>
      <c r="BK1246" s="17"/>
      <c r="BL1246" s="17"/>
      <c r="BM1246" s="17"/>
      <c r="BN1246" s="17"/>
      <c r="BO1246" s="17"/>
      <c r="BP1246" s="17"/>
      <c r="BQ1246" s="17"/>
      <c r="BR1246" s="17"/>
      <c r="BS1246" s="17"/>
      <c r="BT1246" s="17"/>
      <c r="BU1246" s="17"/>
      <c r="BV1246" s="17"/>
      <c r="BW1246" s="17"/>
      <c r="BX1246" s="17"/>
      <c r="BY1246" s="17"/>
      <c r="BZ1246" s="17"/>
      <c r="CA1246" s="17"/>
      <c r="CB1246" s="17"/>
      <c r="CC1246" s="17"/>
      <c r="CD1246" s="17"/>
      <c r="CE1246" s="17"/>
      <c r="CF1246" s="17"/>
      <c r="CG1246" s="17"/>
      <c r="CH1246" s="17"/>
    </row>
    <row r="1247" spans="35:86" x14ac:dyDescent="0.15">
      <c r="AI1247" s="3"/>
      <c r="AJ1247" s="3"/>
      <c r="AK1247" s="15">
        <f t="shared" si="461"/>
        <v>5</v>
      </c>
      <c r="AL1247" s="11">
        <f t="shared" si="458"/>
        <v>7428</v>
      </c>
      <c r="AM1247" s="11" t="b">
        <f t="shared" si="460"/>
        <v>0</v>
      </c>
      <c r="AN1247" s="11">
        <f t="shared" si="462"/>
        <v>36000</v>
      </c>
      <c r="AO1247" s="11">
        <f t="shared" si="463"/>
        <v>0</v>
      </c>
      <c r="AP1247" s="11">
        <f t="shared" si="464"/>
        <v>0.34756697793435493</v>
      </c>
      <c r="AQ1247" s="11">
        <f t="shared" si="465"/>
        <v>0</v>
      </c>
      <c r="AT1247" s="3"/>
      <c r="AU1247" s="17"/>
      <c r="AV1247" s="19"/>
      <c r="AW1247" s="17"/>
      <c r="AX1247" s="17">
        <f t="shared" si="459"/>
        <v>1238</v>
      </c>
      <c r="AY1247" s="17">
        <f t="shared" si="466"/>
        <v>123.8</v>
      </c>
      <c r="AZ1247" s="17">
        <v>34.756697793435492</v>
      </c>
      <c r="BA1247" s="17"/>
      <c r="BB1247" s="17">
        <v>36</v>
      </c>
      <c r="BC1247" s="17"/>
      <c r="BD1247" s="17"/>
      <c r="BE1247" s="17"/>
      <c r="BF1247" s="17"/>
      <c r="BG1247" s="17"/>
      <c r="BH1247" s="17"/>
      <c r="BI1247" s="17"/>
      <c r="BJ1247" s="17"/>
      <c r="BK1247" s="17"/>
      <c r="BL1247" s="17"/>
      <c r="BM1247" s="17"/>
      <c r="BN1247" s="17"/>
      <c r="BO1247" s="17"/>
      <c r="BP1247" s="17"/>
      <c r="BQ1247" s="17"/>
      <c r="BR1247" s="17"/>
      <c r="BS1247" s="17"/>
      <c r="BT1247" s="17"/>
      <c r="BU1247" s="17"/>
      <c r="BV1247" s="17"/>
      <c r="BW1247" s="17"/>
      <c r="BX1247" s="17"/>
      <c r="BY1247" s="17"/>
      <c r="BZ1247" s="17"/>
      <c r="CA1247" s="17"/>
      <c r="CB1247" s="17"/>
      <c r="CC1247" s="17"/>
      <c r="CD1247" s="17"/>
      <c r="CE1247" s="17"/>
      <c r="CF1247" s="17"/>
      <c r="CG1247" s="17"/>
      <c r="CH1247" s="17"/>
    </row>
    <row r="1248" spans="35:86" x14ac:dyDescent="0.15">
      <c r="AI1248" s="3"/>
      <c r="AJ1248" s="3"/>
      <c r="AK1248" s="15">
        <f t="shared" si="461"/>
        <v>5</v>
      </c>
      <c r="AL1248" s="11">
        <f t="shared" si="458"/>
        <v>7434</v>
      </c>
      <c r="AM1248" s="11" t="b">
        <f t="shared" si="460"/>
        <v>0</v>
      </c>
      <c r="AN1248" s="11">
        <f t="shared" si="462"/>
        <v>36000</v>
      </c>
      <c r="AO1248" s="11">
        <f t="shared" si="463"/>
        <v>0</v>
      </c>
      <c r="AP1248" s="11">
        <f t="shared" si="464"/>
        <v>0.34866929274916975</v>
      </c>
      <c r="AQ1248" s="11">
        <f t="shared" si="465"/>
        <v>0</v>
      </c>
      <c r="AT1248" s="3"/>
      <c r="AU1248" s="17"/>
      <c r="AV1248" s="19"/>
      <c r="AW1248" s="17"/>
      <c r="AX1248" s="17">
        <f t="shared" si="459"/>
        <v>1239</v>
      </c>
      <c r="AY1248" s="17">
        <f t="shared" si="466"/>
        <v>123.9</v>
      </c>
      <c r="AZ1248" s="17">
        <v>34.866929274916977</v>
      </c>
      <c r="BA1248" s="17"/>
      <c r="BB1248" s="17">
        <v>36</v>
      </c>
      <c r="BC1248" s="17"/>
      <c r="BD1248" s="17"/>
      <c r="BE1248" s="17"/>
      <c r="BF1248" s="17"/>
      <c r="BG1248" s="17"/>
      <c r="BH1248" s="17"/>
      <c r="BI1248" s="17"/>
      <c r="BJ1248" s="17"/>
      <c r="BK1248" s="17"/>
      <c r="BL1248" s="17"/>
      <c r="BM1248" s="17"/>
      <c r="BN1248" s="17"/>
      <c r="BO1248" s="17"/>
      <c r="BP1248" s="17"/>
      <c r="BQ1248" s="17"/>
      <c r="BR1248" s="17"/>
      <c r="BS1248" s="17"/>
      <c r="BT1248" s="17"/>
      <c r="BU1248" s="17"/>
      <c r="BV1248" s="17"/>
      <c r="BW1248" s="17"/>
      <c r="BX1248" s="17"/>
      <c r="BY1248" s="17"/>
      <c r="BZ1248" s="17"/>
      <c r="CA1248" s="17"/>
      <c r="CB1248" s="17"/>
      <c r="CC1248" s="17"/>
      <c r="CD1248" s="17"/>
      <c r="CE1248" s="17"/>
      <c r="CF1248" s="17"/>
      <c r="CG1248" s="17"/>
      <c r="CH1248" s="17"/>
    </row>
    <row r="1249" spans="35:86" x14ac:dyDescent="0.15">
      <c r="AI1249" s="3"/>
      <c r="AJ1249" s="3"/>
      <c r="AK1249" s="15">
        <f t="shared" si="461"/>
        <v>5</v>
      </c>
      <c r="AL1249" s="11">
        <f t="shared" si="458"/>
        <v>7440</v>
      </c>
      <c r="AM1249" s="11" t="b">
        <f t="shared" si="460"/>
        <v>0</v>
      </c>
      <c r="AN1249" s="11">
        <f t="shared" si="462"/>
        <v>36000</v>
      </c>
      <c r="AO1249" s="11">
        <f t="shared" si="463"/>
        <v>0</v>
      </c>
      <c r="AP1249" s="11">
        <f t="shared" si="464"/>
        <v>0.34977160756398451</v>
      </c>
      <c r="AQ1249" s="11">
        <f t="shared" si="465"/>
        <v>0</v>
      </c>
      <c r="AT1249" s="3"/>
      <c r="AU1249" s="17"/>
      <c r="AV1249" s="19"/>
      <c r="AW1249" s="17"/>
      <c r="AX1249" s="17">
        <f t="shared" si="459"/>
        <v>1240</v>
      </c>
      <c r="AY1249" s="17">
        <f t="shared" si="466"/>
        <v>124</v>
      </c>
      <c r="AZ1249" s="17">
        <v>34.977160756398447</v>
      </c>
      <c r="BA1249" s="17"/>
      <c r="BB1249" s="17">
        <v>36</v>
      </c>
      <c r="BC1249" s="17"/>
      <c r="BD1249" s="17"/>
      <c r="BE1249" s="17"/>
      <c r="BF1249" s="17"/>
      <c r="BG1249" s="17"/>
      <c r="BH1249" s="17"/>
      <c r="BI1249" s="17"/>
      <c r="BJ1249" s="17"/>
      <c r="BK1249" s="17"/>
      <c r="BL1249" s="17"/>
      <c r="BM1249" s="17"/>
      <c r="BN1249" s="17"/>
      <c r="BO1249" s="17"/>
      <c r="BP1249" s="17"/>
      <c r="BQ1249" s="17"/>
      <c r="BR1249" s="17"/>
      <c r="BS1249" s="17"/>
      <c r="BT1249" s="17"/>
      <c r="BU1249" s="17"/>
      <c r="BV1249" s="17"/>
      <c r="BW1249" s="17"/>
      <c r="BX1249" s="17"/>
      <c r="BY1249" s="17"/>
      <c r="BZ1249" s="17"/>
      <c r="CA1249" s="17"/>
      <c r="CB1249" s="17"/>
      <c r="CC1249" s="17"/>
      <c r="CD1249" s="17"/>
      <c r="CE1249" s="17"/>
      <c r="CF1249" s="17"/>
      <c r="CG1249" s="17"/>
      <c r="CH1249" s="17"/>
    </row>
    <row r="1250" spans="35:86" x14ac:dyDescent="0.15">
      <c r="AI1250" s="3"/>
      <c r="AJ1250" s="3"/>
      <c r="AK1250" s="15">
        <f t="shared" si="461"/>
        <v>5</v>
      </c>
      <c r="AL1250" s="11">
        <f t="shared" si="458"/>
        <v>7446</v>
      </c>
      <c r="AM1250" s="11" t="b">
        <f t="shared" si="460"/>
        <v>0</v>
      </c>
      <c r="AN1250" s="11">
        <f t="shared" si="462"/>
        <v>36000</v>
      </c>
      <c r="AO1250" s="11">
        <f t="shared" si="463"/>
        <v>0</v>
      </c>
      <c r="AP1250" s="11">
        <f t="shared" si="464"/>
        <v>0.35087392237879933</v>
      </c>
      <c r="AQ1250" s="11">
        <f t="shared" si="465"/>
        <v>0</v>
      </c>
      <c r="AT1250" s="3"/>
      <c r="AU1250" s="17"/>
      <c r="AV1250" s="19"/>
      <c r="AW1250" s="17"/>
      <c r="AX1250" s="17">
        <f t="shared" si="459"/>
        <v>1241</v>
      </c>
      <c r="AY1250" s="17">
        <f t="shared" si="466"/>
        <v>124.1</v>
      </c>
      <c r="AZ1250" s="17">
        <v>35.087392237879932</v>
      </c>
      <c r="BA1250" s="17"/>
      <c r="BB1250" s="17">
        <v>36</v>
      </c>
      <c r="BC1250" s="17"/>
      <c r="BD1250" s="17"/>
      <c r="BE1250" s="17"/>
      <c r="BF1250" s="17"/>
      <c r="BG1250" s="17"/>
      <c r="BH1250" s="17"/>
      <c r="BI1250" s="17"/>
      <c r="BJ1250" s="17"/>
      <c r="BK1250" s="17"/>
      <c r="BL1250" s="17"/>
      <c r="BM1250" s="17"/>
      <c r="BN1250" s="17"/>
      <c r="BO1250" s="17"/>
      <c r="BP1250" s="17"/>
      <c r="BQ1250" s="17"/>
      <c r="BR1250" s="17"/>
      <c r="BS1250" s="17"/>
      <c r="BT1250" s="17"/>
      <c r="BU1250" s="17"/>
      <c r="BV1250" s="17"/>
      <c r="BW1250" s="17"/>
      <c r="BX1250" s="17"/>
      <c r="BY1250" s="17"/>
      <c r="BZ1250" s="17"/>
      <c r="CA1250" s="17"/>
      <c r="CB1250" s="17"/>
      <c r="CC1250" s="17"/>
      <c r="CD1250" s="17"/>
      <c r="CE1250" s="17"/>
      <c r="CF1250" s="17"/>
      <c r="CG1250" s="17"/>
      <c r="CH1250" s="17"/>
    </row>
    <row r="1251" spans="35:86" x14ac:dyDescent="0.15">
      <c r="AI1251" s="3"/>
      <c r="AJ1251" s="3"/>
      <c r="AK1251" s="15">
        <f t="shared" si="461"/>
        <v>5</v>
      </c>
      <c r="AL1251" s="11">
        <f t="shared" si="458"/>
        <v>7452</v>
      </c>
      <c r="AM1251" s="11" t="b">
        <f t="shared" si="460"/>
        <v>0</v>
      </c>
      <c r="AN1251" s="11">
        <f t="shared" si="462"/>
        <v>36000</v>
      </c>
      <c r="AO1251" s="11">
        <f t="shared" si="463"/>
        <v>0</v>
      </c>
      <c r="AP1251" s="11">
        <f t="shared" si="464"/>
        <v>0.35197623719361409</v>
      </c>
      <c r="AQ1251" s="11">
        <f t="shared" si="465"/>
        <v>0</v>
      </c>
      <c r="AT1251" s="3"/>
      <c r="AU1251" s="17"/>
      <c r="AV1251" s="19"/>
      <c r="AW1251" s="17"/>
      <c r="AX1251" s="17">
        <f t="shared" si="459"/>
        <v>1242</v>
      </c>
      <c r="AY1251" s="17">
        <f t="shared" si="466"/>
        <v>124.2</v>
      </c>
      <c r="AZ1251" s="17">
        <v>35.19762371936141</v>
      </c>
      <c r="BA1251" s="17"/>
      <c r="BB1251" s="17">
        <v>36</v>
      </c>
      <c r="BC1251" s="17"/>
      <c r="BD1251" s="17"/>
      <c r="BE1251" s="17"/>
      <c r="BF1251" s="17"/>
      <c r="BG1251" s="17"/>
      <c r="BH1251" s="17"/>
      <c r="BI1251" s="17"/>
      <c r="BJ1251" s="17"/>
      <c r="BK1251" s="17"/>
      <c r="BL1251" s="17"/>
      <c r="BM1251" s="17"/>
      <c r="BN1251" s="17"/>
      <c r="BO1251" s="17"/>
      <c r="BP1251" s="17"/>
      <c r="BQ1251" s="17"/>
      <c r="BR1251" s="17"/>
      <c r="BS1251" s="17"/>
      <c r="BT1251" s="17"/>
      <c r="BU1251" s="17"/>
      <c r="BV1251" s="17"/>
      <c r="BW1251" s="17"/>
      <c r="BX1251" s="17"/>
      <c r="BY1251" s="17"/>
      <c r="BZ1251" s="17"/>
      <c r="CA1251" s="17"/>
      <c r="CB1251" s="17"/>
      <c r="CC1251" s="17"/>
      <c r="CD1251" s="17"/>
      <c r="CE1251" s="17"/>
      <c r="CF1251" s="17"/>
      <c r="CG1251" s="17"/>
      <c r="CH1251" s="17"/>
    </row>
    <row r="1252" spans="35:86" x14ac:dyDescent="0.15">
      <c r="AI1252" s="3"/>
      <c r="AJ1252" s="3"/>
      <c r="AK1252" s="15">
        <f t="shared" si="461"/>
        <v>5</v>
      </c>
      <c r="AL1252" s="11">
        <f t="shared" si="458"/>
        <v>7458</v>
      </c>
      <c r="AM1252" s="11" t="b">
        <f t="shared" si="460"/>
        <v>0</v>
      </c>
      <c r="AN1252" s="11">
        <f t="shared" si="462"/>
        <v>36000</v>
      </c>
      <c r="AO1252" s="11">
        <f t="shared" si="463"/>
        <v>0</v>
      </c>
      <c r="AP1252" s="11">
        <f t="shared" si="464"/>
        <v>0.35307855200842891</v>
      </c>
      <c r="AQ1252" s="11">
        <f t="shared" si="465"/>
        <v>0</v>
      </c>
      <c r="AT1252" s="3"/>
      <c r="AU1252" s="17"/>
      <c r="AV1252" s="19"/>
      <c r="AW1252" s="17"/>
      <c r="AX1252" s="17">
        <f t="shared" si="459"/>
        <v>1243</v>
      </c>
      <c r="AY1252" s="17">
        <f t="shared" si="466"/>
        <v>124.3</v>
      </c>
      <c r="AZ1252" s="17">
        <v>35.307855200842894</v>
      </c>
      <c r="BA1252" s="17"/>
      <c r="BB1252" s="17">
        <v>36</v>
      </c>
      <c r="BC1252" s="17"/>
      <c r="BD1252" s="17"/>
      <c r="BE1252" s="17"/>
      <c r="BF1252" s="17"/>
      <c r="BG1252" s="17"/>
      <c r="BH1252" s="17"/>
      <c r="BI1252" s="17"/>
      <c r="BJ1252" s="17"/>
      <c r="BK1252" s="17"/>
      <c r="BL1252" s="17"/>
      <c r="BM1252" s="17"/>
      <c r="BN1252" s="17"/>
      <c r="BO1252" s="17"/>
      <c r="BP1252" s="17"/>
      <c r="BQ1252" s="17"/>
      <c r="BR1252" s="17"/>
      <c r="BS1252" s="17"/>
      <c r="BT1252" s="17"/>
      <c r="BU1252" s="17"/>
      <c r="BV1252" s="17"/>
      <c r="BW1252" s="17"/>
      <c r="BX1252" s="17"/>
      <c r="BY1252" s="17"/>
      <c r="BZ1252" s="17"/>
      <c r="CA1252" s="17"/>
      <c r="CB1252" s="17"/>
      <c r="CC1252" s="17"/>
      <c r="CD1252" s="17"/>
      <c r="CE1252" s="17"/>
      <c r="CF1252" s="17"/>
      <c r="CG1252" s="17"/>
      <c r="CH1252" s="17"/>
    </row>
    <row r="1253" spans="35:86" x14ac:dyDescent="0.15">
      <c r="AI1253" s="3"/>
      <c r="AJ1253" s="3"/>
      <c r="AK1253" s="15">
        <f t="shared" si="461"/>
        <v>5</v>
      </c>
      <c r="AL1253" s="11">
        <f t="shared" si="458"/>
        <v>7464</v>
      </c>
      <c r="AM1253" s="11" t="b">
        <f t="shared" si="460"/>
        <v>0</v>
      </c>
      <c r="AN1253" s="11">
        <f t="shared" si="462"/>
        <v>36000</v>
      </c>
      <c r="AO1253" s="11">
        <f t="shared" si="463"/>
        <v>0</v>
      </c>
      <c r="AP1253" s="11">
        <f t="shared" si="464"/>
        <v>0.35418086682324368</v>
      </c>
      <c r="AQ1253" s="11">
        <f t="shared" si="465"/>
        <v>0</v>
      </c>
      <c r="AT1253" s="3"/>
      <c r="AU1253" s="17"/>
      <c r="AV1253" s="19"/>
      <c r="AW1253" s="17"/>
      <c r="AX1253" s="17">
        <f t="shared" si="459"/>
        <v>1244</v>
      </c>
      <c r="AY1253" s="17">
        <f t="shared" si="466"/>
        <v>124.4</v>
      </c>
      <c r="AZ1253" s="17">
        <v>35.418086682324365</v>
      </c>
      <c r="BA1253" s="17"/>
      <c r="BB1253" s="17">
        <v>36</v>
      </c>
      <c r="BC1253" s="17"/>
      <c r="BD1253" s="17"/>
      <c r="BE1253" s="17"/>
      <c r="BF1253" s="17"/>
      <c r="BG1253" s="17"/>
      <c r="BH1253" s="17"/>
      <c r="BI1253" s="17"/>
      <c r="BJ1253" s="17"/>
      <c r="BK1253" s="17"/>
      <c r="BL1253" s="17"/>
      <c r="BM1253" s="17"/>
      <c r="BN1253" s="17"/>
      <c r="BO1253" s="17"/>
      <c r="BP1253" s="17"/>
      <c r="BQ1253" s="17"/>
      <c r="BR1253" s="17"/>
      <c r="BS1253" s="17"/>
      <c r="BT1253" s="17"/>
      <c r="BU1253" s="17"/>
      <c r="BV1253" s="17"/>
      <c r="BW1253" s="17"/>
      <c r="BX1253" s="17"/>
      <c r="BY1253" s="17"/>
      <c r="BZ1253" s="17"/>
      <c r="CA1253" s="17"/>
      <c r="CB1253" s="17"/>
      <c r="CC1253" s="17"/>
      <c r="CD1253" s="17"/>
      <c r="CE1253" s="17"/>
      <c r="CF1253" s="17"/>
      <c r="CG1253" s="17"/>
      <c r="CH1253" s="17"/>
    </row>
    <row r="1254" spans="35:86" x14ac:dyDescent="0.15">
      <c r="AI1254" s="3"/>
      <c r="AJ1254" s="3"/>
      <c r="AK1254" s="15">
        <f t="shared" si="461"/>
        <v>5</v>
      </c>
      <c r="AL1254" s="11">
        <f t="shared" si="458"/>
        <v>7470</v>
      </c>
      <c r="AM1254" s="11" t="b">
        <f t="shared" si="460"/>
        <v>0</v>
      </c>
      <c r="AN1254" s="11">
        <f t="shared" si="462"/>
        <v>36000</v>
      </c>
      <c r="AO1254" s="11">
        <f t="shared" si="463"/>
        <v>0</v>
      </c>
      <c r="AP1254" s="11">
        <f t="shared" si="464"/>
        <v>0.3552831816380585</v>
      </c>
      <c r="AQ1254" s="11">
        <f t="shared" si="465"/>
        <v>0</v>
      </c>
      <c r="AT1254" s="3"/>
      <c r="AU1254" s="17"/>
      <c r="AV1254" s="19"/>
      <c r="AW1254" s="17"/>
      <c r="AX1254" s="17">
        <f t="shared" si="459"/>
        <v>1245</v>
      </c>
      <c r="AY1254" s="17">
        <f t="shared" si="466"/>
        <v>124.5</v>
      </c>
      <c r="AZ1254" s="17">
        <v>35.528318163805849</v>
      </c>
      <c r="BA1254" s="17"/>
      <c r="BB1254" s="17">
        <v>36</v>
      </c>
      <c r="BC1254" s="17"/>
      <c r="BD1254" s="17"/>
      <c r="BE1254" s="17"/>
      <c r="BF1254" s="17"/>
      <c r="BG1254" s="17"/>
      <c r="BH1254" s="17"/>
      <c r="BI1254" s="17"/>
      <c r="BJ1254" s="17"/>
      <c r="BK1254" s="17"/>
      <c r="BL1254" s="17"/>
      <c r="BM1254" s="17"/>
      <c r="BN1254" s="17"/>
      <c r="BO1254" s="17"/>
      <c r="BP1254" s="17"/>
      <c r="BQ1254" s="17"/>
      <c r="BR1254" s="17"/>
      <c r="BS1254" s="17"/>
      <c r="BT1254" s="17"/>
      <c r="BU1254" s="17"/>
      <c r="BV1254" s="17"/>
      <c r="BW1254" s="17"/>
      <c r="BX1254" s="17"/>
      <c r="BY1254" s="17"/>
      <c r="BZ1254" s="17"/>
      <c r="CA1254" s="17"/>
      <c r="CB1254" s="17"/>
      <c r="CC1254" s="17"/>
      <c r="CD1254" s="17"/>
      <c r="CE1254" s="17"/>
      <c r="CF1254" s="17"/>
      <c r="CG1254" s="17"/>
      <c r="CH1254" s="17"/>
    </row>
    <row r="1255" spans="35:86" x14ac:dyDescent="0.15">
      <c r="AI1255" s="3"/>
      <c r="AJ1255" s="3"/>
      <c r="AK1255" s="15">
        <f t="shared" si="461"/>
        <v>5</v>
      </c>
      <c r="AL1255" s="11">
        <f t="shared" si="458"/>
        <v>7476</v>
      </c>
      <c r="AM1255" s="11" t="b">
        <f t="shared" si="460"/>
        <v>0</v>
      </c>
      <c r="AN1255" s="11">
        <f t="shared" si="462"/>
        <v>36000</v>
      </c>
      <c r="AO1255" s="11">
        <f t="shared" si="463"/>
        <v>0</v>
      </c>
      <c r="AP1255" s="11">
        <f t="shared" si="464"/>
        <v>0.35638549645287332</v>
      </c>
      <c r="AQ1255" s="11">
        <f t="shared" si="465"/>
        <v>0</v>
      </c>
      <c r="AT1255" s="3"/>
      <c r="AU1255" s="17"/>
      <c r="AV1255" s="19"/>
      <c r="AW1255" s="17"/>
      <c r="AX1255" s="17">
        <f t="shared" si="459"/>
        <v>1246</v>
      </c>
      <c r="AY1255" s="17">
        <f t="shared" si="466"/>
        <v>124.6</v>
      </c>
      <c r="AZ1255" s="17">
        <v>35.638549645287334</v>
      </c>
      <c r="BA1255" s="17"/>
      <c r="BB1255" s="17">
        <v>36</v>
      </c>
      <c r="BC1255" s="17"/>
      <c r="BD1255" s="17"/>
      <c r="BE1255" s="17"/>
      <c r="BF1255" s="17"/>
      <c r="BG1255" s="17"/>
      <c r="BH1255" s="17"/>
      <c r="BI1255" s="17"/>
      <c r="BJ1255" s="17"/>
      <c r="BK1255" s="17"/>
      <c r="BL1255" s="17"/>
      <c r="BM1255" s="17"/>
      <c r="BN1255" s="17"/>
      <c r="BO1255" s="17"/>
      <c r="BP1255" s="17"/>
      <c r="BQ1255" s="17"/>
      <c r="BR1255" s="17"/>
      <c r="BS1255" s="17"/>
      <c r="BT1255" s="17"/>
      <c r="BU1255" s="17"/>
      <c r="BV1255" s="17"/>
      <c r="BW1255" s="17"/>
      <c r="BX1255" s="17"/>
      <c r="BY1255" s="17"/>
      <c r="BZ1255" s="17"/>
      <c r="CA1255" s="17"/>
      <c r="CB1255" s="17"/>
      <c r="CC1255" s="17"/>
      <c r="CD1255" s="17"/>
      <c r="CE1255" s="17"/>
      <c r="CF1255" s="17"/>
      <c r="CG1255" s="17"/>
      <c r="CH1255" s="17"/>
    </row>
    <row r="1256" spans="35:86" x14ac:dyDescent="0.15">
      <c r="AI1256" s="3"/>
      <c r="AJ1256" s="3"/>
      <c r="AK1256" s="15">
        <f t="shared" si="461"/>
        <v>5</v>
      </c>
      <c r="AL1256" s="11">
        <f t="shared" si="458"/>
        <v>7482</v>
      </c>
      <c r="AM1256" s="11" t="b">
        <f t="shared" si="460"/>
        <v>0</v>
      </c>
      <c r="AN1256" s="11">
        <f t="shared" si="462"/>
        <v>36000</v>
      </c>
      <c r="AO1256" s="11">
        <f t="shared" si="463"/>
        <v>0</v>
      </c>
      <c r="AP1256" s="11">
        <f t="shared" si="464"/>
        <v>0.35748781126768808</v>
      </c>
      <c r="AQ1256" s="11">
        <f t="shared" si="465"/>
        <v>0</v>
      </c>
      <c r="AT1256" s="3"/>
      <c r="AU1256" s="17"/>
      <c r="AV1256" s="19"/>
      <c r="AW1256" s="17"/>
      <c r="AX1256" s="17">
        <f t="shared" si="459"/>
        <v>1247</v>
      </c>
      <c r="AY1256" s="17">
        <f t="shared" si="466"/>
        <v>124.7</v>
      </c>
      <c r="AZ1256" s="17">
        <v>35.748781126768812</v>
      </c>
      <c r="BA1256" s="17"/>
      <c r="BB1256" s="17">
        <v>36</v>
      </c>
      <c r="BC1256" s="17"/>
      <c r="BD1256" s="17"/>
      <c r="BE1256" s="17"/>
      <c r="BF1256" s="17"/>
      <c r="BG1256" s="17"/>
      <c r="BH1256" s="17"/>
      <c r="BI1256" s="17"/>
      <c r="BJ1256" s="17"/>
      <c r="BK1256" s="17"/>
      <c r="BL1256" s="17"/>
      <c r="BM1256" s="17"/>
      <c r="BN1256" s="17"/>
      <c r="BO1256" s="17"/>
      <c r="BP1256" s="17"/>
      <c r="BQ1256" s="17"/>
      <c r="BR1256" s="17"/>
      <c r="BS1256" s="17"/>
      <c r="BT1256" s="17"/>
      <c r="BU1256" s="17"/>
      <c r="BV1256" s="17"/>
      <c r="BW1256" s="17"/>
      <c r="BX1256" s="17"/>
      <c r="BY1256" s="17"/>
      <c r="BZ1256" s="17"/>
      <c r="CA1256" s="17"/>
      <c r="CB1256" s="17"/>
      <c r="CC1256" s="17"/>
      <c r="CD1256" s="17"/>
      <c r="CE1256" s="17"/>
      <c r="CF1256" s="17"/>
      <c r="CG1256" s="17"/>
      <c r="CH1256" s="17"/>
    </row>
    <row r="1257" spans="35:86" x14ac:dyDescent="0.15">
      <c r="AI1257" s="3"/>
      <c r="AJ1257" s="3"/>
      <c r="AK1257" s="15">
        <f t="shared" si="461"/>
        <v>5</v>
      </c>
      <c r="AL1257" s="11">
        <f t="shared" si="458"/>
        <v>7488</v>
      </c>
      <c r="AM1257" s="11" t="b">
        <f t="shared" si="460"/>
        <v>0</v>
      </c>
      <c r="AN1257" s="11">
        <f t="shared" si="462"/>
        <v>36000</v>
      </c>
      <c r="AO1257" s="11">
        <f t="shared" si="463"/>
        <v>0</v>
      </c>
      <c r="AP1257" s="11">
        <f t="shared" si="464"/>
        <v>0.3585901260825029</v>
      </c>
      <c r="AQ1257" s="11">
        <f t="shared" si="465"/>
        <v>0</v>
      </c>
      <c r="AT1257" s="3"/>
      <c r="AU1257" s="17"/>
      <c r="AV1257" s="19"/>
      <c r="AW1257" s="17"/>
      <c r="AX1257" s="17">
        <f t="shared" si="459"/>
        <v>1248</v>
      </c>
      <c r="AY1257" s="17">
        <f t="shared" si="466"/>
        <v>124.8</v>
      </c>
      <c r="AZ1257" s="17">
        <v>35.859012608250289</v>
      </c>
      <c r="BA1257" s="17"/>
      <c r="BB1257" s="17">
        <v>36</v>
      </c>
      <c r="BC1257" s="17"/>
      <c r="BD1257" s="17"/>
      <c r="BE1257" s="17"/>
      <c r="BF1257" s="17"/>
      <c r="BG1257" s="17"/>
      <c r="BH1257" s="17"/>
      <c r="BI1257" s="17"/>
      <c r="BJ1257" s="17"/>
      <c r="BK1257" s="17"/>
      <c r="BL1257" s="17"/>
      <c r="BM1257" s="17"/>
      <c r="BN1257" s="17"/>
      <c r="BO1257" s="17"/>
      <c r="BP1257" s="17"/>
      <c r="BQ1257" s="17"/>
      <c r="BR1257" s="17"/>
      <c r="BS1257" s="17"/>
      <c r="BT1257" s="17"/>
      <c r="BU1257" s="17"/>
      <c r="BV1257" s="17"/>
      <c r="BW1257" s="17"/>
      <c r="BX1257" s="17"/>
      <c r="BY1257" s="17"/>
      <c r="BZ1257" s="17"/>
      <c r="CA1257" s="17"/>
      <c r="CB1257" s="17"/>
      <c r="CC1257" s="17"/>
      <c r="CD1257" s="17"/>
      <c r="CE1257" s="17"/>
      <c r="CF1257" s="17"/>
      <c r="CG1257" s="17"/>
      <c r="CH1257" s="17"/>
    </row>
    <row r="1258" spans="35:86" x14ac:dyDescent="0.15">
      <c r="AI1258" s="3"/>
      <c r="AJ1258" s="3"/>
      <c r="AK1258" s="15">
        <f t="shared" si="461"/>
        <v>5</v>
      </c>
      <c r="AL1258" s="11">
        <f t="shared" si="458"/>
        <v>7494</v>
      </c>
      <c r="AM1258" s="11" t="b">
        <f t="shared" si="460"/>
        <v>0</v>
      </c>
      <c r="AN1258" s="11">
        <f t="shared" si="462"/>
        <v>36000</v>
      </c>
      <c r="AO1258" s="11">
        <f t="shared" si="463"/>
        <v>0</v>
      </c>
      <c r="AP1258" s="11">
        <f t="shared" si="464"/>
        <v>0.35969244089731767</v>
      </c>
      <c r="AQ1258" s="11">
        <f t="shared" si="465"/>
        <v>0</v>
      </c>
      <c r="AT1258" s="3"/>
      <c r="AU1258" s="17"/>
      <c r="AV1258" s="19"/>
      <c r="AW1258" s="17"/>
      <c r="AX1258" s="17">
        <f t="shared" si="459"/>
        <v>1249</v>
      </c>
      <c r="AY1258" s="17">
        <f t="shared" si="466"/>
        <v>124.9</v>
      </c>
      <c r="AZ1258" s="17">
        <v>35.969244089731767</v>
      </c>
      <c r="BA1258" s="17"/>
      <c r="BB1258" s="17">
        <v>36</v>
      </c>
      <c r="BC1258" s="17"/>
      <c r="BD1258" s="17"/>
      <c r="BE1258" s="17"/>
      <c r="BF1258" s="17"/>
      <c r="BG1258" s="17"/>
      <c r="BH1258" s="17"/>
      <c r="BI1258" s="17"/>
      <c r="BJ1258" s="17"/>
      <c r="BK1258" s="17"/>
      <c r="BL1258" s="17"/>
      <c r="BM1258" s="17"/>
      <c r="BN1258" s="17"/>
      <c r="BO1258" s="17"/>
      <c r="BP1258" s="17"/>
      <c r="BQ1258" s="17"/>
      <c r="BR1258" s="17"/>
      <c r="BS1258" s="17"/>
      <c r="BT1258" s="17"/>
      <c r="BU1258" s="17"/>
      <c r="BV1258" s="17"/>
      <c r="BW1258" s="17"/>
      <c r="BX1258" s="17"/>
      <c r="BY1258" s="17"/>
      <c r="BZ1258" s="17"/>
      <c r="CA1258" s="17"/>
      <c r="CB1258" s="17"/>
      <c r="CC1258" s="17"/>
      <c r="CD1258" s="17"/>
      <c r="CE1258" s="17"/>
      <c r="CF1258" s="17"/>
      <c r="CG1258" s="17"/>
      <c r="CH1258" s="17"/>
    </row>
    <row r="1259" spans="35:86" x14ac:dyDescent="0.15">
      <c r="AI1259" s="3"/>
      <c r="AJ1259" s="3"/>
      <c r="AK1259" s="15">
        <f t="shared" si="461"/>
        <v>5</v>
      </c>
      <c r="AL1259" s="11">
        <f t="shared" si="458"/>
        <v>7500</v>
      </c>
      <c r="AM1259" s="11" t="b">
        <f t="shared" si="460"/>
        <v>0</v>
      </c>
      <c r="AN1259" s="11">
        <f t="shared" si="462"/>
        <v>36000</v>
      </c>
      <c r="AO1259" s="11">
        <f t="shared" si="463"/>
        <v>0</v>
      </c>
      <c r="AP1259" s="11">
        <f t="shared" si="464"/>
        <v>0.36079475571213249</v>
      </c>
      <c r="AQ1259" s="11">
        <f t="shared" si="465"/>
        <v>0</v>
      </c>
      <c r="AT1259" s="3"/>
      <c r="AU1259" s="17"/>
      <c r="AV1259" s="19"/>
      <c r="AW1259" s="17"/>
      <c r="AX1259" s="17">
        <f t="shared" si="459"/>
        <v>1250</v>
      </c>
      <c r="AY1259" s="17">
        <f t="shared" si="466"/>
        <v>125</v>
      </c>
      <c r="AZ1259" s="17">
        <v>36.079475571213251</v>
      </c>
      <c r="BA1259" s="17"/>
      <c r="BB1259" s="17">
        <v>36</v>
      </c>
      <c r="BC1259" s="17"/>
      <c r="BD1259" s="17"/>
      <c r="BE1259" s="17"/>
      <c r="BF1259" s="17"/>
      <c r="BG1259" s="17"/>
      <c r="BH1259" s="17"/>
      <c r="BI1259" s="17"/>
      <c r="BJ1259" s="17"/>
      <c r="BK1259" s="17"/>
      <c r="BL1259" s="17"/>
      <c r="BM1259" s="17"/>
      <c r="BN1259" s="17"/>
      <c r="BO1259" s="17"/>
      <c r="BP1259" s="17"/>
      <c r="BQ1259" s="17"/>
      <c r="BR1259" s="17"/>
      <c r="BS1259" s="17"/>
      <c r="BT1259" s="17"/>
      <c r="BU1259" s="17"/>
      <c r="BV1259" s="17"/>
      <c r="BW1259" s="17"/>
      <c r="BX1259" s="17"/>
      <c r="BY1259" s="17"/>
      <c r="BZ1259" s="17"/>
      <c r="CA1259" s="17"/>
      <c r="CB1259" s="17"/>
      <c r="CC1259" s="17"/>
      <c r="CD1259" s="17"/>
      <c r="CE1259" s="17"/>
      <c r="CF1259" s="17"/>
      <c r="CG1259" s="17"/>
      <c r="CH1259" s="17"/>
    </row>
    <row r="1260" spans="35:86" x14ac:dyDescent="0.15">
      <c r="AI1260" s="3"/>
      <c r="AJ1260" s="3"/>
      <c r="AK1260" s="15">
        <f t="shared" si="461"/>
        <v>5</v>
      </c>
      <c r="AL1260" s="11">
        <f t="shared" si="458"/>
        <v>7506</v>
      </c>
      <c r="AM1260" s="11" t="b">
        <f t="shared" si="460"/>
        <v>0</v>
      </c>
      <c r="AN1260" s="11">
        <f t="shared" si="462"/>
        <v>36000</v>
      </c>
      <c r="AO1260" s="11">
        <f t="shared" si="463"/>
        <v>0</v>
      </c>
      <c r="AP1260" s="11">
        <f t="shared" si="464"/>
        <v>0.36189707052694725</v>
      </c>
      <c r="AQ1260" s="11">
        <f t="shared" si="465"/>
        <v>0</v>
      </c>
      <c r="AT1260" s="3"/>
      <c r="AU1260" s="17"/>
      <c r="AV1260" s="19"/>
      <c r="AW1260" s="17"/>
      <c r="AX1260" s="17">
        <f t="shared" si="459"/>
        <v>1251</v>
      </c>
      <c r="AY1260" s="17">
        <f t="shared" si="466"/>
        <v>125.1</v>
      </c>
      <c r="AZ1260" s="17">
        <v>36.189707052694722</v>
      </c>
      <c r="BA1260" s="17"/>
      <c r="BB1260" s="17">
        <v>36</v>
      </c>
      <c r="BC1260" s="17"/>
      <c r="BD1260" s="17"/>
      <c r="BE1260" s="17"/>
      <c r="BF1260" s="17"/>
      <c r="BG1260" s="17"/>
      <c r="BH1260" s="17"/>
      <c r="BI1260" s="17"/>
      <c r="BJ1260" s="17"/>
      <c r="BK1260" s="17"/>
      <c r="BL1260" s="17"/>
      <c r="BM1260" s="17"/>
      <c r="BN1260" s="17"/>
      <c r="BO1260" s="17"/>
      <c r="BP1260" s="17"/>
      <c r="BQ1260" s="17"/>
      <c r="BR1260" s="17"/>
      <c r="BS1260" s="17"/>
      <c r="BT1260" s="17"/>
      <c r="BU1260" s="17"/>
      <c r="BV1260" s="17"/>
      <c r="BW1260" s="17"/>
      <c r="BX1260" s="17"/>
      <c r="BY1260" s="17"/>
      <c r="BZ1260" s="17"/>
      <c r="CA1260" s="17"/>
      <c r="CB1260" s="17"/>
      <c r="CC1260" s="17"/>
      <c r="CD1260" s="17"/>
      <c r="CE1260" s="17"/>
      <c r="CF1260" s="17"/>
      <c r="CG1260" s="17"/>
      <c r="CH1260" s="17"/>
    </row>
    <row r="1261" spans="35:86" x14ac:dyDescent="0.15">
      <c r="AI1261" s="3"/>
      <c r="AJ1261" s="3"/>
      <c r="AK1261" s="15">
        <f t="shared" si="461"/>
        <v>5</v>
      </c>
      <c r="AL1261" s="11">
        <f t="shared" ref="AL1261:AL1324" si="467">AL1260+$AB$15</f>
        <v>7512</v>
      </c>
      <c r="AM1261" s="11" t="b">
        <f t="shared" si="460"/>
        <v>0</v>
      </c>
      <c r="AN1261" s="11">
        <f t="shared" si="462"/>
        <v>36000</v>
      </c>
      <c r="AO1261" s="11">
        <f t="shared" si="463"/>
        <v>0</v>
      </c>
      <c r="AP1261" s="11">
        <f t="shared" si="464"/>
        <v>0.36299938534176207</v>
      </c>
      <c r="AQ1261" s="11">
        <f t="shared" si="465"/>
        <v>0</v>
      </c>
      <c r="AT1261" s="3"/>
      <c r="AU1261" s="17"/>
      <c r="AV1261" s="19"/>
      <c r="AW1261" s="17"/>
      <c r="AX1261" s="17">
        <f t="shared" si="459"/>
        <v>1252</v>
      </c>
      <c r="AY1261" s="17">
        <f t="shared" si="466"/>
        <v>125.2</v>
      </c>
      <c r="AZ1261" s="17">
        <v>36.299938534176206</v>
      </c>
      <c r="BA1261" s="17"/>
      <c r="BB1261" s="17">
        <v>36</v>
      </c>
      <c r="BC1261" s="17"/>
      <c r="BD1261" s="17"/>
      <c r="BE1261" s="17"/>
      <c r="BF1261" s="17"/>
      <c r="BG1261" s="17"/>
      <c r="BH1261" s="17"/>
      <c r="BI1261" s="17"/>
      <c r="BJ1261" s="17"/>
      <c r="BK1261" s="17"/>
      <c r="BL1261" s="17"/>
      <c r="BM1261" s="17"/>
      <c r="BN1261" s="17"/>
      <c r="BO1261" s="17"/>
      <c r="BP1261" s="17"/>
      <c r="BQ1261" s="17"/>
      <c r="BR1261" s="17"/>
      <c r="BS1261" s="17"/>
      <c r="BT1261" s="17"/>
      <c r="BU1261" s="17"/>
      <c r="BV1261" s="17"/>
      <c r="BW1261" s="17"/>
      <c r="BX1261" s="17"/>
      <c r="BY1261" s="17"/>
      <c r="BZ1261" s="17"/>
      <c r="CA1261" s="17"/>
      <c r="CB1261" s="17"/>
      <c r="CC1261" s="17"/>
      <c r="CD1261" s="17"/>
      <c r="CE1261" s="17"/>
      <c r="CF1261" s="17"/>
      <c r="CG1261" s="17"/>
      <c r="CH1261" s="17"/>
    </row>
    <row r="1262" spans="35:86" x14ac:dyDescent="0.15">
      <c r="AI1262" s="3"/>
      <c r="AJ1262" s="3"/>
      <c r="AK1262" s="15">
        <f t="shared" si="461"/>
        <v>5</v>
      </c>
      <c r="AL1262" s="11">
        <f t="shared" si="467"/>
        <v>7518</v>
      </c>
      <c r="AM1262" s="11" t="b">
        <f t="shared" si="460"/>
        <v>0</v>
      </c>
      <c r="AN1262" s="11">
        <f t="shared" si="462"/>
        <v>36000</v>
      </c>
      <c r="AO1262" s="11">
        <f t="shared" si="463"/>
        <v>0</v>
      </c>
      <c r="AP1262" s="11">
        <f t="shared" si="464"/>
        <v>0.36410170015657684</v>
      </c>
      <c r="AQ1262" s="11">
        <f t="shared" si="465"/>
        <v>0</v>
      </c>
      <c r="AT1262" s="3"/>
      <c r="AU1262" s="17"/>
      <c r="AV1262" s="19"/>
      <c r="AW1262" s="17"/>
      <c r="AX1262" s="17">
        <f t="shared" ref="AX1262:AX1325" si="468">IF(AX1261&gt;=$AG$14,$AG$14,AX1261+1)</f>
        <v>1253</v>
      </c>
      <c r="AY1262" s="17">
        <f t="shared" si="466"/>
        <v>125.3</v>
      </c>
      <c r="AZ1262" s="17">
        <v>36.410170015657684</v>
      </c>
      <c r="BA1262" s="17"/>
      <c r="BB1262" s="17">
        <v>36</v>
      </c>
      <c r="BC1262" s="17"/>
      <c r="BD1262" s="17"/>
      <c r="BE1262" s="17"/>
      <c r="BF1262" s="17"/>
      <c r="BG1262" s="17"/>
      <c r="BH1262" s="17"/>
      <c r="BI1262" s="17"/>
      <c r="BJ1262" s="17"/>
      <c r="BK1262" s="17"/>
      <c r="BL1262" s="17"/>
      <c r="BM1262" s="17"/>
      <c r="BN1262" s="17"/>
      <c r="BO1262" s="17"/>
      <c r="BP1262" s="17"/>
      <c r="BQ1262" s="17"/>
      <c r="BR1262" s="17"/>
      <c r="BS1262" s="17"/>
      <c r="BT1262" s="17"/>
      <c r="BU1262" s="17"/>
      <c r="BV1262" s="17"/>
      <c r="BW1262" s="17"/>
      <c r="BX1262" s="17"/>
      <c r="BY1262" s="17"/>
      <c r="BZ1262" s="17"/>
      <c r="CA1262" s="17"/>
      <c r="CB1262" s="17"/>
      <c r="CC1262" s="17"/>
      <c r="CD1262" s="17"/>
      <c r="CE1262" s="17"/>
      <c r="CF1262" s="17"/>
      <c r="CG1262" s="17"/>
      <c r="CH1262" s="17"/>
    </row>
    <row r="1263" spans="35:86" x14ac:dyDescent="0.15">
      <c r="AI1263" s="3"/>
      <c r="AJ1263" s="3"/>
      <c r="AK1263" s="15">
        <f t="shared" si="461"/>
        <v>5</v>
      </c>
      <c r="AL1263" s="11">
        <f t="shared" si="467"/>
        <v>7524</v>
      </c>
      <c r="AM1263" s="11" t="b">
        <f t="shared" si="460"/>
        <v>0</v>
      </c>
      <c r="AN1263" s="11">
        <f t="shared" si="462"/>
        <v>36000</v>
      </c>
      <c r="AO1263" s="11">
        <f t="shared" si="463"/>
        <v>0</v>
      </c>
      <c r="AP1263" s="11">
        <f t="shared" si="464"/>
        <v>0.36520401497139166</v>
      </c>
      <c r="AQ1263" s="11">
        <f t="shared" si="465"/>
        <v>0</v>
      </c>
      <c r="AT1263" s="3"/>
      <c r="AU1263" s="17"/>
      <c r="AV1263" s="19"/>
      <c r="AW1263" s="17"/>
      <c r="AX1263" s="17">
        <f t="shared" si="468"/>
        <v>1254</v>
      </c>
      <c r="AY1263" s="17">
        <f t="shared" si="466"/>
        <v>125.4</v>
      </c>
      <c r="AZ1263" s="17">
        <v>36.520401497139169</v>
      </c>
      <c r="BA1263" s="17"/>
      <c r="BB1263" s="17">
        <v>36</v>
      </c>
      <c r="BC1263" s="17"/>
      <c r="BD1263" s="17"/>
      <c r="BE1263" s="17"/>
      <c r="BF1263" s="17"/>
      <c r="BG1263" s="17"/>
      <c r="BH1263" s="17"/>
      <c r="BI1263" s="17"/>
      <c r="BJ1263" s="17"/>
      <c r="BK1263" s="17"/>
      <c r="BL1263" s="17"/>
      <c r="BM1263" s="17"/>
      <c r="BN1263" s="17"/>
      <c r="BO1263" s="17"/>
      <c r="BP1263" s="17"/>
      <c r="BQ1263" s="17"/>
      <c r="BR1263" s="17"/>
      <c r="BS1263" s="17"/>
      <c r="BT1263" s="17"/>
      <c r="BU1263" s="17"/>
      <c r="BV1263" s="17"/>
      <c r="BW1263" s="17"/>
      <c r="BX1263" s="17"/>
      <c r="BY1263" s="17"/>
      <c r="BZ1263" s="17"/>
      <c r="CA1263" s="17"/>
      <c r="CB1263" s="17"/>
      <c r="CC1263" s="17"/>
      <c r="CD1263" s="17"/>
      <c r="CE1263" s="17"/>
      <c r="CF1263" s="17"/>
      <c r="CG1263" s="17"/>
      <c r="CH1263" s="17"/>
    </row>
    <row r="1264" spans="35:86" x14ac:dyDescent="0.15">
      <c r="AI1264" s="3"/>
      <c r="AJ1264" s="3"/>
      <c r="AK1264" s="15">
        <f t="shared" si="461"/>
        <v>5</v>
      </c>
      <c r="AL1264" s="11">
        <f t="shared" si="467"/>
        <v>7530</v>
      </c>
      <c r="AM1264" s="11" t="b">
        <f t="shared" si="460"/>
        <v>0</v>
      </c>
      <c r="AN1264" s="11">
        <f t="shared" si="462"/>
        <v>36000</v>
      </c>
      <c r="AO1264" s="11">
        <f t="shared" si="463"/>
        <v>0</v>
      </c>
      <c r="AP1264" s="11">
        <f t="shared" si="464"/>
        <v>0.36630632978620642</v>
      </c>
      <c r="AQ1264" s="11">
        <f t="shared" si="465"/>
        <v>0</v>
      </c>
      <c r="AT1264" s="3"/>
      <c r="AU1264" s="17"/>
      <c r="AV1264" s="19"/>
      <c r="AW1264" s="17"/>
      <c r="AX1264" s="17">
        <f t="shared" si="468"/>
        <v>1255</v>
      </c>
      <c r="AY1264" s="17">
        <f t="shared" si="466"/>
        <v>125.5</v>
      </c>
      <c r="AZ1264" s="17">
        <v>36.630632978620639</v>
      </c>
      <c r="BA1264" s="17"/>
      <c r="BB1264" s="17">
        <v>36</v>
      </c>
      <c r="BC1264" s="17"/>
      <c r="BD1264" s="17"/>
      <c r="BE1264" s="17"/>
      <c r="BF1264" s="17"/>
      <c r="BG1264" s="17"/>
      <c r="BH1264" s="17"/>
      <c r="BI1264" s="17"/>
      <c r="BJ1264" s="17"/>
      <c r="BK1264" s="17"/>
      <c r="BL1264" s="17"/>
      <c r="BM1264" s="17"/>
      <c r="BN1264" s="17"/>
      <c r="BO1264" s="17"/>
      <c r="BP1264" s="17"/>
      <c r="BQ1264" s="17"/>
      <c r="BR1264" s="17"/>
      <c r="BS1264" s="17"/>
      <c r="BT1264" s="17"/>
      <c r="BU1264" s="17"/>
      <c r="BV1264" s="17"/>
      <c r="BW1264" s="17"/>
      <c r="BX1264" s="17"/>
      <c r="BY1264" s="17"/>
      <c r="BZ1264" s="17"/>
      <c r="CA1264" s="17"/>
      <c r="CB1264" s="17"/>
      <c r="CC1264" s="17"/>
      <c r="CD1264" s="17"/>
      <c r="CE1264" s="17"/>
      <c r="CF1264" s="17"/>
      <c r="CG1264" s="17"/>
      <c r="CH1264" s="17"/>
    </row>
    <row r="1265" spans="35:86" x14ac:dyDescent="0.15">
      <c r="AI1265" s="3"/>
      <c r="AJ1265" s="3"/>
      <c r="AK1265" s="15">
        <f t="shared" si="461"/>
        <v>5</v>
      </c>
      <c r="AL1265" s="11">
        <f t="shared" si="467"/>
        <v>7536</v>
      </c>
      <c r="AM1265" s="11" t="b">
        <f t="shared" si="460"/>
        <v>0</v>
      </c>
      <c r="AN1265" s="11">
        <f t="shared" si="462"/>
        <v>36000</v>
      </c>
      <c r="AO1265" s="11">
        <f t="shared" si="463"/>
        <v>0</v>
      </c>
      <c r="AP1265" s="11">
        <f t="shared" si="464"/>
        <v>0.36740864460102124</v>
      </c>
      <c r="AQ1265" s="11">
        <f t="shared" si="465"/>
        <v>0</v>
      </c>
      <c r="AT1265" s="3"/>
      <c r="AU1265" s="17"/>
      <c r="AV1265" s="19"/>
      <c r="AW1265" s="17"/>
      <c r="AX1265" s="17">
        <f t="shared" si="468"/>
        <v>1256</v>
      </c>
      <c r="AY1265" s="17">
        <f t="shared" si="466"/>
        <v>125.6</v>
      </c>
      <c r="AZ1265" s="17">
        <v>36.740864460102124</v>
      </c>
      <c r="BA1265" s="17"/>
      <c r="BB1265" s="17">
        <v>36</v>
      </c>
      <c r="BC1265" s="17"/>
      <c r="BD1265" s="17"/>
      <c r="BE1265" s="17"/>
      <c r="BF1265" s="17"/>
      <c r="BG1265" s="17"/>
      <c r="BH1265" s="17"/>
      <c r="BI1265" s="17"/>
      <c r="BJ1265" s="17"/>
      <c r="BK1265" s="17"/>
      <c r="BL1265" s="17"/>
      <c r="BM1265" s="17"/>
      <c r="BN1265" s="17"/>
      <c r="BO1265" s="17"/>
      <c r="BP1265" s="17"/>
      <c r="BQ1265" s="17"/>
      <c r="BR1265" s="17"/>
      <c r="BS1265" s="17"/>
      <c r="BT1265" s="17"/>
      <c r="BU1265" s="17"/>
      <c r="BV1265" s="17"/>
      <c r="BW1265" s="17"/>
      <c r="BX1265" s="17"/>
      <c r="BY1265" s="17"/>
      <c r="BZ1265" s="17"/>
      <c r="CA1265" s="17"/>
      <c r="CB1265" s="17"/>
      <c r="CC1265" s="17"/>
      <c r="CD1265" s="17"/>
      <c r="CE1265" s="17"/>
      <c r="CF1265" s="17"/>
      <c r="CG1265" s="17"/>
      <c r="CH1265" s="17"/>
    </row>
    <row r="1266" spans="35:86" x14ac:dyDescent="0.15">
      <c r="AI1266" s="3"/>
      <c r="AJ1266" s="3"/>
      <c r="AK1266" s="15">
        <f t="shared" si="461"/>
        <v>5</v>
      </c>
      <c r="AL1266" s="11">
        <f t="shared" si="467"/>
        <v>7542</v>
      </c>
      <c r="AM1266" s="11" t="b">
        <f t="shared" si="460"/>
        <v>0</v>
      </c>
      <c r="AN1266" s="11">
        <f t="shared" si="462"/>
        <v>36000</v>
      </c>
      <c r="AO1266" s="11">
        <f t="shared" si="463"/>
        <v>0</v>
      </c>
      <c r="AP1266" s="11">
        <f t="shared" si="464"/>
        <v>0.368510959415836</v>
      </c>
      <c r="AQ1266" s="11">
        <f t="shared" si="465"/>
        <v>0</v>
      </c>
      <c r="AT1266" s="3"/>
      <c r="AU1266" s="17"/>
      <c r="AV1266" s="19"/>
      <c r="AW1266" s="17"/>
      <c r="AX1266" s="17">
        <f t="shared" si="468"/>
        <v>1257</v>
      </c>
      <c r="AY1266" s="17">
        <f t="shared" si="466"/>
        <v>125.7</v>
      </c>
      <c r="AZ1266" s="17">
        <v>36.851095941583601</v>
      </c>
      <c r="BA1266" s="17"/>
      <c r="BB1266" s="17">
        <v>36</v>
      </c>
      <c r="BC1266" s="17"/>
      <c r="BD1266" s="17"/>
      <c r="BE1266" s="17"/>
      <c r="BF1266" s="17"/>
      <c r="BG1266" s="17"/>
      <c r="BH1266" s="17"/>
      <c r="BI1266" s="17"/>
      <c r="BJ1266" s="17"/>
      <c r="BK1266" s="17"/>
      <c r="BL1266" s="17"/>
      <c r="BM1266" s="17"/>
      <c r="BN1266" s="17"/>
      <c r="BO1266" s="17"/>
      <c r="BP1266" s="17"/>
      <c r="BQ1266" s="17"/>
      <c r="BR1266" s="17"/>
      <c r="BS1266" s="17"/>
      <c r="BT1266" s="17"/>
      <c r="BU1266" s="17"/>
      <c r="BV1266" s="17"/>
      <c r="BW1266" s="17"/>
      <c r="BX1266" s="17"/>
      <c r="BY1266" s="17"/>
      <c r="BZ1266" s="17"/>
      <c r="CA1266" s="17"/>
      <c r="CB1266" s="17"/>
      <c r="CC1266" s="17"/>
      <c r="CD1266" s="17"/>
      <c r="CE1266" s="17"/>
      <c r="CF1266" s="17"/>
      <c r="CG1266" s="17"/>
      <c r="CH1266" s="17"/>
    </row>
    <row r="1267" spans="35:86" x14ac:dyDescent="0.15">
      <c r="AI1267" s="3"/>
      <c r="AJ1267" s="3"/>
      <c r="AK1267" s="15">
        <f t="shared" si="461"/>
        <v>5</v>
      </c>
      <c r="AL1267" s="11">
        <f t="shared" si="467"/>
        <v>7548</v>
      </c>
      <c r="AM1267" s="11" t="b">
        <f t="shared" si="460"/>
        <v>0</v>
      </c>
      <c r="AN1267" s="11">
        <f t="shared" si="462"/>
        <v>36000</v>
      </c>
      <c r="AO1267" s="11">
        <f t="shared" si="463"/>
        <v>0</v>
      </c>
      <c r="AP1267" s="11">
        <f t="shared" si="464"/>
        <v>0.36961327423065082</v>
      </c>
      <c r="AQ1267" s="11">
        <f t="shared" si="465"/>
        <v>0</v>
      </c>
      <c r="AT1267" s="3"/>
      <c r="AU1267" s="17"/>
      <c r="AV1267" s="19"/>
      <c r="AW1267" s="17"/>
      <c r="AX1267" s="17">
        <f t="shared" si="468"/>
        <v>1258</v>
      </c>
      <c r="AY1267" s="17">
        <f t="shared" si="466"/>
        <v>125.8</v>
      </c>
      <c r="AZ1267" s="17">
        <v>36.961327423065086</v>
      </c>
      <c r="BA1267" s="17"/>
      <c r="BB1267" s="17">
        <v>36</v>
      </c>
      <c r="BC1267" s="17"/>
      <c r="BD1267" s="17"/>
      <c r="BE1267" s="17"/>
      <c r="BF1267" s="17"/>
      <c r="BG1267" s="17"/>
      <c r="BH1267" s="17"/>
      <c r="BI1267" s="17"/>
      <c r="BJ1267" s="17"/>
      <c r="BK1267" s="17"/>
      <c r="BL1267" s="17"/>
      <c r="BM1267" s="17"/>
      <c r="BN1267" s="17"/>
      <c r="BO1267" s="17"/>
      <c r="BP1267" s="17"/>
      <c r="BQ1267" s="17"/>
      <c r="BR1267" s="17"/>
      <c r="BS1267" s="17"/>
      <c r="BT1267" s="17"/>
      <c r="BU1267" s="17"/>
      <c r="BV1267" s="17"/>
      <c r="BW1267" s="17"/>
      <c r="BX1267" s="17"/>
      <c r="BY1267" s="17"/>
      <c r="BZ1267" s="17"/>
      <c r="CA1267" s="17"/>
      <c r="CB1267" s="17"/>
      <c r="CC1267" s="17"/>
      <c r="CD1267" s="17"/>
      <c r="CE1267" s="17"/>
      <c r="CF1267" s="17"/>
      <c r="CG1267" s="17"/>
      <c r="CH1267" s="17"/>
    </row>
    <row r="1268" spans="35:86" x14ac:dyDescent="0.15">
      <c r="AI1268" s="3"/>
      <c r="AJ1268" s="3"/>
      <c r="AK1268" s="15">
        <f t="shared" si="461"/>
        <v>5</v>
      </c>
      <c r="AL1268" s="11">
        <f t="shared" si="467"/>
        <v>7554</v>
      </c>
      <c r="AM1268" s="11" t="b">
        <f t="shared" si="460"/>
        <v>0</v>
      </c>
      <c r="AN1268" s="11">
        <f t="shared" si="462"/>
        <v>36000</v>
      </c>
      <c r="AO1268" s="11">
        <f t="shared" si="463"/>
        <v>0</v>
      </c>
      <c r="AP1268" s="11">
        <f t="shared" si="464"/>
        <v>0.37071558904546559</v>
      </c>
      <c r="AQ1268" s="11">
        <f t="shared" si="465"/>
        <v>0</v>
      </c>
      <c r="AT1268" s="3"/>
      <c r="AU1268" s="17"/>
      <c r="AV1268" s="19"/>
      <c r="AW1268" s="17"/>
      <c r="AX1268" s="17">
        <f t="shared" si="468"/>
        <v>1259</v>
      </c>
      <c r="AY1268" s="17">
        <f t="shared" si="466"/>
        <v>125.9</v>
      </c>
      <c r="AZ1268" s="17">
        <v>37.071558904546556</v>
      </c>
      <c r="BA1268" s="17"/>
      <c r="BB1268" s="17">
        <v>36</v>
      </c>
      <c r="BC1268" s="17"/>
      <c r="BD1268" s="17"/>
      <c r="BE1268" s="17"/>
      <c r="BF1268" s="17"/>
      <c r="BG1268" s="17"/>
      <c r="BH1268" s="17"/>
      <c r="BI1268" s="17"/>
      <c r="BJ1268" s="17"/>
      <c r="BK1268" s="17"/>
      <c r="BL1268" s="17"/>
      <c r="BM1268" s="17"/>
      <c r="BN1268" s="17"/>
      <c r="BO1268" s="17"/>
      <c r="BP1268" s="17"/>
      <c r="BQ1268" s="17"/>
      <c r="BR1268" s="17"/>
      <c r="BS1268" s="17"/>
      <c r="BT1268" s="17"/>
      <c r="BU1268" s="17"/>
      <c r="BV1268" s="17"/>
      <c r="BW1268" s="17"/>
      <c r="BX1268" s="17"/>
      <c r="BY1268" s="17"/>
      <c r="BZ1268" s="17"/>
      <c r="CA1268" s="17"/>
      <c r="CB1268" s="17"/>
      <c r="CC1268" s="17"/>
      <c r="CD1268" s="17"/>
      <c r="CE1268" s="17"/>
      <c r="CF1268" s="17"/>
      <c r="CG1268" s="17"/>
      <c r="CH1268" s="17"/>
    </row>
    <row r="1269" spans="35:86" x14ac:dyDescent="0.15">
      <c r="AI1269" s="3"/>
      <c r="AJ1269" s="3"/>
      <c r="AK1269" s="15">
        <f t="shared" si="461"/>
        <v>5</v>
      </c>
      <c r="AL1269" s="11">
        <f t="shared" si="467"/>
        <v>7560</v>
      </c>
      <c r="AM1269" s="11" t="b">
        <f t="shared" si="460"/>
        <v>0</v>
      </c>
      <c r="AN1269" s="11">
        <f t="shared" si="462"/>
        <v>36000</v>
      </c>
      <c r="AO1269" s="11">
        <f t="shared" si="463"/>
        <v>0</v>
      </c>
      <c r="AP1269" s="11">
        <f t="shared" si="464"/>
        <v>0.37181790386028041</v>
      </c>
      <c r="AQ1269" s="11">
        <f t="shared" si="465"/>
        <v>0</v>
      </c>
      <c r="AT1269" s="3"/>
      <c r="AU1269" s="17"/>
      <c r="AV1269" s="19"/>
      <c r="AW1269" s="17"/>
      <c r="AX1269" s="17">
        <f t="shared" si="468"/>
        <v>1260</v>
      </c>
      <c r="AY1269" s="17">
        <f t="shared" si="466"/>
        <v>126</v>
      </c>
      <c r="AZ1269" s="17">
        <v>37.181790386028041</v>
      </c>
      <c r="BA1269" s="17"/>
      <c r="BB1269" s="17">
        <v>36</v>
      </c>
      <c r="BC1269" s="17"/>
      <c r="BD1269" s="17"/>
      <c r="BE1269" s="17"/>
      <c r="BF1269" s="17"/>
      <c r="BG1269" s="17"/>
      <c r="BH1269" s="17"/>
      <c r="BI1269" s="17"/>
      <c r="BJ1269" s="17"/>
      <c r="BK1269" s="17"/>
      <c r="BL1269" s="17"/>
      <c r="BM1269" s="17"/>
      <c r="BN1269" s="17"/>
      <c r="BO1269" s="17"/>
      <c r="BP1269" s="17"/>
      <c r="BQ1269" s="17"/>
      <c r="BR1269" s="17"/>
      <c r="BS1269" s="17"/>
      <c r="BT1269" s="17"/>
      <c r="BU1269" s="17"/>
      <c r="BV1269" s="17"/>
      <c r="BW1269" s="17"/>
      <c r="BX1269" s="17"/>
      <c r="BY1269" s="17"/>
      <c r="BZ1269" s="17"/>
      <c r="CA1269" s="17"/>
      <c r="CB1269" s="17"/>
      <c r="CC1269" s="17"/>
      <c r="CD1269" s="17"/>
      <c r="CE1269" s="17"/>
      <c r="CF1269" s="17"/>
      <c r="CG1269" s="17"/>
      <c r="CH1269" s="17"/>
    </row>
    <row r="1270" spans="35:86" x14ac:dyDescent="0.15">
      <c r="AI1270" s="3"/>
      <c r="AJ1270" s="3"/>
      <c r="AK1270" s="15">
        <f t="shared" si="461"/>
        <v>5</v>
      </c>
      <c r="AL1270" s="11">
        <f t="shared" si="467"/>
        <v>7566</v>
      </c>
      <c r="AM1270" s="11" t="b">
        <f t="shared" si="460"/>
        <v>0</v>
      </c>
      <c r="AN1270" s="11">
        <f t="shared" si="462"/>
        <v>36000</v>
      </c>
      <c r="AO1270" s="11">
        <f t="shared" si="463"/>
        <v>0</v>
      </c>
      <c r="AP1270" s="11">
        <f t="shared" si="464"/>
        <v>0.37292021867509517</v>
      </c>
      <c r="AQ1270" s="11">
        <f t="shared" si="465"/>
        <v>0</v>
      </c>
      <c r="AT1270" s="3"/>
      <c r="AU1270" s="17"/>
      <c r="AV1270" s="19"/>
      <c r="AW1270" s="17"/>
      <c r="AX1270" s="17">
        <f t="shared" si="468"/>
        <v>1261</v>
      </c>
      <c r="AY1270" s="17">
        <f t="shared" si="466"/>
        <v>126.1</v>
      </c>
      <c r="AZ1270" s="17">
        <v>37.292021867509519</v>
      </c>
      <c r="BA1270" s="17"/>
      <c r="BB1270" s="17">
        <v>36</v>
      </c>
      <c r="BC1270" s="17"/>
      <c r="BD1270" s="17"/>
      <c r="BE1270" s="17"/>
      <c r="BF1270" s="17"/>
      <c r="BG1270" s="17"/>
      <c r="BH1270" s="17"/>
      <c r="BI1270" s="17"/>
      <c r="BJ1270" s="17"/>
      <c r="BK1270" s="17"/>
      <c r="BL1270" s="17"/>
      <c r="BM1270" s="17"/>
      <c r="BN1270" s="17"/>
      <c r="BO1270" s="17"/>
      <c r="BP1270" s="17"/>
      <c r="BQ1270" s="17"/>
      <c r="BR1270" s="17"/>
      <c r="BS1270" s="17"/>
      <c r="BT1270" s="17"/>
      <c r="BU1270" s="17"/>
      <c r="BV1270" s="17"/>
      <c r="BW1270" s="17"/>
      <c r="BX1270" s="17"/>
      <c r="BY1270" s="17"/>
      <c r="BZ1270" s="17"/>
      <c r="CA1270" s="17"/>
      <c r="CB1270" s="17"/>
      <c r="CC1270" s="17"/>
      <c r="CD1270" s="17"/>
      <c r="CE1270" s="17"/>
      <c r="CF1270" s="17"/>
      <c r="CG1270" s="17"/>
      <c r="CH1270" s="17"/>
    </row>
    <row r="1271" spans="35:86" x14ac:dyDescent="0.15">
      <c r="AI1271" s="3"/>
      <c r="AJ1271" s="3"/>
      <c r="AK1271" s="15">
        <f t="shared" si="461"/>
        <v>5</v>
      </c>
      <c r="AL1271" s="11">
        <f t="shared" si="467"/>
        <v>7572</v>
      </c>
      <c r="AM1271" s="11" t="b">
        <f t="shared" si="460"/>
        <v>0</v>
      </c>
      <c r="AN1271" s="11">
        <f t="shared" si="462"/>
        <v>36000</v>
      </c>
      <c r="AO1271" s="11">
        <f t="shared" si="463"/>
        <v>0</v>
      </c>
      <c r="AP1271" s="11">
        <f t="shared" si="464"/>
        <v>0.37402253348990999</v>
      </c>
      <c r="AQ1271" s="11">
        <f t="shared" si="465"/>
        <v>0</v>
      </c>
      <c r="AT1271" s="3"/>
      <c r="AU1271" s="17"/>
      <c r="AV1271" s="19"/>
      <c r="AW1271" s="17"/>
      <c r="AX1271" s="17">
        <f t="shared" si="468"/>
        <v>1262</v>
      </c>
      <c r="AY1271" s="17">
        <f t="shared" si="466"/>
        <v>126.2</v>
      </c>
      <c r="AZ1271" s="17">
        <v>37.402253348990996</v>
      </c>
      <c r="BA1271" s="17"/>
      <c r="BB1271" s="17">
        <v>36</v>
      </c>
      <c r="BC1271" s="17"/>
      <c r="BD1271" s="17"/>
      <c r="BE1271" s="17"/>
      <c r="BF1271" s="17"/>
      <c r="BG1271" s="17"/>
      <c r="BH1271" s="17"/>
      <c r="BI1271" s="17"/>
      <c r="BJ1271" s="17"/>
      <c r="BK1271" s="17"/>
      <c r="BL1271" s="17"/>
      <c r="BM1271" s="17"/>
      <c r="BN1271" s="17"/>
      <c r="BO1271" s="17"/>
      <c r="BP1271" s="17"/>
      <c r="BQ1271" s="17"/>
      <c r="BR1271" s="17"/>
      <c r="BS1271" s="17"/>
      <c r="BT1271" s="17"/>
      <c r="BU1271" s="17"/>
      <c r="BV1271" s="17"/>
      <c r="BW1271" s="17"/>
      <c r="BX1271" s="17"/>
      <c r="BY1271" s="17"/>
      <c r="BZ1271" s="17"/>
      <c r="CA1271" s="17"/>
      <c r="CB1271" s="17"/>
      <c r="CC1271" s="17"/>
      <c r="CD1271" s="17"/>
      <c r="CE1271" s="17"/>
      <c r="CF1271" s="17"/>
      <c r="CG1271" s="17"/>
      <c r="CH1271" s="17"/>
    </row>
    <row r="1272" spans="35:86" x14ac:dyDescent="0.15">
      <c r="AI1272" s="3"/>
      <c r="AJ1272" s="3"/>
      <c r="AK1272" s="15">
        <f t="shared" si="461"/>
        <v>5</v>
      </c>
      <c r="AL1272" s="11">
        <f t="shared" si="467"/>
        <v>7578</v>
      </c>
      <c r="AM1272" s="11" t="b">
        <f t="shared" si="460"/>
        <v>0</v>
      </c>
      <c r="AN1272" s="11">
        <f t="shared" si="462"/>
        <v>36000</v>
      </c>
      <c r="AO1272" s="11">
        <f t="shared" si="463"/>
        <v>0</v>
      </c>
      <c r="AP1272" s="11">
        <f t="shared" si="464"/>
        <v>0.37512484830472476</v>
      </c>
      <c r="AQ1272" s="11">
        <f t="shared" si="465"/>
        <v>0</v>
      </c>
      <c r="AT1272" s="3"/>
      <c r="AU1272" s="17"/>
      <c r="AV1272" s="19"/>
      <c r="AW1272" s="17"/>
      <c r="AX1272" s="17">
        <f t="shared" si="468"/>
        <v>1263</v>
      </c>
      <c r="AY1272" s="17">
        <f t="shared" si="466"/>
        <v>126.3</v>
      </c>
      <c r="AZ1272" s="17">
        <v>37.512484830472474</v>
      </c>
      <c r="BA1272" s="17"/>
      <c r="BB1272" s="17">
        <v>36</v>
      </c>
      <c r="BC1272" s="17"/>
      <c r="BD1272" s="17"/>
      <c r="BE1272" s="17"/>
      <c r="BF1272" s="17"/>
      <c r="BG1272" s="17"/>
      <c r="BH1272" s="17"/>
      <c r="BI1272" s="17"/>
      <c r="BJ1272" s="17"/>
      <c r="BK1272" s="17"/>
      <c r="BL1272" s="17"/>
      <c r="BM1272" s="17"/>
      <c r="BN1272" s="17"/>
      <c r="BO1272" s="17"/>
      <c r="BP1272" s="17"/>
      <c r="BQ1272" s="17"/>
      <c r="BR1272" s="17"/>
      <c r="BS1272" s="17"/>
      <c r="BT1272" s="17"/>
      <c r="BU1272" s="17"/>
      <c r="BV1272" s="17"/>
      <c r="BW1272" s="17"/>
      <c r="BX1272" s="17"/>
      <c r="BY1272" s="17"/>
      <c r="BZ1272" s="17"/>
      <c r="CA1272" s="17"/>
      <c r="CB1272" s="17"/>
      <c r="CC1272" s="17"/>
      <c r="CD1272" s="17"/>
      <c r="CE1272" s="17"/>
      <c r="CF1272" s="17"/>
      <c r="CG1272" s="17"/>
      <c r="CH1272" s="17"/>
    </row>
    <row r="1273" spans="35:86" x14ac:dyDescent="0.15">
      <c r="AI1273" s="3"/>
      <c r="AJ1273" s="3"/>
      <c r="AK1273" s="15">
        <f t="shared" si="461"/>
        <v>5</v>
      </c>
      <c r="AL1273" s="11">
        <f t="shared" si="467"/>
        <v>7584</v>
      </c>
      <c r="AM1273" s="11" t="b">
        <f t="shared" si="460"/>
        <v>0</v>
      </c>
      <c r="AN1273" s="11">
        <f t="shared" si="462"/>
        <v>36000</v>
      </c>
      <c r="AO1273" s="11">
        <f t="shared" si="463"/>
        <v>0</v>
      </c>
      <c r="AP1273" s="11">
        <f t="shared" si="464"/>
        <v>0.37622716311953958</v>
      </c>
      <c r="AQ1273" s="11">
        <f t="shared" si="465"/>
        <v>0</v>
      </c>
      <c r="AT1273" s="3"/>
      <c r="AU1273" s="17"/>
      <c r="AV1273" s="19"/>
      <c r="AW1273" s="17"/>
      <c r="AX1273" s="17">
        <f t="shared" si="468"/>
        <v>1264</v>
      </c>
      <c r="AY1273" s="17">
        <f t="shared" si="466"/>
        <v>126.4</v>
      </c>
      <c r="AZ1273" s="17">
        <v>37.622716311953958</v>
      </c>
      <c r="BA1273" s="17"/>
      <c r="BB1273" s="17">
        <v>36</v>
      </c>
      <c r="BC1273" s="17"/>
      <c r="BD1273" s="17"/>
      <c r="BE1273" s="17"/>
      <c r="BF1273" s="17"/>
      <c r="BG1273" s="17"/>
      <c r="BH1273" s="17"/>
      <c r="BI1273" s="17"/>
      <c r="BJ1273" s="17"/>
      <c r="BK1273" s="17"/>
      <c r="BL1273" s="17"/>
      <c r="BM1273" s="17"/>
      <c r="BN1273" s="17"/>
      <c r="BO1273" s="17"/>
      <c r="BP1273" s="17"/>
      <c r="BQ1273" s="17"/>
      <c r="BR1273" s="17"/>
      <c r="BS1273" s="17"/>
      <c r="BT1273" s="17"/>
      <c r="BU1273" s="17"/>
      <c r="BV1273" s="17"/>
      <c r="BW1273" s="17"/>
      <c r="BX1273" s="17"/>
      <c r="BY1273" s="17"/>
      <c r="BZ1273" s="17"/>
      <c r="CA1273" s="17"/>
      <c r="CB1273" s="17"/>
      <c r="CC1273" s="17"/>
      <c r="CD1273" s="17"/>
      <c r="CE1273" s="17"/>
      <c r="CF1273" s="17"/>
      <c r="CG1273" s="17"/>
      <c r="CH1273" s="17"/>
    </row>
    <row r="1274" spans="35:86" x14ac:dyDescent="0.15">
      <c r="AI1274" s="3"/>
      <c r="AJ1274" s="3"/>
      <c r="AK1274" s="15">
        <f t="shared" si="461"/>
        <v>5</v>
      </c>
      <c r="AL1274" s="11">
        <f t="shared" si="467"/>
        <v>7590</v>
      </c>
      <c r="AM1274" s="11" t="b">
        <f t="shared" si="460"/>
        <v>0</v>
      </c>
      <c r="AN1274" s="11">
        <f t="shared" si="462"/>
        <v>36000</v>
      </c>
      <c r="AO1274" s="11">
        <f t="shared" si="463"/>
        <v>0</v>
      </c>
      <c r="AP1274" s="11">
        <f t="shared" si="464"/>
        <v>0.37732947793435434</v>
      </c>
      <c r="AQ1274" s="11">
        <f t="shared" si="465"/>
        <v>0</v>
      </c>
      <c r="AT1274" s="3"/>
      <c r="AU1274" s="17"/>
      <c r="AV1274" s="19"/>
      <c r="AW1274" s="17"/>
      <c r="AX1274" s="17">
        <f t="shared" si="468"/>
        <v>1265</v>
      </c>
      <c r="AY1274" s="17">
        <f t="shared" si="466"/>
        <v>126.5</v>
      </c>
      <c r="AZ1274" s="17">
        <v>37.732947793435436</v>
      </c>
      <c r="BA1274" s="17"/>
      <c r="BB1274" s="17">
        <v>36</v>
      </c>
      <c r="BC1274" s="17"/>
      <c r="BD1274" s="17"/>
      <c r="BE1274" s="17"/>
      <c r="BF1274" s="17"/>
      <c r="BG1274" s="17"/>
      <c r="BH1274" s="17"/>
      <c r="BI1274" s="17"/>
      <c r="BJ1274" s="17"/>
      <c r="BK1274" s="17"/>
      <c r="BL1274" s="17"/>
      <c r="BM1274" s="17"/>
      <c r="BN1274" s="17"/>
      <c r="BO1274" s="17"/>
      <c r="BP1274" s="17"/>
      <c r="BQ1274" s="17"/>
      <c r="BR1274" s="17"/>
      <c r="BS1274" s="17"/>
      <c r="BT1274" s="17"/>
      <c r="BU1274" s="17"/>
      <c r="BV1274" s="17"/>
      <c r="BW1274" s="17"/>
      <c r="BX1274" s="17"/>
      <c r="BY1274" s="17"/>
      <c r="BZ1274" s="17"/>
      <c r="CA1274" s="17"/>
      <c r="CB1274" s="17"/>
      <c r="CC1274" s="17"/>
      <c r="CD1274" s="17"/>
      <c r="CE1274" s="17"/>
      <c r="CF1274" s="17"/>
      <c r="CG1274" s="17"/>
      <c r="CH1274" s="17"/>
    </row>
    <row r="1275" spans="35:86" x14ac:dyDescent="0.15">
      <c r="AI1275" s="3"/>
      <c r="AJ1275" s="3"/>
      <c r="AK1275" s="15">
        <f t="shared" si="461"/>
        <v>5</v>
      </c>
      <c r="AL1275" s="11">
        <f t="shared" si="467"/>
        <v>7596</v>
      </c>
      <c r="AM1275" s="11" t="b">
        <f t="shared" si="460"/>
        <v>0</v>
      </c>
      <c r="AN1275" s="11">
        <f t="shared" si="462"/>
        <v>36000</v>
      </c>
      <c r="AO1275" s="11">
        <f t="shared" si="463"/>
        <v>0</v>
      </c>
      <c r="AP1275" s="11">
        <f t="shared" si="464"/>
        <v>0.37843179274916916</v>
      </c>
      <c r="AQ1275" s="11">
        <f t="shared" si="465"/>
        <v>0</v>
      </c>
      <c r="AT1275" s="3"/>
      <c r="AU1275" s="17"/>
      <c r="AV1275" s="19"/>
      <c r="AW1275" s="17"/>
      <c r="AX1275" s="17">
        <f t="shared" si="468"/>
        <v>1266</v>
      </c>
      <c r="AY1275" s="17">
        <f t="shared" si="466"/>
        <v>126.6</v>
      </c>
      <c r="AZ1275" s="17">
        <v>37.843179274916913</v>
      </c>
      <c r="BA1275" s="17"/>
      <c r="BB1275" s="17">
        <v>36</v>
      </c>
      <c r="BC1275" s="17"/>
      <c r="BD1275" s="17"/>
      <c r="BE1275" s="17"/>
      <c r="BF1275" s="17"/>
      <c r="BG1275" s="17"/>
      <c r="BH1275" s="17"/>
      <c r="BI1275" s="17"/>
      <c r="BJ1275" s="17"/>
      <c r="BK1275" s="17"/>
      <c r="BL1275" s="17"/>
      <c r="BM1275" s="17"/>
      <c r="BN1275" s="17"/>
      <c r="BO1275" s="17"/>
      <c r="BP1275" s="17"/>
      <c r="BQ1275" s="17"/>
      <c r="BR1275" s="17"/>
      <c r="BS1275" s="17"/>
      <c r="BT1275" s="17"/>
      <c r="BU1275" s="17"/>
      <c r="BV1275" s="17"/>
      <c r="BW1275" s="17"/>
      <c r="BX1275" s="17"/>
      <c r="BY1275" s="17"/>
      <c r="BZ1275" s="17"/>
      <c r="CA1275" s="17"/>
      <c r="CB1275" s="17"/>
      <c r="CC1275" s="17"/>
      <c r="CD1275" s="17"/>
      <c r="CE1275" s="17"/>
      <c r="CF1275" s="17"/>
      <c r="CG1275" s="17"/>
      <c r="CH1275" s="17"/>
    </row>
    <row r="1276" spans="35:86" x14ac:dyDescent="0.15">
      <c r="AI1276" s="3"/>
      <c r="AJ1276" s="3"/>
      <c r="AK1276" s="15">
        <f t="shared" si="461"/>
        <v>5</v>
      </c>
      <c r="AL1276" s="11">
        <f t="shared" si="467"/>
        <v>7602</v>
      </c>
      <c r="AM1276" s="11" t="b">
        <f t="shared" si="460"/>
        <v>0</v>
      </c>
      <c r="AN1276" s="11">
        <f t="shared" si="462"/>
        <v>36000</v>
      </c>
      <c r="AO1276" s="11">
        <f t="shared" si="463"/>
        <v>0</v>
      </c>
      <c r="AP1276" s="11">
        <f t="shared" si="464"/>
        <v>0.37953410756398392</v>
      </c>
      <c r="AQ1276" s="11">
        <f t="shared" si="465"/>
        <v>0</v>
      </c>
      <c r="AT1276" s="3"/>
      <c r="AU1276" s="17"/>
      <c r="AV1276" s="19"/>
      <c r="AW1276" s="17"/>
      <c r="AX1276" s="17">
        <f t="shared" si="468"/>
        <v>1267</v>
      </c>
      <c r="AY1276" s="17">
        <f t="shared" si="466"/>
        <v>126.7</v>
      </c>
      <c r="AZ1276" s="17">
        <v>37.953410756398391</v>
      </c>
      <c r="BA1276" s="17"/>
      <c r="BB1276" s="17">
        <v>36</v>
      </c>
      <c r="BC1276" s="17"/>
      <c r="BD1276" s="17"/>
      <c r="BE1276" s="17"/>
      <c r="BF1276" s="17"/>
      <c r="BG1276" s="17"/>
      <c r="BH1276" s="17"/>
      <c r="BI1276" s="17"/>
      <c r="BJ1276" s="17"/>
      <c r="BK1276" s="17"/>
      <c r="BL1276" s="17"/>
      <c r="BM1276" s="17"/>
      <c r="BN1276" s="17"/>
      <c r="BO1276" s="17"/>
      <c r="BP1276" s="17"/>
      <c r="BQ1276" s="17"/>
      <c r="BR1276" s="17"/>
      <c r="BS1276" s="17"/>
      <c r="BT1276" s="17"/>
      <c r="BU1276" s="17"/>
      <c r="BV1276" s="17"/>
      <c r="BW1276" s="17"/>
      <c r="BX1276" s="17"/>
      <c r="BY1276" s="17"/>
      <c r="BZ1276" s="17"/>
      <c r="CA1276" s="17"/>
      <c r="CB1276" s="17"/>
      <c r="CC1276" s="17"/>
      <c r="CD1276" s="17"/>
      <c r="CE1276" s="17"/>
      <c r="CF1276" s="17"/>
      <c r="CG1276" s="17"/>
      <c r="CH1276" s="17"/>
    </row>
    <row r="1277" spans="35:86" x14ac:dyDescent="0.15">
      <c r="AI1277" s="3"/>
      <c r="AJ1277" s="3"/>
      <c r="AK1277" s="15">
        <f t="shared" si="461"/>
        <v>5</v>
      </c>
      <c r="AL1277" s="11">
        <f t="shared" si="467"/>
        <v>7608</v>
      </c>
      <c r="AM1277" s="11" t="b">
        <f t="shared" si="460"/>
        <v>0</v>
      </c>
      <c r="AN1277" s="11">
        <f t="shared" si="462"/>
        <v>36000</v>
      </c>
      <c r="AO1277" s="11">
        <f t="shared" si="463"/>
        <v>0</v>
      </c>
      <c r="AP1277" s="11">
        <f t="shared" si="464"/>
        <v>0.38063642237879874</v>
      </c>
      <c r="AQ1277" s="11">
        <f t="shared" si="465"/>
        <v>0</v>
      </c>
      <c r="AT1277" s="3"/>
      <c r="AU1277" s="17"/>
      <c r="AV1277" s="19"/>
      <c r="AW1277" s="17"/>
      <c r="AX1277" s="17">
        <f t="shared" si="468"/>
        <v>1268</v>
      </c>
      <c r="AY1277" s="17">
        <f t="shared" si="466"/>
        <v>126.8</v>
      </c>
      <c r="AZ1277" s="17">
        <v>38.063642237879876</v>
      </c>
      <c r="BA1277" s="17"/>
      <c r="BB1277" s="17">
        <v>36</v>
      </c>
      <c r="BC1277" s="17"/>
      <c r="BD1277" s="17"/>
      <c r="BE1277" s="17"/>
      <c r="BF1277" s="17"/>
      <c r="BG1277" s="17"/>
      <c r="BH1277" s="17"/>
      <c r="BI1277" s="17"/>
      <c r="BJ1277" s="17"/>
      <c r="BK1277" s="17"/>
      <c r="BL1277" s="17"/>
      <c r="BM1277" s="17"/>
      <c r="BN1277" s="17"/>
      <c r="BO1277" s="17"/>
      <c r="BP1277" s="17"/>
      <c r="BQ1277" s="17"/>
      <c r="BR1277" s="17"/>
      <c r="BS1277" s="17"/>
      <c r="BT1277" s="17"/>
      <c r="BU1277" s="17"/>
      <c r="BV1277" s="17"/>
      <c r="BW1277" s="17"/>
      <c r="BX1277" s="17"/>
      <c r="BY1277" s="17"/>
      <c r="BZ1277" s="17"/>
      <c r="CA1277" s="17"/>
      <c r="CB1277" s="17"/>
      <c r="CC1277" s="17"/>
      <c r="CD1277" s="17"/>
      <c r="CE1277" s="17"/>
      <c r="CF1277" s="17"/>
      <c r="CG1277" s="17"/>
      <c r="CH1277" s="17"/>
    </row>
    <row r="1278" spans="35:86" x14ac:dyDescent="0.15">
      <c r="AI1278" s="3"/>
      <c r="AJ1278" s="3"/>
      <c r="AK1278" s="15">
        <f t="shared" si="461"/>
        <v>5</v>
      </c>
      <c r="AL1278" s="11">
        <f t="shared" si="467"/>
        <v>7614</v>
      </c>
      <c r="AM1278" s="11" t="b">
        <f t="shared" si="460"/>
        <v>0</v>
      </c>
      <c r="AN1278" s="11">
        <f t="shared" si="462"/>
        <v>36000</v>
      </c>
      <c r="AO1278" s="11">
        <f t="shared" si="463"/>
        <v>0</v>
      </c>
      <c r="AP1278" s="11">
        <f t="shared" si="464"/>
        <v>0.38173873719361351</v>
      </c>
      <c r="AQ1278" s="11">
        <f t="shared" si="465"/>
        <v>0</v>
      </c>
      <c r="AT1278" s="3"/>
      <c r="AU1278" s="17"/>
      <c r="AV1278" s="19"/>
      <c r="AW1278" s="17"/>
      <c r="AX1278" s="17">
        <f t="shared" si="468"/>
        <v>1269</v>
      </c>
      <c r="AY1278" s="17">
        <f t="shared" si="466"/>
        <v>126.9</v>
      </c>
      <c r="AZ1278" s="17">
        <v>38.173873719361353</v>
      </c>
      <c r="BA1278" s="17"/>
      <c r="BB1278" s="17">
        <v>36</v>
      </c>
      <c r="BC1278" s="17"/>
      <c r="BD1278" s="17"/>
      <c r="BE1278" s="17"/>
      <c r="BF1278" s="17"/>
      <c r="BG1278" s="17"/>
      <c r="BH1278" s="17"/>
      <c r="BI1278" s="17"/>
      <c r="BJ1278" s="17"/>
      <c r="BK1278" s="17"/>
      <c r="BL1278" s="17"/>
      <c r="BM1278" s="17"/>
      <c r="BN1278" s="17"/>
      <c r="BO1278" s="17"/>
      <c r="BP1278" s="17"/>
      <c r="BQ1278" s="17"/>
      <c r="BR1278" s="17"/>
      <c r="BS1278" s="17"/>
      <c r="BT1278" s="17"/>
      <c r="BU1278" s="17"/>
      <c r="BV1278" s="17"/>
      <c r="BW1278" s="17"/>
      <c r="BX1278" s="17"/>
      <c r="BY1278" s="17"/>
      <c r="BZ1278" s="17"/>
      <c r="CA1278" s="17"/>
      <c r="CB1278" s="17"/>
      <c r="CC1278" s="17"/>
      <c r="CD1278" s="17"/>
      <c r="CE1278" s="17"/>
      <c r="CF1278" s="17"/>
      <c r="CG1278" s="17"/>
      <c r="CH1278" s="17"/>
    </row>
    <row r="1279" spans="35:86" x14ac:dyDescent="0.15">
      <c r="AI1279" s="3"/>
      <c r="AJ1279" s="3"/>
      <c r="AK1279" s="15">
        <f t="shared" si="461"/>
        <v>5</v>
      </c>
      <c r="AL1279" s="11">
        <f t="shared" si="467"/>
        <v>7620</v>
      </c>
      <c r="AM1279" s="11" t="b">
        <f t="shared" si="460"/>
        <v>0</v>
      </c>
      <c r="AN1279" s="11">
        <f t="shared" si="462"/>
        <v>36000</v>
      </c>
      <c r="AO1279" s="11">
        <f t="shared" si="463"/>
        <v>0</v>
      </c>
      <c r="AP1279" s="11">
        <f t="shared" si="464"/>
        <v>0.38284105200842833</v>
      </c>
      <c r="AQ1279" s="11">
        <f t="shared" si="465"/>
        <v>0</v>
      </c>
      <c r="AT1279" s="3"/>
      <c r="AU1279" s="17"/>
      <c r="AV1279" s="19"/>
      <c r="AW1279" s="17"/>
      <c r="AX1279" s="17">
        <f t="shared" si="468"/>
        <v>1270</v>
      </c>
      <c r="AY1279" s="17">
        <f t="shared" si="466"/>
        <v>127</v>
      </c>
      <c r="AZ1279" s="17">
        <v>38.284105200842831</v>
      </c>
      <c r="BA1279" s="17"/>
      <c r="BB1279" s="17">
        <v>36</v>
      </c>
      <c r="BC1279" s="17"/>
      <c r="BD1279" s="17"/>
      <c r="BE1279" s="17"/>
      <c r="BF1279" s="17"/>
      <c r="BG1279" s="17"/>
      <c r="BH1279" s="17"/>
      <c r="BI1279" s="17"/>
      <c r="BJ1279" s="17"/>
      <c r="BK1279" s="17"/>
      <c r="BL1279" s="17"/>
      <c r="BM1279" s="17"/>
      <c r="BN1279" s="17"/>
      <c r="BO1279" s="17"/>
      <c r="BP1279" s="17"/>
      <c r="BQ1279" s="17"/>
      <c r="BR1279" s="17"/>
      <c r="BS1279" s="17"/>
      <c r="BT1279" s="17"/>
      <c r="BU1279" s="17"/>
      <c r="BV1279" s="17"/>
      <c r="BW1279" s="17"/>
      <c r="BX1279" s="17"/>
      <c r="BY1279" s="17"/>
      <c r="BZ1279" s="17"/>
      <c r="CA1279" s="17"/>
      <c r="CB1279" s="17"/>
      <c r="CC1279" s="17"/>
      <c r="CD1279" s="17"/>
      <c r="CE1279" s="17"/>
      <c r="CF1279" s="17"/>
      <c r="CG1279" s="17"/>
      <c r="CH1279" s="17"/>
    </row>
    <row r="1280" spans="35:86" x14ac:dyDescent="0.15">
      <c r="AI1280" s="3"/>
      <c r="AJ1280" s="3"/>
      <c r="AK1280" s="15">
        <f t="shared" si="461"/>
        <v>5</v>
      </c>
      <c r="AL1280" s="11">
        <f t="shared" si="467"/>
        <v>7626</v>
      </c>
      <c r="AM1280" s="11" t="b">
        <f t="shared" si="460"/>
        <v>0</v>
      </c>
      <c r="AN1280" s="11">
        <f t="shared" si="462"/>
        <v>36000</v>
      </c>
      <c r="AO1280" s="11">
        <f t="shared" si="463"/>
        <v>0</v>
      </c>
      <c r="AP1280" s="11">
        <f t="shared" si="464"/>
        <v>0.38394336682324315</v>
      </c>
      <c r="AQ1280" s="11">
        <f t="shared" si="465"/>
        <v>0</v>
      </c>
      <c r="AT1280" s="3"/>
      <c r="AU1280" s="17"/>
      <c r="AV1280" s="19"/>
      <c r="AW1280" s="17"/>
      <c r="AX1280" s="17">
        <f t="shared" si="468"/>
        <v>1271</v>
      </c>
      <c r="AY1280" s="17">
        <f t="shared" si="466"/>
        <v>127.1</v>
      </c>
      <c r="AZ1280" s="17">
        <v>38.394336682324315</v>
      </c>
      <c r="BA1280" s="17"/>
      <c r="BB1280" s="17">
        <v>36</v>
      </c>
      <c r="BC1280" s="17"/>
      <c r="BD1280" s="17"/>
      <c r="BE1280" s="17"/>
      <c r="BF1280" s="17"/>
      <c r="BG1280" s="17"/>
      <c r="BH1280" s="17"/>
      <c r="BI1280" s="17"/>
      <c r="BJ1280" s="17"/>
      <c r="BK1280" s="17"/>
      <c r="BL1280" s="17"/>
      <c r="BM1280" s="17"/>
      <c r="BN1280" s="17"/>
      <c r="BO1280" s="17"/>
      <c r="BP1280" s="17"/>
      <c r="BQ1280" s="17"/>
      <c r="BR1280" s="17"/>
      <c r="BS1280" s="17"/>
      <c r="BT1280" s="17"/>
      <c r="BU1280" s="17"/>
      <c r="BV1280" s="17"/>
      <c r="BW1280" s="17"/>
      <c r="BX1280" s="17"/>
      <c r="BY1280" s="17"/>
      <c r="BZ1280" s="17"/>
      <c r="CA1280" s="17"/>
      <c r="CB1280" s="17"/>
      <c r="CC1280" s="17"/>
      <c r="CD1280" s="17"/>
      <c r="CE1280" s="17"/>
      <c r="CF1280" s="17"/>
      <c r="CG1280" s="17"/>
      <c r="CH1280" s="17"/>
    </row>
    <row r="1281" spans="35:86" x14ac:dyDescent="0.15">
      <c r="AI1281" s="3"/>
      <c r="AJ1281" s="3"/>
      <c r="AK1281" s="15">
        <f t="shared" si="461"/>
        <v>5</v>
      </c>
      <c r="AL1281" s="11">
        <f t="shared" si="467"/>
        <v>7632</v>
      </c>
      <c r="AM1281" s="11" t="b">
        <f t="shared" si="460"/>
        <v>0</v>
      </c>
      <c r="AN1281" s="11">
        <f t="shared" si="462"/>
        <v>36000</v>
      </c>
      <c r="AO1281" s="11">
        <f t="shared" si="463"/>
        <v>0</v>
      </c>
      <c r="AP1281" s="11">
        <f t="shared" si="464"/>
        <v>0.38504568163805791</v>
      </c>
      <c r="AQ1281" s="11">
        <f t="shared" si="465"/>
        <v>0</v>
      </c>
      <c r="AT1281" s="3"/>
      <c r="AU1281" s="17"/>
      <c r="AV1281" s="19"/>
      <c r="AW1281" s="17"/>
      <c r="AX1281" s="17">
        <f t="shared" si="468"/>
        <v>1272</v>
      </c>
      <c r="AY1281" s="17">
        <f t="shared" si="466"/>
        <v>127.2</v>
      </c>
      <c r="AZ1281" s="17">
        <v>38.504568163805793</v>
      </c>
      <c r="BA1281" s="17"/>
      <c r="BB1281" s="17">
        <v>36</v>
      </c>
      <c r="BC1281" s="17"/>
      <c r="BD1281" s="17"/>
      <c r="BE1281" s="17"/>
      <c r="BF1281" s="17"/>
      <c r="BG1281" s="17"/>
      <c r="BH1281" s="17"/>
      <c r="BI1281" s="17"/>
      <c r="BJ1281" s="17"/>
      <c r="BK1281" s="17"/>
      <c r="BL1281" s="17"/>
      <c r="BM1281" s="17"/>
      <c r="BN1281" s="17"/>
      <c r="BO1281" s="17"/>
      <c r="BP1281" s="17"/>
      <c r="BQ1281" s="17"/>
      <c r="BR1281" s="17"/>
      <c r="BS1281" s="17"/>
      <c r="BT1281" s="17"/>
      <c r="BU1281" s="17"/>
      <c r="BV1281" s="17"/>
      <c r="BW1281" s="17"/>
      <c r="BX1281" s="17"/>
      <c r="BY1281" s="17"/>
      <c r="BZ1281" s="17"/>
      <c r="CA1281" s="17"/>
      <c r="CB1281" s="17"/>
      <c r="CC1281" s="17"/>
      <c r="CD1281" s="17"/>
      <c r="CE1281" s="17"/>
      <c r="CF1281" s="17"/>
      <c r="CG1281" s="17"/>
      <c r="CH1281" s="17"/>
    </row>
    <row r="1282" spans="35:86" x14ac:dyDescent="0.15">
      <c r="AI1282" s="3"/>
      <c r="AJ1282" s="3"/>
      <c r="AK1282" s="15">
        <f t="shared" si="461"/>
        <v>5</v>
      </c>
      <c r="AL1282" s="11">
        <f t="shared" si="467"/>
        <v>7638</v>
      </c>
      <c r="AM1282" s="11" t="b">
        <f t="shared" si="460"/>
        <v>0</v>
      </c>
      <c r="AN1282" s="11">
        <f t="shared" si="462"/>
        <v>36000</v>
      </c>
      <c r="AO1282" s="11">
        <f t="shared" si="463"/>
        <v>0</v>
      </c>
      <c r="AP1282" s="11">
        <f t="shared" si="464"/>
        <v>0.38614799645287273</v>
      </c>
      <c r="AQ1282" s="11">
        <f t="shared" si="465"/>
        <v>0</v>
      </c>
      <c r="AT1282" s="3"/>
      <c r="AU1282" s="17"/>
      <c r="AV1282" s="19"/>
      <c r="AW1282" s="17"/>
      <c r="AX1282" s="17">
        <f t="shared" si="468"/>
        <v>1273</v>
      </c>
      <c r="AY1282" s="17">
        <f t="shared" si="466"/>
        <v>127.3</v>
      </c>
      <c r="AZ1282" s="17">
        <v>38.61479964528727</v>
      </c>
      <c r="BA1282" s="17"/>
      <c r="BB1282" s="17">
        <v>36</v>
      </c>
      <c r="BC1282" s="17"/>
      <c r="BD1282" s="17"/>
      <c r="BE1282" s="17"/>
      <c r="BF1282" s="17"/>
      <c r="BG1282" s="17"/>
      <c r="BH1282" s="17"/>
      <c r="BI1282" s="17"/>
      <c r="BJ1282" s="17"/>
      <c r="BK1282" s="17"/>
      <c r="BL1282" s="17"/>
      <c r="BM1282" s="17"/>
      <c r="BN1282" s="17"/>
      <c r="BO1282" s="17"/>
      <c r="BP1282" s="17"/>
      <c r="BQ1282" s="17"/>
      <c r="BR1282" s="17"/>
      <c r="BS1282" s="17"/>
      <c r="BT1282" s="17"/>
      <c r="BU1282" s="17"/>
      <c r="BV1282" s="17"/>
      <c r="BW1282" s="17"/>
      <c r="BX1282" s="17"/>
      <c r="BY1282" s="17"/>
      <c r="BZ1282" s="17"/>
      <c r="CA1282" s="17"/>
      <c r="CB1282" s="17"/>
      <c r="CC1282" s="17"/>
      <c r="CD1282" s="17"/>
      <c r="CE1282" s="17"/>
      <c r="CF1282" s="17"/>
      <c r="CG1282" s="17"/>
      <c r="CH1282" s="17"/>
    </row>
    <row r="1283" spans="35:86" x14ac:dyDescent="0.15">
      <c r="AI1283" s="3"/>
      <c r="AJ1283" s="3"/>
      <c r="AK1283" s="15">
        <f t="shared" si="461"/>
        <v>5</v>
      </c>
      <c r="AL1283" s="11">
        <f t="shared" si="467"/>
        <v>7644</v>
      </c>
      <c r="AM1283" s="11" t="b">
        <f t="shared" si="460"/>
        <v>0</v>
      </c>
      <c r="AN1283" s="11">
        <f t="shared" si="462"/>
        <v>36000</v>
      </c>
      <c r="AO1283" s="11">
        <f t="shared" si="463"/>
        <v>0</v>
      </c>
      <c r="AP1283" s="11">
        <f t="shared" si="464"/>
        <v>0.3872503112676875</v>
      </c>
      <c r="AQ1283" s="11">
        <f t="shared" si="465"/>
        <v>0</v>
      </c>
      <c r="AT1283" s="3"/>
      <c r="AU1283" s="17"/>
      <c r="AV1283" s="19"/>
      <c r="AW1283" s="17"/>
      <c r="AX1283" s="17">
        <f t="shared" si="468"/>
        <v>1274</v>
      </c>
      <c r="AY1283" s="17">
        <f t="shared" si="466"/>
        <v>127.4</v>
      </c>
      <c r="AZ1283" s="17">
        <v>38.725031126768748</v>
      </c>
      <c r="BA1283" s="17"/>
      <c r="BB1283" s="17">
        <v>36</v>
      </c>
      <c r="BC1283" s="17"/>
      <c r="BD1283" s="17"/>
      <c r="BE1283" s="17"/>
      <c r="BF1283" s="17"/>
      <c r="BG1283" s="17"/>
      <c r="BH1283" s="17"/>
      <c r="BI1283" s="17"/>
      <c r="BJ1283" s="17"/>
      <c r="BK1283" s="17"/>
      <c r="BL1283" s="17"/>
      <c r="BM1283" s="17"/>
      <c r="BN1283" s="17"/>
      <c r="BO1283" s="17"/>
      <c r="BP1283" s="17"/>
      <c r="BQ1283" s="17"/>
      <c r="BR1283" s="17"/>
      <c r="BS1283" s="17"/>
      <c r="BT1283" s="17"/>
      <c r="BU1283" s="17"/>
      <c r="BV1283" s="17"/>
      <c r="BW1283" s="17"/>
      <c r="BX1283" s="17"/>
      <c r="BY1283" s="17"/>
      <c r="BZ1283" s="17"/>
      <c r="CA1283" s="17"/>
      <c r="CB1283" s="17"/>
      <c r="CC1283" s="17"/>
      <c r="CD1283" s="17"/>
      <c r="CE1283" s="17"/>
      <c r="CF1283" s="17"/>
      <c r="CG1283" s="17"/>
      <c r="CH1283" s="17"/>
    </row>
    <row r="1284" spans="35:86" x14ac:dyDescent="0.15">
      <c r="AI1284" s="3"/>
      <c r="AJ1284" s="3"/>
      <c r="AK1284" s="15">
        <f t="shared" si="461"/>
        <v>5</v>
      </c>
      <c r="AL1284" s="11">
        <f t="shared" si="467"/>
        <v>7650</v>
      </c>
      <c r="AM1284" s="11" t="b">
        <f t="shared" si="460"/>
        <v>0</v>
      </c>
      <c r="AN1284" s="11">
        <f t="shared" si="462"/>
        <v>36000</v>
      </c>
      <c r="AO1284" s="11">
        <f t="shared" si="463"/>
        <v>0</v>
      </c>
      <c r="AP1284" s="11">
        <f t="shared" si="464"/>
        <v>0.38835262608250232</v>
      </c>
      <c r="AQ1284" s="11">
        <f t="shared" si="465"/>
        <v>0</v>
      </c>
      <c r="AT1284" s="3"/>
      <c r="AU1284" s="17"/>
      <c r="AV1284" s="19"/>
      <c r="AW1284" s="17"/>
      <c r="AX1284" s="17">
        <f t="shared" si="468"/>
        <v>1275</v>
      </c>
      <c r="AY1284" s="17">
        <f t="shared" si="466"/>
        <v>127.5</v>
      </c>
      <c r="AZ1284" s="17">
        <v>38.835262608250233</v>
      </c>
      <c r="BA1284" s="17"/>
      <c r="BB1284" s="17">
        <v>36</v>
      </c>
      <c r="BC1284" s="17"/>
      <c r="BD1284" s="17"/>
      <c r="BE1284" s="17"/>
      <c r="BF1284" s="17"/>
      <c r="BG1284" s="17"/>
      <c r="BH1284" s="17"/>
      <c r="BI1284" s="17"/>
      <c r="BJ1284" s="17"/>
      <c r="BK1284" s="17"/>
      <c r="BL1284" s="17"/>
      <c r="BM1284" s="17"/>
      <c r="BN1284" s="17"/>
      <c r="BO1284" s="17"/>
      <c r="BP1284" s="17"/>
      <c r="BQ1284" s="17"/>
      <c r="BR1284" s="17"/>
      <c r="BS1284" s="17"/>
      <c r="BT1284" s="17"/>
      <c r="BU1284" s="17"/>
      <c r="BV1284" s="17"/>
      <c r="BW1284" s="17"/>
      <c r="BX1284" s="17"/>
      <c r="BY1284" s="17"/>
      <c r="BZ1284" s="17"/>
      <c r="CA1284" s="17"/>
      <c r="CB1284" s="17"/>
      <c r="CC1284" s="17"/>
      <c r="CD1284" s="17"/>
      <c r="CE1284" s="17"/>
      <c r="CF1284" s="17"/>
      <c r="CG1284" s="17"/>
      <c r="CH1284" s="17"/>
    </row>
    <row r="1285" spans="35:86" x14ac:dyDescent="0.15">
      <c r="AI1285" s="3"/>
      <c r="AJ1285" s="3"/>
      <c r="AK1285" s="15">
        <f t="shared" si="461"/>
        <v>5</v>
      </c>
      <c r="AL1285" s="11">
        <f t="shared" si="467"/>
        <v>7656</v>
      </c>
      <c r="AM1285" s="11" t="b">
        <f t="shared" si="460"/>
        <v>0</v>
      </c>
      <c r="AN1285" s="11">
        <f t="shared" si="462"/>
        <v>36000</v>
      </c>
      <c r="AO1285" s="11">
        <f t="shared" si="463"/>
        <v>0</v>
      </c>
      <c r="AP1285" s="11">
        <f t="shared" si="464"/>
        <v>0.38945494089731708</v>
      </c>
      <c r="AQ1285" s="11">
        <f t="shared" si="465"/>
        <v>0</v>
      </c>
      <c r="AT1285" s="3"/>
      <c r="AU1285" s="17"/>
      <c r="AV1285" s="19"/>
      <c r="AW1285" s="17"/>
      <c r="AX1285" s="17">
        <f t="shared" si="468"/>
        <v>1276</v>
      </c>
      <c r="AY1285" s="17">
        <f t="shared" si="466"/>
        <v>127.6</v>
      </c>
      <c r="AZ1285" s="17">
        <v>38.94549408973171</v>
      </c>
      <c r="BA1285" s="17"/>
      <c r="BB1285" s="17">
        <v>36</v>
      </c>
      <c r="BC1285" s="17"/>
      <c r="BD1285" s="17"/>
      <c r="BE1285" s="17"/>
      <c r="BF1285" s="17"/>
      <c r="BG1285" s="17"/>
      <c r="BH1285" s="17"/>
      <c r="BI1285" s="17"/>
      <c r="BJ1285" s="17"/>
      <c r="BK1285" s="17"/>
      <c r="BL1285" s="17"/>
      <c r="BM1285" s="17"/>
      <c r="BN1285" s="17"/>
      <c r="BO1285" s="17"/>
      <c r="BP1285" s="17"/>
      <c r="BQ1285" s="17"/>
      <c r="BR1285" s="17"/>
      <c r="BS1285" s="17"/>
      <c r="BT1285" s="17"/>
      <c r="BU1285" s="17"/>
      <c r="BV1285" s="17"/>
      <c r="BW1285" s="17"/>
      <c r="BX1285" s="17"/>
      <c r="BY1285" s="17"/>
      <c r="BZ1285" s="17"/>
      <c r="CA1285" s="17"/>
      <c r="CB1285" s="17"/>
      <c r="CC1285" s="17"/>
      <c r="CD1285" s="17"/>
      <c r="CE1285" s="17"/>
      <c r="CF1285" s="17"/>
      <c r="CG1285" s="17"/>
      <c r="CH1285" s="17"/>
    </row>
    <row r="1286" spans="35:86" x14ac:dyDescent="0.15">
      <c r="AI1286" s="3"/>
      <c r="AJ1286" s="3"/>
      <c r="AK1286" s="15">
        <f t="shared" si="461"/>
        <v>5</v>
      </c>
      <c r="AL1286" s="11">
        <f t="shared" si="467"/>
        <v>7662</v>
      </c>
      <c r="AM1286" s="11" t="b">
        <f t="shared" si="460"/>
        <v>0</v>
      </c>
      <c r="AN1286" s="11">
        <f t="shared" si="462"/>
        <v>36000</v>
      </c>
      <c r="AO1286" s="11">
        <f t="shared" si="463"/>
        <v>0</v>
      </c>
      <c r="AP1286" s="11">
        <f t="shared" si="464"/>
        <v>0.3905572557121319</v>
      </c>
      <c r="AQ1286" s="11">
        <f t="shared" si="465"/>
        <v>0</v>
      </c>
      <c r="AT1286" s="3"/>
      <c r="AU1286" s="17"/>
      <c r="AV1286" s="19"/>
      <c r="AW1286" s="17"/>
      <c r="AX1286" s="17">
        <f t="shared" si="468"/>
        <v>1277</v>
      </c>
      <c r="AY1286" s="17">
        <f t="shared" si="466"/>
        <v>127.7</v>
      </c>
      <c r="AZ1286" s="17">
        <v>39.055725571213188</v>
      </c>
      <c r="BA1286" s="17"/>
      <c r="BB1286" s="17">
        <v>36</v>
      </c>
      <c r="BC1286" s="17"/>
      <c r="BD1286" s="17"/>
      <c r="BE1286" s="17"/>
      <c r="BF1286" s="17"/>
      <c r="BG1286" s="17"/>
      <c r="BH1286" s="17"/>
      <c r="BI1286" s="17"/>
      <c r="BJ1286" s="17"/>
      <c r="BK1286" s="17"/>
      <c r="BL1286" s="17"/>
      <c r="BM1286" s="17"/>
      <c r="BN1286" s="17"/>
      <c r="BO1286" s="17"/>
      <c r="BP1286" s="17"/>
      <c r="BQ1286" s="17"/>
      <c r="BR1286" s="17"/>
      <c r="BS1286" s="17"/>
      <c r="BT1286" s="17"/>
      <c r="BU1286" s="17"/>
      <c r="BV1286" s="17"/>
      <c r="BW1286" s="17"/>
      <c r="BX1286" s="17"/>
      <c r="BY1286" s="17"/>
      <c r="BZ1286" s="17"/>
      <c r="CA1286" s="17"/>
      <c r="CB1286" s="17"/>
      <c r="CC1286" s="17"/>
      <c r="CD1286" s="17"/>
      <c r="CE1286" s="17"/>
      <c r="CF1286" s="17"/>
      <c r="CG1286" s="17"/>
      <c r="CH1286" s="17"/>
    </row>
    <row r="1287" spans="35:86" x14ac:dyDescent="0.15">
      <c r="AI1287" s="3"/>
      <c r="AJ1287" s="3"/>
      <c r="AK1287" s="15">
        <f t="shared" si="461"/>
        <v>5</v>
      </c>
      <c r="AL1287" s="11">
        <f t="shared" si="467"/>
        <v>7668</v>
      </c>
      <c r="AM1287" s="11" t="b">
        <f t="shared" si="460"/>
        <v>0</v>
      </c>
      <c r="AN1287" s="11">
        <f t="shared" si="462"/>
        <v>36000</v>
      </c>
      <c r="AO1287" s="11">
        <f t="shared" si="463"/>
        <v>0</v>
      </c>
      <c r="AP1287" s="11">
        <f t="shared" si="464"/>
        <v>0.39165957052694667</v>
      </c>
      <c r="AQ1287" s="11">
        <f t="shared" si="465"/>
        <v>0</v>
      </c>
      <c r="AT1287" s="3"/>
      <c r="AU1287" s="17"/>
      <c r="AV1287" s="19"/>
      <c r="AW1287" s="17"/>
      <c r="AX1287" s="17">
        <f t="shared" si="468"/>
        <v>1278</v>
      </c>
      <c r="AY1287" s="17">
        <f t="shared" si="466"/>
        <v>127.8</v>
      </c>
      <c r="AZ1287" s="17">
        <v>39.165957052694665</v>
      </c>
      <c r="BA1287" s="17"/>
      <c r="BB1287" s="17">
        <v>36</v>
      </c>
      <c r="BC1287" s="17"/>
      <c r="BD1287" s="17"/>
      <c r="BE1287" s="17"/>
      <c r="BF1287" s="17"/>
      <c r="BG1287" s="17"/>
      <c r="BH1287" s="17"/>
      <c r="BI1287" s="17"/>
      <c r="BJ1287" s="17"/>
      <c r="BK1287" s="17"/>
      <c r="BL1287" s="17"/>
      <c r="BM1287" s="17"/>
      <c r="BN1287" s="17"/>
      <c r="BO1287" s="17"/>
      <c r="BP1287" s="17"/>
      <c r="BQ1287" s="17"/>
      <c r="BR1287" s="17"/>
      <c r="BS1287" s="17"/>
      <c r="BT1287" s="17"/>
      <c r="BU1287" s="17"/>
      <c r="BV1287" s="17"/>
      <c r="BW1287" s="17"/>
      <c r="BX1287" s="17"/>
      <c r="BY1287" s="17"/>
      <c r="BZ1287" s="17"/>
      <c r="CA1287" s="17"/>
      <c r="CB1287" s="17"/>
      <c r="CC1287" s="17"/>
      <c r="CD1287" s="17"/>
      <c r="CE1287" s="17"/>
      <c r="CF1287" s="17"/>
      <c r="CG1287" s="17"/>
      <c r="CH1287" s="17"/>
    </row>
    <row r="1288" spans="35:86" x14ac:dyDescent="0.15">
      <c r="AI1288" s="3"/>
      <c r="AJ1288" s="3"/>
      <c r="AK1288" s="15">
        <f t="shared" si="461"/>
        <v>5</v>
      </c>
      <c r="AL1288" s="11">
        <f t="shared" si="467"/>
        <v>7674</v>
      </c>
      <c r="AM1288" s="11" t="b">
        <f t="shared" si="460"/>
        <v>0</v>
      </c>
      <c r="AN1288" s="11">
        <f t="shared" si="462"/>
        <v>36000</v>
      </c>
      <c r="AO1288" s="11">
        <f t="shared" si="463"/>
        <v>0</v>
      </c>
      <c r="AP1288" s="11">
        <f t="shared" si="464"/>
        <v>0.39276188534176149</v>
      </c>
      <c r="AQ1288" s="11">
        <f t="shared" si="465"/>
        <v>0</v>
      </c>
      <c r="AT1288" s="3"/>
      <c r="AU1288" s="17"/>
      <c r="AV1288" s="19"/>
      <c r="AW1288" s="17"/>
      <c r="AX1288" s="17">
        <f t="shared" si="468"/>
        <v>1279</v>
      </c>
      <c r="AY1288" s="17">
        <f t="shared" si="466"/>
        <v>127.9</v>
      </c>
      <c r="AZ1288" s="17">
        <v>39.27618853417615</v>
      </c>
      <c r="BA1288" s="17"/>
      <c r="BB1288" s="17">
        <v>36</v>
      </c>
      <c r="BC1288" s="17"/>
      <c r="BD1288" s="17"/>
      <c r="BE1288" s="17"/>
      <c r="BF1288" s="17"/>
      <c r="BG1288" s="17"/>
      <c r="BH1288" s="17"/>
      <c r="BI1288" s="17"/>
      <c r="BJ1288" s="17"/>
      <c r="BK1288" s="17"/>
      <c r="BL1288" s="17"/>
      <c r="BM1288" s="17"/>
      <c r="BN1288" s="17"/>
      <c r="BO1288" s="17"/>
      <c r="BP1288" s="17"/>
      <c r="BQ1288" s="17"/>
      <c r="BR1288" s="17"/>
      <c r="BS1288" s="17"/>
      <c r="BT1288" s="17"/>
      <c r="BU1288" s="17"/>
      <c r="BV1288" s="17"/>
      <c r="BW1288" s="17"/>
      <c r="BX1288" s="17"/>
      <c r="BY1288" s="17"/>
      <c r="BZ1288" s="17"/>
      <c r="CA1288" s="17"/>
      <c r="CB1288" s="17"/>
      <c r="CC1288" s="17"/>
      <c r="CD1288" s="17"/>
      <c r="CE1288" s="17"/>
      <c r="CF1288" s="17"/>
      <c r="CG1288" s="17"/>
      <c r="CH1288" s="17"/>
    </row>
    <row r="1289" spans="35:86" x14ac:dyDescent="0.15">
      <c r="AI1289" s="3"/>
      <c r="AJ1289" s="3"/>
      <c r="AK1289" s="15">
        <f t="shared" si="461"/>
        <v>5</v>
      </c>
      <c r="AL1289" s="11">
        <f t="shared" si="467"/>
        <v>7680</v>
      </c>
      <c r="AM1289" s="11" t="b">
        <f t="shared" ref="AM1289:AM1352" si="469">OR(AND(AL1289&gt;=$AC$5,AL1289&lt;=$AD$5),AND(AL1289&gt;=$AC$6,AL1289&lt;=$AD$6),AND(AL1289&gt;=$AC$7,AL1289&lt;=$AD$7),AND(AL1289&gt;=$AC$8,AL1289&lt;=$AD$8),AND(AL1289&gt;=$AC$9,AL1289&lt;=$AD$9),AND(AL1289&gt;=$AC$10,AL1289&lt;=$AD$10),AND(AL1289&gt;=$AC$11,AL1289&lt;=$AD$11),AND($AD$11&lt;$AC$11,OR(AL1289&lt;$AD$11,AL1289&gt;$AC$11)))</f>
        <v>0</v>
      </c>
      <c r="AN1289" s="11">
        <f t="shared" si="462"/>
        <v>36000</v>
      </c>
      <c r="AO1289" s="11">
        <f t="shared" si="463"/>
        <v>0</v>
      </c>
      <c r="AP1289" s="11">
        <f t="shared" si="464"/>
        <v>0.39386420015657625</v>
      </c>
      <c r="AQ1289" s="11">
        <f t="shared" si="465"/>
        <v>0</v>
      </c>
      <c r="AT1289" s="3"/>
      <c r="AU1289" s="17"/>
      <c r="AV1289" s="19"/>
      <c r="AW1289" s="17"/>
      <c r="AX1289" s="17">
        <f t="shared" si="468"/>
        <v>1280</v>
      </c>
      <c r="AY1289" s="17">
        <f t="shared" si="466"/>
        <v>128</v>
      </c>
      <c r="AZ1289" s="17">
        <v>39.386420015657627</v>
      </c>
      <c r="BA1289" s="17"/>
      <c r="BB1289" s="17">
        <v>36</v>
      </c>
      <c r="BC1289" s="17"/>
      <c r="BD1289" s="17"/>
      <c r="BE1289" s="17"/>
      <c r="BF1289" s="17"/>
      <c r="BG1289" s="17"/>
      <c r="BH1289" s="17"/>
      <c r="BI1289" s="17"/>
      <c r="BJ1289" s="17"/>
      <c r="BK1289" s="17"/>
      <c r="BL1289" s="17"/>
      <c r="BM1289" s="17"/>
      <c r="BN1289" s="17"/>
      <c r="BO1289" s="17"/>
      <c r="BP1289" s="17"/>
      <c r="BQ1289" s="17"/>
      <c r="BR1289" s="17"/>
      <c r="BS1289" s="17"/>
      <c r="BT1289" s="17"/>
      <c r="BU1289" s="17"/>
      <c r="BV1289" s="17"/>
      <c r="BW1289" s="17"/>
      <c r="BX1289" s="17"/>
      <c r="BY1289" s="17"/>
      <c r="BZ1289" s="17"/>
      <c r="CA1289" s="17"/>
      <c r="CB1289" s="17"/>
      <c r="CC1289" s="17"/>
      <c r="CD1289" s="17"/>
      <c r="CE1289" s="17"/>
      <c r="CF1289" s="17"/>
      <c r="CG1289" s="17"/>
      <c r="CH1289" s="17"/>
    </row>
    <row r="1290" spans="35:86" x14ac:dyDescent="0.15">
      <c r="AI1290" s="3"/>
      <c r="AJ1290" s="3"/>
      <c r="AK1290" s="15">
        <f t="shared" ref="AK1290:AK1353" si="470">1+INT(MOD(AL1290/60/24-0.5,7))</f>
        <v>5</v>
      </c>
      <c r="AL1290" s="11">
        <f t="shared" si="467"/>
        <v>7686</v>
      </c>
      <c r="AM1290" s="11" t="b">
        <f t="shared" si="469"/>
        <v>0</v>
      </c>
      <c r="AN1290" s="11">
        <f t="shared" ref="AN1290:AN1353" si="471">IF(AND(AM1290,NOT(AM1291)),$AB$26,AN1289+($AB$28-IF(AND(AM1289,AM1290),CHOOSE(AK1290,$AG$5,$AG$6,$AG$7,$AG$8,$AG$9,$AG$10,$AG$11)*$AA$22/$AA$24,0))*$AB$15)</f>
        <v>36000</v>
      </c>
      <c r="AO1290" s="11">
        <f t="shared" ref="AO1290:AO1353" si="472">IF(AND(AM1290,NOT(AM1291)),$AB$27,AO1289+($AB$29-IF(AND(AM1289,AM1290),CHOOSE(AK1290,$AG$5,$AG$6,$AG$7,$AG$8,$AG$9,$AG$10,$AG$11)*$AA$23/$AA$24,0))*$AB$15)</f>
        <v>0</v>
      </c>
      <c r="AP1290" s="11">
        <f t="shared" ref="AP1290:AP1353" si="473">IF(AN1289&lt;=0,0,(AP1289*AN1289-(IF(AND(AM1289,AM1290),CHOOSE(AK1290,$AI$5,$AI$6,$AI$7,$AI$8,$AI$9,$AI$10,$AI$11),$AA$37))*AP1289*$AB$15+$AA$34*(AQ1289-AP1289)*$AB$15+$AA$33*$AB$15)/AN1289)</f>
        <v>0.39496651497139107</v>
      </c>
      <c r="AQ1290" s="11">
        <f t="shared" si="465"/>
        <v>0</v>
      </c>
      <c r="AT1290" s="3"/>
      <c r="AU1290" s="17"/>
      <c r="AV1290" s="19"/>
      <c r="AW1290" s="17"/>
      <c r="AX1290" s="17">
        <f t="shared" si="468"/>
        <v>1281</v>
      </c>
      <c r="AY1290" s="17">
        <f t="shared" si="466"/>
        <v>128.1</v>
      </c>
      <c r="AZ1290" s="17">
        <v>39.496651497139105</v>
      </c>
      <c r="BA1290" s="17"/>
      <c r="BB1290" s="17">
        <v>36</v>
      </c>
      <c r="BC1290" s="17"/>
      <c r="BD1290" s="17"/>
      <c r="BE1290" s="17"/>
      <c r="BF1290" s="17"/>
      <c r="BG1290" s="17"/>
      <c r="BH1290" s="17"/>
      <c r="BI1290" s="17"/>
      <c r="BJ1290" s="17"/>
      <c r="BK1290" s="17"/>
      <c r="BL1290" s="17"/>
      <c r="BM1290" s="17"/>
      <c r="BN1290" s="17"/>
      <c r="BO1290" s="17"/>
      <c r="BP1290" s="17"/>
      <c r="BQ1290" s="17"/>
      <c r="BR1290" s="17"/>
      <c r="BS1290" s="17"/>
      <c r="BT1290" s="17"/>
      <c r="BU1290" s="17"/>
      <c r="BV1290" s="17"/>
      <c r="BW1290" s="17"/>
      <c r="BX1290" s="17"/>
      <c r="BY1290" s="17"/>
      <c r="BZ1290" s="17"/>
      <c r="CA1290" s="17"/>
      <c r="CB1290" s="17"/>
      <c r="CC1290" s="17"/>
      <c r="CD1290" s="17"/>
      <c r="CE1290" s="17"/>
      <c r="CF1290" s="17"/>
      <c r="CG1290" s="17"/>
      <c r="CH1290" s="17"/>
    </row>
    <row r="1291" spans="35:86" x14ac:dyDescent="0.15">
      <c r="AI1291" s="3"/>
      <c r="AJ1291" s="3"/>
      <c r="AK1291" s="15">
        <f t="shared" si="470"/>
        <v>5</v>
      </c>
      <c r="AL1291" s="11">
        <f t="shared" si="467"/>
        <v>7692</v>
      </c>
      <c r="AM1291" s="11" t="b">
        <f t="shared" si="469"/>
        <v>0</v>
      </c>
      <c r="AN1291" s="11">
        <f t="shared" si="471"/>
        <v>36000</v>
      </c>
      <c r="AO1291" s="11">
        <f t="shared" si="472"/>
        <v>0</v>
      </c>
      <c r="AP1291" s="11">
        <f t="shared" si="473"/>
        <v>0.39606882978620583</v>
      </c>
      <c r="AQ1291" s="11">
        <f t="shared" ref="AQ1291:AQ1354" si="474">IF(AO1290&lt;=0,0,(AQ1290*AO1290-$AA$34*(AQ1290-AP1290)*$AB$15)/AO1290)</f>
        <v>0</v>
      </c>
      <c r="AT1291" s="3"/>
      <c r="AU1291" s="17"/>
      <c r="AV1291" s="19"/>
      <c r="AW1291" s="17"/>
      <c r="AX1291" s="17">
        <f t="shared" si="468"/>
        <v>1282</v>
      </c>
      <c r="AY1291" s="17">
        <f t="shared" si="466"/>
        <v>128.19999999999999</v>
      </c>
      <c r="AZ1291" s="17">
        <v>39.606882978620582</v>
      </c>
      <c r="BA1291" s="17"/>
      <c r="BB1291" s="17">
        <v>36</v>
      </c>
      <c r="BC1291" s="17"/>
      <c r="BD1291" s="17"/>
      <c r="BE1291" s="17"/>
      <c r="BF1291" s="17"/>
      <c r="BG1291" s="17"/>
      <c r="BH1291" s="17"/>
      <c r="BI1291" s="17"/>
      <c r="BJ1291" s="17"/>
      <c r="BK1291" s="17"/>
      <c r="BL1291" s="17"/>
      <c r="BM1291" s="17"/>
      <c r="BN1291" s="17"/>
      <c r="BO1291" s="17"/>
      <c r="BP1291" s="17"/>
      <c r="BQ1291" s="17"/>
      <c r="BR1291" s="17"/>
      <c r="BS1291" s="17"/>
      <c r="BT1291" s="17"/>
      <c r="BU1291" s="17"/>
      <c r="BV1291" s="17"/>
      <c r="BW1291" s="17"/>
      <c r="BX1291" s="17"/>
      <c r="BY1291" s="17"/>
      <c r="BZ1291" s="17"/>
      <c r="CA1291" s="17"/>
      <c r="CB1291" s="17"/>
      <c r="CC1291" s="17"/>
      <c r="CD1291" s="17"/>
      <c r="CE1291" s="17"/>
      <c r="CF1291" s="17"/>
      <c r="CG1291" s="17"/>
      <c r="CH1291" s="17"/>
    </row>
    <row r="1292" spans="35:86" x14ac:dyDescent="0.15">
      <c r="AI1292" s="3"/>
      <c r="AJ1292" s="3"/>
      <c r="AK1292" s="15">
        <f t="shared" si="470"/>
        <v>5</v>
      </c>
      <c r="AL1292" s="11">
        <f t="shared" si="467"/>
        <v>7698</v>
      </c>
      <c r="AM1292" s="11" t="b">
        <f t="shared" si="469"/>
        <v>0</v>
      </c>
      <c r="AN1292" s="11">
        <f t="shared" si="471"/>
        <v>36000</v>
      </c>
      <c r="AO1292" s="11">
        <f t="shared" si="472"/>
        <v>0</v>
      </c>
      <c r="AP1292" s="11">
        <f t="shared" si="473"/>
        <v>0.39717114460102065</v>
      </c>
      <c r="AQ1292" s="11">
        <f t="shared" si="474"/>
        <v>0</v>
      </c>
      <c r="AT1292" s="3"/>
      <c r="AU1292" s="17"/>
      <c r="AV1292" s="19"/>
      <c r="AW1292" s="17"/>
      <c r="AX1292" s="17">
        <f t="shared" si="468"/>
        <v>1283</v>
      </c>
      <c r="AY1292" s="17">
        <f t="shared" si="466"/>
        <v>128.30000000000001</v>
      </c>
      <c r="AZ1292" s="17">
        <v>39.717114460102067</v>
      </c>
      <c r="BA1292" s="17"/>
      <c r="BB1292" s="17">
        <v>36</v>
      </c>
      <c r="BC1292" s="17"/>
      <c r="BD1292" s="17"/>
      <c r="BE1292" s="17"/>
      <c r="BF1292" s="17"/>
      <c r="BG1292" s="17"/>
      <c r="BH1292" s="17"/>
      <c r="BI1292" s="17"/>
      <c r="BJ1292" s="17"/>
      <c r="BK1292" s="17"/>
      <c r="BL1292" s="17"/>
      <c r="BM1292" s="17"/>
      <c r="BN1292" s="17"/>
      <c r="BO1292" s="17"/>
      <c r="BP1292" s="17"/>
      <c r="BQ1292" s="17"/>
      <c r="BR1292" s="17"/>
      <c r="BS1292" s="17"/>
      <c r="BT1292" s="17"/>
      <c r="BU1292" s="17"/>
      <c r="BV1292" s="17"/>
      <c r="BW1292" s="17"/>
      <c r="BX1292" s="17"/>
      <c r="BY1292" s="17"/>
      <c r="BZ1292" s="17"/>
      <c r="CA1292" s="17"/>
      <c r="CB1292" s="17"/>
      <c r="CC1292" s="17"/>
      <c r="CD1292" s="17"/>
      <c r="CE1292" s="17"/>
      <c r="CF1292" s="17"/>
      <c r="CG1292" s="17"/>
      <c r="CH1292" s="17"/>
    </row>
    <row r="1293" spans="35:86" x14ac:dyDescent="0.15">
      <c r="AI1293" s="3"/>
      <c r="AJ1293" s="3"/>
      <c r="AK1293" s="15">
        <f t="shared" si="470"/>
        <v>5</v>
      </c>
      <c r="AL1293" s="11">
        <f t="shared" si="467"/>
        <v>7704</v>
      </c>
      <c r="AM1293" s="11" t="b">
        <f t="shared" si="469"/>
        <v>0</v>
      </c>
      <c r="AN1293" s="11">
        <f t="shared" si="471"/>
        <v>36000</v>
      </c>
      <c r="AO1293" s="11">
        <f t="shared" si="472"/>
        <v>0</v>
      </c>
      <c r="AP1293" s="11">
        <f t="shared" si="473"/>
        <v>0.39827345941583542</v>
      </c>
      <c r="AQ1293" s="11">
        <f t="shared" si="474"/>
        <v>0</v>
      </c>
      <c r="AT1293" s="3"/>
      <c r="AU1293" s="17"/>
      <c r="AV1293" s="19"/>
      <c r="AW1293" s="17"/>
      <c r="AX1293" s="17">
        <f t="shared" si="468"/>
        <v>1284</v>
      </c>
      <c r="AY1293" s="17">
        <f t="shared" si="466"/>
        <v>128.4</v>
      </c>
      <c r="AZ1293" s="17">
        <v>39.827345941583545</v>
      </c>
      <c r="BA1293" s="17"/>
      <c r="BB1293" s="17">
        <v>36</v>
      </c>
      <c r="BC1293" s="17"/>
      <c r="BD1293" s="17"/>
      <c r="BE1293" s="17"/>
      <c r="BF1293" s="17"/>
      <c r="BG1293" s="17"/>
      <c r="BH1293" s="17"/>
      <c r="BI1293" s="17"/>
      <c r="BJ1293" s="17"/>
      <c r="BK1293" s="17"/>
      <c r="BL1293" s="17"/>
      <c r="BM1293" s="17"/>
      <c r="BN1293" s="17"/>
      <c r="BO1293" s="17"/>
      <c r="BP1293" s="17"/>
      <c r="BQ1293" s="17"/>
      <c r="BR1293" s="17"/>
      <c r="BS1293" s="17"/>
      <c r="BT1293" s="17"/>
      <c r="BU1293" s="17"/>
      <c r="BV1293" s="17"/>
      <c r="BW1293" s="17"/>
      <c r="BX1293" s="17"/>
      <c r="BY1293" s="17"/>
      <c r="BZ1293" s="17"/>
      <c r="CA1293" s="17"/>
      <c r="CB1293" s="17"/>
      <c r="CC1293" s="17"/>
      <c r="CD1293" s="17"/>
      <c r="CE1293" s="17"/>
      <c r="CF1293" s="17"/>
      <c r="CG1293" s="17"/>
      <c r="CH1293" s="17"/>
    </row>
    <row r="1294" spans="35:86" x14ac:dyDescent="0.15">
      <c r="AI1294" s="3"/>
      <c r="AJ1294" s="3"/>
      <c r="AK1294" s="15">
        <f t="shared" si="470"/>
        <v>5</v>
      </c>
      <c r="AL1294" s="11">
        <f t="shared" si="467"/>
        <v>7710</v>
      </c>
      <c r="AM1294" s="11" t="b">
        <f t="shared" si="469"/>
        <v>0</v>
      </c>
      <c r="AN1294" s="11">
        <f t="shared" si="471"/>
        <v>36000</v>
      </c>
      <c r="AO1294" s="11">
        <f t="shared" si="472"/>
        <v>0</v>
      </c>
      <c r="AP1294" s="11">
        <f t="shared" si="473"/>
        <v>0.39937577423065024</v>
      </c>
      <c r="AQ1294" s="11">
        <f t="shared" si="474"/>
        <v>0</v>
      </c>
      <c r="AT1294" s="3"/>
      <c r="AU1294" s="17"/>
      <c r="AV1294" s="19"/>
      <c r="AW1294" s="17"/>
      <c r="AX1294" s="17">
        <f t="shared" si="468"/>
        <v>1285</v>
      </c>
      <c r="AY1294" s="17">
        <f t="shared" si="466"/>
        <v>128.5</v>
      </c>
      <c r="AZ1294" s="17">
        <v>39.937577423065022</v>
      </c>
      <c r="BA1294" s="17"/>
      <c r="BB1294" s="17">
        <v>36</v>
      </c>
      <c r="BC1294" s="17"/>
      <c r="BD1294" s="17"/>
      <c r="BE1294" s="17"/>
      <c r="BF1294" s="17"/>
      <c r="BG1294" s="17"/>
      <c r="BH1294" s="17"/>
      <c r="BI1294" s="17"/>
      <c r="BJ1294" s="17"/>
      <c r="BK1294" s="17"/>
      <c r="BL1294" s="17"/>
      <c r="BM1294" s="17"/>
      <c r="BN1294" s="17"/>
      <c r="BO1294" s="17"/>
      <c r="BP1294" s="17"/>
      <c r="BQ1294" s="17"/>
      <c r="BR1294" s="17"/>
      <c r="BS1294" s="17"/>
      <c r="BT1294" s="17"/>
      <c r="BU1294" s="17"/>
      <c r="BV1294" s="17"/>
      <c r="BW1294" s="17"/>
      <c r="BX1294" s="17"/>
      <c r="BY1294" s="17"/>
      <c r="BZ1294" s="17"/>
      <c r="CA1294" s="17"/>
      <c r="CB1294" s="17"/>
      <c r="CC1294" s="17"/>
      <c r="CD1294" s="17"/>
      <c r="CE1294" s="17"/>
      <c r="CF1294" s="17"/>
      <c r="CG1294" s="17"/>
      <c r="CH1294" s="17"/>
    </row>
    <row r="1295" spans="35:86" x14ac:dyDescent="0.15">
      <c r="AI1295" s="3"/>
      <c r="AJ1295" s="3"/>
      <c r="AK1295" s="15">
        <f t="shared" si="470"/>
        <v>5</v>
      </c>
      <c r="AL1295" s="11">
        <f t="shared" si="467"/>
        <v>7716</v>
      </c>
      <c r="AM1295" s="11" t="b">
        <f t="shared" si="469"/>
        <v>0</v>
      </c>
      <c r="AN1295" s="11">
        <f t="shared" si="471"/>
        <v>36000</v>
      </c>
      <c r="AO1295" s="11">
        <f t="shared" si="472"/>
        <v>0</v>
      </c>
      <c r="AP1295" s="11">
        <f t="shared" si="473"/>
        <v>0.400478089045465</v>
      </c>
      <c r="AQ1295" s="11">
        <f t="shared" si="474"/>
        <v>0</v>
      </c>
      <c r="AT1295" s="3"/>
      <c r="AU1295" s="17"/>
      <c r="AV1295" s="19"/>
      <c r="AW1295" s="17"/>
      <c r="AX1295" s="17">
        <f t="shared" si="468"/>
        <v>1286</v>
      </c>
      <c r="AY1295" s="17">
        <f t="shared" si="466"/>
        <v>128.6</v>
      </c>
      <c r="AZ1295" s="17">
        <v>40.0478089045465</v>
      </c>
      <c r="BA1295" s="17"/>
      <c r="BB1295" s="17">
        <v>36</v>
      </c>
      <c r="BC1295" s="17"/>
      <c r="BD1295" s="17"/>
      <c r="BE1295" s="17"/>
      <c r="BF1295" s="17"/>
      <c r="BG1295" s="17"/>
      <c r="BH1295" s="17"/>
      <c r="BI1295" s="17"/>
      <c r="BJ1295" s="17"/>
      <c r="BK1295" s="17"/>
      <c r="BL1295" s="17"/>
      <c r="BM1295" s="17"/>
      <c r="BN1295" s="17"/>
      <c r="BO1295" s="17"/>
      <c r="BP1295" s="17"/>
      <c r="BQ1295" s="17"/>
      <c r="BR1295" s="17"/>
      <c r="BS1295" s="17"/>
      <c r="BT1295" s="17"/>
      <c r="BU1295" s="17"/>
      <c r="BV1295" s="17"/>
      <c r="BW1295" s="17"/>
      <c r="BX1295" s="17"/>
      <c r="BY1295" s="17"/>
      <c r="BZ1295" s="17"/>
      <c r="CA1295" s="17"/>
      <c r="CB1295" s="17"/>
      <c r="CC1295" s="17"/>
      <c r="CD1295" s="17"/>
      <c r="CE1295" s="17"/>
      <c r="CF1295" s="17"/>
      <c r="CG1295" s="17"/>
      <c r="CH1295" s="17"/>
    </row>
    <row r="1296" spans="35:86" x14ac:dyDescent="0.15">
      <c r="AI1296" s="3"/>
      <c r="AJ1296" s="3"/>
      <c r="AK1296" s="15">
        <f t="shared" si="470"/>
        <v>5</v>
      </c>
      <c r="AL1296" s="11">
        <f t="shared" si="467"/>
        <v>7722</v>
      </c>
      <c r="AM1296" s="11" t="b">
        <f t="shared" si="469"/>
        <v>0</v>
      </c>
      <c r="AN1296" s="11">
        <f t="shared" si="471"/>
        <v>36000</v>
      </c>
      <c r="AO1296" s="11">
        <f t="shared" si="472"/>
        <v>0</v>
      </c>
      <c r="AP1296" s="11">
        <f t="shared" si="473"/>
        <v>0.40158040386027982</v>
      </c>
      <c r="AQ1296" s="11">
        <f t="shared" si="474"/>
        <v>0</v>
      </c>
      <c r="AT1296" s="3"/>
      <c r="AU1296" s="17"/>
      <c r="AV1296" s="19"/>
      <c r="AW1296" s="17"/>
      <c r="AX1296" s="17">
        <f t="shared" si="468"/>
        <v>1287</v>
      </c>
      <c r="AY1296" s="17">
        <f t="shared" si="466"/>
        <v>128.69999999999999</v>
      </c>
      <c r="AZ1296" s="17">
        <v>40.158040386027984</v>
      </c>
      <c r="BA1296" s="17"/>
      <c r="BB1296" s="17">
        <v>36</v>
      </c>
      <c r="BC1296" s="17"/>
      <c r="BD1296" s="17"/>
      <c r="BE1296" s="17"/>
      <c r="BF1296" s="17"/>
      <c r="BG1296" s="17"/>
      <c r="BH1296" s="17"/>
      <c r="BI1296" s="17"/>
      <c r="BJ1296" s="17"/>
      <c r="BK1296" s="17"/>
      <c r="BL1296" s="17"/>
      <c r="BM1296" s="17"/>
      <c r="BN1296" s="17"/>
      <c r="BO1296" s="17"/>
      <c r="BP1296" s="17"/>
      <c r="BQ1296" s="17"/>
      <c r="BR1296" s="17"/>
      <c r="BS1296" s="17"/>
      <c r="BT1296" s="17"/>
      <c r="BU1296" s="17"/>
      <c r="BV1296" s="17"/>
      <c r="BW1296" s="17"/>
      <c r="BX1296" s="17"/>
      <c r="BY1296" s="17"/>
      <c r="BZ1296" s="17"/>
      <c r="CA1296" s="17"/>
      <c r="CB1296" s="17"/>
      <c r="CC1296" s="17"/>
      <c r="CD1296" s="17"/>
      <c r="CE1296" s="17"/>
      <c r="CF1296" s="17"/>
      <c r="CG1296" s="17"/>
      <c r="CH1296" s="17"/>
    </row>
    <row r="1297" spans="35:86" x14ac:dyDescent="0.15">
      <c r="AI1297" s="3"/>
      <c r="AJ1297" s="3"/>
      <c r="AK1297" s="15">
        <f t="shared" si="470"/>
        <v>5</v>
      </c>
      <c r="AL1297" s="11">
        <f t="shared" si="467"/>
        <v>7728</v>
      </c>
      <c r="AM1297" s="11" t="b">
        <f t="shared" si="469"/>
        <v>0</v>
      </c>
      <c r="AN1297" s="11">
        <f t="shared" si="471"/>
        <v>36000</v>
      </c>
      <c r="AO1297" s="11">
        <f t="shared" si="472"/>
        <v>0</v>
      </c>
      <c r="AP1297" s="11">
        <f t="shared" si="473"/>
        <v>0.40268271867509459</v>
      </c>
      <c r="AQ1297" s="11">
        <f t="shared" si="474"/>
        <v>0</v>
      </c>
      <c r="AT1297" s="3"/>
      <c r="AU1297" s="17"/>
      <c r="AV1297" s="19"/>
      <c r="AW1297" s="17"/>
      <c r="AX1297" s="17">
        <f t="shared" si="468"/>
        <v>1288</v>
      </c>
      <c r="AY1297" s="17">
        <f t="shared" si="466"/>
        <v>128.80000000000001</v>
      </c>
      <c r="AZ1297" s="17">
        <v>40.268271867509462</v>
      </c>
      <c r="BA1297" s="17"/>
      <c r="BB1297" s="17">
        <v>36</v>
      </c>
      <c r="BC1297" s="17"/>
      <c r="BD1297" s="17"/>
      <c r="BE1297" s="17"/>
      <c r="BF1297" s="17"/>
      <c r="BG1297" s="17"/>
      <c r="BH1297" s="17"/>
      <c r="BI1297" s="17"/>
      <c r="BJ1297" s="17"/>
      <c r="BK1297" s="17"/>
      <c r="BL1297" s="17"/>
      <c r="BM1297" s="17"/>
      <c r="BN1297" s="17"/>
      <c r="BO1297" s="17"/>
      <c r="BP1297" s="17"/>
      <c r="BQ1297" s="17"/>
      <c r="BR1297" s="17"/>
      <c r="BS1297" s="17"/>
      <c r="BT1297" s="17"/>
      <c r="BU1297" s="17"/>
      <c r="BV1297" s="17"/>
      <c r="BW1297" s="17"/>
      <c r="BX1297" s="17"/>
      <c r="BY1297" s="17"/>
      <c r="BZ1297" s="17"/>
      <c r="CA1297" s="17"/>
      <c r="CB1297" s="17"/>
      <c r="CC1297" s="17"/>
      <c r="CD1297" s="17"/>
      <c r="CE1297" s="17"/>
      <c r="CF1297" s="17"/>
      <c r="CG1297" s="17"/>
      <c r="CH1297" s="17"/>
    </row>
    <row r="1298" spans="35:86" x14ac:dyDescent="0.15">
      <c r="AI1298" s="3"/>
      <c r="AJ1298" s="3"/>
      <c r="AK1298" s="15">
        <f t="shared" si="470"/>
        <v>5</v>
      </c>
      <c r="AL1298" s="11">
        <f t="shared" si="467"/>
        <v>7734</v>
      </c>
      <c r="AM1298" s="11" t="b">
        <f t="shared" si="469"/>
        <v>0</v>
      </c>
      <c r="AN1298" s="11">
        <f t="shared" si="471"/>
        <v>36000</v>
      </c>
      <c r="AO1298" s="11">
        <f t="shared" si="472"/>
        <v>0</v>
      </c>
      <c r="AP1298" s="11">
        <f t="shared" si="473"/>
        <v>0.40378503348990941</v>
      </c>
      <c r="AQ1298" s="11">
        <f t="shared" si="474"/>
        <v>0</v>
      </c>
      <c r="AT1298" s="3"/>
      <c r="AU1298" s="17"/>
      <c r="AV1298" s="19"/>
      <c r="AW1298" s="17"/>
      <c r="AX1298" s="17">
        <f t="shared" si="468"/>
        <v>1289</v>
      </c>
      <c r="AY1298" s="17">
        <f t="shared" si="466"/>
        <v>128.9</v>
      </c>
      <c r="AZ1298" s="17">
        <v>40.37850334899094</v>
      </c>
      <c r="BA1298" s="17"/>
      <c r="BB1298" s="17">
        <v>36</v>
      </c>
      <c r="BC1298" s="17"/>
      <c r="BD1298" s="17"/>
      <c r="BE1298" s="17"/>
      <c r="BF1298" s="17"/>
      <c r="BG1298" s="17"/>
      <c r="BH1298" s="17"/>
      <c r="BI1298" s="17"/>
      <c r="BJ1298" s="17"/>
      <c r="BK1298" s="17"/>
      <c r="BL1298" s="17"/>
      <c r="BM1298" s="17"/>
      <c r="BN1298" s="17"/>
      <c r="BO1298" s="17"/>
      <c r="BP1298" s="17"/>
      <c r="BQ1298" s="17"/>
      <c r="BR1298" s="17"/>
      <c r="BS1298" s="17"/>
      <c r="BT1298" s="17"/>
      <c r="BU1298" s="17"/>
      <c r="BV1298" s="17"/>
      <c r="BW1298" s="17"/>
      <c r="BX1298" s="17"/>
      <c r="BY1298" s="17"/>
      <c r="BZ1298" s="17"/>
      <c r="CA1298" s="17"/>
      <c r="CB1298" s="17"/>
      <c r="CC1298" s="17"/>
      <c r="CD1298" s="17"/>
      <c r="CE1298" s="17"/>
      <c r="CF1298" s="17"/>
      <c r="CG1298" s="17"/>
      <c r="CH1298" s="17"/>
    </row>
    <row r="1299" spans="35:86" x14ac:dyDescent="0.15">
      <c r="AI1299" s="3"/>
      <c r="AJ1299" s="3"/>
      <c r="AK1299" s="15">
        <f t="shared" si="470"/>
        <v>5</v>
      </c>
      <c r="AL1299" s="11">
        <f t="shared" si="467"/>
        <v>7740</v>
      </c>
      <c r="AM1299" s="11" t="b">
        <f t="shared" si="469"/>
        <v>0</v>
      </c>
      <c r="AN1299" s="11">
        <f t="shared" si="471"/>
        <v>36000</v>
      </c>
      <c r="AO1299" s="11">
        <f t="shared" si="472"/>
        <v>0</v>
      </c>
      <c r="AP1299" s="11">
        <f t="shared" si="473"/>
        <v>0.40488734830472417</v>
      </c>
      <c r="AQ1299" s="11">
        <f t="shared" si="474"/>
        <v>0</v>
      </c>
      <c r="AT1299" s="3"/>
      <c r="AU1299" s="17"/>
      <c r="AV1299" s="19"/>
      <c r="AW1299" s="17"/>
      <c r="AX1299" s="17">
        <f t="shared" si="468"/>
        <v>1290</v>
      </c>
      <c r="AY1299" s="17">
        <f t="shared" si="466"/>
        <v>129</v>
      </c>
      <c r="AZ1299" s="17">
        <v>40.488734830472417</v>
      </c>
      <c r="BA1299" s="17"/>
      <c r="BB1299" s="17">
        <v>36</v>
      </c>
      <c r="BC1299" s="17"/>
      <c r="BD1299" s="17"/>
      <c r="BE1299" s="17"/>
      <c r="BF1299" s="17"/>
      <c r="BG1299" s="17"/>
      <c r="BH1299" s="17"/>
      <c r="BI1299" s="17"/>
      <c r="BJ1299" s="17"/>
      <c r="BK1299" s="17"/>
      <c r="BL1299" s="17"/>
      <c r="BM1299" s="17"/>
      <c r="BN1299" s="17"/>
      <c r="BO1299" s="17"/>
      <c r="BP1299" s="17"/>
      <c r="BQ1299" s="17"/>
      <c r="BR1299" s="17"/>
      <c r="BS1299" s="17"/>
      <c r="BT1299" s="17"/>
      <c r="BU1299" s="17"/>
      <c r="BV1299" s="17"/>
      <c r="BW1299" s="17"/>
      <c r="BX1299" s="17"/>
      <c r="BY1299" s="17"/>
      <c r="BZ1299" s="17"/>
      <c r="CA1299" s="17"/>
      <c r="CB1299" s="17"/>
      <c r="CC1299" s="17"/>
      <c r="CD1299" s="17"/>
      <c r="CE1299" s="17"/>
      <c r="CF1299" s="17"/>
      <c r="CG1299" s="17"/>
      <c r="CH1299" s="17"/>
    </row>
    <row r="1300" spans="35:86" x14ac:dyDescent="0.15">
      <c r="AI1300" s="3"/>
      <c r="AJ1300" s="3"/>
      <c r="AK1300" s="15">
        <f t="shared" si="470"/>
        <v>5</v>
      </c>
      <c r="AL1300" s="11">
        <f t="shared" si="467"/>
        <v>7746</v>
      </c>
      <c r="AM1300" s="11" t="b">
        <f t="shared" si="469"/>
        <v>0</v>
      </c>
      <c r="AN1300" s="11">
        <f t="shared" si="471"/>
        <v>36000</v>
      </c>
      <c r="AO1300" s="11">
        <f t="shared" si="472"/>
        <v>0</v>
      </c>
      <c r="AP1300" s="11">
        <f t="shared" si="473"/>
        <v>0.40598966311953899</v>
      </c>
      <c r="AQ1300" s="11">
        <f t="shared" si="474"/>
        <v>0</v>
      </c>
      <c r="AT1300" s="3"/>
      <c r="AU1300" s="17"/>
      <c r="AV1300" s="19"/>
      <c r="AW1300" s="17"/>
      <c r="AX1300" s="17">
        <f t="shared" si="468"/>
        <v>1291</v>
      </c>
      <c r="AY1300" s="17">
        <f t="shared" ref="AY1300:AY1363" si="475">IF(ISNUMBER(AX1300),IF(ROUND((AX1300)*$AG$15*$AB$15,0) &lt;= 10080, ROUND((AX1300)*$AG$15,0)*$AB$15/60, 168),168)</f>
        <v>129.1</v>
      </c>
      <c r="AZ1300" s="17">
        <v>40.598966311953902</v>
      </c>
      <c r="BA1300" s="17"/>
      <c r="BB1300" s="17">
        <v>36</v>
      </c>
      <c r="BC1300" s="17"/>
      <c r="BD1300" s="17"/>
      <c r="BE1300" s="17"/>
      <c r="BF1300" s="17"/>
      <c r="BG1300" s="17"/>
      <c r="BH1300" s="17"/>
      <c r="BI1300" s="17"/>
      <c r="BJ1300" s="17"/>
      <c r="BK1300" s="17"/>
      <c r="BL1300" s="17"/>
      <c r="BM1300" s="17"/>
      <c r="BN1300" s="17"/>
      <c r="BO1300" s="17"/>
      <c r="BP1300" s="17"/>
      <c r="BQ1300" s="17"/>
      <c r="BR1300" s="17"/>
      <c r="BS1300" s="17"/>
      <c r="BT1300" s="17"/>
      <c r="BU1300" s="17"/>
      <c r="BV1300" s="17"/>
      <c r="BW1300" s="17"/>
      <c r="BX1300" s="17"/>
      <c r="BY1300" s="17"/>
      <c r="BZ1300" s="17"/>
      <c r="CA1300" s="17"/>
      <c r="CB1300" s="17"/>
      <c r="CC1300" s="17"/>
      <c r="CD1300" s="17"/>
      <c r="CE1300" s="17"/>
      <c r="CF1300" s="17"/>
      <c r="CG1300" s="17"/>
      <c r="CH1300" s="17"/>
    </row>
    <row r="1301" spans="35:86" x14ac:dyDescent="0.15">
      <c r="AI1301" s="3"/>
      <c r="AJ1301" s="3"/>
      <c r="AK1301" s="15">
        <f t="shared" si="470"/>
        <v>5</v>
      </c>
      <c r="AL1301" s="11">
        <f t="shared" si="467"/>
        <v>7752</v>
      </c>
      <c r="AM1301" s="11" t="b">
        <f t="shared" si="469"/>
        <v>0</v>
      </c>
      <c r="AN1301" s="11">
        <f t="shared" si="471"/>
        <v>36000</v>
      </c>
      <c r="AO1301" s="11">
        <f t="shared" si="472"/>
        <v>0</v>
      </c>
      <c r="AP1301" s="11">
        <f t="shared" si="473"/>
        <v>0.40709197793435375</v>
      </c>
      <c r="AQ1301" s="11">
        <f t="shared" si="474"/>
        <v>0</v>
      </c>
      <c r="AT1301" s="3"/>
      <c r="AU1301" s="17"/>
      <c r="AV1301" s="19"/>
      <c r="AW1301" s="17"/>
      <c r="AX1301" s="17">
        <f t="shared" si="468"/>
        <v>1292</v>
      </c>
      <c r="AY1301" s="17">
        <f t="shared" si="475"/>
        <v>129.19999999999999</v>
      </c>
      <c r="AZ1301" s="17">
        <v>40.709197793435372</v>
      </c>
      <c r="BA1301" s="17"/>
      <c r="BB1301" s="17">
        <v>36</v>
      </c>
      <c r="BC1301" s="17"/>
      <c r="BD1301" s="17"/>
      <c r="BE1301" s="17"/>
      <c r="BF1301" s="17"/>
      <c r="BG1301" s="17"/>
      <c r="BH1301" s="17"/>
      <c r="BI1301" s="17"/>
      <c r="BJ1301" s="17"/>
      <c r="BK1301" s="17"/>
      <c r="BL1301" s="17"/>
      <c r="BM1301" s="17"/>
      <c r="BN1301" s="17"/>
      <c r="BO1301" s="17"/>
      <c r="BP1301" s="17"/>
      <c r="BQ1301" s="17"/>
      <c r="BR1301" s="17"/>
      <c r="BS1301" s="17"/>
      <c r="BT1301" s="17"/>
      <c r="BU1301" s="17"/>
      <c r="BV1301" s="17"/>
      <c r="BW1301" s="17"/>
      <c r="BX1301" s="17"/>
      <c r="BY1301" s="17"/>
      <c r="BZ1301" s="17"/>
      <c r="CA1301" s="17"/>
      <c r="CB1301" s="17"/>
      <c r="CC1301" s="17"/>
      <c r="CD1301" s="17"/>
      <c r="CE1301" s="17"/>
      <c r="CF1301" s="17"/>
      <c r="CG1301" s="17"/>
      <c r="CH1301" s="17"/>
    </row>
    <row r="1302" spans="35:86" x14ac:dyDescent="0.15">
      <c r="AI1302" s="3"/>
      <c r="AJ1302" s="3"/>
      <c r="AK1302" s="15">
        <f t="shared" si="470"/>
        <v>5</v>
      </c>
      <c r="AL1302" s="11">
        <f t="shared" si="467"/>
        <v>7758</v>
      </c>
      <c r="AM1302" s="11" t="b">
        <f t="shared" si="469"/>
        <v>0</v>
      </c>
      <c r="AN1302" s="11">
        <f t="shared" si="471"/>
        <v>36000</v>
      </c>
      <c r="AO1302" s="11">
        <f t="shared" si="472"/>
        <v>0</v>
      </c>
      <c r="AP1302" s="11">
        <f t="shared" si="473"/>
        <v>0.40819429274916857</v>
      </c>
      <c r="AQ1302" s="11">
        <f t="shared" si="474"/>
        <v>0</v>
      </c>
      <c r="AT1302" s="3"/>
      <c r="AU1302" s="17"/>
      <c r="AV1302" s="19"/>
      <c r="AW1302" s="17"/>
      <c r="AX1302" s="17">
        <f t="shared" si="468"/>
        <v>1293</v>
      </c>
      <c r="AY1302" s="17">
        <f t="shared" si="475"/>
        <v>129.30000000000001</v>
      </c>
      <c r="AZ1302" s="17">
        <v>40.819429274916857</v>
      </c>
      <c r="BA1302" s="17"/>
      <c r="BB1302" s="17">
        <v>36</v>
      </c>
      <c r="BC1302" s="17"/>
      <c r="BD1302" s="17"/>
      <c r="BE1302" s="17"/>
      <c r="BF1302" s="17"/>
      <c r="BG1302" s="17"/>
      <c r="BH1302" s="17"/>
      <c r="BI1302" s="17"/>
      <c r="BJ1302" s="17"/>
      <c r="BK1302" s="17"/>
      <c r="BL1302" s="17"/>
      <c r="BM1302" s="17"/>
      <c r="BN1302" s="17"/>
      <c r="BO1302" s="17"/>
      <c r="BP1302" s="17"/>
      <c r="BQ1302" s="17"/>
      <c r="BR1302" s="17"/>
      <c r="BS1302" s="17"/>
      <c r="BT1302" s="17"/>
      <c r="BU1302" s="17"/>
      <c r="BV1302" s="17"/>
      <c r="BW1302" s="17"/>
      <c r="BX1302" s="17"/>
      <c r="BY1302" s="17"/>
      <c r="BZ1302" s="17"/>
      <c r="CA1302" s="17"/>
      <c r="CB1302" s="17"/>
      <c r="CC1302" s="17"/>
      <c r="CD1302" s="17"/>
      <c r="CE1302" s="17"/>
      <c r="CF1302" s="17"/>
      <c r="CG1302" s="17"/>
      <c r="CH1302" s="17"/>
    </row>
    <row r="1303" spans="35:86" x14ac:dyDescent="0.15">
      <c r="AI1303" s="3"/>
      <c r="AJ1303" s="3"/>
      <c r="AK1303" s="15">
        <f t="shared" si="470"/>
        <v>5</v>
      </c>
      <c r="AL1303" s="11">
        <f t="shared" si="467"/>
        <v>7764</v>
      </c>
      <c r="AM1303" s="11" t="b">
        <f t="shared" si="469"/>
        <v>0</v>
      </c>
      <c r="AN1303" s="11">
        <f t="shared" si="471"/>
        <v>36000</v>
      </c>
      <c r="AO1303" s="11">
        <f t="shared" si="472"/>
        <v>0</v>
      </c>
      <c r="AP1303" s="11">
        <f t="shared" si="473"/>
        <v>0.40929660756398334</v>
      </c>
      <c r="AQ1303" s="11">
        <f t="shared" si="474"/>
        <v>0</v>
      </c>
      <c r="AT1303" s="3"/>
      <c r="AU1303" s="17"/>
      <c r="AV1303" s="19"/>
      <c r="AW1303" s="17"/>
      <c r="AX1303" s="17">
        <f t="shared" si="468"/>
        <v>1294</v>
      </c>
      <c r="AY1303" s="17">
        <f t="shared" si="475"/>
        <v>129.4</v>
      </c>
      <c r="AZ1303" s="17">
        <v>40.929660756398334</v>
      </c>
      <c r="BA1303" s="17"/>
      <c r="BB1303" s="17">
        <v>36</v>
      </c>
      <c r="BC1303" s="17"/>
      <c r="BD1303" s="17"/>
      <c r="BE1303" s="17"/>
      <c r="BF1303" s="17"/>
      <c r="BG1303" s="17"/>
      <c r="BH1303" s="17"/>
      <c r="BI1303" s="17"/>
      <c r="BJ1303" s="17"/>
      <c r="BK1303" s="17"/>
      <c r="BL1303" s="17"/>
      <c r="BM1303" s="17"/>
      <c r="BN1303" s="17"/>
      <c r="BO1303" s="17"/>
      <c r="BP1303" s="17"/>
      <c r="BQ1303" s="17"/>
      <c r="BR1303" s="17"/>
      <c r="BS1303" s="17"/>
      <c r="BT1303" s="17"/>
      <c r="BU1303" s="17"/>
      <c r="BV1303" s="17"/>
      <c r="BW1303" s="17"/>
      <c r="BX1303" s="17"/>
      <c r="BY1303" s="17"/>
      <c r="BZ1303" s="17"/>
      <c r="CA1303" s="17"/>
      <c r="CB1303" s="17"/>
      <c r="CC1303" s="17"/>
      <c r="CD1303" s="17"/>
      <c r="CE1303" s="17"/>
      <c r="CF1303" s="17"/>
      <c r="CG1303" s="17"/>
      <c r="CH1303" s="17"/>
    </row>
    <row r="1304" spans="35:86" x14ac:dyDescent="0.15">
      <c r="AI1304" s="3"/>
      <c r="AJ1304" s="3"/>
      <c r="AK1304" s="15">
        <f t="shared" si="470"/>
        <v>5</v>
      </c>
      <c r="AL1304" s="11">
        <f t="shared" si="467"/>
        <v>7770</v>
      </c>
      <c r="AM1304" s="11" t="b">
        <f t="shared" si="469"/>
        <v>0</v>
      </c>
      <c r="AN1304" s="11">
        <f t="shared" si="471"/>
        <v>36000</v>
      </c>
      <c r="AO1304" s="11">
        <f t="shared" si="472"/>
        <v>0</v>
      </c>
      <c r="AP1304" s="11">
        <f t="shared" si="473"/>
        <v>0.41039892237879816</v>
      </c>
      <c r="AQ1304" s="11">
        <f t="shared" si="474"/>
        <v>0</v>
      </c>
      <c r="AT1304" s="3"/>
      <c r="AU1304" s="17"/>
      <c r="AV1304" s="19"/>
      <c r="AW1304" s="17"/>
      <c r="AX1304" s="17">
        <f t="shared" si="468"/>
        <v>1295</v>
      </c>
      <c r="AY1304" s="17">
        <f t="shared" si="475"/>
        <v>129.5</v>
      </c>
      <c r="AZ1304" s="17">
        <v>41.039892237879819</v>
      </c>
      <c r="BA1304" s="17"/>
      <c r="BB1304" s="17">
        <v>36</v>
      </c>
      <c r="BC1304" s="17"/>
      <c r="BD1304" s="17"/>
      <c r="BE1304" s="17"/>
      <c r="BF1304" s="17"/>
      <c r="BG1304" s="17"/>
      <c r="BH1304" s="17"/>
      <c r="BI1304" s="17"/>
      <c r="BJ1304" s="17"/>
      <c r="BK1304" s="17"/>
      <c r="BL1304" s="17"/>
      <c r="BM1304" s="17"/>
      <c r="BN1304" s="17"/>
      <c r="BO1304" s="17"/>
      <c r="BP1304" s="17"/>
      <c r="BQ1304" s="17"/>
      <c r="BR1304" s="17"/>
      <c r="BS1304" s="17"/>
      <c r="BT1304" s="17"/>
      <c r="BU1304" s="17"/>
      <c r="BV1304" s="17"/>
      <c r="BW1304" s="17"/>
      <c r="BX1304" s="17"/>
      <c r="BY1304" s="17"/>
      <c r="BZ1304" s="17"/>
      <c r="CA1304" s="17"/>
      <c r="CB1304" s="17"/>
      <c r="CC1304" s="17"/>
      <c r="CD1304" s="17"/>
      <c r="CE1304" s="17"/>
      <c r="CF1304" s="17"/>
      <c r="CG1304" s="17"/>
      <c r="CH1304" s="17"/>
    </row>
    <row r="1305" spans="35:86" x14ac:dyDescent="0.15">
      <c r="AI1305" s="3"/>
      <c r="AJ1305" s="3"/>
      <c r="AK1305" s="15">
        <f t="shared" si="470"/>
        <v>5</v>
      </c>
      <c r="AL1305" s="11">
        <f t="shared" si="467"/>
        <v>7776</v>
      </c>
      <c r="AM1305" s="11" t="b">
        <f t="shared" si="469"/>
        <v>0</v>
      </c>
      <c r="AN1305" s="11">
        <f t="shared" si="471"/>
        <v>36000</v>
      </c>
      <c r="AO1305" s="11">
        <f t="shared" si="472"/>
        <v>0</v>
      </c>
      <c r="AP1305" s="11">
        <f t="shared" si="473"/>
        <v>0.41150123719361292</v>
      </c>
      <c r="AQ1305" s="11">
        <f t="shared" si="474"/>
        <v>0</v>
      </c>
      <c r="AT1305" s="3"/>
      <c r="AU1305" s="17"/>
      <c r="AV1305" s="19"/>
      <c r="AW1305" s="17"/>
      <c r="AX1305" s="17">
        <f t="shared" si="468"/>
        <v>1296</v>
      </c>
      <c r="AY1305" s="17">
        <f t="shared" si="475"/>
        <v>129.6</v>
      </c>
      <c r="AZ1305" s="17">
        <v>41.150123719361289</v>
      </c>
      <c r="BA1305" s="17"/>
      <c r="BB1305" s="17">
        <v>36</v>
      </c>
      <c r="BC1305" s="17"/>
      <c r="BD1305" s="17"/>
      <c r="BE1305" s="17"/>
      <c r="BF1305" s="17"/>
      <c r="BG1305" s="17"/>
      <c r="BH1305" s="17"/>
      <c r="BI1305" s="17"/>
      <c r="BJ1305" s="17"/>
      <c r="BK1305" s="17"/>
      <c r="BL1305" s="17"/>
      <c r="BM1305" s="17"/>
      <c r="BN1305" s="17"/>
      <c r="BO1305" s="17"/>
      <c r="BP1305" s="17"/>
      <c r="BQ1305" s="17"/>
      <c r="BR1305" s="17"/>
      <c r="BS1305" s="17"/>
      <c r="BT1305" s="17"/>
      <c r="BU1305" s="17"/>
      <c r="BV1305" s="17"/>
      <c r="BW1305" s="17"/>
      <c r="BX1305" s="17"/>
      <c r="BY1305" s="17"/>
      <c r="BZ1305" s="17"/>
      <c r="CA1305" s="17"/>
      <c r="CB1305" s="17"/>
      <c r="CC1305" s="17"/>
      <c r="CD1305" s="17"/>
      <c r="CE1305" s="17"/>
      <c r="CF1305" s="17"/>
      <c r="CG1305" s="17"/>
      <c r="CH1305" s="17"/>
    </row>
    <row r="1306" spans="35:86" x14ac:dyDescent="0.15">
      <c r="AI1306" s="3"/>
      <c r="AJ1306" s="3"/>
      <c r="AK1306" s="15">
        <f t="shared" si="470"/>
        <v>5</v>
      </c>
      <c r="AL1306" s="11">
        <f t="shared" si="467"/>
        <v>7782</v>
      </c>
      <c r="AM1306" s="11" t="b">
        <f t="shared" si="469"/>
        <v>0</v>
      </c>
      <c r="AN1306" s="11">
        <f t="shared" si="471"/>
        <v>36000</v>
      </c>
      <c r="AO1306" s="11">
        <f t="shared" si="472"/>
        <v>0</v>
      </c>
      <c r="AP1306" s="11">
        <f t="shared" si="473"/>
        <v>0.41260355200842774</v>
      </c>
      <c r="AQ1306" s="11">
        <f t="shared" si="474"/>
        <v>0</v>
      </c>
      <c r="AT1306" s="3"/>
      <c r="AU1306" s="17"/>
      <c r="AV1306" s="19"/>
      <c r="AW1306" s="17"/>
      <c r="AX1306" s="17">
        <f t="shared" si="468"/>
        <v>1297</v>
      </c>
      <c r="AY1306" s="17">
        <f t="shared" si="475"/>
        <v>129.69999999999999</v>
      </c>
      <c r="AZ1306" s="17">
        <v>41.260355200842774</v>
      </c>
      <c r="BA1306" s="17"/>
      <c r="BB1306" s="17">
        <v>36</v>
      </c>
      <c r="BC1306" s="17"/>
      <c r="BD1306" s="17"/>
      <c r="BE1306" s="17"/>
      <c r="BF1306" s="17"/>
      <c r="BG1306" s="17"/>
      <c r="BH1306" s="17"/>
      <c r="BI1306" s="17"/>
      <c r="BJ1306" s="17"/>
      <c r="BK1306" s="17"/>
      <c r="BL1306" s="17"/>
      <c r="BM1306" s="17"/>
      <c r="BN1306" s="17"/>
      <c r="BO1306" s="17"/>
      <c r="BP1306" s="17"/>
      <c r="BQ1306" s="17"/>
      <c r="BR1306" s="17"/>
      <c r="BS1306" s="17"/>
      <c r="BT1306" s="17"/>
      <c r="BU1306" s="17"/>
      <c r="BV1306" s="17"/>
      <c r="BW1306" s="17"/>
      <c r="BX1306" s="17"/>
      <c r="BY1306" s="17"/>
      <c r="BZ1306" s="17"/>
      <c r="CA1306" s="17"/>
      <c r="CB1306" s="17"/>
      <c r="CC1306" s="17"/>
      <c r="CD1306" s="17"/>
      <c r="CE1306" s="17"/>
      <c r="CF1306" s="17"/>
      <c r="CG1306" s="17"/>
      <c r="CH1306" s="17"/>
    </row>
    <row r="1307" spans="35:86" x14ac:dyDescent="0.15">
      <c r="AI1307" s="3"/>
      <c r="AJ1307" s="3"/>
      <c r="AK1307" s="15">
        <f t="shared" si="470"/>
        <v>5</v>
      </c>
      <c r="AL1307" s="11">
        <f t="shared" si="467"/>
        <v>7788</v>
      </c>
      <c r="AM1307" s="11" t="b">
        <f t="shared" si="469"/>
        <v>0</v>
      </c>
      <c r="AN1307" s="11">
        <f t="shared" si="471"/>
        <v>36000</v>
      </c>
      <c r="AO1307" s="11">
        <f t="shared" si="472"/>
        <v>0</v>
      </c>
      <c r="AP1307" s="11">
        <f t="shared" si="473"/>
        <v>0.41370586682324256</v>
      </c>
      <c r="AQ1307" s="11">
        <f t="shared" si="474"/>
        <v>0</v>
      </c>
      <c r="AT1307" s="3"/>
      <c r="AU1307" s="17"/>
      <c r="AV1307" s="19"/>
      <c r="AW1307" s="17"/>
      <c r="AX1307" s="17">
        <f t="shared" si="468"/>
        <v>1298</v>
      </c>
      <c r="AY1307" s="17">
        <f t="shared" si="475"/>
        <v>129.80000000000001</v>
      </c>
      <c r="AZ1307" s="17">
        <v>41.370586682324259</v>
      </c>
      <c r="BA1307" s="17"/>
      <c r="BB1307" s="17">
        <v>36</v>
      </c>
      <c r="BC1307" s="17"/>
      <c r="BD1307" s="17"/>
      <c r="BE1307" s="17"/>
      <c r="BF1307" s="17"/>
      <c r="BG1307" s="17"/>
      <c r="BH1307" s="17"/>
      <c r="BI1307" s="17"/>
      <c r="BJ1307" s="17"/>
      <c r="BK1307" s="17"/>
      <c r="BL1307" s="17"/>
      <c r="BM1307" s="17"/>
      <c r="BN1307" s="17"/>
      <c r="BO1307" s="17"/>
      <c r="BP1307" s="17"/>
      <c r="BQ1307" s="17"/>
      <c r="BR1307" s="17"/>
      <c r="BS1307" s="17"/>
      <c r="BT1307" s="17"/>
      <c r="BU1307" s="17"/>
      <c r="BV1307" s="17"/>
      <c r="BW1307" s="17"/>
      <c r="BX1307" s="17"/>
      <c r="BY1307" s="17"/>
      <c r="BZ1307" s="17"/>
      <c r="CA1307" s="17"/>
      <c r="CB1307" s="17"/>
      <c r="CC1307" s="17"/>
      <c r="CD1307" s="17"/>
      <c r="CE1307" s="17"/>
      <c r="CF1307" s="17"/>
      <c r="CG1307" s="17"/>
      <c r="CH1307" s="17"/>
    </row>
    <row r="1308" spans="35:86" x14ac:dyDescent="0.15">
      <c r="AI1308" s="3"/>
      <c r="AJ1308" s="3"/>
      <c r="AK1308" s="15">
        <f t="shared" si="470"/>
        <v>5</v>
      </c>
      <c r="AL1308" s="11">
        <f t="shared" si="467"/>
        <v>7794</v>
      </c>
      <c r="AM1308" s="11" t="b">
        <f t="shared" si="469"/>
        <v>0</v>
      </c>
      <c r="AN1308" s="11">
        <f t="shared" si="471"/>
        <v>36000</v>
      </c>
      <c r="AO1308" s="11">
        <f t="shared" si="472"/>
        <v>0</v>
      </c>
      <c r="AP1308" s="11">
        <f t="shared" si="473"/>
        <v>0.41480818163805733</v>
      </c>
      <c r="AQ1308" s="11">
        <f t="shared" si="474"/>
        <v>0</v>
      </c>
      <c r="AT1308" s="3"/>
      <c r="AU1308" s="17"/>
      <c r="AV1308" s="19"/>
      <c r="AW1308" s="17"/>
      <c r="AX1308" s="17">
        <f t="shared" si="468"/>
        <v>1299</v>
      </c>
      <c r="AY1308" s="17">
        <f t="shared" si="475"/>
        <v>129.9</v>
      </c>
      <c r="AZ1308" s="17">
        <v>41.480818163805736</v>
      </c>
      <c r="BA1308" s="17"/>
      <c r="BB1308" s="17">
        <v>36</v>
      </c>
      <c r="BC1308" s="17"/>
      <c r="BD1308" s="17"/>
      <c r="BE1308" s="17"/>
      <c r="BF1308" s="17"/>
      <c r="BG1308" s="17"/>
      <c r="BH1308" s="17"/>
      <c r="BI1308" s="17"/>
      <c r="BJ1308" s="17"/>
      <c r="BK1308" s="17"/>
      <c r="BL1308" s="17"/>
      <c r="BM1308" s="17"/>
      <c r="BN1308" s="17"/>
      <c r="BO1308" s="17"/>
      <c r="BP1308" s="17"/>
      <c r="BQ1308" s="17"/>
      <c r="BR1308" s="17"/>
      <c r="BS1308" s="17"/>
      <c r="BT1308" s="17"/>
      <c r="BU1308" s="17"/>
      <c r="BV1308" s="17"/>
      <c r="BW1308" s="17"/>
      <c r="BX1308" s="17"/>
      <c r="BY1308" s="17"/>
      <c r="BZ1308" s="17"/>
      <c r="CA1308" s="17"/>
      <c r="CB1308" s="17"/>
      <c r="CC1308" s="17"/>
      <c r="CD1308" s="17"/>
      <c r="CE1308" s="17"/>
      <c r="CF1308" s="17"/>
      <c r="CG1308" s="17"/>
      <c r="CH1308" s="17"/>
    </row>
    <row r="1309" spans="35:86" x14ac:dyDescent="0.15">
      <c r="AI1309" s="3"/>
      <c r="AJ1309" s="3"/>
      <c r="AK1309" s="15">
        <f t="shared" si="470"/>
        <v>5</v>
      </c>
      <c r="AL1309" s="11">
        <f t="shared" si="467"/>
        <v>7800</v>
      </c>
      <c r="AM1309" s="11" t="b">
        <f t="shared" si="469"/>
        <v>0</v>
      </c>
      <c r="AN1309" s="11">
        <f t="shared" si="471"/>
        <v>36000</v>
      </c>
      <c r="AO1309" s="11">
        <f t="shared" si="472"/>
        <v>0</v>
      </c>
      <c r="AP1309" s="11">
        <f t="shared" si="473"/>
        <v>0.41591049645287215</v>
      </c>
      <c r="AQ1309" s="11">
        <f t="shared" si="474"/>
        <v>0</v>
      </c>
      <c r="AT1309" s="3"/>
      <c r="AU1309" s="17"/>
      <c r="AV1309" s="19"/>
      <c r="AW1309" s="17"/>
      <c r="AX1309" s="17">
        <f t="shared" si="468"/>
        <v>1300</v>
      </c>
      <c r="AY1309" s="17">
        <f t="shared" si="475"/>
        <v>130</v>
      </c>
      <c r="AZ1309" s="17">
        <v>41.591049645287214</v>
      </c>
      <c r="BA1309" s="17"/>
      <c r="BB1309" s="17">
        <v>36</v>
      </c>
      <c r="BC1309" s="17"/>
      <c r="BD1309" s="17"/>
      <c r="BE1309" s="17"/>
      <c r="BF1309" s="17"/>
      <c r="BG1309" s="17"/>
      <c r="BH1309" s="17"/>
      <c r="BI1309" s="17"/>
      <c r="BJ1309" s="17"/>
      <c r="BK1309" s="17"/>
      <c r="BL1309" s="17"/>
      <c r="BM1309" s="17"/>
      <c r="BN1309" s="17"/>
      <c r="BO1309" s="17"/>
      <c r="BP1309" s="17"/>
      <c r="BQ1309" s="17"/>
      <c r="BR1309" s="17"/>
      <c r="BS1309" s="17"/>
      <c r="BT1309" s="17"/>
      <c r="BU1309" s="17"/>
      <c r="BV1309" s="17"/>
      <c r="BW1309" s="17"/>
      <c r="BX1309" s="17"/>
      <c r="BY1309" s="17"/>
      <c r="BZ1309" s="17"/>
      <c r="CA1309" s="17"/>
      <c r="CB1309" s="17"/>
      <c r="CC1309" s="17"/>
      <c r="CD1309" s="17"/>
      <c r="CE1309" s="17"/>
      <c r="CF1309" s="17"/>
      <c r="CG1309" s="17"/>
      <c r="CH1309" s="17"/>
    </row>
    <row r="1310" spans="35:86" x14ac:dyDescent="0.15">
      <c r="AI1310" s="3"/>
      <c r="AJ1310" s="3"/>
      <c r="AK1310" s="15">
        <f t="shared" si="470"/>
        <v>5</v>
      </c>
      <c r="AL1310" s="11">
        <f t="shared" si="467"/>
        <v>7806</v>
      </c>
      <c r="AM1310" s="11" t="b">
        <f t="shared" si="469"/>
        <v>0</v>
      </c>
      <c r="AN1310" s="11">
        <f t="shared" si="471"/>
        <v>36000</v>
      </c>
      <c r="AO1310" s="11">
        <f t="shared" si="472"/>
        <v>0</v>
      </c>
      <c r="AP1310" s="11">
        <f t="shared" si="473"/>
        <v>0.41701281126768691</v>
      </c>
      <c r="AQ1310" s="11">
        <f t="shared" si="474"/>
        <v>0</v>
      </c>
      <c r="AT1310" s="3"/>
      <c r="AU1310" s="17"/>
      <c r="AV1310" s="19"/>
      <c r="AW1310" s="17"/>
      <c r="AX1310" s="17">
        <f t="shared" si="468"/>
        <v>1301</v>
      </c>
      <c r="AY1310" s="17">
        <f t="shared" si="475"/>
        <v>130.1</v>
      </c>
      <c r="AZ1310" s="17">
        <v>41.701281126768691</v>
      </c>
      <c r="BA1310" s="17"/>
      <c r="BB1310" s="17">
        <v>36</v>
      </c>
      <c r="BC1310" s="17"/>
      <c r="BD1310" s="17"/>
      <c r="BE1310" s="17"/>
      <c r="BF1310" s="17"/>
      <c r="BG1310" s="17"/>
      <c r="BH1310" s="17"/>
      <c r="BI1310" s="17"/>
      <c r="BJ1310" s="17"/>
      <c r="BK1310" s="17"/>
      <c r="BL1310" s="17"/>
      <c r="BM1310" s="17"/>
      <c r="BN1310" s="17"/>
      <c r="BO1310" s="17"/>
      <c r="BP1310" s="17"/>
      <c r="BQ1310" s="17"/>
      <c r="BR1310" s="17"/>
      <c r="BS1310" s="17"/>
      <c r="BT1310" s="17"/>
      <c r="BU1310" s="17"/>
      <c r="BV1310" s="17"/>
      <c r="BW1310" s="17"/>
      <c r="BX1310" s="17"/>
      <c r="BY1310" s="17"/>
      <c r="BZ1310" s="17"/>
      <c r="CA1310" s="17"/>
      <c r="CB1310" s="17"/>
      <c r="CC1310" s="17"/>
      <c r="CD1310" s="17"/>
      <c r="CE1310" s="17"/>
      <c r="CF1310" s="17"/>
      <c r="CG1310" s="17"/>
      <c r="CH1310" s="17"/>
    </row>
    <row r="1311" spans="35:86" x14ac:dyDescent="0.15">
      <c r="AI1311" s="3"/>
      <c r="AJ1311" s="3"/>
      <c r="AK1311" s="15">
        <f t="shared" si="470"/>
        <v>5</v>
      </c>
      <c r="AL1311" s="11">
        <f t="shared" si="467"/>
        <v>7812</v>
      </c>
      <c r="AM1311" s="11" t="b">
        <f t="shared" si="469"/>
        <v>0</v>
      </c>
      <c r="AN1311" s="11">
        <f t="shared" si="471"/>
        <v>36000</v>
      </c>
      <c r="AO1311" s="11">
        <f t="shared" si="472"/>
        <v>0</v>
      </c>
      <c r="AP1311" s="11">
        <f t="shared" si="473"/>
        <v>0.41811512608250173</v>
      </c>
      <c r="AQ1311" s="11">
        <f t="shared" si="474"/>
        <v>0</v>
      </c>
      <c r="AT1311" s="3"/>
      <c r="AU1311" s="17"/>
      <c r="AV1311" s="19"/>
      <c r="AW1311" s="17"/>
      <c r="AX1311" s="17">
        <f t="shared" si="468"/>
        <v>1302</v>
      </c>
      <c r="AY1311" s="17">
        <f t="shared" si="475"/>
        <v>130.19999999999999</v>
      </c>
      <c r="AZ1311" s="17">
        <v>41.811512608250176</v>
      </c>
      <c r="BA1311" s="17"/>
      <c r="BB1311" s="17">
        <v>36</v>
      </c>
      <c r="BC1311" s="17"/>
      <c r="BD1311" s="17"/>
      <c r="BE1311" s="17"/>
      <c r="BF1311" s="17"/>
      <c r="BG1311" s="17"/>
      <c r="BH1311" s="17"/>
      <c r="BI1311" s="17"/>
      <c r="BJ1311" s="17"/>
      <c r="BK1311" s="17"/>
      <c r="BL1311" s="17"/>
      <c r="BM1311" s="17"/>
      <c r="BN1311" s="17"/>
      <c r="BO1311" s="17"/>
      <c r="BP1311" s="17"/>
      <c r="BQ1311" s="17"/>
      <c r="BR1311" s="17"/>
      <c r="BS1311" s="17"/>
      <c r="BT1311" s="17"/>
      <c r="BU1311" s="17"/>
      <c r="BV1311" s="17"/>
      <c r="BW1311" s="17"/>
      <c r="BX1311" s="17"/>
      <c r="BY1311" s="17"/>
      <c r="BZ1311" s="17"/>
      <c r="CA1311" s="17"/>
      <c r="CB1311" s="17"/>
      <c r="CC1311" s="17"/>
      <c r="CD1311" s="17"/>
      <c r="CE1311" s="17"/>
      <c r="CF1311" s="17"/>
      <c r="CG1311" s="17"/>
      <c r="CH1311" s="17"/>
    </row>
    <row r="1312" spans="35:86" x14ac:dyDescent="0.15">
      <c r="AI1312" s="3"/>
      <c r="AJ1312" s="3"/>
      <c r="AK1312" s="15">
        <f t="shared" si="470"/>
        <v>5</v>
      </c>
      <c r="AL1312" s="11">
        <f t="shared" si="467"/>
        <v>7818</v>
      </c>
      <c r="AM1312" s="11" t="b">
        <f t="shared" si="469"/>
        <v>0</v>
      </c>
      <c r="AN1312" s="11">
        <f t="shared" si="471"/>
        <v>36000</v>
      </c>
      <c r="AO1312" s="11">
        <f t="shared" si="472"/>
        <v>0</v>
      </c>
      <c r="AP1312" s="11">
        <f t="shared" si="473"/>
        <v>0.4192174408973165</v>
      </c>
      <c r="AQ1312" s="11">
        <f t="shared" si="474"/>
        <v>0</v>
      </c>
      <c r="AT1312" s="3"/>
      <c r="AU1312" s="17"/>
      <c r="AV1312" s="19"/>
      <c r="AW1312" s="17"/>
      <c r="AX1312" s="17">
        <f t="shared" si="468"/>
        <v>1303</v>
      </c>
      <c r="AY1312" s="17">
        <f t="shared" si="475"/>
        <v>130.30000000000001</v>
      </c>
      <c r="AZ1312" s="17">
        <v>41.921744089731646</v>
      </c>
      <c r="BA1312" s="17"/>
      <c r="BB1312" s="17">
        <v>36</v>
      </c>
      <c r="BC1312" s="17"/>
      <c r="BD1312" s="17"/>
      <c r="BE1312" s="17"/>
      <c r="BF1312" s="17"/>
      <c r="BG1312" s="17"/>
      <c r="BH1312" s="17"/>
      <c r="BI1312" s="17"/>
      <c r="BJ1312" s="17"/>
      <c r="BK1312" s="17"/>
      <c r="BL1312" s="17"/>
      <c r="BM1312" s="17"/>
      <c r="BN1312" s="17"/>
      <c r="BO1312" s="17"/>
      <c r="BP1312" s="17"/>
      <c r="BQ1312" s="17"/>
      <c r="BR1312" s="17"/>
      <c r="BS1312" s="17"/>
      <c r="BT1312" s="17"/>
      <c r="BU1312" s="17"/>
      <c r="BV1312" s="17"/>
      <c r="BW1312" s="17"/>
      <c r="BX1312" s="17"/>
      <c r="BY1312" s="17"/>
      <c r="BZ1312" s="17"/>
      <c r="CA1312" s="17"/>
      <c r="CB1312" s="17"/>
      <c r="CC1312" s="17"/>
      <c r="CD1312" s="17"/>
      <c r="CE1312" s="17"/>
      <c r="CF1312" s="17"/>
      <c r="CG1312" s="17"/>
      <c r="CH1312" s="17"/>
    </row>
    <row r="1313" spans="35:86" x14ac:dyDescent="0.15">
      <c r="AI1313" s="3"/>
      <c r="AJ1313" s="3"/>
      <c r="AK1313" s="15">
        <f t="shared" si="470"/>
        <v>5</v>
      </c>
      <c r="AL1313" s="11">
        <f t="shared" si="467"/>
        <v>7824</v>
      </c>
      <c r="AM1313" s="11" t="b">
        <f t="shared" si="469"/>
        <v>0</v>
      </c>
      <c r="AN1313" s="11">
        <f t="shared" si="471"/>
        <v>36000</v>
      </c>
      <c r="AO1313" s="11">
        <f t="shared" si="472"/>
        <v>0</v>
      </c>
      <c r="AP1313" s="11">
        <f t="shared" si="473"/>
        <v>0.42031975571213132</v>
      </c>
      <c r="AQ1313" s="11">
        <f t="shared" si="474"/>
        <v>0</v>
      </c>
      <c r="AT1313" s="3"/>
      <c r="AU1313" s="17"/>
      <c r="AV1313" s="19"/>
      <c r="AW1313" s="17"/>
      <c r="AX1313" s="17">
        <f t="shared" si="468"/>
        <v>1304</v>
      </c>
      <c r="AY1313" s="17">
        <f t="shared" si="475"/>
        <v>130.4</v>
      </c>
      <c r="AZ1313" s="17">
        <v>42.031975571213131</v>
      </c>
      <c r="BA1313" s="17"/>
      <c r="BB1313" s="17">
        <v>36</v>
      </c>
      <c r="BC1313" s="17"/>
      <c r="BD1313" s="17"/>
      <c r="BE1313" s="17"/>
      <c r="BF1313" s="17"/>
      <c r="BG1313" s="17"/>
      <c r="BH1313" s="17"/>
      <c r="BI1313" s="17"/>
      <c r="BJ1313" s="17"/>
      <c r="BK1313" s="17"/>
      <c r="BL1313" s="17"/>
      <c r="BM1313" s="17"/>
      <c r="BN1313" s="17"/>
      <c r="BO1313" s="17"/>
      <c r="BP1313" s="17"/>
      <c r="BQ1313" s="17"/>
      <c r="BR1313" s="17"/>
      <c r="BS1313" s="17"/>
      <c r="BT1313" s="17"/>
      <c r="BU1313" s="17"/>
      <c r="BV1313" s="17"/>
      <c r="BW1313" s="17"/>
      <c r="BX1313" s="17"/>
      <c r="BY1313" s="17"/>
      <c r="BZ1313" s="17"/>
      <c r="CA1313" s="17"/>
      <c r="CB1313" s="17"/>
      <c r="CC1313" s="17"/>
      <c r="CD1313" s="17"/>
      <c r="CE1313" s="17"/>
      <c r="CF1313" s="17"/>
      <c r="CG1313" s="17"/>
      <c r="CH1313" s="17"/>
    </row>
    <row r="1314" spans="35:86" x14ac:dyDescent="0.15">
      <c r="AI1314" s="3"/>
      <c r="AJ1314" s="3"/>
      <c r="AK1314" s="15">
        <f t="shared" si="470"/>
        <v>5</v>
      </c>
      <c r="AL1314" s="11">
        <f t="shared" si="467"/>
        <v>7830</v>
      </c>
      <c r="AM1314" s="11" t="b">
        <f t="shared" si="469"/>
        <v>0</v>
      </c>
      <c r="AN1314" s="11">
        <f t="shared" si="471"/>
        <v>36000</v>
      </c>
      <c r="AO1314" s="11">
        <f t="shared" si="472"/>
        <v>0</v>
      </c>
      <c r="AP1314" s="11">
        <f t="shared" si="473"/>
        <v>0.42142207052694608</v>
      </c>
      <c r="AQ1314" s="11">
        <f t="shared" si="474"/>
        <v>0</v>
      </c>
      <c r="AT1314" s="3"/>
      <c r="AU1314" s="17"/>
      <c r="AV1314" s="19"/>
      <c r="AW1314" s="17"/>
      <c r="AX1314" s="17">
        <f t="shared" si="468"/>
        <v>1305</v>
      </c>
      <c r="AY1314" s="17">
        <f t="shared" si="475"/>
        <v>130.5</v>
      </c>
      <c r="AZ1314" s="17">
        <v>42.142207052694609</v>
      </c>
      <c r="BA1314" s="17"/>
      <c r="BB1314" s="17">
        <v>36</v>
      </c>
      <c r="BC1314" s="17"/>
      <c r="BD1314" s="17"/>
      <c r="BE1314" s="17"/>
      <c r="BF1314" s="17"/>
      <c r="BG1314" s="17"/>
      <c r="BH1314" s="17"/>
      <c r="BI1314" s="17"/>
      <c r="BJ1314" s="17"/>
      <c r="BK1314" s="17"/>
      <c r="BL1314" s="17"/>
      <c r="BM1314" s="17"/>
      <c r="BN1314" s="17"/>
      <c r="BO1314" s="17"/>
      <c r="BP1314" s="17"/>
      <c r="BQ1314" s="17"/>
      <c r="BR1314" s="17"/>
      <c r="BS1314" s="17"/>
      <c r="BT1314" s="17"/>
      <c r="BU1314" s="17"/>
      <c r="BV1314" s="17"/>
      <c r="BW1314" s="17"/>
      <c r="BX1314" s="17"/>
      <c r="BY1314" s="17"/>
      <c r="BZ1314" s="17"/>
      <c r="CA1314" s="17"/>
      <c r="CB1314" s="17"/>
      <c r="CC1314" s="17"/>
      <c r="CD1314" s="17"/>
      <c r="CE1314" s="17"/>
      <c r="CF1314" s="17"/>
      <c r="CG1314" s="17"/>
      <c r="CH1314" s="17"/>
    </row>
    <row r="1315" spans="35:86" x14ac:dyDescent="0.15">
      <c r="AI1315" s="3"/>
      <c r="AJ1315" s="3"/>
      <c r="AK1315" s="15">
        <f t="shared" si="470"/>
        <v>5</v>
      </c>
      <c r="AL1315" s="11">
        <f t="shared" si="467"/>
        <v>7836</v>
      </c>
      <c r="AM1315" s="11" t="b">
        <f t="shared" si="469"/>
        <v>0</v>
      </c>
      <c r="AN1315" s="11">
        <f t="shared" si="471"/>
        <v>36000</v>
      </c>
      <c r="AO1315" s="11">
        <f t="shared" si="472"/>
        <v>0</v>
      </c>
      <c r="AP1315" s="11">
        <f t="shared" si="473"/>
        <v>0.4225243853417609</v>
      </c>
      <c r="AQ1315" s="11">
        <f t="shared" si="474"/>
        <v>0</v>
      </c>
      <c r="AT1315" s="3"/>
      <c r="AU1315" s="17"/>
      <c r="AV1315" s="19"/>
      <c r="AW1315" s="17"/>
      <c r="AX1315" s="17">
        <f t="shared" si="468"/>
        <v>1306</v>
      </c>
      <c r="AY1315" s="17">
        <f t="shared" si="475"/>
        <v>130.6</v>
      </c>
      <c r="AZ1315" s="17">
        <v>42.252438534176093</v>
      </c>
      <c r="BA1315" s="17"/>
      <c r="BB1315" s="17">
        <v>36</v>
      </c>
      <c r="BC1315" s="17"/>
      <c r="BD1315" s="17"/>
      <c r="BE1315" s="17"/>
      <c r="BF1315" s="17"/>
      <c r="BG1315" s="17"/>
      <c r="BH1315" s="17"/>
      <c r="BI1315" s="17"/>
      <c r="BJ1315" s="17"/>
      <c r="BK1315" s="17"/>
      <c r="BL1315" s="17"/>
      <c r="BM1315" s="17"/>
      <c r="BN1315" s="17"/>
      <c r="BO1315" s="17"/>
      <c r="BP1315" s="17"/>
      <c r="BQ1315" s="17"/>
      <c r="BR1315" s="17"/>
      <c r="BS1315" s="17"/>
      <c r="BT1315" s="17"/>
      <c r="BU1315" s="17"/>
      <c r="BV1315" s="17"/>
      <c r="BW1315" s="17"/>
      <c r="BX1315" s="17"/>
      <c r="BY1315" s="17"/>
      <c r="BZ1315" s="17"/>
      <c r="CA1315" s="17"/>
      <c r="CB1315" s="17"/>
      <c r="CC1315" s="17"/>
      <c r="CD1315" s="17"/>
      <c r="CE1315" s="17"/>
      <c r="CF1315" s="17"/>
      <c r="CG1315" s="17"/>
      <c r="CH1315" s="17"/>
    </row>
    <row r="1316" spans="35:86" x14ac:dyDescent="0.15">
      <c r="AI1316" s="3"/>
      <c r="AJ1316" s="3"/>
      <c r="AK1316" s="15">
        <f t="shared" si="470"/>
        <v>5</v>
      </c>
      <c r="AL1316" s="11">
        <f t="shared" si="467"/>
        <v>7842</v>
      </c>
      <c r="AM1316" s="11" t="b">
        <f t="shared" si="469"/>
        <v>0</v>
      </c>
      <c r="AN1316" s="11">
        <f t="shared" si="471"/>
        <v>36000</v>
      </c>
      <c r="AO1316" s="11">
        <f t="shared" si="472"/>
        <v>0</v>
      </c>
      <c r="AP1316" s="11">
        <f t="shared" si="473"/>
        <v>0.42362670015657566</v>
      </c>
      <c r="AQ1316" s="11">
        <f t="shared" si="474"/>
        <v>0</v>
      </c>
      <c r="AT1316" s="3"/>
      <c r="AU1316" s="17"/>
      <c r="AV1316" s="19"/>
      <c r="AW1316" s="17"/>
      <c r="AX1316" s="17">
        <f t="shared" si="468"/>
        <v>1307</v>
      </c>
      <c r="AY1316" s="17">
        <f t="shared" si="475"/>
        <v>130.69999999999999</v>
      </c>
      <c r="AZ1316" s="17">
        <v>42.362670015657564</v>
      </c>
      <c r="BA1316" s="17"/>
      <c r="BB1316" s="17">
        <v>36</v>
      </c>
      <c r="BC1316" s="17"/>
      <c r="BD1316" s="17"/>
      <c r="BE1316" s="17"/>
      <c r="BF1316" s="17"/>
      <c r="BG1316" s="17"/>
      <c r="BH1316" s="17"/>
      <c r="BI1316" s="17"/>
      <c r="BJ1316" s="17"/>
      <c r="BK1316" s="17"/>
      <c r="BL1316" s="17"/>
      <c r="BM1316" s="17"/>
      <c r="BN1316" s="17"/>
      <c r="BO1316" s="17"/>
      <c r="BP1316" s="17"/>
      <c r="BQ1316" s="17"/>
      <c r="BR1316" s="17"/>
      <c r="BS1316" s="17"/>
      <c r="BT1316" s="17"/>
      <c r="BU1316" s="17"/>
      <c r="BV1316" s="17"/>
      <c r="BW1316" s="17"/>
      <c r="BX1316" s="17"/>
      <c r="BY1316" s="17"/>
      <c r="BZ1316" s="17"/>
      <c r="CA1316" s="17"/>
      <c r="CB1316" s="17"/>
      <c r="CC1316" s="17"/>
      <c r="CD1316" s="17"/>
      <c r="CE1316" s="17"/>
      <c r="CF1316" s="17"/>
      <c r="CG1316" s="17"/>
      <c r="CH1316" s="17"/>
    </row>
    <row r="1317" spans="35:86" x14ac:dyDescent="0.15">
      <c r="AI1317" s="3"/>
      <c r="AJ1317" s="3"/>
      <c r="AK1317" s="15">
        <f t="shared" si="470"/>
        <v>5</v>
      </c>
      <c r="AL1317" s="11">
        <f t="shared" si="467"/>
        <v>7848</v>
      </c>
      <c r="AM1317" s="11" t="b">
        <f t="shared" si="469"/>
        <v>0</v>
      </c>
      <c r="AN1317" s="11">
        <f t="shared" si="471"/>
        <v>36000</v>
      </c>
      <c r="AO1317" s="11">
        <f t="shared" si="472"/>
        <v>0</v>
      </c>
      <c r="AP1317" s="11">
        <f t="shared" si="473"/>
        <v>0.42472901497139048</v>
      </c>
      <c r="AQ1317" s="11">
        <f t="shared" si="474"/>
        <v>0</v>
      </c>
      <c r="AT1317" s="3"/>
      <c r="AU1317" s="17"/>
      <c r="AV1317" s="19"/>
      <c r="AW1317" s="17"/>
      <c r="AX1317" s="17">
        <f t="shared" si="468"/>
        <v>1308</v>
      </c>
      <c r="AY1317" s="17">
        <f t="shared" si="475"/>
        <v>130.80000000000001</v>
      </c>
      <c r="AZ1317" s="17">
        <v>42.472901497139048</v>
      </c>
      <c r="BA1317" s="17"/>
      <c r="BB1317" s="17">
        <v>36</v>
      </c>
      <c r="BC1317" s="17"/>
      <c r="BD1317" s="17"/>
      <c r="BE1317" s="17"/>
      <c r="BF1317" s="17"/>
      <c r="BG1317" s="17"/>
      <c r="BH1317" s="17"/>
      <c r="BI1317" s="17"/>
      <c r="BJ1317" s="17"/>
      <c r="BK1317" s="17"/>
      <c r="BL1317" s="17"/>
      <c r="BM1317" s="17"/>
      <c r="BN1317" s="17"/>
      <c r="BO1317" s="17"/>
      <c r="BP1317" s="17"/>
      <c r="BQ1317" s="17"/>
      <c r="BR1317" s="17"/>
      <c r="BS1317" s="17"/>
      <c r="BT1317" s="17"/>
      <c r="BU1317" s="17"/>
      <c r="BV1317" s="17"/>
      <c r="BW1317" s="17"/>
      <c r="BX1317" s="17"/>
      <c r="BY1317" s="17"/>
      <c r="BZ1317" s="17"/>
      <c r="CA1317" s="17"/>
      <c r="CB1317" s="17"/>
      <c r="CC1317" s="17"/>
      <c r="CD1317" s="17"/>
      <c r="CE1317" s="17"/>
      <c r="CF1317" s="17"/>
      <c r="CG1317" s="17"/>
      <c r="CH1317" s="17"/>
    </row>
    <row r="1318" spans="35:86" x14ac:dyDescent="0.15">
      <c r="AI1318" s="3"/>
      <c r="AJ1318" s="3"/>
      <c r="AK1318" s="15">
        <f t="shared" si="470"/>
        <v>5</v>
      </c>
      <c r="AL1318" s="11">
        <f t="shared" si="467"/>
        <v>7854</v>
      </c>
      <c r="AM1318" s="11" t="b">
        <f t="shared" si="469"/>
        <v>0</v>
      </c>
      <c r="AN1318" s="11">
        <f t="shared" si="471"/>
        <v>36000</v>
      </c>
      <c r="AO1318" s="11">
        <f t="shared" si="472"/>
        <v>0</v>
      </c>
      <c r="AP1318" s="11">
        <f t="shared" si="473"/>
        <v>0.42583132978620525</v>
      </c>
      <c r="AQ1318" s="11">
        <f t="shared" si="474"/>
        <v>0</v>
      </c>
      <c r="AT1318" s="3"/>
      <c r="AU1318" s="17"/>
      <c r="AV1318" s="19"/>
      <c r="AW1318" s="17"/>
      <c r="AX1318" s="17">
        <f t="shared" si="468"/>
        <v>1309</v>
      </c>
      <c r="AY1318" s="17">
        <f t="shared" si="475"/>
        <v>130.9</v>
      </c>
      <c r="AZ1318" s="17">
        <v>42.583132978620526</v>
      </c>
      <c r="BA1318" s="17"/>
      <c r="BB1318" s="17">
        <v>36</v>
      </c>
      <c r="BC1318" s="17"/>
      <c r="BD1318" s="17"/>
      <c r="BE1318" s="17"/>
      <c r="BF1318" s="17"/>
      <c r="BG1318" s="17"/>
      <c r="BH1318" s="17"/>
      <c r="BI1318" s="17"/>
      <c r="BJ1318" s="17"/>
      <c r="BK1318" s="17"/>
      <c r="BL1318" s="17"/>
      <c r="BM1318" s="17"/>
      <c r="BN1318" s="17"/>
      <c r="BO1318" s="17"/>
      <c r="BP1318" s="17"/>
      <c r="BQ1318" s="17"/>
      <c r="BR1318" s="17"/>
      <c r="BS1318" s="17"/>
      <c r="BT1318" s="17"/>
      <c r="BU1318" s="17"/>
      <c r="BV1318" s="17"/>
      <c r="BW1318" s="17"/>
      <c r="BX1318" s="17"/>
      <c r="BY1318" s="17"/>
      <c r="BZ1318" s="17"/>
      <c r="CA1318" s="17"/>
      <c r="CB1318" s="17"/>
      <c r="CC1318" s="17"/>
      <c r="CD1318" s="17"/>
      <c r="CE1318" s="17"/>
      <c r="CF1318" s="17"/>
      <c r="CG1318" s="17"/>
      <c r="CH1318" s="17"/>
    </row>
    <row r="1319" spans="35:86" x14ac:dyDescent="0.15">
      <c r="AI1319" s="3"/>
      <c r="AJ1319" s="3"/>
      <c r="AK1319" s="15">
        <f t="shared" si="470"/>
        <v>5</v>
      </c>
      <c r="AL1319" s="11">
        <f t="shared" si="467"/>
        <v>7860</v>
      </c>
      <c r="AM1319" s="11" t="b">
        <f t="shared" si="469"/>
        <v>0</v>
      </c>
      <c r="AN1319" s="11">
        <f t="shared" si="471"/>
        <v>36000</v>
      </c>
      <c r="AO1319" s="11">
        <f t="shared" si="472"/>
        <v>0</v>
      </c>
      <c r="AP1319" s="11">
        <f t="shared" si="473"/>
        <v>0.42693364460102007</v>
      </c>
      <c r="AQ1319" s="11">
        <f t="shared" si="474"/>
        <v>0</v>
      </c>
      <c r="AT1319" s="3"/>
      <c r="AU1319" s="17"/>
      <c r="AV1319" s="19"/>
      <c r="AW1319" s="17"/>
      <c r="AX1319" s="17">
        <f t="shared" si="468"/>
        <v>1310</v>
      </c>
      <c r="AY1319" s="17">
        <f t="shared" si="475"/>
        <v>131</v>
      </c>
      <c r="AZ1319" s="17">
        <v>42.693364460102003</v>
      </c>
      <c r="BA1319" s="17"/>
      <c r="BB1319" s="17">
        <v>36</v>
      </c>
      <c r="BC1319" s="17"/>
      <c r="BD1319" s="17"/>
      <c r="BE1319" s="17"/>
      <c r="BF1319" s="17"/>
      <c r="BG1319" s="17"/>
      <c r="BH1319" s="17"/>
      <c r="BI1319" s="17"/>
      <c r="BJ1319" s="17"/>
      <c r="BK1319" s="17"/>
      <c r="BL1319" s="17"/>
      <c r="BM1319" s="17"/>
      <c r="BN1319" s="17"/>
      <c r="BO1319" s="17"/>
      <c r="BP1319" s="17"/>
      <c r="BQ1319" s="17"/>
      <c r="BR1319" s="17"/>
      <c r="BS1319" s="17"/>
      <c r="BT1319" s="17"/>
      <c r="BU1319" s="17"/>
      <c r="BV1319" s="17"/>
      <c r="BW1319" s="17"/>
      <c r="BX1319" s="17"/>
      <c r="BY1319" s="17"/>
      <c r="BZ1319" s="17"/>
      <c r="CA1319" s="17"/>
      <c r="CB1319" s="17"/>
      <c r="CC1319" s="17"/>
      <c r="CD1319" s="17"/>
      <c r="CE1319" s="17"/>
      <c r="CF1319" s="17"/>
      <c r="CG1319" s="17"/>
      <c r="CH1319" s="17"/>
    </row>
    <row r="1320" spans="35:86" x14ac:dyDescent="0.15">
      <c r="AI1320" s="3"/>
      <c r="AJ1320" s="3"/>
      <c r="AK1320" s="15">
        <f t="shared" si="470"/>
        <v>5</v>
      </c>
      <c r="AL1320" s="11">
        <f t="shared" si="467"/>
        <v>7866</v>
      </c>
      <c r="AM1320" s="11" t="b">
        <f t="shared" si="469"/>
        <v>0</v>
      </c>
      <c r="AN1320" s="11">
        <f t="shared" si="471"/>
        <v>36000</v>
      </c>
      <c r="AO1320" s="11">
        <f t="shared" si="472"/>
        <v>0</v>
      </c>
      <c r="AP1320" s="11">
        <f t="shared" si="473"/>
        <v>0.42803595941583483</v>
      </c>
      <c r="AQ1320" s="11">
        <f t="shared" si="474"/>
        <v>0</v>
      </c>
      <c r="AT1320" s="3"/>
      <c r="AU1320" s="17"/>
      <c r="AV1320" s="19"/>
      <c r="AW1320" s="17"/>
      <c r="AX1320" s="17">
        <f t="shared" si="468"/>
        <v>1311</v>
      </c>
      <c r="AY1320" s="17">
        <f t="shared" si="475"/>
        <v>131.1</v>
      </c>
      <c r="AZ1320" s="17">
        <v>42.803595941583481</v>
      </c>
      <c r="BA1320" s="17"/>
      <c r="BB1320" s="17">
        <v>36</v>
      </c>
      <c r="BC1320" s="17"/>
      <c r="BD1320" s="17"/>
      <c r="BE1320" s="17"/>
      <c r="BF1320" s="17"/>
      <c r="BG1320" s="17"/>
      <c r="BH1320" s="17"/>
      <c r="BI1320" s="17"/>
      <c r="BJ1320" s="17"/>
      <c r="BK1320" s="17"/>
      <c r="BL1320" s="17"/>
      <c r="BM1320" s="17"/>
      <c r="BN1320" s="17"/>
      <c r="BO1320" s="17"/>
      <c r="BP1320" s="17"/>
      <c r="BQ1320" s="17"/>
      <c r="BR1320" s="17"/>
      <c r="BS1320" s="17"/>
      <c r="BT1320" s="17"/>
      <c r="BU1320" s="17"/>
      <c r="BV1320" s="17"/>
      <c r="BW1320" s="17"/>
      <c r="BX1320" s="17"/>
      <c r="BY1320" s="17"/>
      <c r="BZ1320" s="17"/>
      <c r="CA1320" s="17"/>
      <c r="CB1320" s="17"/>
      <c r="CC1320" s="17"/>
      <c r="CD1320" s="17"/>
      <c r="CE1320" s="17"/>
      <c r="CF1320" s="17"/>
      <c r="CG1320" s="17"/>
      <c r="CH1320" s="17"/>
    </row>
    <row r="1321" spans="35:86" x14ac:dyDescent="0.15">
      <c r="AI1321" s="3"/>
      <c r="AJ1321" s="3"/>
      <c r="AK1321" s="15">
        <f t="shared" si="470"/>
        <v>5</v>
      </c>
      <c r="AL1321" s="11">
        <f t="shared" si="467"/>
        <v>7872</v>
      </c>
      <c r="AM1321" s="11" t="b">
        <f t="shared" si="469"/>
        <v>0</v>
      </c>
      <c r="AN1321" s="11">
        <f t="shared" si="471"/>
        <v>36000</v>
      </c>
      <c r="AO1321" s="11">
        <f t="shared" si="472"/>
        <v>0</v>
      </c>
      <c r="AP1321" s="11">
        <f t="shared" si="473"/>
        <v>0.42913827423064965</v>
      </c>
      <c r="AQ1321" s="11">
        <f t="shared" si="474"/>
        <v>0</v>
      </c>
      <c r="AT1321" s="3"/>
      <c r="AU1321" s="17"/>
      <c r="AV1321" s="19"/>
      <c r="AW1321" s="17"/>
      <c r="AX1321" s="17">
        <f t="shared" si="468"/>
        <v>1312</v>
      </c>
      <c r="AY1321" s="17">
        <f t="shared" si="475"/>
        <v>131.19999999999999</v>
      </c>
      <c r="AZ1321" s="17">
        <v>42.913827423064966</v>
      </c>
      <c r="BA1321" s="17"/>
      <c r="BB1321" s="17">
        <v>36</v>
      </c>
      <c r="BC1321" s="17"/>
      <c r="BD1321" s="17"/>
      <c r="BE1321" s="17"/>
      <c r="BF1321" s="17"/>
      <c r="BG1321" s="17"/>
      <c r="BH1321" s="17"/>
      <c r="BI1321" s="17"/>
      <c r="BJ1321" s="17"/>
      <c r="BK1321" s="17"/>
      <c r="BL1321" s="17"/>
      <c r="BM1321" s="17"/>
      <c r="BN1321" s="17"/>
      <c r="BO1321" s="17"/>
      <c r="BP1321" s="17"/>
      <c r="BQ1321" s="17"/>
      <c r="BR1321" s="17"/>
      <c r="BS1321" s="17"/>
      <c r="BT1321" s="17"/>
      <c r="BU1321" s="17"/>
      <c r="BV1321" s="17"/>
      <c r="BW1321" s="17"/>
      <c r="BX1321" s="17"/>
      <c r="BY1321" s="17"/>
      <c r="BZ1321" s="17"/>
      <c r="CA1321" s="17"/>
      <c r="CB1321" s="17"/>
      <c r="CC1321" s="17"/>
      <c r="CD1321" s="17"/>
      <c r="CE1321" s="17"/>
      <c r="CF1321" s="17"/>
      <c r="CG1321" s="17"/>
      <c r="CH1321" s="17"/>
    </row>
    <row r="1322" spans="35:86" x14ac:dyDescent="0.15">
      <c r="AI1322" s="3"/>
      <c r="AJ1322" s="3"/>
      <c r="AK1322" s="15">
        <f t="shared" si="470"/>
        <v>5</v>
      </c>
      <c r="AL1322" s="11">
        <f t="shared" si="467"/>
        <v>7878</v>
      </c>
      <c r="AM1322" s="11" t="b">
        <f t="shared" si="469"/>
        <v>0</v>
      </c>
      <c r="AN1322" s="11">
        <f t="shared" si="471"/>
        <v>36000</v>
      </c>
      <c r="AO1322" s="11">
        <f t="shared" si="472"/>
        <v>0</v>
      </c>
      <c r="AP1322" s="11">
        <f t="shared" si="473"/>
        <v>0.43024058904546442</v>
      </c>
      <c r="AQ1322" s="11">
        <f t="shared" si="474"/>
        <v>0</v>
      </c>
      <c r="AT1322" s="3"/>
      <c r="AU1322" s="17"/>
      <c r="AV1322" s="19"/>
      <c r="AW1322" s="17"/>
      <c r="AX1322" s="17">
        <f t="shared" si="468"/>
        <v>1313</v>
      </c>
      <c r="AY1322" s="17">
        <f t="shared" si="475"/>
        <v>131.30000000000001</v>
      </c>
      <c r="AZ1322" s="17">
        <v>43.024058904546443</v>
      </c>
      <c r="BA1322" s="17"/>
      <c r="BB1322" s="17">
        <v>36</v>
      </c>
      <c r="BC1322" s="17"/>
      <c r="BD1322" s="17"/>
      <c r="BE1322" s="17"/>
      <c r="BF1322" s="17"/>
      <c r="BG1322" s="17"/>
      <c r="BH1322" s="17"/>
      <c r="BI1322" s="17"/>
      <c r="BJ1322" s="17"/>
      <c r="BK1322" s="17"/>
      <c r="BL1322" s="17"/>
      <c r="BM1322" s="17"/>
      <c r="BN1322" s="17"/>
      <c r="BO1322" s="17"/>
      <c r="BP1322" s="17"/>
      <c r="BQ1322" s="17"/>
      <c r="BR1322" s="17"/>
      <c r="BS1322" s="17"/>
      <c r="BT1322" s="17"/>
      <c r="BU1322" s="17"/>
      <c r="BV1322" s="17"/>
      <c r="BW1322" s="17"/>
      <c r="BX1322" s="17"/>
      <c r="BY1322" s="17"/>
      <c r="BZ1322" s="17"/>
      <c r="CA1322" s="17"/>
      <c r="CB1322" s="17"/>
      <c r="CC1322" s="17"/>
      <c r="CD1322" s="17"/>
      <c r="CE1322" s="17"/>
      <c r="CF1322" s="17"/>
      <c r="CG1322" s="17"/>
      <c r="CH1322" s="17"/>
    </row>
    <row r="1323" spans="35:86" x14ac:dyDescent="0.15">
      <c r="AI1323" s="3"/>
      <c r="AJ1323" s="3"/>
      <c r="AK1323" s="15">
        <f t="shared" si="470"/>
        <v>5</v>
      </c>
      <c r="AL1323" s="11">
        <f t="shared" si="467"/>
        <v>7884</v>
      </c>
      <c r="AM1323" s="11" t="b">
        <f t="shared" si="469"/>
        <v>0</v>
      </c>
      <c r="AN1323" s="11">
        <f t="shared" si="471"/>
        <v>36000</v>
      </c>
      <c r="AO1323" s="11">
        <f t="shared" si="472"/>
        <v>0</v>
      </c>
      <c r="AP1323" s="11">
        <f t="shared" si="473"/>
        <v>0.43134290386027924</v>
      </c>
      <c r="AQ1323" s="11">
        <f t="shared" si="474"/>
        <v>0</v>
      </c>
      <c r="AT1323" s="3"/>
      <c r="AU1323" s="17"/>
      <c r="AV1323" s="19"/>
      <c r="AW1323" s="17"/>
      <c r="AX1323" s="17">
        <f t="shared" si="468"/>
        <v>1314</v>
      </c>
      <c r="AY1323" s="17">
        <f t="shared" si="475"/>
        <v>131.4</v>
      </c>
      <c r="AZ1323" s="17">
        <v>43.134290386027921</v>
      </c>
      <c r="BA1323" s="17"/>
      <c r="BB1323" s="17">
        <v>36</v>
      </c>
      <c r="BC1323" s="17"/>
      <c r="BD1323" s="17"/>
      <c r="BE1323" s="17"/>
      <c r="BF1323" s="17"/>
      <c r="BG1323" s="17"/>
      <c r="BH1323" s="17"/>
      <c r="BI1323" s="17"/>
      <c r="BJ1323" s="17"/>
      <c r="BK1323" s="17"/>
      <c r="BL1323" s="17"/>
      <c r="BM1323" s="17"/>
      <c r="BN1323" s="17"/>
      <c r="BO1323" s="17"/>
      <c r="BP1323" s="17"/>
      <c r="BQ1323" s="17"/>
      <c r="BR1323" s="17"/>
      <c r="BS1323" s="17"/>
      <c r="BT1323" s="17"/>
      <c r="BU1323" s="17"/>
      <c r="BV1323" s="17"/>
      <c r="BW1323" s="17"/>
      <c r="BX1323" s="17"/>
      <c r="BY1323" s="17"/>
      <c r="BZ1323" s="17"/>
      <c r="CA1323" s="17"/>
      <c r="CB1323" s="17"/>
      <c r="CC1323" s="17"/>
      <c r="CD1323" s="17"/>
      <c r="CE1323" s="17"/>
      <c r="CF1323" s="17"/>
      <c r="CG1323" s="17"/>
      <c r="CH1323" s="17"/>
    </row>
    <row r="1324" spans="35:86" x14ac:dyDescent="0.15">
      <c r="AI1324" s="3"/>
      <c r="AJ1324" s="3"/>
      <c r="AK1324" s="15">
        <f t="shared" si="470"/>
        <v>5</v>
      </c>
      <c r="AL1324" s="11">
        <f t="shared" si="467"/>
        <v>7890</v>
      </c>
      <c r="AM1324" s="11" t="b">
        <f t="shared" si="469"/>
        <v>0</v>
      </c>
      <c r="AN1324" s="11">
        <f t="shared" si="471"/>
        <v>36000</v>
      </c>
      <c r="AO1324" s="11">
        <f t="shared" si="472"/>
        <v>0</v>
      </c>
      <c r="AP1324" s="11">
        <f t="shared" si="473"/>
        <v>0.432445218675094</v>
      </c>
      <c r="AQ1324" s="11">
        <f t="shared" si="474"/>
        <v>0</v>
      </c>
      <c r="AT1324" s="3"/>
      <c r="AU1324" s="17"/>
      <c r="AV1324" s="19"/>
      <c r="AW1324" s="17"/>
      <c r="AX1324" s="17">
        <f t="shared" si="468"/>
        <v>1315</v>
      </c>
      <c r="AY1324" s="17">
        <f t="shared" si="475"/>
        <v>131.5</v>
      </c>
      <c r="AZ1324" s="17">
        <v>43.244521867509398</v>
      </c>
      <c r="BA1324" s="17"/>
      <c r="BB1324" s="17">
        <v>36</v>
      </c>
      <c r="BC1324" s="17"/>
      <c r="BD1324" s="17"/>
      <c r="BE1324" s="17"/>
      <c r="BF1324" s="17"/>
      <c r="BG1324" s="17"/>
      <c r="BH1324" s="17"/>
      <c r="BI1324" s="17"/>
      <c r="BJ1324" s="17"/>
      <c r="BK1324" s="17"/>
      <c r="BL1324" s="17"/>
      <c r="BM1324" s="17"/>
      <c r="BN1324" s="17"/>
      <c r="BO1324" s="17"/>
      <c r="BP1324" s="17"/>
      <c r="BQ1324" s="17"/>
      <c r="BR1324" s="17"/>
      <c r="BS1324" s="17"/>
      <c r="BT1324" s="17"/>
      <c r="BU1324" s="17"/>
      <c r="BV1324" s="17"/>
      <c r="BW1324" s="17"/>
      <c r="BX1324" s="17"/>
      <c r="BY1324" s="17"/>
      <c r="BZ1324" s="17"/>
      <c r="CA1324" s="17"/>
      <c r="CB1324" s="17"/>
      <c r="CC1324" s="17"/>
      <c r="CD1324" s="17"/>
      <c r="CE1324" s="17"/>
      <c r="CF1324" s="17"/>
      <c r="CG1324" s="17"/>
      <c r="CH1324" s="17"/>
    </row>
    <row r="1325" spans="35:86" x14ac:dyDescent="0.15">
      <c r="AI1325" s="3"/>
      <c r="AJ1325" s="3"/>
      <c r="AK1325" s="15">
        <f t="shared" si="470"/>
        <v>5</v>
      </c>
      <c r="AL1325" s="11">
        <f t="shared" ref="AL1325:AL1388" si="476">AL1324+$AB$15</f>
        <v>7896</v>
      </c>
      <c r="AM1325" s="11" t="b">
        <f t="shared" si="469"/>
        <v>0</v>
      </c>
      <c r="AN1325" s="11">
        <f t="shared" si="471"/>
        <v>36000</v>
      </c>
      <c r="AO1325" s="11">
        <f t="shared" si="472"/>
        <v>0</v>
      </c>
      <c r="AP1325" s="11">
        <f t="shared" si="473"/>
        <v>0.43354753348990882</v>
      </c>
      <c r="AQ1325" s="11">
        <f t="shared" si="474"/>
        <v>0</v>
      </c>
      <c r="AT1325" s="3"/>
      <c r="AU1325" s="17"/>
      <c r="AV1325" s="19"/>
      <c r="AW1325" s="17"/>
      <c r="AX1325" s="17">
        <f t="shared" si="468"/>
        <v>1316</v>
      </c>
      <c r="AY1325" s="17">
        <f t="shared" si="475"/>
        <v>131.6</v>
      </c>
      <c r="AZ1325" s="17">
        <v>43.354753348990883</v>
      </c>
      <c r="BA1325" s="17"/>
      <c r="BB1325" s="17">
        <v>36</v>
      </c>
      <c r="BC1325" s="17"/>
      <c r="BD1325" s="17"/>
      <c r="BE1325" s="17"/>
      <c r="BF1325" s="17"/>
      <c r="BG1325" s="17"/>
      <c r="BH1325" s="17"/>
      <c r="BI1325" s="17"/>
      <c r="BJ1325" s="17"/>
      <c r="BK1325" s="17"/>
      <c r="BL1325" s="17"/>
      <c r="BM1325" s="17"/>
      <c r="BN1325" s="17"/>
      <c r="BO1325" s="17"/>
      <c r="BP1325" s="17"/>
      <c r="BQ1325" s="17"/>
      <c r="BR1325" s="17"/>
      <c r="BS1325" s="17"/>
      <c r="BT1325" s="17"/>
      <c r="BU1325" s="17"/>
      <c r="BV1325" s="17"/>
      <c r="BW1325" s="17"/>
      <c r="BX1325" s="17"/>
      <c r="BY1325" s="17"/>
      <c r="BZ1325" s="17"/>
      <c r="CA1325" s="17"/>
      <c r="CB1325" s="17"/>
      <c r="CC1325" s="17"/>
      <c r="CD1325" s="17"/>
      <c r="CE1325" s="17"/>
      <c r="CF1325" s="17"/>
      <c r="CG1325" s="17"/>
      <c r="CH1325" s="17"/>
    </row>
    <row r="1326" spans="35:86" x14ac:dyDescent="0.15">
      <c r="AI1326" s="3"/>
      <c r="AJ1326" s="3"/>
      <c r="AK1326" s="15">
        <f t="shared" si="470"/>
        <v>5</v>
      </c>
      <c r="AL1326" s="11">
        <f t="shared" si="476"/>
        <v>7902</v>
      </c>
      <c r="AM1326" s="11" t="b">
        <f t="shared" si="469"/>
        <v>0</v>
      </c>
      <c r="AN1326" s="11">
        <f t="shared" si="471"/>
        <v>36000</v>
      </c>
      <c r="AO1326" s="11">
        <f t="shared" si="472"/>
        <v>0</v>
      </c>
      <c r="AP1326" s="11">
        <f t="shared" si="473"/>
        <v>0.43464984830472359</v>
      </c>
      <c r="AQ1326" s="11">
        <f t="shared" si="474"/>
        <v>0</v>
      </c>
      <c r="AT1326" s="3"/>
      <c r="AU1326" s="17"/>
      <c r="AV1326" s="19"/>
      <c r="AW1326" s="17"/>
      <c r="AX1326" s="17">
        <f t="shared" ref="AX1326:AX1389" si="477">IF(AX1325&gt;=$AG$14,$AG$14,AX1325+1)</f>
        <v>1317</v>
      </c>
      <c r="AY1326" s="17">
        <f t="shared" si="475"/>
        <v>131.69999999999999</v>
      </c>
      <c r="AZ1326" s="17">
        <v>43.46498483047236</v>
      </c>
      <c r="BA1326" s="17"/>
      <c r="BB1326" s="17">
        <v>36</v>
      </c>
      <c r="BC1326" s="17"/>
      <c r="BD1326" s="17"/>
      <c r="BE1326" s="17"/>
      <c r="BF1326" s="17"/>
      <c r="BG1326" s="17"/>
      <c r="BH1326" s="17"/>
      <c r="BI1326" s="17"/>
      <c r="BJ1326" s="17"/>
      <c r="BK1326" s="17"/>
      <c r="BL1326" s="17"/>
      <c r="BM1326" s="17"/>
      <c r="BN1326" s="17"/>
      <c r="BO1326" s="17"/>
      <c r="BP1326" s="17"/>
      <c r="BQ1326" s="17"/>
      <c r="BR1326" s="17"/>
      <c r="BS1326" s="17"/>
      <c r="BT1326" s="17"/>
      <c r="BU1326" s="17"/>
      <c r="BV1326" s="17"/>
      <c r="BW1326" s="17"/>
      <c r="BX1326" s="17"/>
      <c r="BY1326" s="17"/>
      <c r="BZ1326" s="17"/>
      <c r="CA1326" s="17"/>
      <c r="CB1326" s="17"/>
      <c r="CC1326" s="17"/>
      <c r="CD1326" s="17"/>
      <c r="CE1326" s="17"/>
      <c r="CF1326" s="17"/>
      <c r="CG1326" s="17"/>
      <c r="CH1326" s="17"/>
    </row>
    <row r="1327" spans="35:86" x14ac:dyDescent="0.15">
      <c r="AI1327" s="3"/>
      <c r="AJ1327" s="3"/>
      <c r="AK1327" s="15">
        <f t="shared" si="470"/>
        <v>5</v>
      </c>
      <c r="AL1327" s="11">
        <f t="shared" si="476"/>
        <v>7908</v>
      </c>
      <c r="AM1327" s="11" t="b">
        <f t="shared" si="469"/>
        <v>0</v>
      </c>
      <c r="AN1327" s="11">
        <f t="shared" si="471"/>
        <v>36000</v>
      </c>
      <c r="AO1327" s="11">
        <f t="shared" si="472"/>
        <v>0</v>
      </c>
      <c r="AP1327" s="11">
        <f t="shared" si="473"/>
        <v>0.4357521631195384</v>
      </c>
      <c r="AQ1327" s="11">
        <f t="shared" si="474"/>
        <v>0</v>
      </c>
      <c r="AT1327" s="3"/>
      <c r="AU1327" s="17"/>
      <c r="AV1327" s="19"/>
      <c r="AW1327" s="17"/>
      <c r="AX1327" s="17">
        <f t="shared" si="477"/>
        <v>1318</v>
      </c>
      <c r="AY1327" s="17">
        <f t="shared" si="475"/>
        <v>131.80000000000001</v>
      </c>
      <c r="AZ1327" s="17">
        <v>43.575216311953838</v>
      </c>
      <c r="BA1327" s="17"/>
      <c r="BB1327" s="17">
        <v>36</v>
      </c>
      <c r="BC1327" s="17"/>
      <c r="BD1327" s="17"/>
      <c r="BE1327" s="17"/>
      <c r="BF1327" s="17"/>
      <c r="BG1327" s="17"/>
      <c r="BH1327" s="17"/>
      <c r="BI1327" s="17"/>
      <c r="BJ1327" s="17"/>
      <c r="BK1327" s="17"/>
      <c r="BL1327" s="17"/>
      <c r="BM1327" s="17"/>
      <c r="BN1327" s="17"/>
      <c r="BO1327" s="17"/>
      <c r="BP1327" s="17"/>
      <c r="BQ1327" s="17"/>
      <c r="BR1327" s="17"/>
      <c r="BS1327" s="17"/>
      <c r="BT1327" s="17"/>
      <c r="BU1327" s="17"/>
      <c r="BV1327" s="17"/>
      <c r="BW1327" s="17"/>
      <c r="BX1327" s="17"/>
      <c r="BY1327" s="17"/>
      <c r="BZ1327" s="17"/>
      <c r="CA1327" s="17"/>
      <c r="CB1327" s="17"/>
      <c r="CC1327" s="17"/>
      <c r="CD1327" s="17"/>
      <c r="CE1327" s="17"/>
      <c r="CF1327" s="17"/>
      <c r="CG1327" s="17"/>
      <c r="CH1327" s="17"/>
    </row>
    <row r="1328" spans="35:86" x14ac:dyDescent="0.15">
      <c r="AI1328" s="3"/>
      <c r="AJ1328" s="3"/>
      <c r="AK1328" s="15">
        <f t="shared" si="470"/>
        <v>5</v>
      </c>
      <c r="AL1328" s="11">
        <f t="shared" si="476"/>
        <v>7914</v>
      </c>
      <c r="AM1328" s="11" t="b">
        <f t="shared" si="469"/>
        <v>0</v>
      </c>
      <c r="AN1328" s="11">
        <f t="shared" si="471"/>
        <v>36000</v>
      </c>
      <c r="AO1328" s="11">
        <f t="shared" si="472"/>
        <v>0</v>
      </c>
      <c r="AP1328" s="11">
        <f t="shared" si="473"/>
        <v>0.43685447793435317</v>
      </c>
      <c r="AQ1328" s="11">
        <f t="shared" si="474"/>
        <v>0</v>
      </c>
      <c r="AT1328" s="3"/>
      <c r="AU1328" s="17"/>
      <c r="AV1328" s="19"/>
      <c r="AW1328" s="17"/>
      <c r="AX1328" s="17">
        <f t="shared" si="477"/>
        <v>1319</v>
      </c>
      <c r="AY1328" s="17">
        <f t="shared" si="475"/>
        <v>131.9</v>
      </c>
      <c r="AZ1328" s="17">
        <v>43.685447793435316</v>
      </c>
      <c r="BA1328" s="17"/>
      <c r="BB1328" s="17">
        <v>36</v>
      </c>
      <c r="BC1328" s="17"/>
      <c r="BD1328" s="17"/>
      <c r="BE1328" s="17"/>
      <c r="BF1328" s="17"/>
      <c r="BG1328" s="17"/>
      <c r="BH1328" s="17"/>
      <c r="BI1328" s="17"/>
      <c r="BJ1328" s="17"/>
      <c r="BK1328" s="17"/>
      <c r="BL1328" s="17"/>
      <c r="BM1328" s="17"/>
      <c r="BN1328" s="17"/>
      <c r="BO1328" s="17"/>
      <c r="BP1328" s="17"/>
      <c r="BQ1328" s="17"/>
      <c r="BR1328" s="17"/>
      <c r="BS1328" s="17"/>
      <c r="BT1328" s="17"/>
      <c r="BU1328" s="17"/>
      <c r="BV1328" s="17"/>
      <c r="BW1328" s="17"/>
      <c r="BX1328" s="17"/>
      <c r="BY1328" s="17"/>
      <c r="BZ1328" s="17"/>
      <c r="CA1328" s="17"/>
      <c r="CB1328" s="17"/>
      <c r="CC1328" s="17"/>
      <c r="CD1328" s="17"/>
      <c r="CE1328" s="17"/>
      <c r="CF1328" s="17"/>
      <c r="CG1328" s="17"/>
      <c r="CH1328" s="17"/>
    </row>
    <row r="1329" spans="35:86" x14ac:dyDescent="0.15">
      <c r="AI1329" s="3"/>
      <c r="AJ1329" s="3"/>
      <c r="AK1329" s="15">
        <f t="shared" si="470"/>
        <v>6</v>
      </c>
      <c r="AL1329" s="11">
        <f t="shared" si="476"/>
        <v>7920</v>
      </c>
      <c r="AM1329" s="11" t="b">
        <f t="shared" si="469"/>
        <v>0</v>
      </c>
      <c r="AN1329" s="11">
        <f t="shared" si="471"/>
        <v>36000</v>
      </c>
      <c r="AO1329" s="11">
        <f t="shared" si="472"/>
        <v>0</v>
      </c>
      <c r="AP1329" s="11">
        <f t="shared" si="473"/>
        <v>0.43795679274916799</v>
      </c>
      <c r="AQ1329" s="11">
        <f t="shared" si="474"/>
        <v>0</v>
      </c>
      <c r="AT1329" s="3"/>
      <c r="AU1329" s="17"/>
      <c r="AV1329" s="19"/>
      <c r="AW1329" s="17"/>
      <c r="AX1329" s="17">
        <f t="shared" si="477"/>
        <v>1320</v>
      </c>
      <c r="AY1329" s="17">
        <f t="shared" si="475"/>
        <v>132</v>
      </c>
      <c r="AZ1329" s="17">
        <v>43.7956792749168</v>
      </c>
      <c r="BA1329" s="17"/>
      <c r="BB1329" s="17">
        <v>36</v>
      </c>
      <c r="BC1329" s="17"/>
      <c r="BD1329" s="17"/>
      <c r="BE1329" s="17"/>
      <c r="BF1329" s="17"/>
      <c r="BG1329" s="17"/>
      <c r="BH1329" s="17"/>
      <c r="BI1329" s="17"/>
      <c r="BJ1329" s="17"/>
      <c r="BK1329" s="17"/>
      <c r="BL1329" s="17"/>
      <c r="BM1329" s="17"/>
      <c r="BN1329" s="17"/>
      <c r="BO1329" s="17"/>
      <c r="BP1329" s="17"/>
      <c r="BQ1329" s="17"/>
      <c r="BR1329" s="17"/>
      <c r="BS1329" s="17"/>
      <c r="BT1329" s="17"/>
      <c r="BU1329" s="17"/>
      <c r="BV1329" s="17"/>
      <c r="BW1329" s="17"/>
      <c r="BX1329" s="17"/>
      <c r="BY1329" s="17"/>
      <c r="BZ1329" s="17"/>
      <c r="CA1329" s="17"/>
      <c r="CB1329" s="17"/>
      <c r="CC1329" s="17"/>
      <c r="CD1329" s="17"/>
      <c r="CE1329" s="17"/>
      <c r="CF1329" s="17"/>
      <c r="CG1329" s="17"/>
      <c r="CH1329" s="17"/>
    </row>
    <row r="1330" spans="35:86" x14ac:dyDescent="0.15">
      <c r="AI1330" s="3"/>
      <c r="AJ1330" s="3"/>
      <c r="AK1330" s="15">
        <f t="shared" si="470"/>
        <v>6</v>
      </c>
      <c r="AL1330" s="11">
        <f t="shared" si="476"/>
        <v>7926</v>
      </c>
      <c r="AM1330" s="11" t="b">
        <f t="shared" si="469"/>
        <v>0</v>
      </c>
      <c r="AN1330" s="11">
        <f t="shared" si="471"/>
        <v>36000</v>
      </c>
      <c r="AO1330" s="11">
        <f t="shared" si="472"/>
        <v>0</v>
      </c>
      <c r="AP1330" s="11">
        <f t="shared" si="473"/>
        <v>0.43905910756398275</v>
      </c>
      <c r="AQ1330" s="11">
        <f t="shared" si="474"/>
        <v>0</v>
      </c>
      <c r="AT1330" s="3"/>
      <c r="AU1330" s="17"/>
      <c r="AV1330" s="19"/>
      <c r="AW1330" s="17"/>
      <c r="AX1330" s="17">
        <f t="shared" si="477"/>
        <v>1321</v>
      </c>
      <c r="AY1330" s="17">
        <f t="shared" si="475"/>
        <v>132.1</v>
      </c>
      <c r="AZ1330" s="17">
        <v>43.905910756398278</v>
      </c>
      <c r="BA1330" s="17"/>
      <c r="BB1330" s="17">
        <v>36</v>
      </c>
      <c r="BC1330" s="17"/>
      <c r="BD1330" s="17"/>
      <c r="BE1330" s="17"/>
      <c r="BF1330" s="17"/>
      <c r="BG1330" s="17"/>
      <c r="BH1330" s="17"/>
      <c r="BI1330" s="17"/>
      <c r="BJ1330" s="17"/>
      <c r="BK1330" s="17"/>
      <c r="BL1330" s="17"/>
      <c r="BM1330" s="17"/>
      <c r="BN1330" s="17"/>
      <c r="BO1330" s="17"/>
      <c r="BP1330" s="17"/>
      <c r="BQ1330" s="17"/>
      <c r="BR1330" s="17"/>
      <c r="BS1330" s="17"/>
      <c r="BT1330" s="17"/>
      <c r="BU1330" s="17"/>
      <c r="BV1330" s="17"/>
      <c r="BW1330" s="17"/>
      <c r="BX1330" s="17"/>
      <c r="BY1330" s="17"/>
      <c r="BZ1330" s="17"/>
      <c r="CA1330" s="17"/>
      <c r="CB1330" s="17"/>
      <c r="CC1330" s="17"/>
      <c r="CD1330" s="17"/>
      <c r="CE1330" s="17"/>
      <c r="CF1330" s="17"/>
      <c r="CG1330" s="17"/>
      <c r="CH1330" s="17"/>
    </row>
    <row r="1331" spans="35:86" x14ac:dyDescent="0.15">
      <c r="AI1331" s="3"/>
      <c r="AJ1331" s="3"/>
      <c r="AK1331" s="15">
        <f t="shared" si="470"/>
        <v>6</v>
      </c>
      <c r="AL1331" s="11">
        <f t="shared" si="476"/>
        <v>7932</v>
      </c>
      <c r="AM1331" s="11" t="b">
        <f t="shared" si="469"/>
        <v>0</v>
      </c>
      <c r="AN1331" s="11">
        <f t="shared" si="471"/>
        <v>36000</v>
      </c>
      <c r="AO1331" s="11">
        <f t="shared" si="472"/>
        <v>0</v>
      </c>
      <c r="AP1331" s="11">
        <f t="shared" si="473"/>
        <v>0.44016142237879757</v>
      </c>
      <c r="AQ1331" s="11">
        <f t="shared" si="474"/>
        <v>0</v>
      </c>
      <c r="AT1331" s="3"/>
      <c r="AU1331" s="17"/>
      <c r="AV1331" s="19"/>
      <c r="AW1331" s="17"/>
      <c r="AX1331" s="17">
        <f t="shared" si="477"/>
        <v>1322</v>
      </c>
      <c r="AY1331" s="17">
        <f t="shared" si="475"/>
        <v>132.19999999999999</v>
      </c>
      <c r="AZ1331" s="17">
        <v>44.016142237879755</v>
      </c>
      <c r="BA1331" s="17"/>
      <c r="BB1331" s="17">
        <v>36</v>
      </c>
      <c r="BC1331" s="17"/>
      <c r="BD1331" s="17"/>
      <c r="BE1331" s="17"/>
      <c r="BF1331" s="17"/>
      <c r="BG1331" s="17"/>
      <c r="BH1331" s="17"/>
      <c r="BI1331" s="17"/>
      <c r="BJ1331" s="17"/>
      <c r="BK1331" s="17"/>
      <c r="BL1331" s="17"/>
      <c r="BM1331" s="17"/>
      <c r="BN1331" s="17"/>
      <c r="BO1331" s="17"/>
      <c r="BP1331" s="17"/>
      <c r="BQ1331" s="17"/>
      <c r="BR1331" s="17"/>
      <c r="BS1331" s="17"/>
      <c r="BT1331" s="17"/>
      <c r="BU1331" s="17"/>
      <c r="BV1331" s="17"/>
      <c r="BW1331" s="17"/>
      <c r="BX1331" s="17"/>
      <c r="BY1331" s="17"/>
      <c r="BZ1331" s="17"/>
      <c r="CA1331" s="17"/>
      <c r="CB1331" s="17"/>
      <c r="CC1331" s="17"/>
      <c r="CD1331" s="17"/>
      <c r="CE1331" s="17"/>
      <c r="CF1331" s="17"/>
      <c r="CG1331" s="17"/>
      <c r="CH1331" s="17"/>
    </row>
    <row r="1332" spans="35:86" x14ac:dyDescent="0.15">
      <c r="AI1332" s="3"/>
      <c r="AJ1332" s="3"/>
      <c r="AK1332" s="15">
        <f t="shared" si="470"/>
        <v>6</v>
      </c>
      <c r="AL1332" s="11">
        <f t="shared" si="476"/>
        <v>7938</v>
      </c>
      <c r="AM1332" s="11" t="b">
        <f t="shared" si="469"/>
        <v>0</v>
      </c>
      <c r="AN1332" s="11">
        <f t="shared" si="471"/>
        <v>36000</v>
      </c>
      <c r="AO1332" s="11">
        <f t="shared" si="472"/>
        <v>0</v>
      </c>
      <c r="AP1332" s="11">
        <f t="shared" si="473"/>
        <v>0.44126373719361234</v>
      </c>
      <c r="AQ1332" s="11">
        <f t="shared" si="474"/>
        <v>0</v>
      </c>
      <c r="AT1332" s="3"/>
      <c r="AU1332" s="17"/>
      <c r="AV1332" s="19"/>
      <c r="AW1332" s="17"/>
      <c r="AX1332" s="17">
        <f t="shared" si="477"/>
        <v>1323</v>
      </c>
      <c r="AY1332" s="17">
        <f t="shared" si="475"/>
        <v>132.30000000000001</v>
      </c>
      <c r="AZ1332" s="17">
        <v>44.126373719361233</v>
      </c>
      <c r="BA1332" s="17"/>
      <c r="BB1332" s="17">
        <v>36</v>
      </c>
      <c r="BC1332" s="17"/>
      <c r="BD1332" s="17"/>
      <c r="BE1332" s="17"/>
      <c r="BF1332" s="17"/>
      <c r="BG1332" s="17"/>
      <c r="BH1332" s="17"/>
      <c r="BI1332" s="17"/>
      <c r="BJ1332" s="17"/>
      <c r="BK1332" s="17"/>
      <c r="BL1332" s="17"/>
      <c r="BM1332" s="17"/>
      <c r="BN1332" s="17"/>
      <c r="BO1332" s="17"/>
      <c r="BP1332" s="17"/>
      <c r="BQ1332" s="17"/>
      <c r="BR1332" s="17"/>
      <c r="BS1332" s="17"/>
      <c r="BT1332" s="17"/>
      <c r="BU1332" s="17"/>
      <c r="BV1332" s="17"/>
      <c r="BW1332" s="17"/>
      <c r="BX1332" s="17"/>
      <c r="BY1332" s="17"/>
      <c r="BZ1332" s="17"/>
      <c r="CA1332" s="17"/>
      <c r="CB1332" s="17"/>
      <c r="CC1332" s="17"/>
      <c r="CD1332" s="17"/>
      <c r="CE1332" s="17"/>
      <c r="CF1332" s="17"/>
      <c r="CG1332" s="17"/>
      <c r="CH1332" s="17"/>
    </row>
    <row r="1333" spans="35:86" x14ac:dyDescent="0.15">
      <c r="AI1333" s="3"/>
      <c r="AJ1333" s="3"/>
      <c r="AK1333" s="15">
        <f t="shared" si="470"/>
        <v>6</v>
      </c>
      <c r="AL1333" s="11">
        <f t="shared" si="476"/>
        <v>7944</v>
      </c>
      <c r="AM1333" s="11" t="b">
        <f t="shared" si="469"/>
        <v>0</v>
      </c>
      <c r="AN1333" s="11">
        <f t="shared" si="471"/>
        <v>36000</v>
      </c>
      <c r="AO1333" s="11">
        <f t="shared" si="472"/>
        <v>0</v>
      </c>
      <c r="AP1333" s="11">
        <f t="shared" si="473"/>
        <v>0.44236605200842716</v>
      </c>
      <c r="AQ1333" s="11">
        <f t="shared" si="474"/>
        <v>0</v>
      </c>
      <c r="AT1333" s="3"/>
      <c r="AU1333" s="17"/>
      <c r="AV1333" s="19"/>
      <c r="AW1333" s="17"/>
      <c r="AX1333" s="17">
        <f t="shared" si="477"/>
        <v>1324</v>
      </c>
      <c r="AY1333" s="17">
        <f t="shared" si="475"/>
        <v>132.4</v>
      </c>
      <c r="AZ1333" s="17">
        <v>44.236605200842718</v>
      </c>
      <c r="BA1333" s="17"/>
      <c r="BB1333" s="17">
        <v>36</v>
      </c>
      <c r="BC1333" s="17"/>
      <c r="BD1333" s="17"/>
      <c r="BE1333" s="17"/>
      <c r="BF1333" s="17"/>
      <c r="BG1333" s="17"/>
      <c r="BH1333" s="17"/>
      <c r="BI1333" s="17"/>
      <c r="BJ1333" s="17"/>
      <c r="BK1333" s="17"/>
      <c r="BL1333" s="17"/>
      <c r="BM1333" s="17"/>
      <c r="BN1333" s="17"/>
      <c r="BO1333" s="17"/>
      <c r="BP1333" s="17"/>
      <c r="BQ1333" s="17"/>
      <c r="BR1333" s="17"/>
      <c r="BS1333" s="17"/>
      <c r="BT1333" s="17"/>
      <c r="BU1333" s="17"/>
      <c r="BV1333" s="17"/>
      <c r="BW1333" s="17"/>
      <c r="BX1333" s="17"/>
      <c r="BY1333" s="17"/>
      <c r="BZ1333" s="17"/>
      <c r="CA1333" s="17"/>
      <c r="CB1333" s="17"/>
      <c r="CC1333" s="17"/>
      <c r="CD1333" s="17"/>
      <c r="CE1333" s="17"/>
      <c r="CF1333" s="17"/>
      <c r="CG1333" s="17"/>
      <c r="CH1333" s="17"/>
    </row>
    <row r="1334" spans="35:86" x14ac:dyDescent="0.15">
      <c r="AI1334" s="3"/>
      <c r="AJ1334" s="3"/>
      <c r="AK1334" s="15">
        <f t="shared" si="470"/>
        <v>6</v>
      </c>
      <c r="AL1334" s="11">
        <f t="shared" si="476"/>
        <v>7950</v>
      </c>
      <c r="AM1334" s="11" t="b">
        <f t="shared" si="469"/>
        <v>0</v>
      </c>
      <c r="AN1334" s="11">
        <f t="shared" si="471"/>
        <v>36000</v>
      </c>
      <c r="AO1334" s="11">
        <f t="shared" si="472"/>
        <v>0</v>
      </c>
      <c r="AP1334" s="11">
        <f t="shared" si="473"/>
        <v>0.44346836682324198</v>
      </c>
      <c r="AQ1334" s="11">
        <f t="shared" si="474"/>
        <v>0</v>
      </c>
      <c r="AT1334" s="3"/>
      <c r="AU1334" s="17"/>
      <c r="AV1334" s="19"/>
      <c r="AW1334" s="17"/>
      <c r="AX1334" s="17">
        <f t="shared" si="477"/>
        <v>1325</v>
      </c>
      <c r="AY1334" s="17">
        <f t="shared" si="475"/>
        <v>132.5</v>
      </c>
      <c r="AZ1334" s="17">
        <v>44.346836682324195</v>
      </c>
      <c r="BA1334" s="17"/>
      <c r="BB1334" s="17">
        <v>36</v>
      </c>
      <c r="BC1334" s="17"/>
      <c r="BD1334" s="17"/>
      <c r="BE1334" s="17"/>
      <c r="BF1334" s="17"/>
      <c r="BG1334" s="17"/>
      <c r="BH1334" s="17"/>
      <c r="BI1334" s="17"/>
      <c r="BJ1334" s="17"/>
      <c r="BK1334" s="17"/>
      <c r="BL1334" s="17"/>
      <c r="BM1334" s="17"/>
      <c r="BN1334" s="17"/>
      <c r="BO1334" s="17"/>
      <c r="BP1334" s="17"/>
      <c r="BQ1334" s="17"/>
      <c r="BR1334" s="17"/>
      <c r="BS1334" s="17"/>
      <c r="BT1334" s="17"/>
      <c r="BU1334" s="17"/>
      <c r="BV1334" s="17"/>
      <c r="BW1334" s="17"/>
      <c r="BX1334" s="17"/>
      <c r="BY1334" s="17"/>
      <c r="BZ1334" s="17"/>
      <c r="CA1334" s="17"/>
      <c r="CB1334" s="17"/>
      <c r="CC1334" s="17"/>
      <c r="CD1334" s="17"/>
      <c r="CE1334" s="17"/>
      <c r="CF1334" s="17"/>
      <c r="CG1334" s="17"/>
      <c r="CH1334" s="17"/>
    </row>
    <row r="1335" spans="35:86" x14ac:dyDescent="0.15">
      <c r="AI1335" s="3"/>
      <c r="AJ1335" s="3"/>
      <c r="AK1335" s="15">
        <f t="shared" si="470"/>
        <v>6</v>
      </c>
      <c r="AL1335" s="11">
        <f t="shared" si="476"/>
        <v>7956</v>
      </c>
      <c r="AM1335" s="11" t="b">
        <f t="shared" si="469"/>
        <v>0</v>
      </c>
      <c r="AN1335" s="11">
        <f t="shared" si="471"/>
        <v>36000</v>
      </c>
      <c r="AO1335" s="11">
        <f t="shared" si="472"/>
        <v>0</v>
      </c>
      <c r="AP1335" s="11">
        <f t="shared" si="473"/>
        <v>0.44457068163805674</v>
      </c>
      <c r="AQ1335" s="11">
        <f t="shared" si="474"/>
        <v>0</v>
      </c>
      <c r="AT1335" s="3"/>
      <c r="AU1335" s="17"/>
      <c r="AV1335" s="19"/>
      <c r="AW1335" s="17"/>
      <c r="AX1335" s="17">
        <f t="shared" si="477"/>
        <v>1326</v>
      </c>
      <c r="AY1335" s="17">
        <f t="shared" si="475"/>
        <v>132.6</v>
      </c>
      <c r="AZ1335" s="17">
        <v>44.457068163805673</v>
      </c>
      <c r="BA1335" s="17"/>
      <c r="BB1335" s="17">
        <v>36</v>
      </c>
      <c r="BC1335" s="17"/>
      <c r="BD1335" s="17"/>
      <c r="BE1335" s="17"/>
      <c r="BF1335" s="17"/>
      <c r="BG1335" s="17"/>
      <c r="BH1335" s="17"/>
      <c r="BI1335" s="17"/>
      <c r="BJ1335" s="17"/>
      <c r="BK1335" s="17"/>
      <c r="BL1335" s="17"/>
      <c r="BM1335" s="17"/>
      <c r="BN1335" s="17"/>
      <c r="BO1335" s="17"/>
      <c r="BP1335" s="17"/>
      <c r="BQ1335" s="17"/>
      <c r="BR1335" s="17"/>
      <c r="BS1335" s="17"/>
      <c r="BT1335" s="17"/>
      <c r="BU1335" s="17"/>
      <c r="BV1335" s="17"/>
      <c r="BW1335" s="17"/>
      <c r="BX1335" s="17"/>
      <c r="BY1335" s="17"/>
      <c r="BZ1335" s="17"/>
      <c r="CA1335" s="17"/>
      <c r="CB1335" s="17"/>
      <c r="CC1335" s="17"/>
      <c r="CD1335" s="17"/>
      <c r="CE1335" s="17"/>
      <c r="CF1335" s="17"/>
      <c r="CG1335" s="17"/>
      <c r="CH1335" s="17"/>
    </row>
    <row r="1336" spans="35:86" x14ac:dyDescent="0.15">
      <c r="AI1336" s="3"/>
      <c r="AJ1336" s="3"/>
      <c r="AK1336" s="15">
        <f t="shared" si="470"/>
        <v>6</v>
      </c>
      <c r="AL1336" s="11">
        <f t="shared" si="476"/>
        <v>7962</v>
      </c>
      <c r="AM1336" s="11" t="b">
        <f t="shared" si="469"/>
        <v>0</v>
      </c>
      <c r="AN1336" s="11">
        <f t="shared" si="471"/>
        <v>36000</v>
      </c>
      <c r="AO1336" s="11">
        <f t="shared" si="472"/>
        <v>0</v>
      </c>
      <c r="AP1336" s="11">
        <f t="shared" si="473"/>
        <v>0.44567299645287156</v>
      </c>
      <c r="AQ1336" s="11">
        <f t="shared" si="474"/>
        <v>0</v>
      </c>
      <c r="AT1336" s="3"/>
      <c r="AU1336" s="17"/>
      <c r="AV1336" s="19"/>
      <c r="AW1336" s="17"/>
      <c r="AX1336" s="17">
        <f t="shared" si="477"/>
        <v>1327</v>
      </c>
      <c r="AY1336" s="17">
        <f t="shared" si="475"/>
        <v>132.69999999999999</v>
      </c>
      <c r="AZ1336" s="17">
        <v>44.567299645287157</v>
      </c>
      <c r="BA1336" s="17"/>
      <c r="BB1336" s="17">
        <v>36</v>
      </c>
      <c r="BC1336" s="17"/>
      <c r="BD1336" s="17"/>
      <c r="BE1336" s="17"/>
      <c r="BF1336" s="17"/>
      <c r="BG1336" s="17"/>
      <c r="BH1336" s="17"/>
      <c r="BI1336" s="17"/>
      <c r="BJ1336" s="17"/>
      <c r="BK1336" s="17"/>
      <c r="BL1336" s="17"/>
      <c r="BM1336" s="17"/>
      <c r="BN1336" s="17"/>
      <c r="BO1336" s="17"/>
      <c r="BP1336" s="17"/>
      <c r="BQ1336" s="17"/>
      <c r="BR1336" s="17"/>
      <c r="BS1336" s="17"/>
      <c r="BT1336" s="17"/>
      <c r="BU1336" s="17"/>
      <c r="BV1336" s="17"/>
      <c r="BW1336" s="17"/>
      <c r="BX1336" s="17"/>
      <c r="BY1336" s="17"/>
      <c r="BZ1336" s="17"/>
      <c r="CA1336" s="17"/>
      <c r="CB1336" s="17"/>
      <c r="CC1336" s="17"/>
      <c r="CD1336" s="17"/>
      <c r="CE1336" s="17"/>
      <c r="CF1336" s="17"/>
      <c r="CG1336" s="17"/>
      <c r="CH1336" s="17"/>
    </row>
    <row r="1337" spans="35:86" x14ac:dyDescent="0.15">
      <c r="AI1337" s="3"/>
      <c r="AJ1337" s="3"/>
      <c r="AK1337" s="15">
        <f t="shared" si="470"/>
        <v>6</v>
      </c>
      <c r="AL1337" s="11">
        <f t="shared" si="476"/>
        <v>7968</v>
      </c>
      <c r="AM1337" s="11" t="b">
        <f t="shared" si="469"/>
        <v>0</v>
      </c>
      <c r="AN1337" s="11">
        <f t="shared" si="471"/>
        <v>36000</v>
      </c>
      <c r="AO1337" s="11">
        <f t="shared" si="472"/>
        <v>0</v>
      </c>
      <c r="AP1337" s="11">
        <f t="shared" si="473"/>
        <v>0.44677531126768633</v>
      </c>
      <c r="AQ1337" s="11">
        <f t="shared" si="474"/>
        <v>0</v>
      </c>
      <c r="AT1337" s="3"/>
      <c r="AU1337" s="17"/>
      <c r="AV1337" s="19"/>
      <c r="AW1337" s="17"/>
      <c r="AX1337" s="17">
        <f t="shared" si="477"/>
        <v>1328</v>
      </c>
      <c r="AY1337" s="17">
        <f t="shared" si="475"/>
        <v>132.80000000000001</v>
      </c>
      <c r="AZ1337" s="17">
        <v>44.677531126768635</v>
      </c>
      <c r="BA1337" s="17"/>
      <c r="BB1337" s="17">
        <v>36</v>
      </c>
      <c r="BC1337" s="17"/>
      <c r="BD1337" s="17"/>
      <c r="BE1337" s="17"/>
      <c r="BF1337" s="17"/>
      <c r="BG1337" s="17"/>
      <c r="BH1337" s="17"/>
      <c r="BI1337" s="17"/>
      <c r="BJ1337" s="17"/>
      <c r="BK1337" s="17"/>
      <c r="BL1337" s="17"/>
      <c r="BM1337" s="17"/>
      <c r="BN1337" s="17"/>
      <c r="BO1337" s="17"/>
      <c r="BP1337" s="17"/>
      <c r="BQ1337" s="17"/>
      <c r="BR1337" s="17"/>
      <c r="BS1337" s="17"/>
      <c r="BT1337" s="17"/>
      <c r="BU1337" s="17"/>
      <c r="BV1337" s="17"/>
      <c r="BW1337" s="17"/>
      <c r="BX1337" s="17"/>
      <c r="BY1337" s="17"/>
      <c r="BZ1337" s="17"/>
      <c r="CA1337" s="17"/>
      <c r="CB1337" s="17"/>
      <c r="CC1337" s="17"/>
      <c r="CD1337" s="17"/>
      <c r="CE1337" s="17"/>
      <c r="CF1337" s="17"/>
      <c r="CG1337" s="17"/>
      <c r="CH1337" s="17"/>
    </row>
    <row r="1338" spans="35:86" x14ac:dyDescent="0.15">
      <c r="AI1338" s="3"/>
      <c r="AJ1338" s="3"/>
      <c r="AK1338" s="15">
        <f t="shared" si="470"/>
        <v>6</v>
      </c>
      <c r="AL1338" s="11">
        <f t="shared" si="476"/>
        <v>7974</v>
      </c>
      <c r="AM1338" s="11" t="b">
        <f t="shared" si="469"/>
        <v>0</v>
      </c>
      <c r="AN1338" s="11">
        <f t="shared" si="471"/>
        <v>36000</v>
      </c>
      <c r="AO1338" s="11">
        <f t="shared" si="472"/>
        <v>0</v>
      </c>
      <c r="AP1338" s="11">
        <f t="shared" si="473"/>
        <v>0.44787762608250115</v>
      </c>
      <c r="AQ1338" s="11">
        <f t="shared" si="474"/>
        <v>0</v>
      </c>
      <c r="AT1338" s="3"/>
      <c r="AU1338" s="17"/>
      <c r="AV1338" s="19"/>
      <c r="AW1338" s="17"/>
      <c r="AX1338" s="17">
        <f t="shared" si="477"/>
        <v>1329</v>
      </c>
      <c r="AY1338" s="17">
        <f t="shared" si="475"/>
        <v>132.9</v>
      </c>
      <c r="AZ1338" s="17">
        <v>44.787762608250112</v>
      </c>
      <c r="BA1338" s="17"/>
      <c r="BB1338" s="17">
        <v>36</v>
      </c>
      <c r="BC1338" s="17"/>
      <c r="BD1338" s="17"/>
      <c r="BE1338" s="17"/>
      <c r="BF1338" s="17"/>
      <c r="BG1338" s="17"/>
      <c r="BH1338" s="17"/>
      <c r="BI1338" s="17"/>
      <c r="BJ1338" s="17"/>
      <c r="BK1338" s="17"/>
      <c r="BL1338" s="17"/>
      <c r="BM1338" s="17"/>
      <c r="BN1338" s="17"/>
      <c r="BO1338" s="17"/>
      <c r="BP1338" s="17"/>
      <c r="BQ1338" s="17"/>
      <c r="BR1338" s="17"/>
      <c r="BS1338" s="17"/>
      <c r="BT1338" s="17"/>
      <c r="BU1338" s="17"/>
      <c r="BV1338" s="17"/>
      <c r="BW1338" s="17"/>
      <c r="BX1338" s="17"/>
      <c r="BY1338" s="17"/>
      <c r="BZ1338" s="17"/>
      <c r="CA1338" s="17"/>
      <c r="CB1338" s="17"/>
      <c r="CC1338" s="17"/>
      <c r="CD1338" s="17"/>
      <c r="CE1338" s="17"/>
      <c r="CF1338" s="17"/>
      <c r="CG1338" s="17"/>
      <c r="CH1338" s="17"/>
    </row>
    <row r="1339" spans="35:86" x14ac:dyDescent="0.15">
      <c r="AI1339" s="3"/>
      <c r="AJ1339" s="3"/>
      <c r="AK1339" s="15">
        <f t="shared" si="470"/>
        <v>6</v>
      </c>
      <c r="AL1339" s="11">
        <f t="shared" si="476"/>
        <v>7980</v>
      </c>
      <c r="AM1339" s="11" t="b">
        <f t="shared" si="469"/>
        <v>0</v>
      </c>
      <c r="AN1339" s="11">
        <f t="shared" si="471"/>
        <v>36000</v>
      </c>
      <c r="AO1339" s="11">
        <f t="shared" si="472"/>
        <v>0</v>
      </c>
      <c r="AP1339" s="11">
        <f t="shared" si="473"/>
        <v>0.44897994089731591</v>
      </c>
      <c r="AQ1339" s="11">
        <f t="shared" si="474"/>
        <v>0</v>
      </c>
      <c r="AT1339" s="3"/>
      <c r="AU1339" s="17"/>
      <c r="AV1339" s="19"/>
      <c r="AW1339" s="17"/>
      <c r="AX1339" s="17">
        <f t="shared" si="477"/>
        <v>1330</v>
      </c>
      <c r="AY1339" s="17">
        <f t="shared" si="475"/>
        <v>133</v>
      </c>
      <c r="AZ1339" s="17">
        <v>44.89799408973159</v>
      </c>
      <c r="BA1339" s="17"/>
      <c r="BB1339" s="17">
        <v>36</v>
      </c>
      <c r="BC1339" s="17"/>
      <c r="BD1339" s="17"/>
      <c r="BE1339" s="17"/>
      <c r="BF1339" s="17"/>
      <c r="BG1339" s="17"/>
      <c r="BH1339" s="17"/>
      <c r="BI1339" s="17"/>
      <c r="BJ1339" s="17"/>
      <c r="BK1339" s="17"/>
      <c r="BL1339" s="17"/>
      <c r="BM1339" s="17"/>
      <c r="BN1339" s="17"/>
      <c r="BO1339" s="17"/>
      <c r="BP1339" s="17"/>
      <c r="BQ1339" s="17"/>
      <c r="BR1339" s="17"/>
      <c r="BS1339" s="17"/>
      <c r="BT1339" s="17"/>
      <c r="BU1339" s="17"/>
      <c r="BV1339" s="17"/>
      <c r="BW1339" s="17"/>
      <c r="BX1339" s="17"/>
      <c r="BY1339" s="17"/>
      <c r="BZ1339" s="17"/>
      <c r="CA1339" s="17"/>
      <c r="CB1339" s="17"/>
      <c r="CC1339" s="17"/>
      <c r="CD1339" s="17"/>
      <c r="CE1339" s="17"/>
      <c r="CF1339" s="17"/>
      <c r="CG1339" s="17"/>
      <c r="CH1339" s="17"/>
    </row>
    <row r="1340" spans="35:86" x14ac:dyDescent="0.15">
      <c r="AI1340" s="3"/>
      <c r="AJ1340" s="3"/>
      <c r="AK1340" s="15">
        <f t="shared" si="470"/>
        <v>6</v>
      </c>
      <c r="AL1340" s="11">
        <f t="shared" si="476"/>
        <v>7986</v>
      </c>
      <c r="AM1340" s="11" t="b">
        <f t="shared" si="469"/>
        <v>0</v>
      </c>
      <c r="AN1340" s="11">
        <f t="shared" si="471"/>
        <v>36000</v>
      </c>
      <c r="AO1340" s="11">
        <f t="shared" si="472"/>
        <v>0</v>
      </c>
      <c r="AP1340" s="11">
        <f t="shared" si="473"/>
        <v>0.45008225571213073</v>
      </c>
      <c r="AQ1340" s="11">
        <f t="shared" si="474"/>
        <v>0</v>
      </c>
      <c r="AT1340" s="3"/>
      <c r="AU1340" s="17"/>
      <c r="AV1340" s="19"/>
      <c r="AW1340" s="17"/>
      <c r="AX1340" s="17">
        <f t="shared" si="477"/>
        <v>1331</v>
      </c>
      <c r="AY1340" s="17">
        <f t="shared" si="475"/>
        <v>133.1</v>
      </c>
      <c r="AZ1340" s="17">
        <v>45.008225571213075</v>
      </c>
      <c r="BA1340" s="17"/>
      <c r="BB1340" s="17">
        <v>36</v>
      </c>
      <c r="BC1340" s="17"/>
      <c r="BD1340" s="17"/>
      <c r="BE1340" s="17"/>
      <c r="BF1340" s="17"/>
      <c r="BG1340" s="17"/>
      <c r="BH1340" s="17"/>
      <c r="BI1340" s="17"/>
      <c r="BJ1340" s="17"/>
      <c r="BK1340" s="17"/>
      <c r="BL1340" s="17"/>
      <c r="BM1340" s="17"/>
      <c r="BN1340" s="17"/>
      <c r="BO1340" s="17"/>
      <c r="BP1340" s="17"/>
      <c r="BQ1340" s="17"/>
      <c r="BR1340" s="17"/>
      <c r="BS1340" s="17"/>
      <c r="BT1340" s="17"/>
      <c r="BU1340" s="17"/>
      <c r="BV1340" s="17"/>
      <c r="BW1340" s="17"/>
      <c r="BX1340" s="17"/>
      <c r="BY1340" s="17"/>
      <c r="BZ1340" s="17"/>
      <c r="CA1340" s="17"/>
      <c r="CB1340" s="17"/>
      <c r="CC1340" s="17"/>
      <c r="CD1340" s="17"/>
      <c r="CE1340" s="17"/>
      <c r="CF1340" s="17"/>
      <c r="CG1340" s="17"/>
      <c r="CH1340" s="17"/>
    </row>
    <row r="1341" spans="35:86" x14ac:dyDescent="0.15">
      <c r="AI1341" s="3"/>
      <c r="AJ1341" s="3"/>
      <c r="AK1341" s="15">
        <f t="shared" si="470"/>
        <v>6</v>
      </c>
      <c r="AL1341" s="11">
        <f t="shared" si="476"/>
        <v>7992</v>
      </c>
      <c r="AM1341" s="11" t="b">
        <f t="shared" si="469"/>
        <v>0</v>
      </c>
      <c r="AN1341" s="11">
        <f t="shared" si="471"/>
        <v>36000</v>
      </c>
      <c r="AO1341" s="11">
        <f t="shared" si="472"/>
        <v>0</v>
      </c>
      <c r="AP1341" s="11">
        <f t="shared" si="473"/>
        <v>0.45118457052694549</v>
      </c>
      <c r="AQ1341" s="11">
        <f t="shared" si="474"/>
        <v>0</v>
      </c>
      <c r="AT1341" s="3"/>
      <c r="AU1341" s="17"/>
      <c r="AV1341" s="19"/>
      <c r="AW1341" s="17"/>
      <c r="AX1341" s="17">
        <f t="shared" si="477"/>
        <v>1332</v>
      </c>
      <c r="AY1341" s="17">
        <f t="shared" si="475"/>
        <v>133.19999999999999</v>
      </c>
      <c r="AZ1341" s="17">
        <v>45.118457052694552</v>
      </c>
      <c r="BA1341" s="17"/>
      <c r="BB1341" s="17">
        <v>36</v>
      </c>
      <c r="BC1341" s="17"/>
      <c r="BD1341" s="17"/>
      <c r="BE1341" s="17"/>
      <c r="BF1341" s="17"/>
      <c r="BG1341" s="17"/>
      <c r="BH1341" s="17"/>
      <c r="BI1341" s="17"/>
      <c r="BJ1341" s="17"/>
      <c r="BK1341" s="17"/>
      <c r="BL1341" s="17"/>
      <c r="BM1341" s="17"/>
      <c r="BN1341" s="17"/>
      <c r="BO1341" s="17"/>
      <c r="BP1341" s="17"/>
      <c r="BQ1341" s="17"/>
      <c r="BR1341" s="17"/>
      <c r="BS1341" s="17"/>
      <c r="BT1341" s="17"/>
      <c r="BU1341" s="17"/>
      <c r="BV1341" s="17"/>
      <c r="BW1341" s="17"/>
      <c r="BX1341" s="17"/>
      <c r="BY1341" s="17"/>
      <c r="BZ1341" s="17"/>
      <c r="CA1341" s="17"/>
      <c r="CB1341" s="17"/>
      <c r="CC1341" s="17"/>
      <c r="CD1341" s="17"/>
      <c r="CE1341" s="17"/>
      <c r="CF1341" s="17"/>
      <c r="CG1341" s="17"/>
      <c r="CH1341" s="17"/>
    </row>
    <row r="1342" spans="35:86" x14ac:dyDescent="0.15">
      <c r="AI1342" s="3"/>
      <c r="AJ1342" s="3"/>
      <c r="AK1342" s="15">
        <f t="shared" si="470"/>
        <v>6</v>
      </c>
      <c r="AL1342" s="11">
        <f t="shared" si="476"/>
        <v>7998</v>
      </c>
      <c r="AM1342" s="11" t="b">
        <f t="shared" si="469"/>
        <v>0</v>
      </c>
      <c r="AN1342" s="11">
        <f t="shared" si="471"/>
        <v>36000</v>
      </c>
      <c r="AO1342" s="11">
        <f t="shared" si="472"/>
        <v>0</v>
      </c>
      <c r="AP1342" s="11">
        <f t="shared" si="473"/>
        <v>0.45228688534176031</v>
      </c>
      <c r="AQ1342" s="11">
        <f t="shared" si="474"/>
        <v>0</v>
      </c>
      <c r="AT1342" s="3"/>
      <c r="AU1342" s="17"/>
      <c r="AV1342" s="19"/>
      <c r="AW1342" s="17"/>
      <c r="AX1342" s="17">
        <f t="shared" si="477"/>
        <v>1333</v>
      </c>
      <c r="AY1342" s="17">
        <f t="shared" si="475"/>
        <v>133.30000000000001</v>
      </c>
      <c r="AZ1342" s="17">
        <v>45.22868853417603</v>
      </c>
      <c r="BA1342" s="17"/>
      <c r="BB1342" s="17">
        <v>36</v>
      </c>
      <c r="BC1342" s="17"/>
      <c r="BD1342" s="17"/>
      <c r="BE1342" s="17"/>
      <c r="BF1342" s="17"/>
      <c r="BG1342" s="17"/>
      <c r="BH1342" s="17"/>
      <c r="BI1342" s="17"/>
      <c r="BJ1342" s="17"/>
      <c r="BK1342" s="17"/>
      <c r="BL1342" s="17"/>
      <c r="BM1342" s="17"/>
      <c r="BN1342" s="17"/>
      <c r="BO1342" s="17"/>
      <c r="BP1342" s="17"/>
      <c r="BQ1342" s="17"/>
      <c r="BR1342" s="17"/>
      <c r="BS1342" s="17"/>
      <c r="BT1342" s="17"/>
      <c r="BU1342" s="17"/>
      <c r="BV1342" s="17"/>
      <c r="BW1342" s="17"/>
      <c r="BX1342" s="17"/>
      <c r="BY1342" s="17"/>
      <c r="BZ1342" s="17"/>
      <c r="CA1342" s="17"/>
      <c r="CB1342" s="17"/>
      <c r="CC1342" s="17"/>
      <c r="CD1342" s="17"/>
      <c r="CE1342" s="17"/>
      <c r="CF1342" s="17"/>
      <c r="CG1342" s="17"/>
      <c r="CH1342" s="17"/>
    </row>
    <row r="1343" spans="35:86" x14ac:dyDescent="0.15">
      <c r="AI1343" s="3"/>
      <c r="AJ1343" s="3"/>
      <c r="AK1343" s="15">
        <f t="shared" si="470"/>
        <v>6</v>
      </c>
      <c r="AL1343" s="11">
        <f t="shared" si="476"/>
        <v>8004</v>
      </c>
      <c r="AM1343" s="11" t="b">
        <f t="shared" si="469"/>
        <v>0</v>
      </c>
      <c r="AN1343" s="11">
        <f t="shared" si="471"/>
        <v>36000</v>
      </c>
      <c r="AO1343" s="11">
        <f t="shared" si="472"/>
        <v>0</v>
      </c>
      <c r="AP1343" s="11">
        <f t="shared" si="473"/>
        <v>0.45338920015657508</v>
      </c>
      <c r="AQ1343" s="11">
        <f t="shared" si="474"/>
        <v>0</v>
      </c>
      <c r="AT1343" s="3"/>
      <c r="AU1343" s="17"/>
      <c r="AV1343" s="19"/>
      <c r="AW1343" s="17"/>
      <c r="AX1343" s="17">
        <f t="shared" si="477"/>
        <v>1334</v>
      </c>
      <c r="AY1343" s="17">
        <f t="shared" si="475"/>
        <v>133.4</v>
      </c>
      <c r="AZ1343" s="17">
        <v>45.338920015657507</v>
      </c>
      <c r="BA1343" s="17"/>
      <c r="BB1343" s="17">
        <v>36</v>
      </c>
      <c r="BC1343" s="17"/>
      <c r="BD1343" s="17"/>
      <c r="BE1343" s="17"/>
      <c r="BF1343" s="17"/>
      <c r="BG1343" s="17"/>
      <c r="BH1343" s="17"/>
      <c r="BI1343" s="17"/>
      <c r="BJ1343" s="17"/>
      <c r="BK1343" s="17"/>
      <c r="BL1343" s="17"/>
      <c r="BM1343" s="17"/>
      <c r="BN1343" s="17"/>
      <c r="BO1343" s="17"/>
      <c r="BP1343" s="17"/>
      <c r="BQ1343" s="17"/>
      <c r="BR1343" s="17"/>
      <c r="BS1343" s="17"/>
      <c r="BT1343" s="17"/>
      <c r="BU1343" s="17"/>
      <c r="BV1343" s="17"/>
      <c r="BW1343" s="17"/>
      <c r="BX1343" s="17"/>
      <c r="BY1343" s="17"/>
      <c r="BZ1343" s="17"/>
      <c r="CA1343" s="17"/>
      <c r="CB1343" s="17"/>
      <c r="CC1343" s="17"/>
      <c r="CD1343" s="17"/>
      <c r="CE1343" s="17"/>
      <c r="CF1343" s="17"/>
      <c r="CG1343" s="17"/>
      <c r="CH1343" s="17"/>
    </row>
    <row r="1344" spans="35:86" x14ac:dyDescent="0.15">
      <c r="AI1344" s="3"/>
      <c r="AJ1344" s="3"/>
      <c r="AK1344" s="15">
        <f t="shared" si="470"/>
        <v>6</v>
      </c>
      <c r="AL1344" s="11">
        <f t="shared" si="476"/>
        <v>8010</v>
      </c>
      <c r="AM1344" s="11" t="b">
        <f t="shared" si="469"/>
        <v>0</v>
      </c>
      <c r="AN1344" s="11">
        <f t="shared" si="471"/>
        <v>36000</v>
      </c>
      <c r="AO1344" s="11">
        <f t="shared" si="472"/>
        <v>0</v>
      </c>
      <c r="AP1344" s="11">
        <f t="shared" si="473"/>
        <v>0.4544915149713899</v>
      </c>
      <c r="AQ1344" s="11">
        <f t="shared" si="474"/>
        <v>0</v>
      </c>
      <c r="AT1344" s="3"/>
      <c r="AU1344" s="17"/>
      <c r="AV1344" s="19"/>
      <c r="AW1344" s="17"/>
      <c r="AX1344" s="17">
        <f t="shared" si="477"/>
        <v>1335</v>
      </c>
      <c r="AY1344" s="17">
        <f t="shared" si="475"/>
        <v>133.5</v>
      </c>
      <c r="AZ1344" s="17">
        <v>45.449151497138992</v>
      </c>
      <c r="BA1344" s="17"/>
      <c r="BB1344" s="17">
        <v>36</v>
      </c>
      <c r="BC1344" s="17"/>
      <c r="BD1344" s="17"/>
      <c r="BE1344" s="17"/>
      <c r="BF1344" s="17"/>
      <c r="BG1344" s="17"/>
      <c r="BH1344" s="17"/>
      <c r="BI1344" s="17"/>
      <c r="BJ1344" s="17"/>
      <c r="BK1344" s="17"/>
      <c r="BL1344" s="17"/>
      <c r="BM1344" s="17"/>
      <c r="BN1344" s="17"/>
      <c r="BO1344" s="17"/>
      <c r="BP1344" s="17"/>
      <c r="BQ1344" s="17"/>
      <c r="BR1344" s="17"/>
      <c r="BS1344" s="17"/>
      <c r="BT1344" s="17"/>
      <c r="BU1344" s="17"/>
      <c r="BV1344" s="17"/>
      <c r="BW1344" s="17"/>
      <c r="BX1344" s="17"/>
      <c r="BY1344" s="17"/>
      <c r="BZ1344" s="17"/>
      <c r="CA1344" s="17"/>
      <c r="CB1344" s="17"/>
      <c r="CC1344" s="17"/>
      <c r="CD1344" s="17"/>
      <c r="CE1344" s="17"/>
      <c r="CF1344" s="17"/>
      <c r="CG1344" s="17"/>
      <c r="CH1344" s="17"/>
    </row>
    <row r="1345" spans="35:86" x14ac:dyDescent="0.15">
      <c r="AI1345" s="3"/>
      <c r="AJ1345" s="3"/>
      <c r="AK1345" s="15">
        <f t="shared" si="470"/>
        <v>6</v>
      </c>
      <c r="AL1345" s="11">
        <f t="shared" si="476"/>
        <v>8016</v>
      </c>
      <c r="AM1345" s="11" t="b">
        <f t="shared" si="469"/>
        <v>0</v>
      </c>
      <c r="AN1345" s="11">
        <f t="shared" si="471"/>
        <v>36000</v>
      </c>
      <c r="AO1345" s="11">
        <f t="shared" si="472"/>
        <v>0</v>
      </c>
      <c r="AP1345" s="11">
        <f t="shared" si="473"/>
        <v>0.45559382978620466</v>
      </c>
      <c r="AQ1345" s="11">
        <f t="shared" si="474"/>
        <v>0</v>
      </c>
      <c r="AT1345" s="3"/>
      <c r="AU1345" s="17"/>
      <c r="AV1345" s="19"/>
      <c r="AW1345" s="17"/>
      <c r="AX1345" s="17">
        <f t="shared" si="477"/>
        <v>1336</v>
      </c>
      <c r="AY1345" s="17">
        <f t="shared" si="475"/>
        <v>133.6</v>
      </c>
      <c r="AZ1345" s="17">
        <v>45.559382978620469</v>
      </c>
      <c r="BA1345" s="17"/>
      <c r="BB1345" s="17">
        <v>36</v>
      </c>
      <c r="BC1345" s="17"/>
      <c r="BD1345" s="17"/>
      <c r="BE1345" s="17"/>
      <c r="BF1345" s="17"/>
      <c r="BG1345" s="17"/>
      <c r="BH1345" s="17"/>
      <c r="BI1345" s="17"/>
      <c r="BJ1345" s="17"/>
      <c r="BK1345" s="17"/>
      <c r="BL1345" s="17"/>
      <c r="BM1345" s="17"/>
      <c r="BN1345" s="17"/>
      <c r="BO1345" s="17"/>
      <c r="BP1345" s="17"/>
      <c r="BQ1345" s="17"/>
      <c r="BR1345" s="17"/>
      <c r="BS1345" s="17"/>
      <c r="BT1345" s="17"/>
      <c r="BU1345" s="17"/>
      <c r="BV1345" s="17"/>
      <c r="BW1345" s="17"/>
      <c r="BX1345" s="17"/>
      <c r="BY1345" s="17"/>
      <c r="BZ1345" s="17"/>
      <c r="CA1345" s="17"/>
      <c r="CB1345" s="17"/>
      <c r="CC1345" s="17"/>
      <c r="CD1345" s="17"/>
      <c r="CE1345" s="17"/>
      <c r="CF1345" s="17"/>
      <c r="CG1345" s="17"/>
      <c r="CH1345" s="17"/>
    </row>
    <row r="1346" spans="35:86" x14ac:dyDescent="0.15">
      <c r="AI1346" s="3"/>
      <c r="AJ1346" s="3"/>
      <c r="AK1346" s="15">
        <f t="shared" si="470"/>
        <v>6</v>
      </c>
      <c r="AL1346" s="11">
        <f t="shared" si="476"/>
        <v>8022</v>
      </c>
      <c r="AM1346" s="11" t="b">
        <f t="shared" si="469"/>
        <v>0</v>
      </c>
      <c r="AN1346" s="11">
        <f t="shared" si="471"/>
        <v>36000</v>
      </c>
      <c r="AO1346" s="11">
        <f t="shared" si="472"/>
        <v>0</v>
      </c>
      <c r="AP1346" s="11">
        <f t="shared" si="473"/>
        <v>0.45669614460101954</v>
      </c>
      <c r="AQ1346" s="11">
        <f t="shared" si="474"/>
        <v>0</v>
      </c>
      <c r="AT1346" s="3"/>
      <c r="AU1346" s="17"/>
      <c r="AV1346" s="19"/>
      <c r="AW1346" s="17"/>
      <c r="AX1346" s="17">
        <f t="shared" si="477"/>
        <v>1337</v>
      </c>
      <c r="AY1346" s="17">
        <f t="shared" si="475"/>
        <v>133.69999999999999</v>
      </c>
      <c r="AZ1346" s="17">
        <v>45.669614460101954</v>
      </c>
      <c r="BA1346" s="17"/>
      <c r="BB1346" s="17">
        <v>36</v>
      </c>
      <c r="BC1346" s="17"/>
      <c r="BD1346" s="17"/>
      <c r="BE1346" s="17"/>
      <c r="BF1346" s="17"/>
      <c r="BG1346" s="17"/>
      <c r="BH1346" s="17"/>
      <c r="BI1346" s="17"/>
      <c r="BJ1346" s="17"/>
      <c r="BK1346" s="17"/>
      <c r="BL1346" s="17"/>
      <c r="BM1346" s="17"/>
      <c r="BN1346" s="17"/>
      <c r="BO1346" s="17"/>
      <c r="BP1346" s="17"/>
      <c r="BQ1346" s="17"/>
      <c r="BR1346" s="17"/>
      <c r="BS1346" s="17"/>
      <c r="BT1346" s="17"/>
      <c r="BU1346" s="17"/>
      <c r="BV1346" s="17"/>
      <c r="BW1346" s="17"/>
      <c r="BX1346" s="17"/>
      <c r="BY1346" s="17"/>
      <c r="BZ1346" s="17"/>
      <c r="CA1346" s="17"/>
      <c r="CB1346" s="17"/>
      <c r="CC1346" s="17"/>
      <c r="CD1346" s="17"/>
      <c r="CE1346" s="17"/>
      <c r="CF1346" s="17"/>
      <c r="CG1346" s="17"/>
      <c r="CH1346" s="17"/>
    </row>
    <row r="1347" spans="35:86" x14ac:dyDescent="0.15">
      <c r="AI1347" s="3"/>
      <c r="AJ1347" s="3"/>
      <c r="AK1347" s="15">
        <f t="shared" si="470"/>
        <v>6</v>
      </c>
      <c r="AL1347" s="11">
        <f t="shared" si="476"/>
        <v>8028</v>
      </c>
      <c r="AM1347" s="11" t="b">
        <f t="shared" si="469"/>
        <v>0</v>
      </c>
      <c r="AN1347" s="11">
        <f t="shared" si="471"/>
        <v>36000</v>
      </c>
      <c r="AO1347" s="11">
        <f t="shared" si="472"/>
        <v>0</v>
      </c>
      <c r="AP1347" s="11">
        <f t="shared" si="473"/>
        <v>0.45779845941583436</v>
      </c>
      <c r="AQ1347" s="11">
        <f t="shared" si="474"/>
        <v>0</v>
      </c>
      <c r="AT1347" s="3"/>
      <c r="AU1347" s="17"/>
      <c r="AV1347" s="19"/>
      <c r="AW1347" s="17"/>
      <c r="AX1347" s="17">
        <f t="shared" si="477"/>
        <v>1338</v>
      </c>
      <c r="AY1347" s="17">
        <f t="shared" si="475"/>
        <v>133.80000000000001</v>
      </c>
      <c r="AZ1347" s="17">
        <v>45.779845941583439</v>
      </c>
      <c r="BA1347" s="17"/>
      <c r="BB1347" s="17">
        <v>36</v>
      </c>
      <c r="BC1347" s="17"/>
      <c r="BD1347" s="17"/>
      <c r="BE1347" s="17"/>
      <c r="BF1347" s="17"/>
      <c r="BG1347" s="17"/>
      <c r="BH1347" s="17"/>
      <c r="BI1347" s="17"/>
      <c r="BJ1347" s="17"/>
      <c r="BK1347" s="17"/>
      <c r="BL1347" s="17"/>
      <c r="BM1347" s="17"/>
      <c r="BN1347" s="17"/>
      <c r="BO1347" s="17"/>
      <c r="BP1347" s="17"/>
      <c r="BQ1347" s="17"/>
      <c r="BR1347" s="17"/>
      <c r="BS1347" s="17"/>
      <c r="BT1347" s="17"/>
      <c r="BU1347" s="17"/>
      <c r="BV1347" s="17"/>
      <c r="BW1347" s="17"/>
      <c r="BX1347" s="17"/>
      <c r="BY1347" s="17"/>
      <c r="BZ1347" s="17"/>
      <c r="CA1347" s="17"/>
      <c r="CB1347" s="17"/>
      <c r="CC1347" s="17"/>
      <c r="CD1347" s="17"/>
      <c r="CE1347" s="17"/>
      <c r="CF1347" s="17"/>
      <c r="CG1347" s="17"/>
      <c r="CH1347" s="17"/>
    </row>
    <row r="1348" spans="35:86" x14ac:dyDescent="0.15">
      <c r="AI1348" s="3"/>
      <c r="AJ1348" s="3"/>
      <c r="AK1348" s="15">
        <f t="shared" si="470"/>
        <v>6</v>
      </c>
      <c r="AL1348" s="11">
        <f t="shared" si="476"/>
        <v>8034</v>
      </c>
      <c r="AM1348" s="11" t="b">
        <f t="shared" si="469"/>
        <v>0</v>
      </c>
      <c r="AN1348" s="11">
        <f t="shared" si="471"/>
        <v>36000</v>
      </c>
      <c r="AO1348" s="11">
        <f t="shared" si="472"/>
        <v>0</v>
      </c>
      <c r="AP1348" s="11">
        <f t="shared" si="473"/>
        <v>0.45890077423064918</v>
      </c>
      <c r="AQ1348" s="11">
        <f t="shared" si="474"/>
        <v>0</v>
      </c>
      <c r="AT1348" s="3"/>
      <c r="AU1348" s="17"/>
      <c r="AV1348" s="19"/>
      <c r="AW1348" s="17"/>
      <c r="AX1348" s="17">
        <f t="shared" si="477"/>
        <v>1339</v>
      </c>
      <c r="AY1348" s="17">
        <f t="shared" si="475"/>
        <v>133.9</v>
      </c>
      <c r="AZ1348" s="17">
        <v>45.890077423064916</v>
      </c>
      <c r="BA1348" s="17"/>
      <c r="BB1348" s="17">
        <v>36</v>
      </c>
      <c r="BC1348" s="17"/>
      <c r="BD1348" s="17"/>
      <c r="BE1348" s="17"/>
      <c r="BF1348" s="17"/>
      <c r="BG1348" s="17"/>
      <c r="BH1348" s="17"/>
      <c r="BI1348" s="17"/>
      <c r="BJ1348" s="17"/>
      <c r="BK1348" s="17"/>
      <c r="BL1348" s="17"/>
      <c r="BM1348" s="17"/>
      <c r="BN1348" s="17"/>
      <c r="BO1348" s="17"/>
      <c r="BP1348" s="17"/>
      <c r="BQ1348" s="17"/>
      <c r="BR1348" s="17"/>
      <c r="BS1348" s="17"/>
      <c r="BT1348" s="17"/>
      <c r="BU1348" s="17"/>
      <c r="BV1348" s="17"/>
      <c r="BW1348" s="17"/>
      <c r="BX1348" s="17"/>
      <c r="BY1348" s="17"/>
      <c r="BZ1348" s="17"/>
      <c r="CA1348" s="17"/>
      <c r="CB1348" s="17"/>
      <c r="CC1348" s="17"/>
      <c r="CD1348" s="17"/>
      <c r="CE1348" s="17"/>
      <c r="CF1348" s="17"/>
      <c r="CG1348" s="17"/>
      <c r="CH1348" s="17"/>
    </row>
    <row r="1349" spans="35:86" x14ac:dyDescent="0.15">
      <c r="AI1349" s="3"/>
      <c r="AJ1349" s="3"/>
      <c r="AK1349" s="15">
        <f t="shared" si="470"/>
        <v>6</v>
      </c>
      <c r="AL1349" s="11">
        <f t="shared" si="476"/>
        <v>8040</v>
      </c>
      <c r="AM1349" s="11" t="b">
        <f t="shared" si="469"/>
        <v>0</v>
      </c>
      <c r="AN1349" s="11">
        <f t="shared" si="471"/>
        <v>36000</v>
      </c>
      <c r="AO1349" s="11">
        <f t="shared" si="472"/>
        <v>0</v>
      </c>
      <c r="AP1349" s="11">
        <f t="shared" si="473"/>
        <v>0.46000308904546405</v>
      </c>
      <c r="AQ1349" s="11">
        <f t="shared" si="474"/>
        <v>0</v>
      </c>
      <c r="AT1349" s="3"/>
      <c r="AU1349" s="17"/>
      <c r="AV1349" s="19"/>
      <c r="AW1349" s="17"/>
      <c r="AX1349" s="17">
        <f t="shared" si="477"/>
        <v>1340</v>
      </c>
      <c r="AY1349" s="17">
        <f t="shared" si="475"/>
        <v>134</v>
      </c>
      <c r="AZ1349" s="17">
        <v>46.000308904546408</v>
      </c>
      <c r="BA1349" s="17"/>
      <c r="BB1349" s="17">
        <v>36</v>
      </c>
      <c r="BC1349" s="17"/>
      <c r="BD1349" s="17"/>
      <c r="BE1349" s="17"/>
      <c r="BF1349" s="17"/>
      <c r="BG1349" s="17"/>
      <c r="BH1349" s="17"/>
      <c r="BI1349" s="17"/>
      <c r="BJ1349" s="17"/>
      <c r="BK1349" s="17"/>
      <c r="BL1349" s="17"/>
      <c r="BM1349" s="17"/>
      <c r="BN1349" s="17"/>
      <c r="BO1349" s="17"/>
      <c r="BP1349" s="17"/>
      <c r="BQ1349" s="17"/>
      <c r="BR1349" s="17"/>
      <c r="BS1349" s="17"/>
      <c r="BT1349" s="17"/>
      <c r="BU1349" s="17"/>
      <c r="BV1349" s="17"/>
      <c r="BW1349" s="17"/>
      <c r="BX1349" s="17"/>
      <c r="BY1349" s="17"/>
      <c r="BZ1349" s="17"/>
      <c r="CA1349" s="17"/>
      <c r="CB1349" s="17"/>
      <c r="CC1349" s="17"/>
      <c r="CD1349" s="17"/>
      <c r="CE1349" s="17"/>
      <c r="CF1349" s="17"/>
      <c r="CG1349" s="17"/>
      <c r="CH1349" s="17"/>
    </row>
    <row r="1350" spans="35:86" x14ac:dyDescent="0.15">
      <c r="AI1350" s="3"/>
      <c r="AJ1350" s="3"/>
      <c r="AK1350" s="15">
        <f t="shared" si="470"/>
        <v>6</v>
      </c>
      <c r="AL1350" s="11">
        <f t="shared" si="476"/>
        <v>8046</v>
      </c>
      <c r="AM1350" s="11" t="b">
        <f t="shared" si="469"/>
        <v>0</v>
      </c>
      <c r="AN1350" s="11">
        <f t="shared" si="471"/>
        <v>36000</v>
      </c>
      <c r="AO1350" s="11">
        <f t="shared" si="472"/>
        <v>0</v>
      </c>
      <c r="AP1350" s="11">
        <f t="shared" si="473"/>
        <v>0.46110540386027887</v>
      </c>
      <c r="AQ1350" s="11">
        <f t="shared" si="474"/>
        <v>0</v>
      </c>
      <c r="AT1350" s="3"/>
      <c r="AU1350" s="17"/>
      <c r="AV1350" s="19"/>
      <c r="AW1350" s="17"/>
      <c r="AX1350" s="17">
        <f t="shared" si="477"/>
        <v>1341</v>
      </c>
      <c r="AY1350" s="17">
        <f t="shared" si="475"/>
        <v>134.1</v>
      </c>
      <c r="AZ1350" s="17">
        <v>46.110540386027886</v>
      </c>
      <c r="BA1350" s="17"/>
      <c r="BB1350" s="17">
        <v>36</v>
      </c>
      <c r="BC1350" s="17"/>
      <c r="BD1350" s="17"/>
      <c r="BE1350" s="17"/>
      <c r="BF1350" s="17"/>
      <c r="BG1350" s="17"/>
      <c r="BH1350" s="17"/>
      <c r="BI1350" s="17"/>
      <c r="BJ1350" s="17"/>
      <c r="BK1350" s="17"/>
      <c r="BL1350" s="17"/>
      <c r="BM1350" s="17"/>
      <c r="BN1350" s="17"/>
      <c r="BO1350" s="17"/>
      <c r="BP1350" s="17"/>
      <c r="BQ1350" s="17"/>
      <c r="BR1350" s="17"/>
      <c r="BS1350" s="17"/>
      <c r="BT1350" s="17"/>
      <c r="BU1350" s="17"/>
      <c r="BV1350" s="17"/>
      <c r="BW1350" s="17"/>
      <c r="BX1350" s="17"/>
      <c r="BY1350" s="17"/>
      <c r="BZ1350" s="17"/>
      <c r="CA1350" s="17"/>
      <c r="CB1350" s="17"/>
      <c r="CC1350" s="17"/>
      <c r="CD1350" s="17"/>
      <c r="CE1350" s="17"/>
      <c r="CF1350" s="17"/>
      <c r="CG1350" s="17"/>
      <c r="CH1350" s="17"/>
    </row>
    <row r="1351" spans="35:86" x14ac:dyDescent="0.15">
      <c r="AI1351" s="3"/>
      <c r="AJ1351" s="3"/>
      <c r="AK1351" s="15">
        <f t="shared" si="470"/>
        <v>6</v>
      </c>
      <c r="AL1351" s="11">
        <f t="shared" si="476"/>
        <v>8052</v>
      </c>
      <c r="AM1351" s="11" t="b">
        <f t="shared" si="469"/>
        <v>0</v>
      </c>
      <c r="AN1351" s="11">
        <f t="shared" si="471"/>
        <v>36000</v>
      </c>
      <c r="AO1351" s="11">
        <f t="shared" si="472"/>
        <v>0</v>
      </c>
      <c r="AP1351" s="11">
        <f t="shared" si="473"/>
        <v>0.46220771867509375</v>
      </c>
      <c r="AQ1351" s="11">
        <f t="shared" si="474"/>
        <v>0</v>
      </c>
      <c r="AT1351" s="3"/>
      <c r="AU1351" s="17"/>
      <c r="AV1351" s="19"/>
      <c r="AW1351" s="17"/>
      <c r="AX1351" s="17">
        <f t="shared" si="477"/>
        <v>1342</v>
      </c>
      <c r="AY1351" s="17">
        <f t="shared" si="475"/>
        <v>134.19999999999999</v>
      </c>
      <c r="AZ1351" s="17">
        <v>46.220771867509377</v>
      </c>
      <c r="BA1351" s="17"/>
      <c r="BB1351" s="17">
        <v>36</v>
      </c>
      <c r="BC1351" s="17"/>
      <c r="BD1351" s="17"/>
      <c r="BE1351" s="17"/>
      <c r="BF1351" s="17"/>
      <c r="BG1351" s="17"/>
      <c r="BH1351" s="17"/>
      <c r="BI1351" s="17"/>
      <c r="BJ1351" s="17"/>
      <c r="BK1351" s="17"/>
      <c r="BL1351" s="17"/>
      <c r="BM1351" s="17"/>
      <c r="BN1351" s="17"/>
      <c r="BO1351" s="17"/>
      <c r="BP1351" s="17"/>
      <c r="BQ1351" s="17"/>
      <c r="BR1351" s="17"/>
      <c r="BS1351" s="17"/>
      <c r="BT1351" s="17"/>
      <c r="BU1351" s="17"/>
      <c r="BV1351" s="17"/>
      <c r="BW1351" s="17"/>
      <c r="BX1351" s="17"/>
      <c r="BY1351" s="17"/>
      <c r="BZ1351" s="17"/>
      <c r="CA1351" s="17"/>
      <c r="CB1351" s="17"/>
      <c r="CC1351" s="17"/>
      <c r="CD1351" s="17"/>
      <c r="CE1351" s="17"/>
      <c r="CF1351" s="17"/>
      <c r="CG1351" s="17"/>
      <c r="CH1351" s="17"/>
    </row>
    <row r="1352" spans="35:86" x14ac:dyDescent="0.15">
      <c r="AI1352" s="3"/>
      <c r="AJ1352" s="3"/>
      <c r="AK1352" s="15">
        <f t="shared" si="470"/>
        <v>6</v>
      </c>
      <c r="AL1352" s="11">
        <f t="shared" si="476"/>
        <v>8058</v>
      </c>
      <c r="AM1352" s="11" t="b">
        <f t="shared" si="469"/>
        <v>0</v>
      </c>
      <c r="AN1352" s="11">
        <f t="shared" si="471"/>
        <v>36000</v>
      </c>
      <c r="AO1352" s="11">
        <f t="shared" si="472"/>
        <v>0</v>
      </c>
      <c r="AP1352" s="11">
        <f t="shared" si="473"/>
        <v>0.46331003348990857</v>
      </c>
      <c r="AQ1352" s="11">
        <f t="shared" si="474"/>
        <v>0</v>
      </c>
      <c r="AT1352" s="3"/>
      <c r="AU1352" s="17"/>
      <c r="AV1352" s="19"/>
      <c r="AW1352" s="17"/>
      <c r="AX1352" s="17">
        <f t="shared" si="477"/>
        <v>1343</v>
      </c>
      <c r="AY1352" s="17">
        <f t="shared" si="475"/>
        <v>134.30000000000001</v>
      </c>
      <c r="AZ1352" s="17">
        <v>46.331003348990855</v>
      </c>
      <c r="BA1352" s="17"/>
      <c r="BB1352" s="17">
        <v>36</v>
      </c>
      <c r="BC1352" s="17"/>
      <c r="BD1352" s="17"/>
      <c r="BE1352" s="17"/>
      <c r="BF1352" s="17"/>
      <c r="BG1352" s="17"/>
      <c r="BH1352" s="17"/>
      <c r="BI1352" s="17"/>
      <c r="BJ1352" s="17"/>
      <c r="BK1352" s="17"/>
      <c r="BL1352" s="17"/>
      <c r="BM1352" s="17"/>
      <c r="BN1352" s="17"/>
      <c r="BO1352" s="17"/>
      <c r="BP1352" s="17"/>
      <c r="BQ1352" s="17"/>
      <c r="BR1352" s="17"/>
      <c r="BS1352" s="17"/>
      <c r="BT1352" s="17"/>
      <c r="BU1352" s="17"/>
      <c r="BV1352" s="17"/>
      <c r="BW1352" s="17"/>
      <c r="BX1352" s="17"/>
      <c r="BY1352" s="17"/>
      <c r="BZ1352" s="17"/>
      <c r="CA1352" s="17"/>
      <c r="CB1352" s="17"/>
      <c r="CC1352" s="17"/>
      <c r="CD1352" s="17"/>
      <c r="CE1352" s="17"/>
      <c r="CF1352" s="17"/>
      <c r="CG1352" s="17"/>
      <c r="CH1352" s="17"/>
    </row>
    <row r="1353" spans="35:86" x14ac:dyDescent="0.15">
      <c r="AI1353" s="3"/>
      <c r="AJ1353" s="3"/>
      <c r="AK1353" s="15">
        <f t="shared" si="470"/>
        <v>6</v>
      </c>
      <c r="AL1353" s="11">
        <f t="shared" si="476"/>
        <v>8064</v>
      </c>
      <c r="AM1353" s="11" t="b">
        <f t="shared" ref="AM1353:AM1416" si="478">OR(AND(AL1353&gt;=$AC$5,AL1353&lt;=$AD$5),AND(AL1353&gt;=$AC$6,AL1353&lt;=$AD$6),AND(AL1353&gt;=$AC$7,AL1353&lt;=$AD$7),AND(AL1353&gt;=$AC$8,AL1353&lt;=$AD$8),AND(AL1353&gt;=$AC$9,AL1353&lt;=$AD$9),AND(AL1353&gt;=$AC$10,AL1353&lt;=$AD$10),AND(AL1353&gt;=$AC$11,AL1353&lt;=$AD$11),AND($AD$11&lt;$AC$11,OR(AL1353&lt;$AD$11,AL1353&gt;$AC$11)))</f>
        <v>0</v>
      </c>
      <c r="AN1353" s="11">
        <f t="shared" si="471"/>
        <v>36000</v>
      </c>
      <c r="AO1353" s="11">
        <f t="shared" si="472"/>
        <v>0</v>
      </c>
      <c r="AP1353" s="11">
        <f t="shared" si="473"/>
        <v>0.46441234830472339</v>
      </c>
      <c r="AQ1353" s="11">
        <f t="shared" si="474"/>
        <v>0</v>
      </c>
      <c r="AT1353" s="3"/>
      <c r="AU1353" s="17"/>
      <c r="AV1353" s="19"/>
      <c r="AW1353" s="17"/>
      <c r="AX1353" s="17">
        <f t="shared" si="477"/>
        <v>1344</v>
      </c>
      <c r="AY1353" s="17">
        <f t="shared" si="475"/>
        <v>134.4</v>
      </c>
      <c r="AZ1353" s="17">
        <v>46.441234830472339</v>
      </c>
      <c r="BA1353" s="17"/>
      <c r="BB1353" s="17">
        <v>36</v>
      </c>
      <c r="BC1353" s="17"/>
      <c r="BD1353" s="17"/>
      <c r="BE1353" s="17"/>
      <c r="BF1353" s="17"/>
      <c r="BG1353" s="17"/>
      <c r="BH1353" s="17"/>
      <c r="BI1353" s="17"/>
      <c r="BJ1353" s="17"/>
      <c r="BK1353" s="17"/>
      <c r="BL1353" s="17"/>
      <c r="BM1353" s="17"/>
      <c r="BN1353" s="17"/>
      <c r="BO1353" s="17"/>
      <c r="BP1353" s="17"/>
      <c r="BQ1353" s="17"/>
      <c r="BR1353" s="17"/>
      <c r="BS1353" s="17"/>
      <c r="BT1353" s="17"/>
      <c r="BU1353" s="17"/>
      <c r="BV1353" s="17"/>
      <c r="BW1353" s="17"/>
      <c r="BX1353" s="17"/>
      <c r="BY1353" s="17"/>
      <c r="BZ1353" s="17"/>
      <c r="CA1353" s="17"/>
      <c r="CB1353" s="17"/>
      <c r="CC1353" s="17"/>
      <c r="CD1353" s="17"/>
      <c r="CE1353" s="17"/>
      <c r="CF1353" s="17"/>
      <c r="CG1353" s="17"/>
      <c r="CH1353" s="17"/>
    </row>
    <row r="1354" spans="35:86" x14ac:dyDescent="0.15">
      <c r="AI1354" s="3"/>
      <c r="AJ1354" s="3"/>
      <c r="AK1354" s="15">
        <f t="shared" ref="AK1354:AK1417" si="479">1+INT(MOD(AL1354/60/24-0.5,7))</f>
        <v>6</v>
      </c>
      <c r="AL1354" s="11">
        <f t="shared" si="476"/>
        <v>8070</v>
      </c>
      <c r="AM1354" s="11" t="b">
        <f t="shared" si="478"/>
        <v>0</v>
      </c>
      <c r="AN1354" s="11">
        <f t="shared" ref="AN1354:AN1417" si="480">IF(AND(AM1354,NOT(AM1355)),$AB$26,AN1353+($AB$28-IF(AND(AM1353,AM1354),CHOOSE(AK1354,$AG$5,$AG$6,$AG$7,$AG$8,$AG$9,$AG$10,$AG$11)*$AA$22/$AA$24,0))*$AB$15)</f>
        <v>36000</v>
      </c>
      <c r="AO1354" s="11">
        <f t="shared" ref="AO1354:AO1417" si="481">IF(AND(AM1354,NOT(AM1355)),$AB$27,AO1353+($AB$29-IF(AND(AM1353,AM1354),CHOOSE(AK1354,$AG$5,$AG$6,$AG$7,$AG$8,$AG$9,$AG$10,$AG$11)*$AA$23/$AA$24,0))*$AB$15)</f>
        <v>0</v>
      </c>
      <c r="AP1354" s="11">
        <f t="shared" ref="AP1354:AP1417" si="482">IF(AN1353&lt;=0,0,(AP1353*AN1353-(IF(AND(AM1353,AM1354),CHOOSE(AK1354,$AI$5,$AI$6,$AI$7,$AI$8,$AI$9,$AI$10,$AI$11),$AA$37))*AP1353*$AB$15+$AA$34*(AQ1353-AP1353)*$AB$15+$AA$33*$AB$15)/AN1353)</f>
        <v>0.46551466311953826</v>
      </c>
      <c r="AQ1354" s="11">
        <f t="shared" si="474"/>
        <v>0</v>
      </c>
      <c r="AT1354" s="3"/>
      <c r="AU1354" s="17"/>
      <c r="AV1354" s="19"/>
      <c r="AW1354" s="17"/>
      <c r="AX1354" s="17">
        <f t="shared" si="477"/>
        <v>1345</v>
      </c>
      <c r="AY1354" s="17">
        <f t="shared" si="475"/>
        <v>134.5</v>
      </c>
      <c r="AZ1354" s="17">
        <v>46.551466311953824</v>
      </c>
      <c r="BA1354" s="17"/>
      <c r="BB1354" s="17">
        <v>36</v>
      </c>
      <c r="BC1354" s="17"/>
      <c r="BD1354" s="17"/>
      <c r="BE1354" s="17"/>
      <c r="BF1354" s="17"/>
      <c r="BG1354" s="17"/>
      <c r="BH1354" s="17"/>
      <c r="BI1354" s="17"/>
      <c r="BJ1354" s="17"/>
      <c r="BK1354" s="17"/>
      <c r="BL1354" s="17"/>
      <c r="BM1354" s="17"/>
      <c r="BN1354" s="17"/>
      <c r="BO1354" s="17"/>
      <c r="BP1354" s="17"/>
      <c r="BQ1354" s="17"/>
      <c r="BR1354" s="17"/>
      <c r="BS1354" s="17"/>
      <c r="BT1354" s="17"/>
      <c r="BU1354" s="17"/>
      <c r="BV1354" s="17"/>
      <c r="BW1354" s="17"/>
      <c r="BX1354" s="17"/>
      <c r="BY1354" s="17"/>
      <c r="BZ1354" s="17"/>
      <c r="CA1354" s="17"/>
      <c r="CB1354" s="17"/>
      <c r="CC1354" s="17"/>
      <c r="CD1354" s="17"/>
      <c r="CE1354" s="17"/>
      <c r="CF1354" s="17"/>
      <c r="CG1354" s="17"/>
      <c r="CH1354" s="17"/>
    </row>
    <row r="1355" spans="35:86" x14ac:dyDescent="0.15">
      <c r="AI1355" s="3"/>
      <c r="AJ1355" s="3"/>
      <c r="AK1355" s="15">
        <f t="shared" si="479"/>
        <v>6</v>
      </c>
      <c r="AL1355" s="11">
        <f t="shared" si="476"/>
        <v>8076</v>
      </c>
      <c r="AM1355" s="11" t="b">
        <f t="shared" si="478"/>
        <v>0</v>
      </c>
      <c r="AN1355" s="11">
        <f t="shared" si="480"/>
        <v>36000</v>
      </c>
      <c r="AO1355" s="11">
        <f t="shared" si="481"/>
        <v>0</v>
      </c>
      <c r="AP1355" s="11">
        <f t="shared" si="482"/>
        <v>0.46661697793435308</v>
      </c>
      <c r="AQ1355" s="11">
        <f t="shared" ref="AQ1355:AQ1418" si="483">IF(AO1354&lt;=0,0,(AQ1354*AO1354-$AA$34*(AQ1354-AP1354)*$AB$15)/AO1354)</f>
        <v>0</v>
      </c>
      <c r="AT1355" s="3"/>
      <c r="AU1355" s="17"/>
      <c r="AV1355" s="19"/>
      <c r="AW1355" s="17"/>
      <c r="AX1355" s="17">
        <f t="shared" si="477"/>
        <v>1346</v>
      </c>
      <c r="AY1355" s="17">
        <f t="shared" si="475"/>
        <v>134.6</v>
      </c>
      <c r="AZ1355" s="17">
        <v>46.661697793435309</v>
      </c>
      <c r="BA1355" s="17"/>
      <c r="BB1355" s="17">
        <v>36</v>
      </c>
      <c r="BC1355" s="17"/>
      <c r="BD1355" s="17"/>
      <c r="BE1355" s="17"/>
      <c r="BF1355" s="17"/>
      <c r="BG1355" s="17"/>
      <c r="BH1355" s="17"/>
      <c r="BI1355" s="17"/>
      <c r="BJ1355" s="17"/>
      <c r="BK1355" s="17"/>
      <c r="BL1355" s="17"/>
      <c r="BM1355" s="17"/>
      <c r="BN1355" s="17"/>
      <c r="BO1355" s="17"/>
      <c r="BP1355" s="17"/>
      <c r="BQ1355" s="17"/>
      <c r="BR1355" s="17"/>
      <c r="BS1355" s="17"/>
      <c r="BT1355" s="17"/>
      <c r="BU1355" s="17"/>
      <c r="BV1355" s="17"/>
      <c r="BW1355" s="17"/>
      <c r="BX1355" s="17"/>
      <c r="BY1355" s="17"/>
      <c r="BZ1355" s="17"/>
      <c r="CA1355" s="17"/>
      <c r="CB1355" s="17"/>
      <c r="CC1355" s="17"/>
      <c r="CD1355" s="17"/>
      <c r="CE1355" s="17"/>
      <c r="CF1355" s="17"/>
      <c r="CG1355" s="17"/>
      <c r="CH1355" s="17"/>
    </row>
    <row r="1356" spans="35:86" x14ac:dyDescent="0.15">
      <c r="AI1356" s="3"/>
      <c r="AJ1356" s="3"/>
      <c r="AK1356" s="15">
        <f t="shared" si="479"/>
        <v>6</v>
      </c>
      <c r="AL1356" s="11">
        <f t="shared" si="476"/>
        <v>8082</v>
      </c>
      <c r="AM1356" s="11" t="b">
        <f t="shared" si="478"/>
        <v>0</v>
      </c>
      <c r="AN1356" s="11">
        <f t="shared" si="480"/>
        <v>36000</v>
      </c>
      <c r="AO1356" s="11">
        <f t="shared" si="481"/>
        <v>0</v>
      </c>
      <c r="AP1356" s="11">
        <f t="shared" si="482"/>
        <v>0.46771929274916796</v>
      </c>
      <c r="AQ1356" s="11">
        <f t="shared" si="483"/>
        <v>0</v>
      </c>
      <c r="AT1356" s="3"/>
      <c r="AU1356" s="17"/>
      <c r="AV1356" s="19"/>
      <c r="AW1356" s="17"/>
      <c r="AX1356" s="17">
        <f t="shared" si="477"/>
        <v>1347</v>
      </c>
      <c r="AY1356" s="17">
        <f t="shared" si="475"/>
        <v>134.69999999999999</v>
      </c>
      <c r="AZ1356" s="17">
        <v>46.771929274916793</v>
      </c>
      <c r="BA1356" s="17"/>
      <c r="BB1356" s="17">
        <v>36</v>
      </c>
      <c r="BC1356" s="17"/>
      <c r="BD1356" s="17"/>
      <c r="BE1356" s="17"/>
      <c r="BF1356" s="17"/>
      <c r="BG1356" s="17"/>
      <c r="BH1356" s="17"/>
      <c r="BI1356" s="17"/>
      <c r="BJ1356" s="17"/>
      <c r="BK1356" s="17"/>
      <c r="BL1356" s="17"/>
      <c r="BM1356" s="17"/>
      <c r="BN1356" s="17"/>
      <c r="BO1356" s="17"/>
      <c r="BP1356" s="17"/>
      <c r="BQ1356" s="17"/>
      <c r="BR1356" s="17"/>
      <c r="BS1356" s="17"/>
      <c r="BT1356" s="17"/>
      <c r="BU1356" s="17"/>
      <c r="BV1356" s="17"/>
      <c r="BW1356" s="17"/>
      <c r="BX1356" s="17"/>
      <c r="BY1356" s="17"/>
      <c r="BZ1356" s="17"/>
      <c r="CA1356" s="17"/>
      <c r="CB1356" s="17"/>
      <c r="CC1356" s="17"/>
      <c r="CD1356" s="17"/>
      <c r="CE1356" s="17"/>
      <c r="CF1356" s="17"/>
      <c r="CG1356" s="17"/>
      <c r="CH1356" s="17"/>
    </row>
    <row r="1357" spans="35:86" x14ac:dyDescent="0.15">
      <c r="AI1357" s="3"/>
      <c r="AJ1357" s="3"/>
      <c r="AK1357" s="15">
        <f t="shared" si="479"/>
        <v>6</v>
      </c>
      <c r="AL1357" s="11">
        <f t="shared" si="476"/>
        <v>8088</v>
      </c>
      <c r="AM1357" s="11" t="b">
        <f t="shared" si="478"/>
        <v>0</v>
      </c>
      <c r="AN1357" s="11">
        <f t="shared" si="480"/>
        <v>36000</v>
      </c>
      <c r="AO1357" s="11">
        <f t="shared" si="481"/>
        <v>0</v>
      </c>
      <c r="AP1357" s="11">
        <f t="shared" si="482"/>
        <v>0.46882160756398278</v>
      </c>
      <c r="AQ1357" s="11">
        <f t="shared" si="483"/>
        <v>0</v>
      </c>
      <c r="AT1357" s="3"/>
      <c r="AU1357" s="17"/>
      <c r="AV1357" s="19"/>
      <c r="AW1357" s="17"/>
      <c r="AX1357" s="17">
        <f t="shared" si="477"/>
        <v>1348</v>
      </c>
      <c r="AY1357" s="17">
        <f t="shared" si="475"/>
        <v>134.80000000000001</v>
      </c>
      <c r="AZ1357" s="17">
        <v>46.882160756398278</v>
      </c>
      <c r="BA1357" s="17"/>
      <c r="BB1357" s="17">
        <v>36</v>
      </c>
      <c r="BC1357" s="17"/>
      <c r="BD1357" s="17"/>
      <c r="BE1357" s="17"/>
      <c r="BF1357" s="17"/>
      <c r="BG1357" s="17"/>
      <c r="BH1357" s="17"/>
      <c r="BI1357" s="17"/>
      <c r="BJ1357" s="17"/>
      <c r="BK1357" s="17"/>
      <c r="BL1357" s="17"/>
      <c r="BM1357" s="17"/>
      <c r="BN1357" s="17"/>
      <c r="BO1357" s="17"/>
      <c r="BP1357" s="17"/>
      <c r="BQ1357" s="17"/>
      <c r="BR1357" s="17"/>
      <c r="BS1357" s="17"/>
      <c r="BT1357" s="17"/>
      <c r="BU1357" s="17"/>
      <c r="BV1357" s="17"/>
      <c r="BW1357" s="17"/>
      <c r="BX1357" s="17"/>
      <c r="BY1357" s="17"/>
      <c r="BZ1357" s="17"/>
      <c r="CA1357" s="17"/>
      <c r="CB1357" s="17"/>
      <c r="CC1357" s="17"/>
      <c r="CD1357" s="17"/>
      <c r="CE1357" s="17"/>
      <c r="CF1357" s="17"/>
      <c r="CG1357" s="17"/>
      <c r="CH1357" s="17"/>
    </row>
    <row r="1358" spans="35:86" x14ac:dyDescent="0.15">
      <c r="AI1358" s="3"/>
      <c r="AJ1358" s="3"/>
      <c r="AK1358" s="15">
        <f t="shared" si="479"/>
        <v>6</v>
      </c>
      <c r="AL1358" s="11">
        <f t="shared" si="476"/>
        <v>8094</v>
      </c>
      <c r="AM1358" s="11" t="b">
        <f t="shared" si="478"/>
        <v>0</v>
      </c>
      <c r="AN1358" s="11">
        <f t="shared" si="480"/>
        <v>36000</v>
      </c>
      <c r="AO1358" s="11">
        <f t="shared" si="481"/>
        <v>0</v>
      </c>
      <c r="AP1358" s="11">
        <f t="shared" si="482"/>
        <v>0.4699239223787976</v>
      </c>
      <c r="AQ1358" s="11">
        <f t="shared" si="483"/>
        <v>0</v>
      </c>
      <c r="AT1358" s="3"/>
      <c r="AU1358" s="17"/>
      <c r="AV1358" s="19"/>
      <c r="AW1358" s="17"/>
      <c r="AX1358" s="17">
        <f t="shared" si="477"/>
        <v>1349</v>
      </c>
      <c r="AY1358" s="17">
        <f t="shared" si="475"/>
        <v>134.9</v>
      </c>
      <c r="AZ1358" s="17">
        <v>46.992392237879763</v>
      </c>
      <c r="BA1358" s="17"/>
      <c r="BB1358" s="17">
        <v>36</v>
      </c>
      <c r="BC1358" s="17"/>
      <c r="BD1358" s="17"/>
      <c r="BE1358" s="17"/>
      <c r="BF1358" s="17"/>
      <c r="BG1358" s="17"/>
      <c r="BH1358" s="17"/>
      <c r="BI1358" s="17"/>
      <c r="BJ1358" s="17"/>
      <c r="BK1358" s="17"/>
      <c r="BL1358" s="17"/>
      <c r="BM1358" s="17"/>
      <c r="BN1358" s="17"/>
      <c r="BO1358" s="17"/>
      <c r="BP1358" s="17"/>
      <c r="BQ1358" s="17"/>
      <c r="BR1358" s="17"/>
      <c r="BS1358" s="17"/>
      <c r="BT1358" s="17"/>
      <c r="BU1358" s="17"/>
      <c r="BV1358" s="17"/>
      <c r="BW1358" s="17"/>
      <c r="BX1358" s="17"/>
      <c r="BY1358" s="17"/>
      <c r="BZ1358" s="17"/>
      <c r="CA1358" s="17"/>
      <c r="CB1358" s="17"/>
      <c r="CC1358" s="17"/>
      <c r="CD1358" s="17"/>
      <c r="CE1358" s="17"/>
      <c r="CF1358" s="17"/>
      <c r="CG1358" s="17"/>
      <c r="CH1358" s="17"/>
    </row>
    <row r="1359" spans="35:86" x14ac:dyDescent="0.15">
      <c r="AI1359" s="3"/>
      <c r="AJ1359" s="3"/>
      <c r="AK1359" s="15">
        <f t="shared" si="479"/>
        <v>6</v>
      </c>
      <c r="AL1359" s="11">
        <f t="shared" si="476"/>
        <v>8100</v>
      </c>
      <c r="AM1359" s="11" t="b">
        <f t="shared" si="478"/>
        <v>0</v>
      </c>
      <c r="AN1359" s="11">
        <f t="shared" si="480"/>
        <v>36000</v>
      </c>
      <c r="AO1359" s="11">
        <f t="shared" si="481"/>
        <v>0</v>
      </c>
      <c r="AP1359" s="11">
        <f t="shared" si="482"/>
        <v>0.47102623719361247</v>
      </c>
      <c r="AQ1359" s="11">
        <f t="shared" si="483"/>
        <v>0</v>
      </c>
      <c r="AT1359" s="3"/>
      <c r="AU1359" s="17"/>
      <c r="AV1359" s="19"/>
      <c r="AW1359" s="17"/>
      <c r="AX1359" s="17">
        <f t="shared" si="477"/>
        <v>1350</v>
      </c>
      <c r="AY1359" s="17">
        <f t="shared" si="475"/>
        <v>135</v>
      </c>
      <c r="AZ1359" s="17">
        <v>47.102623719361247</v>
      </c>
      <c r="BA1359" s="17"/>
      <c r="BB1359" s="17">
        <v>36</v>
      </c>
      <c r="BC1359" s="17"/>
      <c r="BD1359" s="17"/>
      <c r="BE1359" s="17"/>
      <c r="BF1359" s="17"/>
      <c r="BG1359" s="17"/>
      <c r="BH1359" s="17"/>
      <c r="BI1359" s="17"/>
      <c r="BJ1359" s="17"/>
      <c r="BK1359" s="17"/>
      <c r="BL1359" s="17"/>
      <c r="BM1359" s="17"/>
      <c r="BN1359" s="17"/>
      <c r="BO1359" s="17"/>
      <c r="BP1359" s="17"/>
      <c r="BQ1359" s="17"/>
      <c r="BR1359" s="17"/>
      <c r="BS1359" s="17"/>
      <c r="BT1359" s="17"/>
      <c r="BU1359" s="17"/>
      <c r="BV1359" s="17"/>
      <c r="BW1359" s="17"/>
      <c r="BX1359" s="17"/>
      <c r="BY1359" s="17"/>
      <c r="BZ1359" s="17"/>
      <c r="CA1359" s="17"/>
      <c r="CB1359" s="17"/>
      <c r="CC1359" s="17"/>
      <c r="CD1359" s="17"/>
      <c r="CE1359" s="17"/>
      <c r="CF1359" s="17"/>
      <c r="CG1359" s="17"/>
      <c r="CH1359" s="17"/>
    </row>
    <row r="1360" spans="35:86" x14ac:dyDescent="0.15">
      <c r="AI1360" s="3"/>
      <c r="AJ1360" s="3"/>
      <c r="AK1360" s="15">
        <f t="shared" si="479"/>
        <v>6</v>
      </c>
      <c r="AL1360" s="11">
        <f t="shared" si="476"/>
        <v>8106</v>
      </c>
      <c r="AM1360" s="11" t="b">
        <f t="shared" si="478"/>
        <v>0</v>
      </c>
      <c r="AN1360" s="11">
        <f t="shared" si="480"/>
        <v>36000</v>
      </c>
      <c r="AO1360" s="11">
        <f t="shared" si="481"/>
        <v>0</v>
      </c>
      <c r="AP1360" s="11">
        <f t="shared" si="482"/>
        <v>0.47212855200842729</v>
      </c>
      <c r="AQ1360" s="11">
        <f t="shared" si="483"/>
        <v>0</v>
      </c>
      <c r="AT1360" s="3"/>
      <c r="AU1360" s="17"/>
      <c r="AV1360" s="19"/>
      <c r="AW1360" s="17"/>
      <c r="AX1360" s="17">
        <f t="shared" si="477"/>
        <v>1351</v>
      </c>
      <c r="AY1360" s="17">
        <f t="shared" si="475"/>
        <v>135.1</v>
      </c>
      <c r="AZ1360" s="17">
        <v>47.212855200842732</v>
      </c>
      <c r="BA1360" s="17"/>
      <c r="BB1360" s="17">
        <v>36</v>
      </c>
      <c r="BC1360" s="17"/>
      <c r="BD1360" s="17"/>
      <c r="BE1360" s="17"/>
      <c r="BF1360" s="17"/>
      <c r="BG1360" s="17"/>
      <c r="BH1360" s="17"/>
      <c r="BI1360" s="17"/>
      <c r="BJ1360" s="17"/>
      <c r="BK1360" s="17"/>
      <c r="BL1360" s="17"/>
      <c r="BM1360" s="17"/>
      <c r="BN1360" s="17"/>
      <c r="BO1360" s="17"/>
      <c r="BP1360" s="17"/>
      <c r="BQ1360" s="17"/>
      <c r="BR1360" s="17"/>
      <c r="BS1360" s="17"/>
      <c r="BT1360" s="17"/>
      <c r="BU1360" s="17"/>
      <c r="BV1360" s="17"/>
      <c r="BW1360" s="17"/>
      <c r="BX1360" s="17"/>
      <c r="BY1360" s="17"/>
      <c r="BZ1360" s="17"/>
      <c r="CA1360" s="17"/>
      <c r="CB1360" s="17"/>
      <c r="CC1360" s="17"/>
      <c r="CD1360" s="17"/>
      <c r="CE1360" s="17"/>
      <c r="CF1360" s="17"/>
      <c r="CG1360" s="17"/>
      <c r="CH1360" s="17"/>
    </row>
    <row r="1361" spans="35:86" x14ac:dyDescent="0.15">
      <c r="AI1361" s="3"/>
      <c r="AJ1361" s="3"/>
      <c r="AK1361" s="15">
        <f t="shared" si="479"/>
        <v>6</v>
      </c>
      <c r="AL1361" s="11">
        <f t="shared" si="476"/>
        <v>8112</v>
      </c>
      <c r="AM1361" s="11" t="b">
        <f t="shared" si="478"/>
        <v>0</v>
      </c>
      <c r="AN1361" s="11">
        <f t="shared" si="480"/>
        <v>36000</v>
      </c>
      <c r="AO1361" s="11">
        <f t="shared" si="481"/>
        <v>0</v>
      </c>
      <c r="AP1361" s="11">
        <f t="shared" si="482"/>
        <v>0.47323086682324217</v>
      </c>
      <c r="AQ1361" s="11">
        <f t="shared" si="483"/>
        <v>0</v>
      </c>
      <c r="AT1361" s="3"/>
      <c r="AU1361" s="17"/>
      <c r="AV1361" s="19"/>
      <c r="AW1361" s="17"/>
      <c r="AX1361" s="17">
        <f t="shared" si="477"/>
        <v>1352</v>
      </c>
      <c r="AY1361" s="17">
        <f t="shared" si="475"/>
        <v>135.19999999999999</v>
      </c>
      <c r="AZ1361" s="17">
        <v>47.323086682324217</v>
      </c>
      <c r="BA1361" s="17"/>
      <c r="BB1361" s="17">
        <v>36</v>
      </c>
      <c r="BC1361" s="17"/>
      <c r="BD1361" s="17"/>
      <c r="BE1361" s="17"/>
      <c r="BF1361" s="17"/>
      <c r="BG1361" s="17"/>
      <c r="BH1361" s="17"/>
      <c r="BI1361" s="17"/>
      <c r="BJ1361" s="17"/>
      <c r="BK1361" s="17"/>
      <c r="BL1361" s="17"/>
      <c r="BM1361" s="17"/>
      <c r="BN1361" s="17"/>
      <c r="BO1361" s="17"/>
      <c r="BP1361" s="17"/>
      <c r="BQ1361" s="17"/>
      <c r="BR1361" s="17"/>
      <c r="BS1361" s="17"/>
      <c r="BT1361" s="17"/>
      <c r="BU1361" s="17"/>
      <c r="BV1361" s="17"/>
      <c r="BW1361" s="17"/>
      <c r="BX1361" s="17"/>
      <c r="BY1361" s="17"/>
      <c r="BZ1361" s="17"/>
      <c r="CA1361" s="17"/>
      <c r="CB1361" s="17"/>
      <c r="CC1361" s="17"/>
      <c r="CD1361" s="17"/>
      <c r="CE1361" s="17"/>
      <c r="CF1361" s="17"/>
      <c r="CG1361" s="17"/>
      <c r="CH1361" s="17"/>
    </row>
    <row r="1362" spans="35:86" x14ac:dyDescent="0.15">
      <c r="AI1362" s="3"/>
      <c r="AJ1362" s="3"/>
      <c r="AK1362" s="15">
        <f t="shared" si="479"/>
        <v>6</v>
      </c>
      <c r="AL1362" s="11">
        <f t="shared" si="476"/>
        <v>8118</v>
      </c>
      <c r="AM1362" s="11" t="b">
        <f t="shared" si="478"/>
        <v>0</v>
      </c>
      <c r="AN1362" s="11">
        <f t="shared" si="480"/>
        <v>36000</v>
      </c>
      <c r="AO1362" s="11">
        <f t="shared" si="481"/>
        <v>0</v>
      </c>
      <c r="AP1362" s="11">
        <f t="shared" si="482"/>
        <v>0.47433318163805699</v>
      </c>
      <c r="AQ1362" s="11">
        <f t="shared" si="483"/>
        <v>0</v>
      </c>
      <c r="AT1362" s="3"/>
      <c r="AU1362" s="17"/>
      <c r="AV1362" s="19"/>
      <c r="AW1362" s="17"/>
      <c r="AX1362" s="17">
        <f t="shared" si="477"/>
        <v>1353</v>
      </c>
      <c r="AY1362" s="17">
        <f t="shared" si="475"/>
        <v>135.30000000000001</v>
      </c>
      <c r="AZ1362" s="17">
        <v>47.433318163805701</v>
      </c>
      <c r="BA1362" s="17"/>
      <c r="BB1362" s="17">
        <v>36</v>
      </c>
      <c r="BC1362" s="17"/>
      <c r="BD1362" s="17"/>
      <c r="BE1362" s="17"/>
      <c r="BF1362" s="17"/>
      <c r="BG1362" s="17"/>
      <c r="BH1362" s="17"/>
      <c r="BI1362" s="17"/>
      <c r="BJ1362" s="17"/>
      <c r="BK1362" s="17"/>
      <c r="BL1362" s="17"/>
      <c r="BM1362" s="17"/>
      <c r="BN1362" s="17"/>
      <c r="BO1362" s="17"/>
      <c r="BP1362" s="17"/>
      <c r="BQ1362" s="17"/>
      <c r="BR1362" s="17"/>
      <c r="BS1362" s="17"/>
      <c r="BT1362" s="17"/>
      <c r="BU1362" s="17"/>
      <c r="BV1362" s="17"/>
      <c r="BW1362" s="17"/>
      <c r="BX1362" s="17"/>
      <c r="BY1362" s="17"/>
      <c r="BZ1362" s="17"/>
      <c r="CA1362" s="17"/>
      <c r="CB1362" s="17"/>
      <c r="CC1362" s="17"/>
      <c r="CD1362" s="17"/>
      <c r="CE1362" s="17"/>
      <c r="CF1362" s="17"/>
      <c r="CG1362" s="17"/>
      <c r="CH1362" s="17"/>
    </row>
    <row r="1363" spans="35:86" x14ac:dyDescent="0.15">
      <c r="AI1363" s="3"/>
      <c r="AJ1363" s="3"/>
      <c r="AK1363" s="15">
        <f t="shared" si="479"/>
        <v>6</v>
      </c>
      <c r="AL1363" s="11">
        <f t="shared" si="476"/>
        <v>8124</v>
      </c>
      <c r="AM1363" s="11" t="b">
        <f t="shared" si="478"/>
        <v>0</v>
      </c>
      <c r="AN1363" s="11">
        <f t="shared" si="480"/>
        <v>36000</v>
      </c>
      <c r="AO1363" s="11">
        <f t="shared" si="481"/>
        <v>0</v>
      </c>
      <c r="AP1363" s="11">
        <f t="shared" si="482"/>
        <v>0.47543549645287181</v>
      </c>
      <c r="AQ1363" s="11">
        <f t="shared" si="483"/>
        <v>0</v>
      </c>
      <c r="AT1363" s="3"/>
      <c r="AU1363" s="17"/>
      <c r="AV1363" s="19"/>
      <c r="AW1363" s="17"/>
      <c r="AX1363" s="17">
        <f t="shared" si="477"/>
        <v>1354</v>
      </c>
      <c r="AY1363" s="17">
        <f t="shared" si="475"/>
        <v>135.4</v>
      </c>
      <c r="AZ1363" s="17">
        <v>47.543549645287179</v>
      </c>
      <c r="BA1363" s="17"/>
      <c r="BB1363" s="17">
        <v>36</v>
      </c>
      <c r="BC1363" s="17"/>
      <c r="BD1363" s="17"/>
      <c r="BE1363" s="17"/>
      <c r="BF1363" s="17"/>
      <c r="BG1363" s="17"/>
      <c r="BH1363" s="17"/>
      <c r="BI1363" s="17"/>
      <c r="BJ1363" s="17"/>
      <c r="BK1363" s="17"/>
      <c r="BL1363" s="17"/>
      <c r="BM1363" s="17"/>
      <c r="BN1363" s="17"/>
      <c r="BO1363" s="17"/>
      <c r="BP1363" s="17"/>
      <c r="BQ1363" s="17"/>
      <c r="BR1363" s="17"/>
      <c r="BS1363" s="17"/>
      <c r="BT1363" s="17"/>
      <c r="BU1363" s="17"/>
      <c r="BV1363" s="17"/>
      <c r="BW1363" s="17"/>
      <c r="BX1363" s="17"/>
      <c r="BY1363" s="17"/>
      <c r="BZ1363" s="17"/>
      <c r="CA1363" s="17"/>
      <c r="CB1363" s="17"/>
      <c r="CC1363" s="17"/>
      <c r="CD1363" s="17"/>
      <c r="CE1363" s="17"/>
      <c r="CF1363" s="17"/>
      <c r="CG1363" s="17"/>
      <c r="CH1363" s="17"/>
    </row>
    <row r="1364" spans="35:86" x14ac:dyDescent="0.15">
      <c r="AI1364" s="3"/>
      <c r="AJ1364" s="3"/>
      <c r="AK1364" s="15">
        <f t="shared" si="479"/>
        <v>6</v>
      </c>
      <c r="AL1364" s="11">
        <f t="shared" si="476"/>
        <v>8130</v>
      </c>
      <c r="AM1364" s="11" t="b">
        <f t="shared" si="478"/>
        <v>0</v>
      </c>
      <c r="AN1364" s="11">
        <f t="shared" si="480"/>
        <v>36000</v>
      </c>
      <c r="AO1364" s="11">
        <f t="shared" si="481"/>
        <v>0</v>
      </c>
      <c r="AP1364" s="11">
        <f t="shared" si="482"/>
        <v>0.47653781126768668</v>
      </c>
      <c r="AQ1364" s="11">
        <f t="shared" si="483"/>
        <v>0</v>
      </c>
      <c r="AT1364" s="3"/>
      <c r="AU1364" s="17"/>
      <c r="AV1364" s="19"/>
      <c r="AW1364" s="17"/>
      <c r="AX1364" s="17">
        <f t="shared" si="477"/>
        <v>1355</v>
      </c>
      <c r="AY1364" s="17">
        <f t="shared" ref="AY1364:AY1427" si="484">IF(ISNUMBER(AX1364),IF(ROUND((AX1364)*$AG$15*$AB$15,0) &lt;= 10080, ROUND((AX1364)*$AG$15,0)*$AB$15/60, 168),168)</f>
        <v>135.5</v>
      </c>
      <c r="AZ1364" s="17">
        <v>47.653781126768671</v>
      </c>
      <c r="BA1364" s="17"/>
      <c r="BB1364" s="17">
        <v>36</v>
      </c>
      <c r="BC1364" s="17"/>
      <c r="BD1364" s="17"/>
      <c r="BE1364" s="17"/>
      <c r="BF1364" s="17"/>
      <c r="BG1364" s="17"/>
      <c r="BH1364" s="17"/>
      <c r="BI1364" s="17"/>
      <c r="BJ1364" s="17"/>
      <c r="BK1364" s="17"/>
      <c r="BL1364" s="17"/>
      <c r="BM1364" s="17"/>
      <c r="BN1364" s="17"/>
      <c r="BO1364" s="17"/>
      <c r="BP1364" s="17"/>
      <c r="BQ1364" s="17"/>
      <c r="BR1364" s="17"/>
      <c r="BS1364" s="17"/>
      <c r="BT1364" s="17"/>
      <c r="BU1364" s="17"/>
      <c r="BV1364" s="17"/>
      <c r="BW1364" s="17"/>
      <c r="BX1364" s="17"/>
      <c r="BY1364" s="17"/>
      <c r="BZ1364" s="17"/>
      <c r="CA1364" s="17"/>
      <c r="CB1364" s="17"/>
      <c r="CC1364" s="17"/>
      <c r="CD1364" s="17"/>
      <c r="CE1364" s="17"/>
      <c r="CF1364" s="17"/>
      <c r="CG1364" s="17"/>
      <c r="CH1364" s="17"/>
    </row>
    <row r="1365" spans="35:86" x14ac:dyDescent="0.15">
      <c r="AI1365" s="3"/>
      <c r="AJ1365" s="3"/>
      <c r="AK1365" s="15">
        <f t="shared" si="479"/>
        <v>6</v>
      </c>
      <c r="AL1365" s="11">
        <f t="shared" si="476"/>
        <v>8136</v>
      </c>
      <c r="AM1365" s="11" t="b">
        <f t="shared" si="478"/>
        <v>0</v>
      </c>
      <c r="AN1365" s="11">
        <f t="shared" si="480"/>
        <v>36000</v>
      </c>
      <c r="AO1365" s="11">
        <f t="shared" si="481"/>
        <v>0</v>
      </c>
      <c r="AP1365" s="11">
        <f t="shared" si="482"/>
        <v>0.4776401260825015</v>
      </c>
      <c r="AQ1365" s="11">
        <f t="shared" si="483"/>
        <v>0</v>
      </c>
      <c r="AT1365" s="3"/>
      <c r="AU1365" s="17"/>
      <c r="AV1365" s="19"/>
      <c r="AW1365" s="17"/>
      <c r="AX1365" s="17">
        <f t="shared" si="477"/>
        <v>1356</v>
      </c>
      <c r="AY1365" s="17">
        <f t="shared" si="484"/>
        <v>135.6</v>
      </c>
      <c r="AZ1365" s="17">
        <v>47.764012608250148</v>
      </c>
      <c r="BA1365" s="17"/>
      <c r="BB1365" s="17">
        <v>36</v>
      </c>
      <c r="BC1365" s="17"/>
      <c r="BD1365" s="17"/>
      <c r="BE1365" s="17"/>
      <c r="BF1365" s="17"/>
      <c r="BG1365" s="17"/>
      <c r="BH1365" s="17"/>
      <c r="BI1365" s="17"/>
      <c r="BJ1365" s="17"/>
      <c r="BK1365" s="17"/>
      <c r="BL1365" s="17"/>
      <c r="BM1365" s="17"/>
      <c r="BN1365" s="17"/>
      <c r="BO1365" s="17"/>
      <c r="BP1365" s="17"/>
      <c r="BQ1365" s="17"/>
      <c r="BR1365" s="17"/>
      <c r="BS1365" s="17"/>
      <c r="BT1365" s="17"/>
      <c r="BU1365" s="17"/>
      <c r="BV1365" s="17"/>
      <c r="BW1365" s="17"/>
      <c r="BX1365" s="17"/>
      <c r="BY1365" s="17"/>
      <c r="BZ1365" s="17"/>
      <c r="CA1365" s="17"/>
      <c r="CB1365" s="17"/>
      <c r="CC1365" s="17"/>
      <c r="CD1365" s="17"/>
      <c r="CE1365" s="17"/>
      <c r="CF1365" s="17"/>
      <c r="CG1365" s="17"/>
      <c r="CH1365" s="17"/>
    </row>
    <row r="1366" spans="35:86" x14ac:dyDescent="0.15">
      <c r="AI1366" s="3"/>
      <c r="AJ1366" s="3"/>
      <c r="AK1366" s="15">
        <f t="shared" si="479"/>
        <v>6</v>
      </c>
      <c r="AL1366" s="11">
        <f t="shared" si="476"/>
        <v>8142</v>
      </c>
      <c r="AM1366" s="11" t="b">
        <f t="shared" si="478"/>
        <v>0</v>
      </c>
      <c r="AN1366" s="11">
        <f t="shared" si="480"/>
        <v>36000</v>
      </c>
      <c r="AO1366" s="11">
        <f t="shared" si="481"/>
        <v>0</v>
      </c>
      <c r="AP1366" s="11">
        <f t="shared" si="482"/>
        <v>0.47874244089731638</v>
      </c>
      <c r="AQ1366" s="11">
        <f t="shared" si="483"/>
        <v>0</v>
      </c>
      <c r="AT1366" s="3"/>
      <c r="AU1366" s="17"/>
      <c r="AV1366" s="19"/>
      <c r="AW1366" s="17"/>
      <c r="AX1366" s="17">
        <f t="shared" si="477"/>
        <v>1357</v>
      </c>
      <c r="AY1366" s="17">
        <f t="shared" si="484"/>
        <v>135.69999999999999</v>
      </c>
      <c r="AZ1366" s="17">
        <v>47.87424408973164</v>
      </c>
      <c r="BA1366" s="17"/>
      <c r="BB1366" s="17">
        <v>36</v>
      </c>
      <c r="BC1366" s="17"/>
      <c r="BD1366" s="17"/>
      <c r="BE1366" s="17"/>
      <c r="BF1366" s="17"/>
      <c r="BG1366" s="17"/>
      <c r="BH1366" s="17"/>
      <c r="BI1366" s="17"/>
      <c r="BJ1366" s="17"/>
      <c r="BK1366" s="17"/>
      <c r="BL1366" s="17"/>
      <c r="BM1366" s="17"/>
      <c r="BN1366" s="17"/>
      <c r="BO1366" s="17"/>
      <c r="BP1366" s="17"/>
      <c r="BQ1366" s="17"/>
      <c r="BR1366" s="17"/>
      <c r="BS1366" s="17"/>
      <c r="BT1366" s="17"/>
      <c r="BU1366" s="17"/>
      <c r="BV1366" s="17"/>
      <c r="BW1366" s="17"/>
      <c r="BX1366" s="17"/>
      <c r="BY1366" s="17"/>
      <c r="BZ1366" s="17"/>
      <c r="CA1366" s="17"/>
      <c r="CB1366" s="17"/>
      <c r="CC1366" s="17"/>
      <c r="CD1366" s="17"/>
      <c r="CE1366" s="17"/>
      <c r="CF1366" s="17"/>
      <c r="CG1366" s="17"/>
      <c r="CH1366" s="17"/>
    </row>
    <row r="1367" spans="35:86" x14ac:dyDescent="0.15">
      <c r="AI1367" s="3"/>
      <c r="AJ1367" s="3"/>
      <c r="AK1367" s="15">
        <f t="shared" si="479"/>
        <v>6</v>
      </c>
      <c r="AL1367" s="11">
        <f t="shared" si="476"/>
        <v>8148</v>
      </c>
      <c r="AM1367" s="11" t="b">
        <f t="shared" si="478"/>
        <v>0</v>
      </c>
      <c r="AN1367" s="11">
        <f t="shared" si="480"/>
        <v>36000</v>
      </c>
      <c r="AO1367" s="11">
        <f t="shared" si="481"/>
        <v>0</v>
      </c>
      <c r="AP1367" s="11">
        <f t="shared" si="482"/>
        <v>0.4798447557121312</v>
      </c>
      <c r="AQ1367" s="11">
        <f t="shared" si="483"/>
        <v>0</v>
      </c>
      <c r="AT1367" s="3"/>
      <c r="AU1367" s="17"/>
      <c r="AV1367" s="19"/>
      <c r="AW1367" s="17"/>
      <c r="AX1367" s="17">
        <f t="shared" si="477"/>
        <v>1358</v>
      </c>
      <c r="AY1367" s="17">
        <f t="shared" si="484"/>
        <v>135.80000000000001</v>
      </c>
      <c r="AZ1367" s="17">
        <v>47.984475571213117</v>
      </c>
      <c r="BA1367" s="17"/>
      <c r="BB1367" s="17">
        <v>36</v>
      </c>
      <c r="BC1367" s="17"/>
      <c r="BD1367" s="17"/>
      <c r="BE1367" s="17"/>
      <c r="BF1367" s="17"/>
      <c r="BG1367" s="17"/>
      <c r="BH1367" s="17"/>
      <c r="BI1367" s="17"/>
      <c r="BJ1367" s="17"/>
      <c r="BK1367" s="17"/>
      <c r="BL1367" s="17"/>
      <c r="BM1367" s="17"/>
      <c r="BN1367" s="17"/>
      <c r="BO1367" s="17"/>
      <c r="BP1367" s="17"/>
      <c r="BQ1367" s="17"/>
      <c r="BR1367" s="17"/>
      <c r="BS1367" s="17"/>
      <c r="BT1367" s="17"/>
      <c r="BU1367" s="17"/>
      <c r="BV1367" s="17"/>
      <c r="BW1367" s="17"/>
      <c r="BX1367" s="17"/>
      <c r="BY1367" s="17"/>
      <c r="BZ1367" s="17"/>
      <c r="CA1367" s="17"/>
      <c r="CB1367" s="17"/>
      <c r="CC1367" s="17"/>
      <c r="CD1367" s="17"/>
      <c r="CE1367" s="17"/>
      <c r="CF1367" s="17"/>
      <c r="CG1367" s="17"/>
      <c r="CH1367" s="17"/>
    </row>
    <row r="1368" spans="35:86" x14ac:dyDescent="0.15">
      <c r="AI1368" s="3"/>
      <c r="AJ1368" s="3"/>
      <c r="AK1368" s="15">
        <f t="shared" si="479"/>
        <v>6</v>
      </c>
      <c r="AL1368" s="11">
        <f t="shared" si="476"/>
        <v>8154</v>
      </c>
      <c r="AM1368" s="11" t="b">
        <f t="shared" si="478"/>
        <v>0</v>
      </c>
      <c r="AN1368" s="11">
        <f t="shared" si="480"/>
        <v>36000</v>
      </c>
      <c r="AO1368" s="11">
        <f t="shared" si="481"/>
        <v>0</v>
      </c>
      <c r="AP1368" s="11">
        <f t="shared" si="482"/>
        <v>0.48094707052694602</v>
      </c>
      <c r="AQ1368" s="11">
        <f t="shared" si="483"/>
        <v>0</v>
      </c>
      <c r="AT1368" s="3"/>
      <c r="AU1368" s="17"/>
      <c r="AV1368" s="19"/>
      <c r="AW1368" s="17"/>
      <c r="AX1368" s="17">
        <f t="shared" si="477"/>
        <v>1359</v>
      </c>
      <c r="AY1368" s="17">
        <f t="shared" si="484"/>
        <v>135.9</v>
      </c>
      <c r="AZ1368" s="17">
        <v>48.094707052694602</v>
      </c>
      <c r="BA1368" s="17"/>
      <c r="BB1368" s="17">
        <v>36</v>
      </c>
      <c r="BC1368" s="17"/>
      <c r="BD1368" s="17"/>
      <c r="BE1368" s="17"/>
      <c r="BF1368" s="17"/>
      <c r="BG1368" s="17"/>
      <c r="BH1368" s="17"/>
      <c r="BI1368" s="17"/>
      <c r="BJ1368" s="17"/>
      <c r="BK1368" s="17"/>
      <c r="BL1368" s="17"/>
      <c r="BM1368" s="17"/>
      <c r="BN1368" s="17"/>
      <c r="BO1368" s="17"/>
      <c r="BP1368" s="17"/>
      <c r="BQ1368" s="17"/>
      <c r="BR1368" s="17"/>
      <c r="BS1368" s="17"/>
      <c r="BT1368" s="17"/>
      <c r="BU1368" s="17"/>
      <c r="BV1368" s="17"/>
      <c r="BW1368" s="17"/>
      <c r="BX1368" s="17"/>
      <c r="BY1368" s="17"/>
      <c r="BZ1368" s="17"/>
      <c r="CA1368" s="17"/>
      <c r="CB1368" s="17"/>
      <c r="CC1368" s="17"/>
      <c r="CD1368" s="17"/>
      <c r="CE1368" s="17"/>
      <c r="CF1368" s="17"/>
      <c r="CG1368" s="17"/>
      <c r="CH1368" s="17"/>
    </row>
    <row r="1369" spans="35:86" x14ac:dyDescent="0.15">
      <c r="AI1369" s="3"/>
      <c r="AJ1369" s="3"/>
      <c r="AK1369" s="15">
        <f t="shared" si="479"/>
        <v>6</v>
      </c>
      <c r="AL1369" s="11">
        <f t="shared" si="476"/>
        <v>8160</v>
      </c>
      <c r="AM1369" s="11" t="b">
        <f t="shared" si="478"/>
        <v>0</v>
      </c>
      <c r="AN1369" s="11">
        <f t="shared" si="480"/>
        <v>36000</v>
      </c>
      <c r="AO1369" s="11">
        <f t="shared" si="481"/>
        <v>0</v>
      </c>
      <c r="AP1369" s="11">
        <f t="shared" si="482"/>
        <v>0.48204938534176089</v>
      </c>
      <c r="AQ1369" s="11">
        <f t="shared" si="483"/>
        <v>0</v>
      </c>
      <c r="AT1369" s="3"/>
      <c r="AU1369" s="17"/>
      <c r="AV1369" s="19"/>
      <c r="AW1369" s="17"/>
      <c r="AX1369" s="17">
        <f t="shared" si="477"/>
        <v>1360</v>
      </c>
      <c r="AY1369" s="17">
        <f t="shared" si="484"/>
        <v>136</v>
      </c>
      <c r="AZ1369" s="17">
        <v>48.204938534176087</v>
      </c>
      <c r="BA1369" s="17"/>
      <c r="BB1369" s="17">
        <v>36</v>
      </c>
      <c r="BC1369" s="17"/>
      <c r="BD1369" s="17"/>
      <c r="BE1369" s="17"/>
      <c r="BF1369" s="17"/>
      <c r="BG1369" s="17"/>
      <c r="BH1369" s="17"/>
      <c r="BI1369" s="17"/>
      <c r="BJ1369" s="17"/>
      <c r="BK1369" s="17"/>
      <c r="BL1369" s="17"/>
      <c r="BM1369" s="17"/>
      <c r="BN1369" s="17"/>
      <c r="BO1369" s="17"/>
      <c r="BP1369" s="17"/>
      <c r="BQ1369" s="17"/>
      <c r="BR1369" s="17"/>
      <c r="BS1369" s="17"/>
      <c r="BT1369" s="17"/>
      <c r="BU1369" s="17"/>
      <c r="BV1369" s="17"/>
      <c r="BW1369" s="17"/>
      <c r="BX1369" s="17"/>
      <c r="BY1369" s="17"/>
      <c r="BZ1369" s="17"/>
      <c r="CA1369" s="17"/>
      <c r="CB1369" s="17"/>
      <c r="CC1369" s="17"/>
      <c r="CD1369" s="17"/>
      <c r="CE1369" s="17"/>
      <c r="CF1369" s="17"/>
      <c r="CG1369" s="17"/>
      <c r="CH1369" s="17"/>
    </row>
    <row r="1370" spans="35:86" x14ac:dyDescent="0.15">
      <c r="AI1370" s="3"/>
      <c r="AJ1370" s="3"/>
      <c r="AK1370" s="15">
        <f t="shared" si="479"/>
        <v>6</v>
      </c>
      <c r="AL1370" s="11">
        <f t="shared" si="476"/>
        <v>8166</v>
      </c>
      <c r="AM1370" s="11" t="b">
        <f t="shared" si="478"/>
        <v>0</v>
      </c>
      <c r="AN1370" s="11">
        <f t="shared" si="480"/>
        <v>36000</v>
      </c>
      <c r="AO1370" s="11">
        <f t="shared" si="481"/>
        <v>0</v>
      </c>
      <c r="AP1370" s="11">
        <f t="shared" si="482"/>
        <v>0.48315170015657571</v>
      </c>
      <c r="AQ1370" s="11">
        <f t="shared" si="483"/>
        <v>0</v>
      </c>
      <c r="AT1370" s="3"/>
      <c r="AU1370" s="17"/>
      <c r="AV1370" s="19"/>
      <c r="AW1370" s="17"/>
      <c r="AX1370" s="17">
        <f t="shared" si="477"/>
        <v>1361</v>
      </c>
      <c r="AY1370" s="17">
        <f t="shared" si="484"/>
        <v>136.1</v>
      </c>
      <c r="AZ1370" s="17">
        <v>48.315170015657571</v>
      </c>
      <c r="BA1370" s="17"/>
      <c r="BB1370" s="17">
        <v>36</v>
      </c>
      <c r="BC1370" s="17"/>
      <c r="BD1370" s="17"/>
      <c r="BE1370" s="17"/>
      <c r="BF1370" s="17"/>
      <c r="BG1370" s="17"/>
      <c r="BH1370" s="17"/>
      <c r="BI1370" s="17"/>
      <c r="BJ1370" s="17"/>
      <c r="BK1370" s="17"/>
      <c r="BL1370" s="17"/>
      <c r="BM1370" s="17"/>
      <c r="BN1370" s="17"/>
      <c r="BO1370" s="17"/>
      <c r="BP1370" s="17"/>
      <c r="BQ1370" s="17"/>
      <c r="BR1370" s="17"/>
      <c r="BS1370" s="17"/>
      <c r="BT1370" s="17"/>
      <c r="BU1370" s="17"/>
      <c r="BV1370" s="17"/>
      <c r="BW1370" s="17"/>
      <c r="BX1370" s="17"/>
      <c r="BY1370" s="17"/>
      <c r="BZ1370" s="17"/>
      <c r="CA1370" s="17"/>
      <c r="CB1370" s="17"/>
      <c r="CC1370" s="17"/>
      <c r="CD1370" s="17"/>
      <c r="CE1370" s="17"/>
      <c r="CF1370" s="17"/>
      <c r="CG1370" s="17"/>
      <c r="CH1370" s="17"/>
    </row>
    <row r="1371" spans="35:86" x14ac:dyDescent="0.15">
      <c r="AI1371" s="3"/>
      <c r="AJ1371" s="3"/>
      <c r="AK1371" s="15">
        <f t="shared" si="479"/>
        <v>6</v>
      </c>
      <c r="AL1371" s="11">
        <f t="shared" si="476"/>
        <v>8172</v>
      </c>
      <c r="AM1371" s="11" t="b">
        <f t="shared" si="478"/>
        <v>0</v>
      </c>
      <c r="AN1371" s="11">
        <f t="shared" si="480"/>
        <v>36000</v>
      </c>
      <c r="AO1371" s="11">
        <f t="shared" si="481"/>
        <v>0</v>
      </c>
      <c r="AP1371" s="11">
        <f t="shared" si="482"/>
        <v>0.48425401497139059</v>
      </c>
      <c r="AQ1371" s="11">
        <f t="shared" si="483"/>
        <v>0</v>
      </c>
      <c r="AT1371" s="3"/>
      <c r="AU1371" s="17"/>
      <c r="AV1371" s="19"/>
      <c r="AW1371" s="17"/>
      <c r="AX1371" s="17">
        <f t="shared" si="477"/>
        <v>1362</v>
      </c>
      <c r="AY1371" s="17">
        <f t="shared" si="484"/>
        <v>136.19999999999999</v>
      </c>
      <c r="AZ1371" s="17">
        <v>48.425401497139056</v>
      </c>
      <c r="BA1371" s="17"/>
      <c r="BB1371" s="17">
        <v>36</v>
      </c>
      <c r="BC1371" s="17"/>
      <c r="BD1371" s="17"/>
      <c r="BE1371" s="17"/>
      <c r="BF1371" s="17"/>
      <c r="BG1371" s="17"/>
      <c r="BH1371" s="17"/>
      <c r="BI1371" s="17"/>
      <c r="BJ1371" s="17"/>
      <c r="BK1371" s="17"/>
      <c r="BL1371" s="17"/>
      <c r="BM1371" s="17"/>
      <c r="BN1371" s="17"/>
      <c r="BO1371" s="17"/>
      <c r="BP1371" s="17"/>
      <c r="BQ1371" s="17"/>
      <c r="BR1371" s="17"/>
      <c r="BS1371" s="17"/>
      <c r="BT1371" s="17"/>
      <c r="BU1371" s="17"/>
      <c r="BV1371" s="17"/>
      <c r="BW1371" s="17"/>
      <c r="BX1371" s="17"/>
      <c r="BY1371" s="17"/>
      <c r="BZ1371" s="17"/>
      <c r="CA1371" s="17"/>
      <c r="CB1371" s="17"/>
      <c r="CC1371" s="17"/>
      <c r="CD1371" s="17"/>
      <c r="CE1371" s="17"/>
      <c r="CF1371" s="17"/>
      <c r="CG1371" s="17"/>
      <c r="CH1371" s="17"/>
    </row>
    <row r="1372" spans="35:86" x14ac:dyDescent="0.15">
      <c r="AI1372" s="3"/>
      <c r="AJ1372" s="3"/>
      <c r="AK1372" s="15">
        <f t="shared" si="479"/>
        <v>6</v>
      </c>
      <c r="AL1372" s="11">
        <f t="shared" si="476"/>
        <v>8178</v>
      </c>
      <c r="AM1372" s="11" t="b">
        <f t="shared" si="478"/>
        <v>0</v>
      </c>
      <c r="AN1372" s="11">
        <f t="shared" si="480"/>
        <v>36000</v>
      </c>
      <c r="AO1372" s="11">
        <f t="shared" si="481"/>
        <v>0</v>
      </c>
      <c r="AP1372" s="11">
        <f t="shared" si="482"/>
        <v>0.48535632978620541</v>
      </c>
      <c r="AQ1372" s="11">
        <f t="shared" si="483"/>
        <v>0</v>
      </c>
      <c r="AT1372" s="3"/>
      <c r="AU1372" s="17"/>
      <c r="AV1372" s="19"/>
      <c r="AW1372" s="17"/>
      <c r="AX1372" s="17">
        <f t="shared" si="477"/>
        <v>1363</v>
      </c>
      <c r="AY1372" s="17">
        <f t="shared" si="484"/>
        <v>136.30000000000001</v>
      </c>
      <c r="AZ1372" s="17">
        <v>48.535632978620541</v>
      </c>
      <c r="BA1372" s="17"/>
      <c r="BB1372" s="17">
        <v>36</v>
      </c>
      <c r="BC1372" s="17"/>
      <c r="BD1372" s="17"/>
      <c r="BE1372" s="17"/>
      <c r="BF1372" s="17"/>
      <c r="BG1372" s="17"/>
      <c r="BH1372" s="17"/>
      <c r="BI1372" s="17"/>
      <c r="BJ1372" s="17"/>
      <c r="BK1372" s="17"/>
      <c r="BL1372" s="17"/>
      <c r="BM1372" s="17"/>
      <c r="BN1372" s="17"/>
      <c r="BO1372" s="17"/>
      <c r="BP1372" s="17"/>
      <c r="BQ1372" s="17"/>
      <c r="BR1372" s="17"/>
      <c r="BS1372" s="17"/>
      <c r="BT1372" s="17"/>
      <c r="BU1372" s="17"/>
      <c r="BV1372" s="17"/>
      <c r="BW1372" s="17"/>
      <c r="BX1372" s="17"/>
      <c r="BY1372" s="17"/>
      <c r="BZ1372" s="17"/>
      <c r="CA1372" s="17"/>
      <c r="CB1372" s="17"/>
      <c r="CC1372" s="17"/>
      <c r="CD1372" s="17"/>
      <c r="CE1372" s="17"/>
      <c r="CF1372" s="17"/>
      <c r="CG1372" s="17"/>
      <c r="CH1372" s="17"/>
    </row>
    <row r="1373" spans="35:86" x14ac:dyDescent="0.15">
      <c r="AI1373" s="3"/>
      <c r="AJ1373" s="3"/>
      <c r="AK1373" s="15">
        <f t="shared" si="479"/>
        <v>6</v>
      </c>
      <c r="AL1373" s="11">
        <f t="shared" si="476"/>
        <v>8184</v>
      </c>
      <c r="AM1373" s="11" t="b">
        <f t="shared" si="478"/>
        <v>0</v>
      </c>
      <c r="AN1373" s="11">
        <f t="shared" si="480"/>
        <v>36000</v>
      </c>
      <c r="AO1373" s="11">
        <f t="shared" si="481"/>
        <v>0</v>
      </c>
      <c r="AP1373" s="11">
        <f t="shared" si="482"/>
        <v>0.48645864460102023</v>
      </c>
      <c r="AQ1373" s="11">
        <f t="shared" si="483"/>
        <v>0</v>
      </c>
      <c r="AT1373" s="3"/>
      <c r="AU1373" s="17"/>
      <c r="AV1373" s="19"/>
      <c r="AW1373" s="17"/>
      <c r="AX1373" s="17">
        <f t="shared" si="477"/>
        <v>1364</v>
      </c>
      <c r="AY1373" s="17">
        <f t="shared" si="484"/>
        <v>136.4</v>
      </c>
      <c r="AZ1373" s="17">
        <v>48.645864460102025</v>
      </c>
      <c r="BA1373" s="17"/>
      <c r="BB1373" s="17">
        <v>36</v>
      </c>
      <c r="BC1373" s="17"/>
      <c r="BD1373" s="17"/>
      <c r="BE1373" s="17"/>
      <c r="BF1373" s="17"/>
      <c r="BG1373" s="17"/>
      <c r="BH1373" s="17"/>
      <c r="BI1373" s="17"/>
      <c r="BJ1373" s="17"/>
      <c r="BK1373" s="17"/>
      <c r="BL1373" s="17"/>
      <c r="BM1373" s="17"/>
      <c r="BN1373" s="17"/>
      <c r="BO1373" s="17"/>
      <c r="BP1373" s="17"/>
      <c r="BQ1373" s="17"/>
      <c r="BR1373" s="17"/>
      <c r="BS1373" s="17"/>
      <c r="BT1373" s="17"/>
      <c r="BU1373" s="17"/>
      <c r="BV1373" s="17"/>
      <c r="BW1373" s="17"/>
      <c r="BX1373" s="17"/>
      <c r="BY1373" s="17"/>
      <c r="BZ1373" s="17"/>
      <c r="CA1373" s="17"/>
      <c r="CB1373" s="17"/>
      <c r="CC1373" s="17"/>
      <c r="CD1373" s="17"/>
      <c r="CE1373" s="17"/>
      <c r="CF1373" s="17"/>
      <c r="CG1373" s="17"/>
      <c r="CH1373" s="17"/>
    </row>
    <row r="1374" spans="35:86" x14ac:dyDescent="0.15">
      <c r="AI1374" s="3"/>
      <c r="AJ1374" s="3"/>
      <c r="AK1374" s="15">
        <f t="shared" si="479"/>
        <v>6</v>
      </c>
      <c r="AL1374" s="11">
        <f t="shared" si="476"/>
        <v>8190</v>
      </c>
      <c r="AM1374" s="11" t="b">
        <f t="shared" si="478"/>
        <v>0</v>
      </c>
      <c r="AN1374" s="11">
        <f t="shared" si="480"/>
        <v>36000</v>
      </c>
      <c r="AO1374" s="11">
        <f t="shared" si="481"/>
        <v>0</v>
      </c>
      <c r="AP1374" s="11">
        <f t="shared" si="482"/>
        <v>0.4875609594158351</v>
      </c>
      <c r="AQ1374" s="11">
        <f t="shared" si="483"/>
        <v>0</v>
      </c>
      <c r="AT1374" s="3"/>
      <c r="AU1374" s="17"/>
      <c r="AV1374" s="19"/>
      <c r="AW1374" s="17"/>
      <c r="AX1374" s="17">
        <f t="shared" si="477"/>
        <v>1365</v>
      </c>
      <c r="AY1374" s="17">
        <f t="shared" si="484"/>
        <v>136.5</v>
      </c>
      <c r="AZ1374" s="17">
        <v>48.75609594158351</v>
      </c>
      <c r="BA1374" s="17"/>
      <c r="BB1374" s="17">
        <v>36</v>
      </c>
      <c r="BC1374" s="17"/>
      <c r="BD1374" s="17"/>
      <c r="BE1374" s="17"/>
      <c r="BF1374" s="17"/>
      <c r="BG1374" s="17"/>
      <c r="BH1374" s="17"/>
      <c r="BI1374" s="17"/>
      <c r="BJ1374" s="17"/>
      <c r="BK1374" s="17"/>
      <c r="BL1374" s="17"/>
      <c r="BM1374" s="17"/>
      <c r="BN1374" s="17"/>
      <c r="BO1374" s="17"/>
      <c r="BP1374" s="17"/>
      <c r="BQ1374" s="17"/>
      <c r="BR1374" s="17"/>
      <c r="BS1374" s="17"/>
      <c r="BT1374" s="17"/>
      <c r="BU1374" s="17"/>
      <c r="BV1374" s="17"/>
      <c r="BW1374" s="17"/>
      <c r="BX1374" s="17"/>
      <c r="BY1374" s="17"/>
      <c r="BZ1374" s="17"/>
      <c r="CA1374" s="17"/>
      <c r="CB1374" s="17"/>
      <c r="CC1374" s="17"/>
      <c r="CD1374" s="17"/>
      <c r="CE1374" s="17"/>
      <c r="CF1374" s="17"/>
      <c r="CG1374" s="17"/>
      <c r="CH1374" s="17"/>
    </row>
    <row r="1375" spans="35:86" x14ac:dyDescent="0.15">
      <c r="AI1375" s="3"/>
      <c r="AJ1375" s="3"/>
      <c r="AK1375" s="15">
        <f t="shared" si="479"/>
        <v>6</v>
      </c>
      <c r="AL1375" s="11">
        <f t="shared" si="476"/>
        <v>8196</v>
      </c>
      <c r="AM1375" s="11" t="b">
        <f t="shared" si="478"/>
        <v>0</v>
      </c>
      <c r="AN1375" s="11">
        <f t="shared" si="480"/>
        <v>36000</v>
      </c>
      <c r="AO1375" s="11">
        <f t="shared" si="481"/>
        <v>0</v>
      </c>
      <c r="AP1375" s="11">
        <f t="shared" si="482"/>
        <v>0.48866327423064992</v>
      </c>
      <c r="AQ1375" s="11">
        <f t="shared" si="483"/>
        <v>0</v>
      </c>
      <c r="AT1375" s="3"/>
      <c r="AU1375" s="17"/>
      <c r="AV1375" s="19"/>
      <c r="AW1375" s="17"/>
      <c r="AX1375" s="17">
        <f t="shared" si="477"/>
        <v>1366</v>
      </c>
      <c r="AY1375" s="17">
        <f t="shared" si="484"/>
        <v>136.6</v>
      </c>
      <c r="AZ1375" s="17">
        <v>48.866327423064995</v>
      </c>
      <c r="BA1375" s="17"/>
      <c r="BB1375" s="17">
        <v>36</v>
      </c>
      <c r="BC1375" s="17"/>
      <c r="BD1375" s="17"/>
      <c r="BE1375" s="17"/>
      <c r="BF1375" s="17"/>
      <c r="BG1375" s="17"/>
      <c r="BH1375" s="17"/>
      <c r="BI1375" s="17"/>
      <c r="BJ1375" s="17"/>
      <c r="BK1375" s="17"/>
      <c r="BL1375" s="17"/>
      <c r="BM1375" s="17"/>
      <c r="BN1375" s="17"/>
      <c r="BO1375" s="17"/>
      <c r="BP1375" s="17"/>
      <c r="BQ1375" s="17"/>
      <c r="BR1375" s="17"/>
      <c r="BS1375" s="17"/>
      <c r="BT1375" s="17"/>
      <c r="BU1375" s="17"/>
      <c r="BV1375" s="17"/>
      <c r="BW1375" s="17"/>
      <c r="BX1375" s="17"/>
      <c r="BY1375" s="17"/>
      <c r="BZ1375" s="17"/>
      <c r="CA1375" s="17"/>
      <c r="CB1375" s="17"/>
      <c r="CC1375" s="17"/>
      <c r="CD1375" s="17"/>
      <c r="CE1375" s="17"/>
      <c r="CF1375" s="17"/>
      <c r="CG1375" s="17"/>
      <c r="CH1375" s="17"/>
    </row>
    <row r="1376" spans="35:86" x14ac:dyDescent="0.15">
      <c r="AI1376" s="3"/>
      <c r="AJ1376" s="3"/>
      <c r="AK1376" s="15">
        <f t="shared" si="479"/>
        <v>6</v>
      </c>
      <c r="AL1376" s="11">
        <f t="shared" si="476"/>
        <v>8202</v>
      </c>
      <c r="AM1376" s="11" t="b">
        <f t="shared" si="478"/>
        <v>0</v>
      </c>
      <c r="AN1376" s="11">
        <f t="shared" si="480"/>
        <v>36000</v>
      </c>
      <c r="AO1376" s="11">
        <f t="shared" si="481"/>
        <v>0</v>
      </c>
      <c r="AP1376" s="11">
        <f t="shared" si="482"/>
        <v>0.48976558904546474</v>
      </c>
      <c r="AQ1376" s="11">
        <f t="shared" si="483"/>
        <v>0</v>
      </c>
      <c r="AT1376" s="3"/>
      <c r="AU1376" s="17"/>
      <c r="AV1376" s="19"/>
      <c r="AW1376" s="17"/>
      <c r="AX1376" s="17">
        <f t="shared" si="477"/>
        <v>1367</v>
      </c>
      <c r="AY1376" s="17">
        <f t="shared" si="484"/>
        <v>136.69999999999999</v>
      </c>
      <c r="AZ1376" s="17">
        <v>48.976558904546472</v>
      </c>
      <c r="BA1376" s="17"/>
      <c r="BB1376" s="17">
        <v>36</v>
      </c>
      <c r="BC1376" s="17"/>
      <c r="BD1376" s="17"/>
      <c r="BE1376" s="17"/>
      <c r="BF1376" s="17"/>
      <c r="BG1376" s="17"/>
      <c r="BH1376" s="17"/>
      <c r="BI1376" s="17"/>
      <c r="BJ1376" s="17"/>
      <c r="BK1376" s="17"/>
      <c r="BL1376" s="17"/>
      <c r="BM1376" s="17"/>
      <c r="BN1376" s="17"/>
      <c r="BO1376" s="17"/>
      <c r="BP1376" s="17"/>
      <c r="BQ1376" s="17"/>
      <c r="BR1376" s="17"/>
      <c r="BS1376" s="17"/>
      <c r="BT1376" s="17"/>
      <c r="BU1376" s="17"/>
      <c r="BV1376" s="17"/>
      <c r="BW1376" s="17"/>
      <c r="BX1376" s="17"/>
      <c r="BY1376" s="17"/>
      <c r="BZ1376" s="17"/>
      <c r="CA1376" s="17"/>
      <c r="CB1376" s="17"/>
      <c r="CC1376" s="17"/>
      <c r="CD1376" s="17"/>
      <c r="CE1376" s="17"/>
      <c r="CF1376" s="17"/>
      <c r="CG1376" s="17"/>
      <c r="CH1376" s="17"/>
    </row>
    <row r="1377" spans="35:86" x14ac:dyDescent="0.15">
      <c r="AI1377" s="3"/>
      <c r="AJ1377" s="3"/>
      <c r="AK1377" s="15">
        <f t="shared" si="479"/>
        <v>6</v>
      </c>
      <c r="AL1377" s="11">
        <f t="shared" si="476"/>
        <v>8208</v>
      </c>
      <c r="AM1377" s="11" t="b">
        <f t="shared" si="478"/>
        <v>0</v>
      </c>
      <c r="AN1377" s="11">
        <f t="shared" si="480"/>
        <v>36000</v>
      </c>
      <c r="AO1377" s="11">
        <f t="shared" si="481"/>
        <v>0</v>
      </c>
      <c r="AP1377" s="11">
        <f t="shared" si="482"/>
        <v>0.49086790386027962</v>
      </c>
      <c r="AQ1377" s="11">
        <f t="shared" si="483"/>
        <v>0</v>
      </c>
      <c r="AT1377" s="3"/>
      <c r="AU1377" s="17"/>
      <c r="AV1377" s="19"/>
      <c r="AW1377" s="17"/>
      <c r="AX1377" s="17">
        <f t="shared" si="477"/>
        <v>1368</v>
      </c>
      <c r="AY1377" s="17">
        <f t="shared" si="484"/>
        <v>136.80000000000001</v>
      </c>
      <c r="AZ1377" s="17">
        <v>49.086790386027964</v>
      </c>
      <c r="BA1377" s="17"/>
      <c r="BB1377" s="17">
        <v>36</v>
      </c>
      <c r="BC1377" s="17"/>
      <c r="BD1377" s="17"/>
      <c r="BE1377" s="17"/>
      <c r="BF1377" s="17"/>
      <c r="BG1377" s="17"/>
      <c r="BH1377" s="17"/>
      <c r="BI1377" s="17"/>
      <c r="BJ1377" s="17"/>
      <c r="BK1377" s="17"/>
      <c r="BL1377" s="17"/>
      <c r="BM1377" s="17"/>
      <c r="BN1377" s="17"/>
      <c r="BO1377" s="17"/>
      <c r="BP1377" s="17"/>
      <c r="BQ1377" s="17"/>
      <c r="BR1377" s="17"/>
      <c r="BS1377" s="17"/>
      <c r="BT1377" s="17"/>
      <c r="BU1377" s="17"/>
      <c r="BV1377" s="17"/>
      <c r="BW1377" s="17"/>
      <c r="BX1377" s="17"/>
      <c r="BY1377" s="17"/>
      <c r="BZ1377" s="17"/>
      <c r="CA1377" s="17"/>
      <c r="CB1377" s="17"/>
      <c r="CC1377" s="17"/>
      <c r="CD1377" s="17"/>
      <c r="CE1377" s="17"/>
      <c r="CF1377" s="17"/>
      <c r="CG1377" s="17"/>
      <c r="CH1377" s="17"/>
    </row>
    <row r="1378" spans="35:86" x14ac:dyDescent="0.15">
      <c r="AI1378" s="3"/>
      <c r="AJ1378" s="3"/>
      <c r="AK1378" s="15">
        <f t="shared" si="479"/>
        <v>6</v>
      </c>
      <c r="AL1378" s="11">
        <f t="shared" si="476"/>
        <v>8214</v>
      </c>
      <c r="AM1378" s="11" t="b">
        <f t="shared" si="478"/>
        <v>0</v>
      </c>
      <c r="AN1378" s="11">
        <f t="shared" si="480"/>
        <v>36000</v>
      </c>
      <c r="AO1378" s="11">
        <f t="shared" si="481"/>
        <v>0</v>
      </c>
      <c r="AP1378" s="11">
        <f t="shared" si="482"/>
        <v>0.49197021867509444</v>
      </c>
      <c r="AQ1378" s="11">
        <f t="shared" si="483"/>
        <v>0</v>
      </c>
      <c r="AT1378" s="3"/>
      <c r="AU1378" s="17"/>
      <c r="AV1378" s="19"/>
      <c r="AW1378" s="17"/>
      <c r="AX1378" s="17">
        <f t="shared" si="477"/>
        <v>1369</v>
      </c>
      <c r="AY1378" s="17">
        <f t="shared" si="484"/>
        <v>136.9</v>
      </c>
      <c r="AZ1378" s="17">
        <v>49.197021867509442</v>
      </c>
      <c r="BA1378" s="17"/>
      <c r="BB1378" s="17">
        <v>36</v>
      </c>
      <c r="BC1378" s="17"/>
      <c r="BD1378" s="17"/>
      <c r="BE1378" s="17"/>
      <c r="BF1378" s="17"/>
      <c r="BG1378" s="17"/>
      <c r="BH1378" s="17"/>
      <c r="BI1378" s="17"/>
      <c r="BJ1378" s="17"/>
      <c r="BK1378" s="17"/>
      <c r="BL1378" s="17"/>
      <c r="BM1378" s="17"/>
      <c r="BN1378" s="17"/>
      <c r="BO1378" s="17"/>
      <c r="BP1378" s="17"/>
      <c r="BQ1378" s="17"/>
      <c r="BR1378" s="17"/>
      <c r="BS1378" s="17"/>
      <c r="BT1378" s="17"/>
      <c r="BU1378" s="17"/>
      <c r="BV1378" s="17"/>
      <c r="BW1378" s="17"/>
      <c r="BX1378" s="17"/>
      <c r="BY1378" s="17"/>
      <c r="BZ1378" s="17"/>
      <c r="CA1378" s="17"/>
      <c r="CB1378" s="17"/>
      <c r="CC1378" s="17"/>
      <c r="CD1378" s="17"/>
      <c r="CE1378" s="17"/>
      <c r="CF1378" s="17"/>
      <c r="CG1378" s="17"/>
      <c r="CH1378" s="17"/>
    </row>
    <row r="1379" spans="35:86" x14ac:dyDescent="0.15">
      <c r="AI1379" s="3"/>
      <c r="AJ1379" s="3"/>
      <c r="AK1379" s="15">
        <f t="shared" si="479"/>
        <v>6</v>
      </c>
      <c r="AL1379" s="11">
        <f t="shared" si="476"/>
        <v>8220</v>
      </c>
      <c r="AM1379" s="11" t="b">
        <f t="shared" si="478"/>
        <v>0</v>
      </c>
      <c r="AN1379" s="11">
        <f t="shared" si="480"/>
        <v>36000</v>
      </c>
      <c r="AO1379" s="11">
        <f t="shared" si="481"/>
        <v>0</v>
      </c>
      <c r="AP1379" s="11">
        <f t="shared" si="482"/>
        <v>0.49307253348990931</v>
      </c>
      <c r="AQ1379" s="11">
        <f t="shared" si="483"/>
        <v>0</v>
      </c>
      <c r="AT1379" s="3"/>
      <c r="AU1379" s="17"/>
      <c r="AV1379" s="19"/>
      <c r="AW1379" s="17"/>
      <c r="AX1379" s="17">
        <f t="shared" si="477"/>
        <v>1370</v>
      </c>
      <c r="AY1379" s="17">
        <f t="shared" si="484"/>
        <v>137</v>
      </c>
      <c r="AZ1379" s="17">
        <v>49.307253348990933</v>
      </c>
      <c r="BA1379" s="17"/>
      <c r="BB1379" s="17">
        <v>36</v>
      </c>
      <c r="BC1379" s="17"/>
      <c r="BD1379" s="17"/>
      <c r="BE1379" s="17"/>
      <c r="BF1379" s="17"/>
      <c r="BG1379" s="17"/>
      <c r="BH1379" s="17"/>
      <c r="BI1379" s="17"/>
      <c r="BJ1379" s="17"/>
      <c r="BK1379" s="17"/>
      <c r="BL1379" s="17"/>
      <c r="BM1379" s="17"/>
      <c r="BN1379" s="17"/>
      <c r="BO1379" s="17"/>
      <c r="BP1379" s="17"/>
      <c r="BQ1379" s="17"/>
      <c r="BR1379" s="17"/>
      <c r="BS1379" s="17"/>
      <c r="BT1379" s="17"/>
      <c r="BU1379" s="17"/>
      <c r="BV1379" s="17"/>
      <c r="BW1379" s="17"/>
      <c r="BX1379" s="17"/>
      <c r="BY1379" s="17"/>
      <c r="BZ1379" s="17"/>
      <c r="CA1379" s="17"/>
      <c r="CB1379" s="17"/>
      <c r="CC1379" s="17"/>
      <c r="CD1379" s="17"/>
      <c r="CE1379" s="17"/>
      <c r="CF1379" s="17"/>
      <c r="CG1379" s="17"/>
      <c r="CH1379" s="17"/>
    </row>
    <row r="1380" spans="35:86" x14ac:dyDescent="0.15">
      <c r="AI1380" s="3"/>
      <c r="AJ1380" s="3"/>
      <c r="AK1380" s="15">
        <f t="shared" si="479"/>
        <v>6</v>
      </c>
      <c r="AL1380" s="11">
        <f t="shared" si="476"/>
        <v>8226</v>
      </c>
      <c r="AM1380" s="11" t="b">
        <f t="shared" si="478"/>
        <v>0</v>
      </c>
      <c r="AN1380" s="11">
        <f t="shared" si="480"/>
        <v>36000</v>
      </c>
      <c r="AO1380" s="11">
        <f t="shared" si="481"/>
        <v>0</v>
      </c>
      <c r="AP1380" s="11">
        <f t="shared" si="482"/>
        <v>0.49417484830472413</v>
      </c>
      <c r="AQ1380" s="11">
        <f t="shared" si="483"/>
        <v>0</v>
      </c>
      <c r="AT1380" s="3"/>
      <c r="AU1380" s="17"/>
      <c r="AV1380" s="19"/>
      <c r="AW1380" s="17"/>
      <c r="AX1380" s="17">
        <f t="shared" si="477"/>
        <v>1371</v>
      </c>
      <c r="AY1380" s="17">
        <f t="shared" si="484"/>
        <v>137.1</v>
      </c>
      <c r="AZ1380" s="17">
        <v>49.417484830472411</v>
      </c>
      <c r="BA1380" s="17"/>
      <c r="BB1380" s="17">
        <v>36</v>
      </c>
      <c r="BC1380" s="17"/>
      <c r="BD1380" s="17"/>
      <c r="BE1380" s="17"/>
      <c r="BF1380" s="17"/>
      <c r="BG1380" s="17"/>
      <c r="BH1380" s="17"/>
      <c r="BI1380" s="17"/>
      <c r="BJ1380" s="17"/>
      <c r="BK1380" s="17"/>
      <c r="BL1380" s="17"/>
      <c r="BM1380" s="17"/>
      <c r="BN1380" s="17"/>
      <c r="BO1380" s="17"/>
      <c r="BP1380" s="17"/>
      <c r="BQ1380" s="17"/>
      <c r="BR1380" s="17"/>
      <c r="BS1380" s="17"/>
      <c r="BT1380" s="17"/>
      <c r="BU1380" s="17"/>
      <c r="BV1380" s="17"/>
      <c r="BW1380" s="17"/>
      <c r="BX1380" s="17"/>
      <c r="BY1380" s="17"/>
      <c r="BZ1380" s="17"/>
      <c r="CA1380" s="17"/>
      <c r="CB1380" s="17"/>
      <c r="CC1380" s="17"/>
      <c r="CD1380" s="17"/>
      <c r="CE1380" s="17"/>
      <c r="CF1380" s="17"/>
      <c r="CG1380" s="17"/>
      <c r="CH1380" s="17"/>
    </row>
    <row r="1381" spans="35:86" x14ac:dyDescent="0.15">
      <c r="AI1381" s="3"/>
      <c r="AJ1381" s="3"/>
      <c r="AK1381" s="15">
        <f t="shared" si="479"/>
        <v>6</v>
      </c>
      <c r="AL1381" s="11">
        <f t="shared" si="476"/>
        <v>8232</v>
      </c>
      <c r="AM1381" s="11" t="b">
        <f t="shared" si="478"/>
        <v>0</v>
      </c>
      <c r="AN1381" s="11">
        <f t="shared" si="480"/>
        <v>36000</v>
      </c>
      <c r="AO1381" s="11">
        <f t="shared" si="481"/>
        <v>0</v>
      </c>
      <c r="AP1381" s="11">
        <f t="shared" si="482"/>
        <v>0.49527716311953895</v>
      </c>
      <c r="AQ1381" s="11">
        <f t="shared" si="483"/>
        <v>0</v>
      </c>
      <c r="AT1381" s="3"/>
      <c r="AU1381" s="17"/>
      <c r="AV1381" s="19"/>
      <c r="AW1381" s="17"/>
      <c r="AX1381" s="17">
        <f t="shared" si="477"/>
        <v>1372</v>
      </c>
      <c r="AY1381" s="17">
        <f t="shared" si="484"/>
        <v>137.19999999999999</v>
      </c>
      <c r="AZ1381" s="17">
        <v>49.527716311953895</v>
      </c>
      <c r="BA1381" s="17"/>
      <c r="BB1381" s="17">
        <v>36</v>
      </c>
      <c r="BC1381" s="17"/>
      <c r="BD1381" s="17"/>
      <c r="BE1381" s="17"/>
      <c r="BF1381" s="17"/>
      <c r="BG1381" s="17"/>
      <c r="BH1381" s="17"/>
      <c r="BI1381" s="17"/>
      <c r="BJ1381" s="17"/>
      <c r="BK1381" s="17"/>
      <c r="BL1381" s="17"/>
      <c r="BM1381" s="17"/>
      <c r="BN1381" s="17"/>
      <c r="BO1381" s="17"/>
      <c r="BP1381" s="17"/>
      <c r="BQ1381" s="17"/>
      <c r="BR1381" s="17"/>
      <c r="BS1381" s="17"/>
      <c r="BT1381" s="17"/>
      <c r="BU1381" s="17"/>
      <c r="BV1381" s="17"/>
      <c r="BW1381" s="17"/>
      <c r="BX1381" s="17"/>
      <c r="BY1381" s="17"/>
      <c r="BZ1381" s="17"/>
      <c r="CA1381" s="17"/>
      <c r="CB1381" s="17"/>
      <c r="CC1381" s="17"/>
      <c r="CD1381" s="17"/>
      <c r="CE1381" s="17"/>
      <c r="CF1381" s="17"/>
      <c r="CG1381" s="17"/>
      <c r="CH1381" s="17"/>
    </row>
    <row r="1382" spans="35:86" x14ac:dyDescent="0.15">
      <c r="AI1382" s="3"/>
      <c r="AJ1382" s="3"/>
      <c r="AK1382" s="15">
        <f t="shared" si="479"/>
        <v>6</v>
      </c>
      <c r="AL1382" s="11">
        <f t="shared" si="476"/>
        <v>8238</v>
      </c>
      <c r="AM1382" s="11" t="b">
        <f t="shared" si="478"/>
        <v>0</v>
      </c>
      <c r="AN1382" s="11">
        <f t="shared" si="480"/>
        <v>36000</v>
      </c>
      <c r="AO1382" s="11">
        <f t="shared" si="481"/>
        <v>0</v>
      </c>
      <c r="AP1382" s="11">
        <f t="shared" si="482"/>
        <v>0.49637947793435383</v>
      </c>
      <c r="AQ1382" s="11">
        <f t="shared" si="483"/>
        <v>0</v>
      </c>
      <c r="AT1382" s="3"/>
      <c r="AU1382" s="17"/>
      <c r="AV1382" s="19"/>
      <c r="AW1382" s="17"/>
      <c r="AX1382" s="17">
        <f t="shared" si="477"/>
        <v>1373</v>
      </c>
      <c r="AY1382" s="17">
        <f t="shared" si="484"/>
        <v>137.30000000000001</v>
      </c>
      <c r="AZ1382" s="17">
        <v>49.63794779343538</v>
      </c>
      <c r="BA1382" s="17"/>
      <c r="BB1382" s="17">
        <v>36</v>
      </c>
      <c r="BC1382" s="17"/>
      <c r="BD1382" s="17"/>
      <c r="BE1382" s="17"/>
      <c r="BF1382" s="17"/>
      <c r="BG1382" s="17"/>
      <c r="BH1382" s="17"/>
      <c r="BI1382" s="17"/>
      <c r="BJ1382" s="17"/>
      <c r="BK1382" s="17"/>
      <c r="BL1382" s="17"/>
      <c r="BM1382" s="17"/>
      <c r="BN1382" s="17"/>
      <c r="BO1382" s="17"/>
      <c r="BP1382" s="17"/>
      <c r="BQ1382" s="17"/>
      <c r="BR1382" s="17"/>
      <c r="BS1382" s="17"/>
      <c r="BT1382" s="17"/>
      <c r="BU1382" s="17"/>
      <c r="BV1382" s="17"/>
      <c r="BW1382" s="17"/>
      <c r="BX1382" s="17"/>
      <c r="BY1382" s="17"/>
      <c r="BZ1382" s="17"/>
      <c r="CA1382" s="17"/>
      <c r="CB1382" s="17"/>
      <c r="CC1382" s="17"/>
      <c r="CD1382" s="17"/>
      <c r="CE1382" s="17"/>
      <c r="CF1382" s="17"/>
      <c r="CG1382" s="17"/>
      <c r="CH1382" s="17"/>
    </row>
    <row r="1383" spans="35:86" x14ac:dyDescent="0.15">
      <c r="AI1383" s="3"/>
      <c r="AJ1383" s="3"/>
      <c r="AK1383" s="15">
        <f t="shared" si="479"/>
        <v>6</v>
      </c>
      <c r="AL1383" s="11">
        <f t="shared" si="476"/>
        <v>8244</v>
      </c>
      <c r="AM1383" s="11" t="b">
        <f t="shared" si="478"/>
        <v>0</v>
      </c>
      <c r="AN1383" s="11">
        <f t="shared" si="480"/>
        <v>36000</v>
      </c>
      <c r="AO1383" s="11">
        <f t="shared" si="481"/>
        <v>0</v>
      </c>
      <c r="AP1383" s="11">
        <f t="shared" si="482"/>
        <v>0.49748179274916865</v>
      </c>
      <c r="AQ1383" s="11">
        <f t="shared" si="483"/>
        <v>0</v>
      </c>
      <c r="AT1383" s="3"/>
      <c r="AU1383" s="17"/>
      <c r="AV1383" s="19"/>
      <c r="AW1383" s="17"/>
      <c r="AX1383" s="17">
        <f t="shared" si="477"/>
        <v>1374</v>
      </c>
      <c r="AY1383" s="17">
        <f t="shared" si="484"/>
        <v>137.4</v>
      </c>
      <c r="AZ1383" s="17">
        <v>49.748179274916865</v>
      </c>
      <c r="BA1383" s="17"/>
      <c r="BB1383" s="17">
        <v>36</v>
      </c>
      <c r="BC1383" s="17"/>
      <c r="BD1383" s="17"/>
      <c r="BE1383" s="17"/>
      <c r="BF1383" s="17"/>
      <c r="BG1383" s="17"/>
      <c r="BH1383" s="17"/>
      <c r="BI1383" s="17"/>
      <c r="BJ1383" s="17"/>
      <c r="BK1383" s="17"/>
      <c r="BL1383" s="17"/>
      <c r="BM1383" s="17"/>
      <c r="BN1383" s="17"/>
      <c r="BO1383" s="17"/>
      <c r="BP1383" s="17"/>
      <c r="BQ1383" s="17"/>
      <c r="BR1383" s="17"/>
      <c r="BS1383" s="17"/>
      <c r="BT1383" s="17"/>
      <c r="BU1383" s="17"/>
      <c r="BV1383" s="17"/>
      <c r="BW1383" s="17"/>
      <c r="BX1383" s="17"/>
      <c r="BY1383" s="17"/>
      <c r="BZ1383" s="17"/>
      <c r="CA1383" s="17"/>
      <c r="CB1383" s="17"/>
      <c r="CC1383" s="17"/>
      <c r="CD1383" s="17"/>
      <c r="CE1383" s="17"/>
      <c r="CF1383" s="17"/>
      <c r="CG1383" s="17"/>
      <c r="CH1383" s="17"/>
    </row>
    <row r="1384" spans="35:86" x14ac:dyDescent="0.15">
      <c r="AI1384" s="3"/>
      <c r="AJ1384" s="3"/>
      <c r="AK1384" s="15">
        <f t="shared" si="479"/>
        <v>6</v>
      </c>
      <c r="AL1384" s="11">
        <f t="shared" si="476"/>
        <v>8250</v>
      </c>
      <c r="AM1384" s="11" t="b">
        <f t="shared" si="478"/>
        <v>0</v>
      </c>
      <c r="AN1384" s="11">
        <f t="shared" si="480"/>
        <v>36000</v>
      </c>
      <c r="AO1384" s="11">
        <f t="shared" si="481"/>
        <v>0</v>
      </c>
      <c r="AP1384" s="11">
        <f t="shared" si="482"/>
        <v>0.49858410756398353</v>
      </c>
      <c r="AQ1384" s="11">
        <f t="shared" si="483"/>
        <v>0</v>
      </c>
      <c r="AT1384" s="3"/>
      <c r="AU1384" s="17"/>
      <c r="AV1384" s="19"/>
      <c r="AW1384" s="17"/>
      <c r="AX1384" s="17">
        <f t="shared" si="477"/>
        <v>1375</v>
      </c>
      <c r="AY1384" s="17">
        <f t="shared" si="484"/>
        <v>137.5</v>
      </c>
      <c r="AZ1384" s="17">
        <v>49.858410756398349</v>
      </c>
      <c r="BA1384" s="17"/>
      <c r="BB1384" s="17">
        <v>36</v>
      </c>
      <c r="BC1384" s="17"/>
      <c r="BD1384" s="17"/>
      <c r="BE1384" s="17"/>
      <c r="BF1384" s="17"/>
      <c r="BG1384" s="17"/>
      <c r="BH1384" s="17"/>
      <c r="BI1384" s="17"/>
      <c r="BJ1384" s="17"/>
      <c r="BK1384" s="17"/>
      <c r="BL1384" s="17"/>
      <c r="BM1384" s="17"/>
      <c r="BN1384" s="17"/>
      <c r="BO1384" s="17"/>
      <c r="BP1384" s="17"/>
      <c r="BQ1384" s="17"/>
      <c r="BR1384" s="17"/>
      <c r="BS1384" s="17"/>
      <c r="BT1384" s="17"/>
      <c r="BU1384" s="17"/>
      <c r="BV1384" s="17"/>
      <c r="BW1384" s="17"/>
      <c r="BX1384" s="17"/>
      <c r="BY1384" s="17"/>
      <c r="BZ1384" s="17"/>
      <c r="CA1384" s="17"/>
      <c r="CB1384" s="17"/>
      <c r="CC1384" s="17"/>
      <c r="CD1384" s="17"/>
      <c r="CE1384" s="17"/>
      <c r="CF1384" s="17"/>
      <c r="CG1384" s="17"/>
      <c r="CH1384" s="17"/>
    </row>
    <row r="1385" spans="35:86" x14ac:dyDescent="0.15">
      <c r="AI1385" s="3"/>
      <c r="AJ1385" s="3"/>
      <c r="AK1385" s="15">
        <f t="shared" si="479"/>
        <v>6</v>
      </c>
      <c r="AL1385" s="11">
        <f t="shared" si="476"/>
        <v>8256</v>
      </c>
      <c r="AM1385" s="11" t="b">
        <f t="shared" si="478"/>
        <v>0</v>
      </c>
      <c r="AN1385" s="11">
        <f t="shared" si="480"/>
        <v>36000</v>
      </c>
      <c r="AO1385" s="11">
        <f t="shared" si="481"/>
        <v>0</v>
      </c>
      <c r="AP1385" s="11">
        <f t="shared" si="482"/>
        <v>0.49968642237879835</v>
      </c>
      <c r="AQ1385" s="11">
        <f t="shared" si="483"/>
        <v>0</v>
      </c>
      <c r="AT1385" s="3"/>
      <c r="AU1385" s="17"/>
      <c r="AV1385" s="19"/>
      <c r="AW1385" s="17"/>
      <c r="AX1385" s="17">
        <f t="shared" si="477"/>
        <v>1376</v>
      </c>
      <c r="AY1385" s="17">
        <f t="shared" si="484"/>
        <v>137.6</v>
      </c>
      <c r="AZ1385" s="17">
        <v>49.968642237879834</v>
      </c>
      <c r="BA1385" s="17"/>
      <c r="BB1385" s="17">
        <v>36</v>
      </c>
      <c r="BC1385" s="17"/>
      <c r="BD1385" s="17"/>
      <c r="BE1385" s="17"/>
      <c r="BF1385" s="17"/>
      <c r="BG1385" s="17"/>
      <c r="BH1385" s="17"/>
      <c r="BI1385" s="17"/>
      <c r="BJ1385" s="17"/>
      <c r="BK1385" s="17"/>
      <c r="BL1385" s="17"/>
      <c r="BM1385" s="17"/>
      <c r="BN1385" s="17"/>
      <c r="BO1385" s="17"/>
      <c r="BP1385" s="17"/>
      <c r="BQ1385" s="17"/>
      <c r="BR1385" s="17"/>
      <c r="BS1385" s="17"/>
      <c r="BT1385" s="17"/>
      <c r="BU1385" s="17"/>
      <c r="BV1385" s="17"/>
      <c r="BW1385" s="17"/>
      <c r="BX1385" s="17"/>
      <c r="BY1385" s="17"/>
      <c r="BZ1385" s="17"/>
      <c r="CA1385" s="17"/>
      <c r="CB1385" s="17"/>
      <c r="CC1385" s="17"/>
      <c r="CD1385" s="17"/>
      <c r="CE1385" s="17"/>
      <c r="CF1385" s="17"/>
      <c r="CG1385" s="17"/>
      <c r="CH1385" s="17"/>
    </row>
    <row r="1386" spans="35:86" x14ac:dyDescent="0.15">
      <c r="AI1386" s="3"/>
      <c r="AJ1386" s="3"/>
      <c r="AK1386" s="15">
        <f t="shared" si="479"/>
        <v>6</v>
      </c>
      <c r="AL1386" s="11">
        <f t="shared" si="476"/>
        <v>8262</v>
      </c>
      <c r="AM1386" s="11" t="b">
        <f t="shared" si="478"/>
        <v>0</v>
      </c>
      <c r="AN1386" s="11">
        <f t="shared" si="480"/>
        <v>36000</v>
      </c>
      <c r="AO1386" s="11">
        <f t="shared" si="481"/>
        <v>0</v>
      </c>
      <c r="AP1386" s="11">
        <f t="shared" si="482"/>
        <v>0.50078873719361316</v>
      </c>
      <c r="AQ1386" s="11">
        <f t="shared" si="483"/>
        <v>0</v>
      </c>
      <c r="AT1386" s="3"/>
      <c r="AU1386" s="17"/>
      <c r="AV1386" s="19"/>
      <c r="AW1386" s="17"/>
      <c r="AX1386" s="17">
        <f t="shared" si="477"/>
        <v>1377</v>
      </c>
      <c r="AY1386" s="17">
        <f t="shared" si="484"/>
        <v>137.69999999999999</v>
      </c>
      <c r="AZ1386" s="17">
        <v>50.078873719361319</v>
      </c>
      <c r="BA1386" s="17"/>
      <c r="BB1386" s="17">
        <v>36</v>
      </c>
      <c r="BC1386" s="17"/>
      <c r="BD1386" s="17"/>
      <c r="BE1386" s="17"/>
      <c r="BF1386" s="17"/>
      <c r="BG1386" s="17"/>
      <c r="BH1386" s="17"/>
      <c r="BI1386" s="17"/>
      <c r="BJ1386" s="17"/>
      <c r="BK1386" s="17"/>
      <c r="BL1386" s="17"/>
      <c r="BM1386" s="17"/>
      <c r="BN1386" s="17"/>
      <c r="BO1386" s="17"/>
      <c r="BP1386" s="17"/>
      <c r="BQ1386" s="17"/>
      <c r="BR1386" s="17"/>
      <c r="BS1386" s="17"/>
      <c r="BT1386" s="17"/>
      <c r="BU1386" s="17"/>
      <c r="BV1386" s="17"/>
      <c r="BW1386" s="17"/>
      <c r="BX1386" s="17"/>
      <c r="BY1386" s="17"/>
      <c r="BZ1386" s="17"/>
      <c r="CA1386" s="17"/>
      <c r="CB1386" s="17"/>
      <c r="CC1386" s="17"/>
      <c r="CD1386" s="17"/>
      <c r="CE1386" s="17"/>
      <c r="CF1386" s="17"/>
      <c r="CG1386" s="17"/>
      <c r="CH1386" s="17"/>
    </row>
    <row r="1387" spans="35:86" x14ac:dyDescent="0.15">
      <c r="AI1387" s="3"/>
      <c r="AJ1387" s="3"/>
      <c r="AK1387" s="15">
        <f t="shared" si="479"/>
        <v>6</v>
      </c>
      <c r="AL1387" s="11">
        <f t="shared" si="476"/>
        <v>8268</v>
      </c>
      <c r="AM1387" s="11" t="b">
        <f t="shared" si="478"/>
        <v>0</v>
      </c>
      <c r="AN1387" s="11">
        <f t="shared" si="480"/>
        <v>36000</v>
      </c>
      <c r="AO1387" s="11">
        <f t="shared" si="481"/>
        <v>0</v>
      </c>
      <c r="AP1387" s="11">
        <f t="shared" si="482"/>
        <v>0.50189105200842798</v>
      </c>
      <c r="AQ1387" s="11">
        <f t="shared" si="483"/>
        <v>0</v>
      </c>
      <c r="AT1387" s="3"/>
      <c r="AU1387" s="17"/>
      <c r="AV1387" s="19"/>
      <c r="AW1387" s="17"/>
      <c r="AX1387" s="17">
        <f t="shared" si="477"/>
        <v>1378</v>
      </c>
      <c r="AY1387" s="17">
        <f t="shared" si="484"/>
        <v>137.80000000000001</v>
      </c>
      <c r="AZ1387" s="17">
        <v>50.189105200842796</v>
      </c>
      <c r="BA1387" s="17"/>
      <c r="BB1387" s="17">
        <v>36</v>
      </c>
      <c r="BC1387" s="17"/>
      <c r="BD1387" s="17"/>
      <c r="BE1387" s="17"/>
      <c r="BF1387" s="17"/>
      <c r="BG1387" s="17"/>
      <c r="BH1387" s="17"/>
      <c r="BI1387" s="17"/>
      <c r="BJ1387" s="17"/>
      <c r="BK1387" s="17"/>
      <c r="BL1387" s="17"/>
      <c r="BM1387" s="17"/>
      <c r="BN1387" s="17"/>
      <c r="BO1387" s="17"/>
      <c r="BP1387" s="17"/>
      <c r="BQ1387" s="17"/>
      <c r="BR1387" s="17"/>
      <c r="BS1387" s="17"/>
      <c r="BT1387" s="17"/>
      <c r="BU1387" s="17"/>
      <c r="BV1387" s="17"/>
      <c r="BW1387" s="17"/>
      <c r="BX1387" s="17"/>
      <c r="BY1387" s="17"/>
      <c r="BZ1387" s="17"/>
      <c r="CA1387" s="17"/>
      <c r="CB1387" s="17"/>
      <c r="CC1387" s="17"/>
      <c r="CD1387" s="17"/>
      <c r="CE1387" s="17"/>
      <c r="CF1387" s="17"/>
      <c r="CG1387" s="17"/>
      <c r="CH1387" s="17"/>
    </row>
    <row r="1388" spans="35:86" x14ac:dyDescent="0.15">
      <c r="AI1388" s="3"/>
      <c r="AJ1388" s="3"/>
      <c r="AK1388" s="15">
        <f t="shared" si="479"/>
        <v>6</v>
      </c>
      <c r="AL1388" s="11">
        <f t="shared" si="476"/>
        <v>8274</v>
      </c>
      <c r="AM1388" s="11" t="b">
        <f t="shared" si="478"/>
        <v>0</v>
      </c>
      <c r="AN1388" s="11">
        <f t="shared" si="480"/>
        <v>36000</v>
      </c>
      <c r="AO1388" s="11">
        <f t="shared" si="481"/>
        <v>0</v>
      </c>
      <c r="AP1388" s="11">
        <f t="shared" si="482"/>
        <v>0.50299336682324292</v>
      </c>
      <c r="AQ1388" s="11">
        <f t="shared" si="483"/>
        <v>0</v>
      </c>
      <c r="AT1388" s="3"/>
      <c r="AU1388" s="17"/>
      <c r="AV1388" s="19"/>
      <c r="AW1388" s="17"/>
      <c r="AX1388" s="17">
        <f t="shared" si="477"/>
        <v>1379</v>
      </c>
      <c r="AY1388" s="17">
        <f t="shared" si="484"/>
        <v>137.9</v>
      </c>
      <c r="AZ1388" s="17">
        <v>50.299336682324295</v>
      </c>
      <c r="BA1388" s="17"/>
      <c r="BB1388" s="17">
        <v>36</v>
      </c>
      <c r="BC1388" s="17"/>
      <c r="BD1388" s="17"/>
      <c r="BE1388" s="17"/>
      <c r="BF1388" s="17"/>
      <c r="BG1388" s="17"/>
      <c r="BH1388" s="17"/>
      <c r="BI1388" s="17"/>
      <c r="BJ1388" s="17"/>
      <c r="BK1388" s="17"/>
      <c r="BL1388" s="17"/>
      <c r="BM1388" s="17"/>
      <c r="BN1388" s="17"/>
      <c r="BO1388" s="17"/>
      <c r="BP1388" s="17"/>
      <c r="BQ1388" s="17"/>
      <c r="BR1388" s="17"/>
      <c r="BS1388" s="17"/>
      <c r="BT1388" s="17"/>
      <c r="BU1388" s="17"/>
      <c r="BV1388" s="17"/>
      <c r="BW1388" s="17"/>
      <c r="BX1388" s="17"/>
      <c r="BY1388" s="17"/>
      <c r="BZ1388" s="17"/>
      <c r="CA1388" s="17"/>
      <c r="CB1388" s="17"/>
      <c r="CC1388" s="17"/>
      <c r="CD1388" s="17"/>
      <c r="CE1388" s="17"/>
      <c r="CF1388" s="17"/>
      <c r="CG1388" s="17"/>
      <c r="CH1388" s="17"/>
    </row>
    <row r="1389" spans="35:86" x14ac:dyDescent="0.15">
      <c r="AI1389" s="3"/>
      <c r="AJ1389" s="3"/>
      <c r="AK1389" s="15">
        <f t="shared" si="479"/>
        <v>6</v>
      </c>
      <c r="AL1389" s="11">
        <f t="shared" ref="AL1389:AL1452" si="485">AL1388+$AB$15</f>
        <v>8280</v>
      </c>
      <c r="AM1389" s="11" t="b">
        <f t="shared" si="478"/>
        <v>0</v>
      </c>
      <c r="AN1389" s="11">
        <f t="shared" si="480"/>
        <v>36000</v>
      </c>
      <c r="AO1389" s="11">
        <f t="shared" si="481"/>
        <v>0</v>
      </c>
      <c r="AP1389" s="11">
        <f t="shared" si="482"/>
        <v>0.50409568163805774</v>
      </c>
      <c r="AQ1389" s="11">
        <f t="shared" si="483"/>
        <v>0</v>
      </c>
      <c r="AT1389" s="3"/>
      <c r="AU1389" s="17"/>
      <c r="AV1389" s="19"/>
      <c r="AW1389" s="17"/>
      <c r="AX1389" s="17">
        <f t="shared" si="477"/>
        <v>1380</v>
      </c>
      <c r="AY1389" s="17">
        <f t="shared" si="484"/>
        <v>138</v>
      </c>
      <c r="AZ1389" s="17">
        <v>50.409568163805773</v>
      </c>
      <c r="BA1389" s="17"/>
      <c r="BB1389" s="17">
        <v>36</v>
      </c>
      <c r="BC1389" s="17"/>
      <c r="BD1389" s="17"/>
      <c r="BE1389" s="17"/>
      <c r="BF1389" s="17"/>
      <c r="BG1389" s="17"/>
      <c r="BH1389" s="17"/>
      <c r="BI1389" s="17"/>
      <c r="BJ1389" s="17"/>
      <c r="BK1389" s="17"/>
      <c r="BL1389" s="17"/>
      <c r="BM1389" s="17"/>
      <c r="BN1389" s="17"/>
      <c r="BO1389" s="17"/>
      <c r="BP1389" s="17"/>
      <c r="BQ1389" s="17"/>
      <c r="BR1389" s="17"/>
      <c r="BS1389" s="17"/>
      <c r="BT1389" s="17"/>
      <c r="BU1389" s="17"/>
      <c r="BV1389" s="17"/>
      <c r="BW1389" s="17"/>
      <c r="BX1389" s="17"/>
      <c r="BY1389" s="17"/>
      <c r="BZ1389" s="17"/>
      <c r="CA1389" s="17"/>
      <c r="CB1389" s="17"/>
      <c r="CC1389" s="17"/>
      <c r="CD1389" s="17"/>
      <c r="CE1389" s="17"/>
      <c r="CF1389" s="17"/>
      <c r="CG1389" s="17"/>
      <c r="CH1389" s="17"/>
    </row>
    <row r="1390" spans="35:86" x14ac:dyDescent="0.15">
      <c r="AI1390" s="3"/>
      <c r="AJ1390" s="3"/>
      <c r="AK1390" s="15">
        <f t="shared" si="479"/>
        <v>6</v>
      </c>
      <c r="AL1390" s="11">
        <f t="shared" si="485"/>
        <v>8286</v>
      </c>
      <c r="AM1390" s="11" t="b">
        <f t="shared" si="478"/>
        <v>0</v>
      </c>
      <c r="AN1390" s="11">
        <f t="shared" si="480"/>
        <v>36000</v>
      </c>
      <c r="AO1390" s="11">
        <f t="shared" si="481"/>
        <v>0</v>
      </c>
      <c r="AP1390" s="11">
        <f t="shared" si="482"/>
        <v>0.50519799645287256</v>
      </c>
      <c r="AQ1390" s="11">
        <f t="shared" si="483"/>
        <v>0</v>
      </c>
      <c r="AT1390" s="3"/>
      <c r="AU1390" s="17"/>
      <c r="AV1390" s="19"/>
      <c r="AW1390" s="17"/>
      <c r="AX1390" s="17">
        <f t="shared" ref="AX1390:AX1453" si="486">IF(AX1389&gt;=$AG$14,$AG$14,AX1389+1)</f>
        <v>1381</v>
      </c>
      <c r="AY1390" s="17">
        <f t="shared" si="484"/>
        <v>138.1</v>
      </c>
      <c r="AZ1390" s="17">
        <v>50.519799645287257</v>
      </c>
      <c r="BA1390" s="17"/>
      <c r="BB1390" s="17">
        <v>36</v>
      </c>
      <c r="BC1390" s="17"/>
      <c r="BD1390" s="17"/>
      <c r="BE1390" s="17"/>
      <c r="BF1390" s="17"/>
      <c r="BG1390" s="17"/>
      <c r="BH1390" s="17"/>
      <c r="BI1390" s="17"/>
      <c r="BJ1390" s="17"/>
      <c r="BK1390" s="17"/>
      <c r="BL1390" s="17"/>
      <c r="BM1390" s="17"/>
      <c r="BN1390" s="17"/>
      <c r="BO1390" s="17"/>
      <c r="BP1390" s="17"/>
      <c r="BQ1390" s="17"/>
      <c r="BR1390" s="17"/>
      <c r="BS1390" s="17"/>
      <c r="BT1390" s="17"/>
      <c r="BU1390" s="17"/>
      <c r="BV1390" s="17"/>
      <c r="BW1390" s="17"/>
      <c r="BX1390" s="17"/>
      <c r="BY1390" s="17"/>
      <c r="BZ1390" s="17"/>
      <c r="CA1390" s="17"/>
      <c r="CB1390" s="17"/>
      <c r="CC1390" s="17"/>
      <c r="CD1390" s="17"/>
      <c r="CE1390" s="17"/>
      <c r="CF1390" s="17"/>
      <c r="CG1390" s="17"/>
      <c r="CH1390" s="17"/>
    </row>
    <row r="1391" spans="35:86" x14ac:dyDescent="0.15">
      <c r="AI1391" s="3"/>
      <c r="AJ1391" s="3"/>
      <c r="AK1391" s="15">
        <f t="shared" si="479"/>
        <v>6</v>
      </c>
      <c r="AL1391" s="11">
        <f t="shared" si="485"/>
        <v>8292</v>
      </c>
      <c r="AM1391" s="11" t="b">
        <f t="shared" si="478"/>
        <v>0</v>
      </c>
      <c r="AN1391" s="11">
        <f t="shared" si="480"/>
        <v>36000</v>
      </c>
      <c r="AO1391" s="11">
        <f t="shared" si="481"/>
        <v>0</v>
      </c>
      <c r="AP1391" s="11">
        <f t="shared" si="482"/>
        <v>0.50630031126768738</v>
      </c>
      <c r="AQ1391" s="11">
        <f t="shared" si="483"/>
        <v>0</v>
      </c>
      <c r="AT1391" s="3"/>
      <c r="AU1391" s="17"/>
      <c r="AV1391" s="19"/>
      <c r="AW1391" s="17"/>
      <c r="AX1391" s="17">
        <f t="shared" si="486"/>
        <v>1382</v>
      </c>
      <c r="AY1391" s="17">
        <f t="shared" si="484"/>
        <v>138.19999999999999</v>
      </c>
      <c r="AZ1391" s="17">
        <v>50.630031126768735</v>
      </c>
      <c r="BA1391" s="17"/>
      <c r="BB1391" s="17">
        <v>36</v>
      </c>
      <c r="BC1391" s="17"/>
      <c r="BD1391" s="17"/>
      <c r="BE1391" s="17"/>
      <c r="BF1391" s="17"/>
      <c r="BG1391" s="17"/>
      <c r="BH1391" s="17"/>
      <c r="BI1391" s="17"/>
      <c r="BJ1391" s="17"/>
      <c r="BK1391" s="17"/>
      <c r="BL1391" s="17"/>
      <c r="BM1391" s="17"/>
      <c r="BN1391" s="17"/>
      <c r="BO1391" s="17"/>
      <c r="BP1391" s="17"/>
      <c r="BQ1391" s="17"/>
      <c r="BR1391" s="17"/>
      <c r="BS1391" s="17"/>
      <c r="BT1391" s="17"/>
      <c r="BU1391" s="17"/>
      <c r="BV1391" s="17"/>
      <c r="BW1391" s="17"/>
      <c r="BX1391" s="17"/>
      <c r="BY1391" s="17"/>
      <c r="BZ1391" s="17"/>
      <c r="CA1391" s="17"/>
      <c r="CB1391" s="17"/>
      <c r="CC1391" s="17"/>
      <c r="CD1391" s="17"/>
      <c r="CE1391" s="17"/>
      <c r="CF1391" s="17"/>
      <c r="CG1391" s="17"/>
      <c r="CH1391" s="17"/>
    </row>
    <row r="1392" spans="35:86" x14ac:dyDescent="0.15">
      <c r="AI1392" s="3"/>
      <c r="AJ1392" s="3"/>
      <c r="AK1392" s="15">
        <f t="shared" si="479"/>
        <v>6</v>
      </c>
      <c r="AL1392" s="11">
        <f t="shared" si="485"/>
        <v>8298</v>
      </c>
      <c r="AM1392" s="11" t="b">
        <f t="shared" si="478"/>
        <v>0</v>
      </c>
      <c r="AN1392" s="11">
        <f t="shared" si="480"/>
        <v>36000</v>
      </c>
      <c r="AO1392" s="11">
        <f t="shared" si="481"/>
        <v>0</v>
      </c>
      <c r="AP1392" s="11">
        <f t="shared" si="482"/>
        <v>0.5074026260825022</v>
      </c>
      <c r="AQ1392" s="11">
        <f t="shared" si="483"/>
        <v>0</v>
      </c>
      <c r="AT1392" s="3"/>
      <c r="AU1392" s="17"/>
      <c r="AV1392" s="19"/>
      <c r="AW1392" s="17"/>
      <c r="AX1392" s="17">
        <f t="shared" si="486"/>
        <v>1383</v>
      </c>
      <c r="AY1392" s="17">
        <f t="shared" si="484"/>
        <v>138.30000000000001</v>
      </c>
      <c r="AZ1392" s="17">
        <v>50.74026260825022</v>
      </c>
      <c r="BA1392" s="17"/>
      <c r="BB1392" s="17">
        <v>36</v>
      </c>
      <c r="BC1392" s="17"/>
      <c r="BD1392" s="17"/>
      <c r="BE1392" s="17"/>
      <c r="BF1392" s="17"/>
      <c r="BG1392" s="17"/>
      <c r="BH1392" s="17"/>
      <c r="BI1392" s="17"/>
      <c r="BJ1392" s="17"/>
      <c r="BK1392" s="17"/>
      <c r="BL1392" s="17"/>
      <c r="BM1392" s="17"/>
      <c r="BN1392" s="17"/>
      <c r="BO1392" s="17"/>
      <c r="BP1392" s="17"/>
      <c r="BQ1392" s="17"/>
      <c r="BR1392" s="17"/>
      <c r="BS1392" s="17"/>
      <c r="BT1392" s="17"/>
      <c r="BU1392" s="17"/>
      <c r="BV1392" s="17"/>
      <c r="BW1392" s="17"/>
      <c r="BX1392" s="17"/>
      <c r="BY1392" s="17"/>
      <c r="BZ1392" s="17"/>
      <c r="CA1392" s="17"/>
      <c r="CB1392" s="17"/>
      <c r="CC1392" s="17"/>
      <c r="CD1392" s="17"/>
      <c r="CE1392" s="17"/>
      <c r="CF1392" s="17"/>
      <c r="CG1392" s="17"/>
      <c r="CH1392" s="17"/>
    </row>
    <row r="1393" spans="35:86" x14ac:dyDescent="0.15">
      <c r="AI1393" s="3"/>
      <c r="AJ1393" s="3"/>
      <c r="AK1393" s="15">
        <f t="shared" si="479"/>
        <v>6</v>
      </c>
      <c r="AL1393" s="11">
        <f t="shared" si="485"/>
        <v>8304</v>
      </c>
      <c r="AM1393" s="11" t="b">
        <f t="shared" si="478"/>
        <v>0</v>
      </c>
      <c r="AN1393" s="11">
        <f t="shared" si="480"/>
        <v>36000</v>
      </c>
      <c r="AO1393" s="11">
        <f t="shared" si="481"/>
        <v>0</v>
      </c>
      <c r="AP1393" s="11">
        <f t="shared" si="482"/>
        <v>0.50850494089731713</v>
      </c>
      <c r="AQ1393" s="11">
        <f t="shared" si="483"/>
        <v>0</v>
      </c>
      <c r="AT1393" s="3"/>
      <c r="AU1393" s="17"/>
      <c r="AV1393" s="19"/>
      <c r="AW1393" s="17"/>
      <c r="AX1393" s="17">
        <f t="shared" si="486"/>
        <v>1384</v>
      </c>
      <c r="AY1393" s="17">
        <f t="shared" si="484"/>
        <v>138.4</v>
      </c>
      <c r="AZ1393" s="17">
        <v>50.850494089731711</v>
      </c>
      <c r="BA1393" s="17"/>
      <c r="BB1393" s="17">
        <v>36</v>
      </c>
      <c r="BC1393" s="17"/>
      <c r="BD1393" s="17"/>
      <c r="BE1393" s="17"/>
      <c r="BF1393" s="17"/>
      <c r="BG1393" s="17"/>
      <c r="BH1393" s="17"/>
      <c r="BI1393" s="17"/>
      <c r="BJ1393" s="17"/>
      <c r="BK1393" s="17"/>
      <c r="BL1393" s="17"/>
      <c r="BM1393" s="17"/>
      <c r="BN1393" s="17"/>
      <c r="BO1393" s="17"/>
      <c r="BP1393" s="17"/>
      <c r="BQ1393" s="17"/>
      <c r="BR1393" s="17"/>
      <c r="BS1393" s="17"/>
      <c r="BT1393" s="17"/>
      <c r="BU1393" s="17"/>
      <c r="BV1393" s="17"/>
      <c r="BW1393" s="17"/>
      <c r="BX1393" s="17"/>
      <c r="BY1393" s="17"/>
      <c r="BZ1393" s="17"/>
      <c r="CA1393" s="17"/>
      <c r="CB1393" s="17"/>
      <c r="CC1393" s="17"/>
      <c r="CD1393" s="17"/>
      <c r="CE1393" s="17"/>
      <c r="CF1393" s="17"/>
      <c r="CG1393" s="17"/>
      <c r="CH1393" s="17"/>
    </row>
    <row r="1394" spans="35:86" x14ac:dyDescent="0.15">
      <c r="AI1394" s="3"/>
      <c r="AJ1394" s="3"/>
      <c r="AK1394" s="15">
        <f t="shared" si="479"/>
        <v>6</v>
      </c>
      <c r="AL1394" s="11">
        <f t="shared" si="485"/>
        <v>8310</v>
      </c>
      <c r="AM1394" s="11" t="b">
        <f t="shared" si="478"/>
        <v>0</v>
      </c>
      <c r="AN1394" s="11">
        <f t="shared" si="480"/>
        <v>36000</v>
      </c>
      <c r="AO1394" s="11">
        <f t="shared" si="481"/>
        <v>0</v>
      </c>
      <c r="AP1394" s="11">
        <f t="shared" si="482"/>
        <v>0.50960725571213195</v>
      </c>
      <c r="AQ1394" s="11">
        <f t="shared" si="483"/>
        <v>0</v>
      </c>
      <c r="AT1394" s="3"/>
      <c r="AU1394" s="17"/>
      <c r="AV1394" s="19"/>
      <c r="AW1394" s="17"/>
      <c r="AX1394" s="17">
        <f t="shared" si="486"/>
        <v>1385</v>
      </c>
      <c r="AY1394" s="17">
        <f t="shared" si="484"/>
        <v>138.5</v>
      </c>
      <c r="AZ1394" s="17">
        <v>50.960725571213196</v>
      </c>
      <c r="BA1394" s="17"/>
      <c r="BB1394" s="17">
        <v>36</v>
      </c>
      <c r="BC1394" s="17"/>
      <c r="BD1394" s="17"/>
      <c r="BE1394" s="17"/>
      <c r="BF1394" s="17"/>
      <c r="BG1394" s="17"/>
      <c r="BH1394" s="17"/>
      <c r="BI1394" s="17"/>
      <c r="BJ1394" s="17"/>
      <c r="BK1394" s="17"/>
      <c r="BL1394" s="17"/>
      <c r="BM1394" s="17"/>
      <c r="BN1394" s="17"/>
      <c r="BO1394" s="17"/>
      <c r="BP1394" s="17"/>
      <c r="BQ1394" s="17"/>
      <c r="BR1394" s="17"/>
      <c r="BS1394" s="17"/>
      <c r="BT1394" s="17"/>
      <c r="BU1394" s="17"/>
      <c r="BV1394" s="17"/>
      <c r="BW1394" s="17"/>
      <c r="BX1394" s="17"/>
      <c r="BY1394" s="17"/>
      <c r="BZ1394" s="17"/>
      <c r="CA1394" s="17"/>
      <c r="CB1394" s="17"/>
      <c r="CC1394" s="17"/>
      <c r="CD1394" s="17"/>
      <c r="CE1394" s="17"/>
      <c r="CF1394" s="17"/>
      <c r="CG1394" s="17"/>
      <c r="CH1394" s="17"/>
    </row>
    <row r="1395" spans="35:86" x14ac:dyDescent="0.15">
      <c r="AI1395" s="3"/>
      <c r="AJ1395" s="3"/>
      <c r="AK1395" s="15">
        <f t="shared" si="479"/>
        <v>6</v>
      </c>
      <c r="AL1395" s="11">
        <f t="shared" si="485"/>
        <v>8316</v>
      </c>
      <c r="AM1395" s="11" t="b">
        <f t="shared" si="478"/>
        <v>0</v>
      </c>
      <c r="AN1395" s="11">
        <f t="shared" si="480"/>
        <v>36000</v>
      </c>
      <c r="AO1395" s="11">
        <f t="shared" si="481"/>
        <v>0</v>
      </c>
      <c r="AP1395" s="11">
        <f t="shared" si="482"/>
        <v>0.51070957052694677</v>
      </c>
      <c r="AQ1395" s="11">
        <f t="shared" si="483"/>
        <v>0</v>
      </c>
      <c r="AT1395" s="3"/>
      <c r="AU1395" s="17"/>
      <c r="AV1395" s="19"/>
      <c r="AW1395" s="17"/>
      <c r="AX1395" s="17">
        <f t="shared" si="486"/>
        <v>1386</v>
      </c>
      <c r="AY1395" s="17">
        <f t="shared" si="484"/>
        <v>138.6</v>
      </c>
      <c r="AZ1395" s="17">
        <v>51.070957052694673</v>
      </c>
      <c r="BA1395" s="17"/>
      <c r="BB1395" s="17">
        <v>36</v>
      </c>
      <c r="BC1395" s="17"/>
      <c r="BD1395" s="17"/>
      <c r="BE1395" s="17"/>
      <c r="BF1395" s="17"/>
      <c r="BG1395" s="17"/>
      <c r="BH1395" s="17"/>
      <c r="BI1395" s="17"/>
      <c r="BJ1395" s="17"/>
      <c r="BK1395" s="17"/>
      <c r="BL1395" s="17"/>
      <c r="BM1395" s="17"/>
      <c r="BN1395" s="17"/>
      <c r="BO1395" s="17"/>
      <c r="BP1395" s="17"/>
      <c r="BQ1395" s="17"/>
      <c r="BR1395" s="17"/>
      <c r="BS1395" s="17"/>
      <c r="BT1395" s="17"/>
      <c r="BU1395" s="17"/>
      <c r="BV1395" s="17"/>
      <c r="BW1395" s="17"/>
      <c r="BX1395" s="17"/>
      <c r="BY1395" s="17"/>
      <c r="BZ1395" s="17"/>
      <c r="CA1395" s="17"/>
      <c r="CB1395" s="17"/>
      <c r="CC1395" s="17"/>
      <c r="CD1395" s="17"/>
      <c r="CE1395" s="17"/>
      <c r="CF1395" s="17"/>
      <c r="CG1395" s="17"/>
      <c r="CH1395" s="17"/>
    </row>
    <row r="1396" spans="35:86" x14ac:dyDescent="0.15">
      <c r="AI1396" s="3"/>
      <c r="AJ1396" s="3"/>
      <c r="AK1396" s="15">
        <f t="shared" si="479"/>
        <v>6</v>
      </c>
      <c r="AL1396" s="11">
        <f t="shared" si="485"/>
        <v>8322</v>
      </c>
      <c r="AM1396" s="11" t="b">
        <f t="shared" si="478"/>
        <v>0</v>
      </c>
      <c r="AN1396" s="11">
        <f t="shared" si="480"/>
        <v>36000</v>
      </c>
      <c r="AO1396" s="11">
        <f t="shared" si="481"/>
        <v>0</v>
      </c>
      <c r="AP1396" s="11">
        <f t="shared" si="482"/>
        <v>0.51181188534176159</v>
      </c>
      <c r="AQ1396" s="11">
        <f t="shared" si="483"/>
        <v>0</v>
      </c>
      <c r="AT1396" s="3"/>
      <c r="AU1396" s="17"/>
      <c r="AV1396" s="19"/>
      <c r="AW1396" s="17"/>
      <c r="AX1396" s="17">
        <f t="shared" si="486"/>
        <v>1387</v>
      </c>
      <c r="AY1396" s="17">
        <f t="shared" si="484"/>
        <v>138.69999999999999</v>
      </c>
      <c r="AZ1396" s="17">
        <v>51.181188534176158</v>
      </c>
      <c r="BA1396" s="17"/>
      <c r="BB1396" s="17">
        <v>36</v>
      </c>
      <c r="BC1396" s="17"/>
      <c r="BD1396" s="17"/>
      <c r="BE1396" s="17"/>
      <c r="BF1396" s="17"/>
      <c r="BG1396" s="17"/>
      <c r="BH1396" s="17"/>
      <c r="BI1396" s="17"/>
      <c r="BJ1396" s="17"/>
      <c r="BK1396" s="17"/>
      <c r="BL1396" s="17"/>
      <c r="BM1396" s="17"/>
      <c r="BN1396" s="17"/>
      <c r="BO1396" s="17"/>
      <c r="BP1396" s="17"/>
      <c r="BQ1396" s="17"/>
      <c r="BR1396" s="17"/>
      <c r="BS1396" s="17"/>
      <c r="BT1396" s="17"/>
      <c r="BU1396" s="17"/>
      <c r="BV1396" s="17"/>
      <c r="BW1396" s="17"/>
      <c r="BX1396" s="17"/>
      <c r="BY1396" s="17"/>
      <c r="BZ1396" s="17"/>
      <c r="CA1396" s="17"/>
      <c r="CB1396" s="17"/>
      <c r="CC1396" s="17"/>
      <c r="CD1396" s="17"/>
      <c r="CE1396" s="17"/>
      <c r="CF1396" s="17"/>
      <c r="CG1396" s="17"/>
      <c r="CH1396" s="17"/>
    </row>
    <row r="1397" spans="35:86" x14ac:dyDescent="0.15">
      <c r="AI1397" s="3"/>
      <c r="AJ1397" s="3"/>
      <c r="AK1397" s="15">
        <f t="shared" si="479"/>
        <v>6</v>
      </c>
      <c r="AL1397" s="11">
        <f t="shared" si="485"/>
        <v>8328</v>
      </c>
      <c r="AM1397" s="11" t="b">
        <f t="shared" si="478"/>
        <v>0</v>
      </c>
      <c r="AN1397" s="11">
        <f t="shared" si="480"/>
        <v>36000</v>
      </c>
      <c r="AO1397" s="11">
        <f t="shared" si="481"/>
        <v>0</v>
      </c>
      <c r="AP1397" s="11">
        <f t="shared" si="482"/>
        <v>0.51291420015657641</v>
      </c>
      <c r="AQ1397" s="11">
        <f t="shared" si="483"/>
        <v>0</v>
      </c>
      <c r="AT1397" s="3"/>
      <c r="AU1397" s="17"/>
      <c r="AV1397" s="19"/>
      <c r="AW1397" s="17"/>
      <c r="AX1397" s="17">
        <f t="shared" si="486"/>
        <v>1388</v>
      </c>
      <c r="AY1397" s="17">
        <f t="shared" si="484"/>
        <v>138.80000000000001</v>
      </c>
      <c r="AZ1397" s="17">
        <v>51.291420015657643</v>
      </c>
      <c r="BA1397" s="17"/>
      <c r="BB1397" s="17">
        <v>36</v>
      </c>
      <c r="BC1397" s="17"/>
      <c r="BD1397" s="17"/>
      <c r="BE1397" s="17"/>
      <c r="BF1397" s="17"/>
      <c r="BG1397" s="17"/>
      <c r="BH1397" s="17"/>
      <c r="BI1397" s="17"/>
      <c r="BJ1397" s="17"/>
      <c r="BK1397" s="17"/>
      <c r="BL1397" s="17"/>
      <c r="BM1397" s="17"/>
      <c r="BN1397" s="17"/>
      <c r="BO1397" s="17"/>
      <c r="BP1397" s="17"/>
      <c r="BQ1397" s="17"/>
      <c r="BR1397" s="17"/>
      <c r="BS1397" s="17"/>
      <c r="BT1397" s="17"/>
      <c r="BU1397" s="17"/>
      <c r="BV1397" s="17"/>
      <c r="BW1397" s="17"/>
      <c r="BX1397" s="17"/>
      <c r="BY1397" s="17"/>
      <c r="BZ1397" s="17"/>
      <c r="CA1397" s="17"/>
      <c r="CB1397" s="17"/>
      <c r="CC1397" s="17"/>
      <c r="CD1397" s="17"/>
      <c r="CE1397" s="17"/>
      <c r="CF1397" s="17"/>
      <c r="CG1397" s="17"/>
      <c r="CH1397" s="17"/>
    </row>
    <row r="1398" spans="35:86" x14ac:dyDescent="0.15">
      <c r="AI1398" s="3"/>
      <c r="AJ1398" s="3"/>
      <c r="AK1398" s="15">
        <f t="shared" si="479"/>
        <v>6</v>
      </c>
      <c r="AL1398" s="11">
        <f t="shared" si="485"/>
        <v>8334</v>
      </c>
      <c r="AM1398" s="11" t="b">
        <f t="shared" si="478"/>
        <v>0</v>
      </c>
      <c r="AN1398" s="11">
        <f t="shared" si="480"/>
        <v>36000</v>
      </c>
      <c r="AO1398" s="11">
        <f t="shared" si="481"/>
        <v>0</v>
      </c>
      <c r="AP1398" s="11">
        <f t="shared" si="482"/>
        <v>0.51401651497139134</v>
      </c>
      <c r="AQ1398" s="11">
        <f t="shared" si="483"/>
        <v>0</v>
      </c>
      <c r="AT1398" s="3"/>
      <c r="AU1398" s="17"/>
      <c r="AV1398" s="19"/>
      <c r="AW1398" s="17"/>
      <c r="AX1398" s="17">
        <f t="shared" si="486"/>
        <v>1389</v>
      </c>
      <c r="AY1398" s="17">
        <f t="shared" si="484"/>
        <v>138.9</v>
      </c>
      <c r="AZ1398" s="17">
        <v>51.401651497139135</v>
      </c>
      <c r="BA1398" s="17"/>
      <c r="BB1398" s="17">
        <v>36</v>
      </c>
      <c r="BC1398" s="17"/>
      <c r="BD1398" s="17"/>
      <c r="BE1398" s="17"/>
      <c r="BF1398" s="17"/>
      <c r="BG1398" s="17"/>
      <c r="BH1398" s="17"/>
      <c r="BI1398" s="17"/>
      <c r="BJ1398" s="17"/>
      <c r="BK1398" s="17"/>
      <c r="BL1398" s="17"/>
      <c r="BM1398" s="17"/>
      <c r="BN1398" s="17"/>
      <c r="BO1398" s="17"/>
      <c r="BP1398" s="17"/>
      <c r="BQ1398" s="17"/>
      <c r="BR1398" s="17"/>
      <c r="BS1398" s="17"/>
      <c r="BT1398" s="17"/>
      <c r="BU1398" s="17"/>
      <c r="BV1398" s="17"/>
      <c r="BW1398" s="17"/>
      <c r="BX1398" s="17"/>
      <c r="BY1398" s="17"/>
      <c r="BZ1398" s="17"/>
      <c r="CA1398" s="17"/>
      <c r="CB1398" s="17"/>
      <c r="CC1398" s="17"/>
      <c r="CD1398" s="17"/>
      <c r="CE1398" s="17"/>
      <c r="CF1398" s="17"/>
      <c r="CG1398" s="17"/>
      <c r="CH1398" s="17"/>
    </row>
    <row r="1399" spans="35:86" x14ac:dyDescent="0.15">
      <c r="AI1399" s="3"/>
      <c r="AJ1399" s="3"/>
      <c r="AK1399" s="15">
        <f t="shared" si="479"/>
        <v>6</v>
      </c>
      <c r="AL1399" s="11">
        <f t="shared" si="485"/>
        <v>8340</v>
      </c>
      <c r="AM1399" s="11" t="b">
        <f t="shared" si="478"/>
        <v>0</v>
      </c>
      <c r="AN1399" s="11">
        <f t="shared" si="480"/>
        <v>36000</v>
      </c>
      <c r="AO1399" s="11">
        <f t="shared" si="481"/>
        <v>0</v>
      </c>
      <c r="AP1399" s="11">
        <f t="shared" si="482"/>
        <v>0.51511882978620616</v>
      </c>
      <c r="AQ1399" s="11">
        <f t="shared" si="483"/>
        <v>0</v>
      </c>
      <c r="AT1399" s="3"/>
      <c r="AU1399" s="17"/>
      <c r="AV1399" s="19"/>
      <c r="AW1399" s="17"/>
      <c r="AX1399" s="17">
        <f t="shared" si="486"/>
        <v>1390</v>
      </c>
      <c r="AY1399" s="17">
        <f t="shared" si="484"/>
        <v>139</v>
      </c>
      <c r="AZ1399" s="17">
        <v>51.511882978620619</v>
      </c>
      <c r="BA1399" s="17"/>
      <c r="BB1399" s="17">
        <v>36</v>
      </c>
      <c r="BC1399" s="17"/>
      <c r="BD1399" s="17"/>
      <c r="BE1399" s="17"/>
      <c r="BF1399" s="17"/>
      <c r="BG1399" s="17"/>
      <c r="BH1399" s="17"/>
      <c r="BI1399" s="17"/>
      <c r="BJ1399" s="17"/>
      <c r="BK1399" s="17"/>
      <c r="BL1399" s="17"/>
      <c r="BM1399" s="17"/>
      <c r="BN1399" s="17"/>
      <c r="BO1399" s="17"/>
      <c r="BP1399" s="17"/>
      <c r="BQ1399" s="17"/>
      <c r="BR1399" s="17"/>
      <c r="BS1399" s="17"/>
      <c r="BT1399" s="17"/>
      <c r="BU1399" s="17"/>
      <c r="BV1399" s="17"/>
      <c r="BW1399" s="17"/>
      <c r="BX1399" s="17"/>
      <c r="BY1399" s="17"/>
      <c r="BZ1399" s="17"/>
      <c r="CA1399" s="17"/>
      <c r="CB1399" s="17"/>
      <c r="CC1399" s="17"/>
      <c r="CD1399" s="17"/>
      <c r="CE1399" s="17"/>
      <c r="CF1399" s="17"/>
      <c r="CG1399" s="17"/>
      <c r="CH1399" s="17"/>
    </row>
    <row r="1400" spans="35:86" x14ac:dyDescent="0.15">
      <c r="AI1400" s="3"/>
      <c r="AJ1400" s="3"/>
      <c r="AK1400" s="15">
        <f t="shared" si="479"/>
        <v>6</v>
      </c>
      <c r="AL1400" s="11">
        <f t="shared" si="485"/>
        <v>8346</v>
      </c>
      <c r="AM1400" s="11" t="b">
        <f t="shared" si="478"/>
        <v>0</v>
      </c>
      <c r="AN1400" s="11">
        <f t="shared" si="480"/>
        <v>36000</v>
      </c>
      <c r="AO1400" s="11">
        <f t="shared" si="481"/>
        <v>0</v>
      </c>
      <c r="AP1400" s="11">
        <f t="shared" si="482"/>
        <v>0.51622114460102098</v>
      </c>
      <c r="AQ1400" s="11">
        <f t="shared" si="483"/>
        <v>0</v>
      </c>
      <c r="AT1400" s="3"/>
      <c r="AU1400" s="17"/>
      <c r="AV1400" s="19"/>
      <c r="AW1400" s="17"/>
      <c r="AX1400" s="17">
        <f t="shared" si="486"/>
        <v>1391</v>
      </c>
      <c r="AY1400" s="17">
        <f t="shared" si="484"/>
        <v>139.1</v>
      </c>
      <c r="AZ1400" s="17">
        <v>51.622114460102097</v>
      </c>
      <c r="BA1400" s="17"/>
      <c r="BB1400" s="17">
        <v>36</v>
      </c>
      <c r="BC1400" s="17"/>
      <c r="BD1400" s="17"/>
      <c r="BE1400" s="17"/>
      <c r="BF1400" s="17"/>
      <c r="BG1400" s="17"/>
      <c r="BH1400" s="17"/>
      <c r="BI1400" s="17"/>
      <c r="BJ1400" s="17"/>
      <c r="BK1400" s="17"/>
      <c r="BL1400" s="17"/>
      <c r="BM1400" s="17"/>
      <c r="BN1400" s="17"/>
      <c r="BO1400" s="17"/>
      <c r="BP1400" s="17"/>
      <c r="BQ1400" s="17"/>
      <c r="BR1400" s="17"/>
      <c r="BS1400" s="17"/>
      <c r="BT1400" s="17"/>
      <c r="BU1400" s="17"/>
      <c r="BV1400" s="17"/>
      <c r="BW1400" s="17"/>
      <c r="BX1400" s="17"/>
      <c r="BY1400" s="17"/>
      <c r="BZ1400" s="17"/>
      <c r="CA1400" s="17"/>
      <c r="CB1400" s="17"/>
      <c r="CC1400" s="17"/>
      <c r="CD1400" s="17"/>
      <c r="CE1400" s="17"/>
      <c r="CF1400" s="17"/>
      <c r="CG1400" s="17"/>
      <c r="CH1400" s="17"/>
    </row>
    <row r="1401" spans="35:86" x14ac:dyDescent="0.15">
      <c r="AI1401" s="3"/>
      <c r="AJ1401" s="3"/>
      <c r="AK1401" s="15">
        <f t="shared" si="479"/>
        <v>6</v>
      </c>
      <c r="AL1401" s="11">
        <f t="shared" si="485"/>
        <v>8352</v>
      </c>
      <c r="AM1401" s="11" t="b">
        <f t="shared" si="478"/>
        <v>0</v>
      </c>
      <c r="AN1401" s="11">
        <f t="shared" si="480"/>
        <v>36000</v>
      </c>
      <c r="AO1401" s="11">
        <f t="shared" si="481"/>
        <v>0</v>
      </c>
      <c r="AP1401" s="11">
        <f t="shared" si="482"/>
        <v>0.5173234594158358</v>
      </c>
      <c r="AQ1401" s="11">
        <f t="shared" si="483"/>
        <v>0</v>
      </c>
      <c r="AT1401" s="3"/>
      <c r="AU1401" s="17"/>
      <c r="AV1401" s="19"/>
      <c r="AW1401" s="17"/>
      <c r="AX1401" s="17">
        <f t="shared" si="486"/>
        <v>1392</v>
      </c>
      <c r="AY1401" s="17">
        <f t="shared" si="484"/>
        <v>139.19999999999999</v>
      </c>
      <c r="AZ1401" s="17">
        <v>51.732345941583581</v>
      </c>
      <c r="BA1401" s="17"/>
      <c r="BB1401" s="17">
        <v>36</v>
      </c>
      <c r="BC1401" s="17"/>
      <c r="BD1401" s="17"/>
      <c r="BE1401" s="17"/>
      <c r="BF1401" s="17"/>
      <c r="BG1401" s="17"/>
      <c r="BH1401" s="17"/>
      <c r="BI1401" s="17"/>
      <c r="BJ1401" s="17"/>
      <c r="BK1401" s="17"/>
      <c r="BL1401" s="17"/>
      <c r="BM1401" s="17"/>
      <c r="BN1401" s="17"/>
      <c r="BO1401" s="17"/>
      <c r="BP1401" s="17"/>
      <c r="BQ1401" s="17"/>
      <c r="BR1401" s="17"/>
      <c r="BS1401" s="17"/>
      <c r="BT1401" s="17"/>
      <c r="BU1401" s="17"/>
      <c r="BV1401" s="17"/>
      <c r="BW1401" s="17"/>
      <c r="BX1401" s="17"/>
      <c r="BY1401" s="17"/>
      <c r="BZ1401" s="17"/>
      <c r="CA1401" s="17"/>
      <c r="CB1401" s="17"/>
      <c r="CC1401" s="17"/>
      <c r="CD1401" s="17"/>
      <c r="CE1401" s="17"/>
      <c r="CF1401" s="17"/>
      <c r="CG1401" s="17"/>
      <c r="CH1401" s="17"/>
    </row>
    <row r="1402" spans="35:86" x14ac:dyDescent="0.15">
      <c r="AI1402" s="3"/>
      <c r="AJ1402" s="3"/>
      <c r="AK1402" s="15">
        <f t="shared" si="479"/>
        <v>6</v>
      </c>
      <c r="AL1402" s="11">
        <f t="shared" si="485"/>
        <v>8358</v>
      </c>
      <c r="AM1402" s="11" t="b">
        <f t="shared" si="478"/>
        <v>0</v>
      </c>
      <c r="AN1402" s="11">
        <f t="shared" si="480"/>
        <v>36000</v>
      </c>
      <c r="AO1402" s="11">
        <f t="shared" si="481"/>
        <v>0</v>
      </c>
      <c r="AP1402" s="11">
        <f t="shared" si="482"/>
        <v>0.51842577423065062</v>
      </c>
      <c r="AQ1402" s="11">
        <f t="shared" si="483"/>
        <v>0</v>
      </c>
      <c r="AT1402" s="3"/>
      <c r="AU1402" s="17"/>
      <c r="AV1402" s="19"/>
      <c r="AW1402" s="17"/>
      <c r="AX1402" s="17">
        <f t="shared" si="486"/>
        <v>1393</v>
      </c>
      <c r="AY1402" s="17">
        <f t="shared" si="484"/>
        <v>139.30000000000001</v>
      </c>
      <c r="AZ1402" s="17">
        <v>51.842577423065059</v>
      </c>
      <c r="BA1402" s="17"/>
      <c r="BB1402" s="17">
        <v>36</v>
      </c>
      <c r="BC1402" s="17"/>
      <c r="BD1402" s="17"/>
      <c r="BE1402" s="17"/>
      <c r="BF1402" s="17"/>
      <c r="BG1402" s="17"/>
      <c r="BH1402" s="17"/>
      <c r="BI1402" s="17"/>
      <c r="BJ1402" s="17"/>
      <c r="BK1402" s="17"/>
      <c r="BL1402" s="17"/>
      <c r="BM1402" s="17"/>
      <c r="BN1402" s="17"/>
      <c r="BO1402" s="17"/>
      <c r="BP1402" s="17"/>
      <c r="BQ1402" s="17"/>
      <c r="BR1402" s="17"/>
      <c r="BS1402" s="17"/>
      <c r="BT1402" s="17"/>
      <c r="BU1402" s="17"/>
      <c r="BV1402" s="17"/>
      <c r="BW1402" s="17"/>
      <c r="BX1402" s="17"/>
      <c r="BY1402" s="17"/>
      <c r="BZ1402" s="17"/>
      <c r="CA1402" s="17"/>
      <c r="CB1402" s="17"/>
      <c r="CC1402" s="17"/>
      <c r="CD1402" s="17"/>
      <c r="CE1402" s="17"/>
      <c r="CF1402" s="17"/>
      <c r="CG1402" s="17"/>
      <c r="CH1402" s="17"/>
    </row>
    <row r="1403" spans="35:86" x14ac:dyDescent="0.15">
      <c r="AI1403" s="3"/>
      <c r="AJ1403" s="3"/>
      <c r="AK1403" s="15">
        <f t="shared" si="479"/>
        <v>6</v>
      </c>
      <c r="AL1403" s="11">
        <f t="shared" si="485"/>
        <v>8364</v>
      </c>
      <c r="AM1403" s="11" t="b">
        <f t="shared" si="478"/>
        <v>0</v>
      </c>
      <c r="AN1403" s="11">
        <f t="shared" si="480"/>
        <v>36000</v>
      </c>
      <c r="AO1403" s="11">
        <f t="shared" si="481"/>
        <v>0</v>
      </c>
      <c r="AP1403" s="11">
        <f t="shared" si="482"/>
        <v>0.51952808904546555</v>
      </c>
      <c r="AQ1403" s="11">
        <f t="shared" si="483"/>
        <v>0</v>
      </c>
      <c r="AT1403" s="3"/>
      <c r="AU1403" s="17"/>
      <c r="AV1403" s="19"/>
      <c r="AW1403" s="17"/>
      <c r="AX1403" s="17">
        <f t="shared" si="486"/>
        <v>1394</v>
      </c>
      <c r="AY1403" s="17">
        <f t="shared" si="484"/>
        <v>139.4</v>
      </c>
      <c r="AZ1403" s="17">
        <v>51.952808904546558</v>
      </c>
      <c r="BA1403" s="17"/>
      <c r="BB1403" s="17">
        <v>36</v>
      </c>
      <c r="BC1403" s="17"/>
      <c r="BD1403" s="17"/>
      <c r="BE1403" s="17"/>
      <c r="BF1403" s="17"/>
      <c r="BG1403" s="17"/>
      <c r="BH1403" s="17"/>
      <c r="BI1403" s="17"/>
      <c r="BJ1403" s="17"/>
      <c r="BK1403" s="17"/>
      <c r="BL1403" s="17"/>
      <c r="BM1403" s="17"/>
      <c r="BN1403" s="17"/>
      <c r="BO1403" s="17"/>
      <c r="BP1403" s="17"/>
      <c r="BQ1403" s="17"/>
      <c r="BR1403" s="17"/>
      <c r="BS1403" s="17"/>
      <c r="BT1403" s="17"/>
      <c r="BU1403" s="17"/>
      <c r="BV1403" s="17"/>
      <c r="BW1403" s="17"/>
      <c r="BX1403" s="17"/>
      <c r="BY1403" s="17"/>
      <c r="BZ1403" s="17"/>
      <c r="CA1403" s="17"/>
      <c r="CB1403" s="17"/>
      <c r="CC1403" s="17"/>
      <c r="CD1403" s="17"/>
      <c r="CE1403" s="17"/>
      <c r="CF1403" s="17"/>
      <c r="CG1403" s="17"/>
      <c r="CH1403" s="17"/>
    </row>
    <row r="1404" spans="35:86" x14ac:dyDescent="0.15">
      <c r="AI1404" s="3"/>
      <c r="AJ1404" s="3"/>
      <c r="AK1404" s="15">
        <f t="shared" si="479"/>
        <v>6</v>
      </c>
      <c r="AL1404" s="11">
        <f t="shared" si="485"/>
        <v>8370</v>
      </c>
      <c r="AM1404" s="11" t="b">
        <f t="shared" si="478"/>
        <v>0</v>
      </c>
      <c r="AN1404" s="11">
        <f t="shared" si="480"/>
        <v>36000</v>
      </c>
      <c r="AO1404" s="11">
        <f t="shared" si="481"/>
        <v>0</v>
      </c>
      <c r="AP1404" s="11">
        <f t="shared" si="482"/>
        <v>0.52063040386028037</v>
      </c>
      <c r="AQ1404" s="11">
        <f t="shared" si="483"/>
        <v>0</v>
      </c>
      <c r="AT1404" s="3"/>
      <c r="AU1404" s="17"/>
      <c r="AV1404" s="19"/>
      <c r="AW1404" s="17"/>
      <c r="AX1404" s="17">
        <f t="shared" si="486"/>
        <v>1395</v>
      </c>
      <c r="AY1404" s="17">
        <f t="shared" si="484"/>
        <v>139.5</v>
      </c>
      <c r="AZ1404" s="17">
        <v>52.063040386028035</v>
      </c>
      <c r="BA1404" s="17"/>
      <c r="BB1404" s="17">
        <v>36</v>
      </c>
      <c r="BC1404" s="17"/>
      <c r="BD1404" s="17"/>
      <c r="BE1404" s="17"/>
      <c r="BF1404" s="17"/>
      <c r="BG1404" s="17"/>
      <c r="BH1404" s="17"/>
      <c r="BI1404" s="17"/>
      <c r="BJ1404" s="17"/>
      <c r="BK1404" s="17"/>
      <c r="BL1404" s="17"/>
      <c r="BM1404" s="17"/>
      <c r="BN1404" s="17"/>
      <c r="BO1404" s="17"/>
      <c r="BP1404" s="17"/>
      <c r="BQ1404" s="17"/>
      <c r="BR1404" s="17"/>
      <c r="BS1404" s="17"/>
      <c r="BT1404" s="17"/>
      <c r="BU1404" s="17"/>
      <c r="BV1404" s="17"/>
      <c r="BW1404" s="17"/>
      <c r="BX1404" s="17"/>
      <c r="BY1404" s="17"/>
      <c r="BZ1404" s="17"/>
      <c r="CA1404" s="17"/>
      <c r="CB1404" s="17"/>
      <c r="CC1404" s="17"/>
      <c r="CD1404" s="17"/>
      <c r="CE1404" s="17"/>
      <c r="CF1404" s="17"/>
      <c r="CG1404" s="17"/>
      <c r="CH1404" s="17"/>
    </row>
    <row r="1405" spans="35:86" x14ac:dyDescent="0.15">
      <c r="AI1405" s="3"/>
      <c r="AJ1405" s="3"/>
      <c r="AK1405" s="15">
        <f t="shared" si="479"/>
        <v>6</v>
      </c>
      <c r="AL1405" s="11">
        <f t="shared" si="485"/>
        <v>8376</v>
      </c>
      <c r="AM1405" s="11" t="b">
        <f t="shared" si="478"/>
        <v>0</v>
      </c>
      <c r="AN1405" s="11">
        <f t="shared" si="480"/>
        <v>36000</v>
      </c>
      <c r="AO1405" s="11">
        <f t="shared" si="481"/>
        <v>0</v>
      </c>
      <c r="AP1405" s="11">
        <f t="shared" si="482"/>
        <v>0.52173271867509519</v>
      </c>
      <c r="AQ1405" s="11">
        <f t="shared" si="483"/>
        <v>0</v>
      </c>
      <c r="AT1405" s="3"/>
      <c r="AU1405" s="17"/>
      <c r="AV1405" s="19"/>
      <c r="AW1405" s="17"/>
      <c r="AX1405" s="17">
        <f t="shared" si="486"/>
        <v>1396</v>
      </c>
      <c r="AY1405" s="17">
        <f t="shared" si="484"/>
        <v>139.6</v>
      </c>
      <c r="AZ1405" s="17">
        <v>52.17327186750952</v>
      </c>
      <c r="BA1405" s="17"/>
      <c r="BB1405" s="17">
        <v>36</v>
      </c>
      <c r="BC1405" s="17"/>
      <c r="BD1405" s="17"/>
      <c r="BE1405" s="17"/>
      <c r="BF1405" s="17"/>
      <c r="BG1405" s="17"/>
      <c r="BH1405" s="17"/>
      <c r="BI1405" s="17"/>
      <c r="BJ1405" s="17"/>
      <c r="BK1405" s="17"/>
      <c r="BL1405" s="17"/>
      <c r="BM1405" s="17"/>
      <c r="BN1405" s="17"/>
      <c r="BO1405" s="17"/>
      <c r="BP1405" s="17"/>
      <c r="BQ1405" s="17"/>
      <c r="BR1405" s="17"/>
      <c r="BS1405" s="17"/>
      <c r="BT1405" s="17"/>
      <c r="BU1405" s="17"/>
      <c r="BV1405" s="17"/>
      <c r="BW1405" s="17"/>
      <c r="BX1405" s="17"/>
      <c r="BY1405" s="17"/>
      <c r="BZ1405" s="17"/>
      <c r="CA1405" s="17"/>
      <c r="CB1405" s="17"/>
      <c r="CC1405" s="17"/>
      <c r="CD1405" s="17"/>
      <c r="CE1405" s="17"/>
      <c r="CF1405" s="17"/>
      <c r="CG1405" s="17"/>
      <c r="CH1405" s="17"/>
    </row>
    <row r="1406" spans="35:86" x14ac:dyDescent="0.15">
      <c r="AI1406" s="3"/>
      <c r="AJ1406" s="3"/>
      <c r="AK1406" s="15">
        <f t="shared" si="479"/>
        <v>6</v>
      </c>
      <c r="AL1406" s="11">
        <f t="shared" si="485"/>
        <v>8382</v>
      </c>
      <c r="AM1406" s="11" t="b">
        <f t="shared" si="478"/>
        <v>0</v>
      </c>
      <c r="AN1406" s="11">
        <f t="shared" si="480"/>
        <v>36000</v>
      </c>
      <c r="AO1406" s="11">
        <f t="shared" si="481"/>
        <v>0</v>
      </c>
      <c r="AP1406" s="11">
        <f t="shared" si="482"/>
        <v>0.52283503348991001</v>
      </c>
      <c r="AQ1406" s="11">
        <f t="shared" si="483"/>
        <v>0</v>
      </c>
      <c r="AT1406" s="3"/>
      <c r="AU1406" s="17"/>
      <c r="AV1406" s="19"/>
      <c r="AW1406" s="17"/>
      <c r="AX1406" s="17">
        <f t="shared" si="486"/>
        <v>1397</v>
      </c>
      <c r="AY1406" s="17">
        <f t="shared" si="484"/>
        <v>139.69999999999999</v>
      </c>
      <c r="AZ1406" s="17">
        <v>52.283503348990997</v>
      </c>
      <c r="BA1406" s="17"/>
      <c r="BB1406" s="17">
        <v>36</v>
      </c>
      <c r="BC1406" s="17"/>
      <c r="BD1406" s="17"/>
      <c r="BE1406" s="17"/>
      <c r="BF1406" s="17"/>
      <c r="BG1406" s="17"/>
      <c r="BH1406" s="17"/>
      <c r="BI1406" s="17"/>
      <c r="BJ1406" s="17"/>
      <c r="BK1406" s="17"/>
      <c r="BL1406" s="17"/>
      <c r="BM1406" s="17"/>
      <c r="BN1406" s="17"/>
      <c r="BO1406" s="17"/>
      <c r="BP1406" s="17"/>
      <c r="BQ1406" s="17"/>
      <c r="BR1406" s="17"/>
      <c r="BS1406" s="17"/>
      <c r="BT1406" s="17"/>
      <c r="BU1406" s="17"/>
      <c r="BV1406" s="17"/>
      <c r="BW1406" s="17"/>
      <c r="BX1406" s="17"/>
      <c r="BY1406" s="17"/>
      <c r="BZ1406" s="17"/>
      <c r="CA1406" s="17"/>
      <c r="CB1406" s="17"/>
      <c r="CC1406" s="17"/>
      <c r="CD1406" s="17"/>
      <c r="CE1406" s="17"/>
      <c r="CF1406" s="17"/>
      <c r="CG1406" s="17"/>
      <c r="CH1406" s="17"/>
    </row>
    <row r="1407" spans="35:86" x14ac:dyDescent="0.15">
      <c r="AI1407" s="3"/>
      <c r="AJ1407" s="3"/>
      <c r="AK1407" s="15">
        <f t="shared" si="479"/>
        <v>6</v>
      </c>
      <c r="AL1407" s="11">
        <f t="shared" si="485"/>
        <v>8388</v>
      </c>
      <c r="AM1407" s="11" t="b">
        <f t="shared" si="478"/>
        <v>0</v>
      </c>
      <c r="AN1407" s="11">
        <f t="shared" si="480"/>
        <v>36000</v>
      </c>
      <c r="AO1407" s="11">
        <f t="shared" si="481"/>
        <v>0</v>
      </c>
      <c r="AP1407" s="11">
        <f t="shared" si="482"/>
        <v>0.52393734830472483</v>
      </c>
      <c r="AQ1407" s="11">
        <f t="shared" si="483"/>
        <v>0</v>
      </c>
      <c r="AT1407" s="3"/>
      <c r="AU1407" s="17"/>
      <c r="AV1407" s="19"/>
      <c r="AW1407" s="17"/>
      <c r="AX1407" s="17">
        <f t="shared" si="486"/>
        <v>1398</v>
      </c>
      <c r="AY1407" s="17">
        <f t="shared" si="484"/>
        <v>139.80000000000001</v>
      </c>
      <c r="AZ1407" s="17">
        <v>52.393734830472482</v>
      </c>
      <c r="BA1407" s="17"/>
      <c r="BB1407" s="17">
        <v>36</v>
      </c>
      <c r="BC1407" s="17"/>
      <c r="BD1407" s="17"/>
      <c r="BE1407" s="17"/>
      <c r="BF1407" s="17"/>
      <c r="BG1407" s="17"/>
      <c r="BH1407" s="17"/>
      <c r="BI1407" s="17"/>
      <c r="BJ1407" s="17"/>
      <c r="BK1407" s="17"/>
      <c r="BL1407" s="17"/>
      <c r="BM1407" s="17"/>
      <c r="BN1407" s="17"/>
      <c r="BO1407" s="17"/>
      <c r="BP1407" s="17"/>
      <c r="BQ1407" s="17"/>
      <c r="BR1407" s="17"/>
      <c r="BS1407" s="17"/>
      <c r="BT1407" s="17"/>
      <c r="BU1407" s="17"/>
      <c r="BV1407" s="17"/>
      <c r="BW1407" s="17"/>
      <c r="BX1407" s="17"/>
      <c r="BY1407" s="17"/>
      <c r="BZ1407" s="17"/>
      <c r="CA1407" s="17"/>
      <c r="CB1407" s="17"/>
      <c r="CC1407" s="17"/>
      <c r="CD1407" s="17"/>
      <c r="CE1407" s="17"/>
      <c r="CF1407" s="17"/>
      <c r="CG1407" s="17"/>
      <c r="CH1407" s="17"/>
    </row>
    <row r="1408" spans="35:86" x14ac:dyDescent="0.15">
      <c r="AI1408" s="3"/>
      <c r="AJ1408" s="3"/>
      <c r="AK1408" s="15">
        <f t="shared" si="479"/>
        <v>6</v>
      </c>
      <c r="AL1408" s="11">
        <f t="shared" si="485"/>
        <v>8394</v>
      </c>
      <c r="AM1408" s="11" t="b">
        <f t="shared" si="478"/>
        <v>0</v>
      </c>
      <c r="AN1408" s="11">
        <f t="shared" si="480"/>
        <v>36000</v>
      </c>
      <c r="AO1408" s="11">
        <f t="shared" si="481"/>
        <v>0</v>
      </c>
      <c r="AP1408" s="11">
        <f t="shared" si="482"/>
        <v>0.52503966311953976</v>
      </c>
      <c r="AQ1408" s="11">
        <f t="shared" si="483"/>
        <v>0</v>
      </c>
      <c r="AT1408" s="3"/>
      <c r="AU1408" s="17"/>
      <c r="AV1408" s="19"/>
      <c r="AW1408" s="17"/>
      <c r="AX1408" s="17">
        <f t="shared" si="486"/>
        <v>1399</v>
      </c>
      <c r="AY1408" s="17">
        <f t="shared" si="484"/>
        <v>139.9</v>
      </c>
      <c r="AZ1408" s="17">
        <v>52.503966311953974</v>
      </c>
      <c r="BA1408" s="17"/>
      <c r="BB1408" s="17">
        <v>36</v>
      </c>
      <c r="BC1408" s="17"/>
      <c r="BD1408" s="17"/>
      <c r="BE1408" s="17"/>
      <c r="BF1408" s="17"/>
      <c r="BG1408" s="17"/>
      <c r="BH1408" s="17"/>
      <c r="BI1408" s="17"/>
      <c r="BJ1408" s="17"/>
      <c r="BK1408" s="17"/>
      <c r="BL1408" s="17"/>
      <c r="BM1408" s="17"/>
      <c r="BN1408" s="17"/>
      <c r="BO1408" s="17"/>
      <c r="BP1408" s="17"/>
      <c r="BQ1408" s="17"/>
      <c r="BR1408" s="17"/>
      <c r="BS1408" s="17"/>
      <c r="BT1408" s="17"/>
      <c r="BU1408" s="17"/>
      <c r="BV1408" s="17"/>
      <c r="BW1408" s="17"/>
      <c r="BX1408" s="17"/>
      <c r="BY1408" s="17"/>
      <c r="BZ1408" s="17"/>
      <c r="CA1408" s="17"/>
      <c r="CB1408" s="17"/>
      <c r="CC1408" s="17"/>
      <c r="CD1408" s="17"/>
      <c r="CE1408" s="17"/>
      <c r="CF1408" s="17"/>
      <c r="CG1408" s="17"/>
      <c r="CH1408" s="17"/>
    </row>
    <row r="1409" spans="35:86" x14ac:dyDescent="0.15">
      <c r="AI1409" s="3"/>
      <c r="AJ1409" s="3"/>
      <c r="AK1409" s="15">
        <f t="shared" si="479"/>
        <v>6</v>
      </c>
      <c r="AL1409" s="11">
        <f t="shared" si="485"/>
        <v>8400</v>
      </c>
      <c r="AM1409" s="11" t="b">
        <f t="shared" si="478"/>
        <v>0</v>
      </c>
      <c r="AN1409" s="11">
        <f t="shared" si="480"/>
        <v>36000</v>
      </c>
      <c r="AO1409" s="11">
        <f t="shared" si="481"/>
        <v>0</v>
      </c>
      <c r="AP1409" s="11">
        <f t="shared" si="482"/>
        <v>0.52614197793435458</v>
      </c>
      <c r="AQ1409" s="11">
        <f t="shared" si="483"/>
        <v>0</v>
      </c>
      <c r="AT1409" s="3"/>
      <c r="AU1409" s="17"/>
      <c r="AV1409" s="19"/>
      <c r="AW1409" s="17"/>
      <c r="AX1409" s="17">
        <f t="shared" si="486"/>
        <v>1400</v>
      </c>
      <c r="AY1409" s="17">
        <f t="shared" si="484"/>
        <v>140</v>
      </c>
      <c r="AZ1409" s="17">
        <v>52.614197793435459</v>
      </c>
      <c r="BA1409" s="17"/>
      <c r="BB1409" s="17">
        <v>36</v>
      </c>
      <c r="BC1409" s="17"/>
      <c r="BD1409" s="17"/>
      <c r="BE1409" s="17"/>
      <c r="BF1409" s="17"/>
      <c r="BG1409" s="17"/>
      <c r="BH1409" s="17"/>
      <c r="BI1409" s="17"/>
      <c r="BJ1409" s="17"/>
      <c r="BK1409" s="17"/>
      <c r="BL1409" s="17"/>
      <c r="BM1409" s="17"/>
      <c r="BN1409" s="17"/>
      <c r="BO1409" s="17"/>
      <c r="BP1409" s="17"/>
      <c r="BQ1409" s="17"/>
      <c r="BR1409" s="17"/>
      <c r="BS1409" s="17"/>
      <c r="BT1409" s="17"/>
      <c r="BU1409" s="17"/>
      <c r="BV1409" s="17"/>
      <c r="BW1409" s="17"/>
      <c r="BX1409" s="17"/>
      <c r="BY1409" s="17"/>
      <c r="BZ1409" s="17"/>
      <c r="CA1409" s="17"/>
      <c r="CB1409" s="17"/>
      <c r="CC1409" s="17"/>
      <c r="CD1409" s="17"/>
      <c r="CE1409" s="17"/>
      <c r="CF1409" s="17"/>
      <c r="CG1409" s="17"/>
      <c r="CH1409" s="17"/>
    </row>
    <row r="1410" spans="35:86" x14ac:dyDescent="0.15">
      <c r="AI1410" s="3"/>
      <c r="AJ1410" s="3"/>
      <c r="AK1410" s="15">
        <f t="shared" si="479"/>
        <v>6</v>
      </c>
      <c r="AL1410" s="11">
        <f t="shared" si="485"/>
        <v>8406</v>
      </c>
      <c r="AM1410" s="11" t="b">
        <f t="shared" si="478"/>
        <v>0</v>
      </c>
      <c r="AN1410" s="11">
        <f t="shared" si="480"/>
        <v>36000</v>
      </c>
      <c r="AO1410" s="11">
        <f t="shared" si="481"/>
        <v>0</v>
      </c>
      <c r="AP1410" s="11">
        <f t="shared" si="482"/>
        <v>0.5272442927491694</v>
      </c>
      <c r="AQ1410" s="11">
        <f t="shared" si="483"/>
        <v>0</v>
      </c>
      <c r="AT1410" s="3"/>
      <c r="AU1410" s="17"/>
      <c r="AV1410" s="19"/>
      <c r="AW1410" s="17"/>
      <c r="AX1410" s="17">
        <f t="shared" si="486"/>
        <v>1401</v>
      </c>
      <c r="AY1410" s="17">
        <f t="shared" si="484"/>
        <v>140.1</v>
      </c>
      <c r="AZ1410" s="17">
        <v>52.724429274916943</v>
      </c>
      <c r="BA1410" s="17"/>
      <c r="BB1410" s="17">
        <v>36</v>
      </c>
      <c r="BC1410" s="17"/>
      <c r="BD1410" s="17"/>
      <c r="BE1410" s="17"/>
      <c r="BF1410" s="17"/>
      <c r="BG1410" s="17"/>
      <c r="BH1410" s="17"/>
      <c r="BI1410" s="17"/>
      <c r="BJ1410" s="17"/>
      <c r="BK1410" s="17"/>
      <c r="BL1410" s="17"/>
      <c r="BM1410" s="17"/>
      <c r="BN1410" s="17"/>
      <c r="BO1410" s="17"/>
      <c r="BP1410" s="17"/>
      <c r="BQ1410" s="17"/>
      <c r="BR1410" s="17"/>
      <c r="BS1410" s="17"/>
      <c r="BT1410" s="17"/>
      <c r="BU1410" s="17"/>
      <c r="BV1410" s="17"/>
      <c r="BW1410" s="17"/>
      <c r="BX1410" s="17"/>
      <c r="BY1410" s="17"/>
      <c r="BZ1410" s="17"/>
      <c r="CA1410" s="17"/>
      <c r="CB1410" s="17"/>
      <c r="CC1410" s="17"/>
      <c r="CD1410" s="17"/>
      <c r="CE1410" s="17"/>
      <c r="CF1410" s="17"/>
      <c r="CG1410" s="17"/>
      <c r="CH1410" s="17"/>
    </row>
    <row r="1411" spans="35:86" x14ac:dyDescent="0.15">
      <c r="AI1411" s="3"/>
      <c r="AJ1411" s="3"/>
      <c r="AK1411" s="15">
        <f t="shared" si="479"/>
        <v>6</v>
      </c>
      <c r="AL1411" s="11">
        <f t="shared" si="485"/>
        <v>8412</v>
      </c>
      <c r="AM1411" s="11" t="b">
        <f t="shared" si="478"/>
        <v>0</v>
      </c>
      <c r="AN1411" s="11">
        <f t="shared" si="480"/>
        <v>36000</v>
      </c>
      <c r="AO1411" s="11">
        <f t="shared" si="481"/>
        <v>0</v>
      </c>
      <c r="AP1411" s="11">
        <f t="shared" si="482"/>
        <v>0.52834660756398422</v>
      </c>
      <c r="AQ1411" s="11">
        <f t="shared" si="483"/>
        <v>0</v>
      </c>
      <c r="AT1411" s="3"/>
      <c r="AU1411" s="17"/>
      <c r="AV1411" s="19"/>
      <c r="AW1411" s="17"/>
      <c r="AX1411" s="17">
        <f t="shared" si="486"/>
        <v>1402</v>
      </c>
      <c r="AY1411" s="17">
        <f t="shared" si="484"/>
        <v>140.19999999999999</v>
      </c>
      <c r="AZ1411" s="17">
        <v>52.834660756398421</v>
      </c>
      <c r="BA1411" s="17"/>
      <c r="BB1411" s="17">
        <v>36</v>
      </c>
      <c r="BC1411" s="17"/>
      <c r="BD1411" s="17"/>
      <c r="BE1411" s="17"/>
      <c r="BF1411" s="17"/>
      <c r="BG1411" s="17"/>
      <c r="BH1411" s="17"/>
      <c r="BI1411" s="17"/>
      <c r="BJ1411" s="17"/>
      <c r="BK1411" s="17"/>
      <c r="BL1411" s="17"/>
      <c r="BM1411" s="17"/>
      <c r="BN1411" s="17"/>
      <c r="BO1411" s="17"/>
      <c r="BP1411" s="17"/>
      <c r="BQ1411" s="17"/>
      <c r="BR1411" s="17"/>
      <c r="BS1411" s="17"/>
      <c r="BT1411" s="17"/>
      <c r="BU1411" s="17"/>
      <c r="BV1411" s="17"/>
      <c r="BW1411" s="17"/>
      <c r="BX1411" s="17"/>
      <c r="BY1411" s="17"/>
      <c r="BZ1411" s="17"/>
      <c r="CA1411" s="17"/>
      <c r="CB1411" s="17"/>
      <c r="CC1411" s="17"/>
      <c r="CD1411" s="17"/>
      <c r="CE1411" s="17"/>
      <c r="CF1411" s="17"/>
      <c r="CG1411" s="17"/>
      <c r="CH1411" s="17"/>
    </row>
    <row r="1412" spans="35:86" x14ac:dyDescent="0.15">
      <c r="AI1412" s="3"/>
      <c r="AJ1412" s="3"/>
      <c r="AK1412" s="15">
        <f t="shared" si="479"/>
        <v>6</v>
      </c>
      <c r="AL1412" s="11">
        <f t="shared" si="485"/>
        <v>8418</v>
      </c>
      <c r="AM1412" s="11" t="b">
        <f t="shared" si="478"/>
        <v>0</v>
      </c>
      <c r="AN1412" s="11">
        <f t="shared" si="480"/>
        <v>36000</v>
      </c>
      <c r="AO1412" s="11">
        <f t="shared" si="481"/>
        <v>0</v>
      </c>
      <c r="AP1412" s="11">
        <f t="shared" si="482"/>
        <v>0.52944892237879904</v>
      </c>
      <c r="AQ1412" s="11">
        <f t="shared" si="483"/>
        <v>0</v>
      </c>
      <c r="AT1412" s="3"/>
      <c r="AU1412" s="17"/>
      <c r="AV1412" s="19"/>
      <c r="AW1412" s="17"/>
      <c r="AX1412" s="17">
        <f t="shared" si="486"/>
        <v>1403</v>
      </c>
      <c r="AY1412" s="17">
        <f t="shared" si="484"/>
        <v>140.30000000000001</v>
      </c>
      <c r="AZ1412" s="17">
        <v>52.944892237879905</v>
      </c>
      <c r="BA1412" s="17"/>
      <c r="BB1412" s="17">
        <v>36</v>
      </c>
      <c r="BC1412" s="17"/>
      <c r="BD1412" s="17"/>
      <c r="BE1412" s="17"/>
      <c r="BF1412" s="17"/>
      <c r="BG1412" s="17"/>
      <c r="BH1412" s="17"/>
      <c r="BI1412" s="17"/>
      <c r="BJ1412" s="17"/>
      <c r="BK1412" s="17"/>
      <c r="BL1412" s="17"/>
      <c r="BM1412" s="17"/>
      <c r="BN1412" s="17"/>
      <c r="BO1412" s="17"/>
      <c r="BP1412" s="17"/>
      <c r="BQ1412" s="17"/>
      <c r="BR1412" s="17"/>
      <c r="BS1412" s="17"/>
      <c r="BT1412" s="17"/>
      <c r="BU1412" s="17"/>
      <c r="BV1412" s="17"/>
      <c r="BW1412" s="17"/>
      <c r="BX1412" s="17"/>
      <c r="BY1412" s="17"/>
      <c r="BZ1412" s="17"/>
      <c r="CA1412" s="17"/>
      <c r="CB1412" s="17"/>
      <c r="CC1412" s="17"/>
      <c r="CD1412" s="17"/>
      <c r="CE1412" s="17"/>
      <c r="CF1412" s="17"/>
      <c r="CG1412" s="17"/>
      <c r="CH1412" s="17"/>
    </row>
    <row r="1413" spans="35:86" x14ac:dyDescent="0.15">
      <c r="AI1413" s="3"/>
      <c r="AJ1413" s="3"/>
      <c r="AK1413" s="15">
        <f t="shared" si="479"/>
        <v>6</v>
      </c>
      <c r="AL1413" s="11">
        <f t="shared" si="485"/>
        <v>8424</v>
      </c>
      <c r="AM1413" s="11" t="b">
        <f t="shared" si="478"/>
        <v>0</v>
      </c>
      <c r="AN1413" s="11">
        <f t="shared" si="480"/>
        <v>36000</v>
      </c>
      <c r="AO1413" s="11">
        <f t="shared" si="481"/>
        <v>0</v>
      </c>
      <c r="AP1413" s="11">
        <f t="shared" si="482"/>
        <v>0.53055123719361397</v>
      </c>
      <c r="AQ1413" s="11">
        <f t="shared" si="483"/>
        <v>0</v>
      </c>
      <c r="AT1413" s="3"/>
      <c r="AU1413" s="17"/>
      <c r="AV1413" s="19"/>
      <c r="AW1413" s="17"/>
      <c r="AX1413" s="17">
        <f t="shared" si="486"/>
        <v>1404</v>
      </c>
      <c r="AY1413" s="17">
        <f t="shared" si="484"/>
        <v>140.4</v>
      </c>
      <c r="AZ1413" s="17">
        <v>53.055123719361397</v>
      </c>
      <c r="BA1413" s="17"/>
      <c r="BB1413" s="17">
        <v>36</v>
      </c>
      <c r="BC1413" s="17"/>
      <c r="BD1413" s="17"/>
      <c r="BE1413" s="17"/>
      <c r="BF1413" s="17"/>
      <c r="BG1413" s="17"/>
      <c r="BH1413" s="17"/>
      <c r="BI1413" s="17"/>
      <c r="BJ1413" s="17"/>
      <c r="BK1413" s="17"/>
      <c r="BL1413" s="17"/>
      <c r="BM1413" s="17"/>
      <c r="BN1413" s="17"/>
      <c r="BO1413" s="17"/>
      <c r="BP1413" s="17"/>
      <c r="BQ1413" s="17"/>
      <c r="BR1413" s="17"/>
      <c r="BS1413" s="17"/>
      <c r="BT1413" s="17"/>
      <c r="BU1413" s="17"/>
      <c r="BV1413" s="17"/>
      <c r="BW1413" s="17"/>
      <c r="BX1413" s="17"/>
      <c r="BY1413" s="17"/>
      <c r="BZ1413" s="17"/>
      <c r="CA1413" s="17"/>
      <c r="CB1413" s="17"/>
      <c r="CC1413" s="17"/>
      <c r="CD1413" s="17"/>
      <c r="CE1413" s="17"/>
      <c r="CF1413" s="17"/>
      <c r="CG1413" s="17"/>
      <c r="CH1413" s="17"/>
    </row>
    <row r="1414" spans="35:86" x14ac:dyDescent="0.15">
      <c r="AI1414" s="3"/>
      <c r="AJ1414" s="3"/>
      <c r="AK1414" s="15">
        <f t="shared" si="479"/>
        <v>6</v>
      </c>
      <c r="AL1414" s="11">
        <f t="shared" si="485"/>
        <v>8430</v>
      </c>
      <c r="AM1414" s="11" t="b">
        <f t="shared" si="478"/>
        <v>0</v>
      </c>
      <c r="AN1414" s="11">
        <f t="shared" si="480"/>
        <v>36000</v>
      </c>
      <c r="AO1414" s="11">
        <f t="shared" si="481"/>
        <v>0</v>
      </c>
      <c r="AP1414" s="11">
        <f t="shared" si="482"/>
        <v>0.5316535520084289</v>
      </c>
      <c r="AQ1414" s="11">
        <f t="shared" si="483"/>
        <v>0</v>
      </c>
      <c r="AT1414" s="3"/>
      <c r="AU1414" s="17"/>
      <c r="AV1414" s="19"/>
      <c r="AW1414" s="17"/>
      <c r="AX1414" s="17">
        <f t="shared" si="486"/>
        <v>1405</v>
      </c>
      <c r="AY1414" s="17">
        <f t="shared" si="484"/>
        <v>140.5</v>
      </c>
      <c r="AZ1414" s="17">
        <v>53.165355200842889</v>
      </c>
      <c r="BA1414" s="17"/>
      <c r="BB1414" s="17">
        <v>36</v>
      </c>
      <c r="BC1414" s="17"/>
      <c r="BD1414" s="17"/>
      <c r="BE1414" s="17"/>
      <c r="BF1414" s="17"/>
      <c r="BG1414" s="17"/>
      <c r="BH1414" s="17"/>
      <c r="BI1414" s="17"/>
      <c r="BJ1414" s="17"/>
      <c r="BK1414" s="17"/>
      <c r="BL1414" s="17"/>
      <c r="BM1414" s="17"/>
      <c r="BN1414" s="17"/>
      <c r="BO1414" s="17"/>
      <c r="BP1414" s="17"/>
      <c r="BQ1414" s="17"/>
      <c r="BR1414" s="17"/>
      <c r="BS1414" s="17"/>
      <c r="BT1414" s="17"/>
      <c r="BU1414" s="17"/>
      <c r="BV1414" s="17"/>
      <c r="BW1414" s="17"/>
      <c r="BX1414" s="17"/>
      <c r="BY1414" s="17"/>
      <c r="BZ1414" s="17"/>
      <c r="CA1414" s="17"/>
      <c r="CB1414" s="17"/>
      <c r="CC1414" s="17"/>
      <c r="CD1414" s="17"/>
      <c r="CE1414" s="17"/>
      <c r="CF1414" s="17"/>
      <c r="CG1414" s="17"/>
      <c r="CH1414" s="17"/>
    </row>
    <row r="1415" spans="35:86" x14ac:dyDescent="0.15">
      <c r="AI1415" s="3"/>
      <c r="AJ1415" s="3"/>
      <c r="AK1415" s="15">
        <f t="shared" si="479"/>
        <v>6</v>
      </c>
      <c r="AL1415" s="11">
        <f t="shared" si="485"/>
        <v>8436</v>
      </c>
      <c r="AM1415" s="11" t="b">
        <f t="shared" si="478"/>
        <v>0</v>
      </c>
      <c r="AN1415" s="11">
        <f t="shared" si="480"/>
        <v>36000</v>
      </c>
      <c r="AO1415" s="11">
        <f t="shared" si="481"/>
        <v>0</v>
      </c>
      <c r="AP1415" s="11">
        <f t="shared" si="482"/>
        <v>0.53275586682324372</v>
      </c>
      <c r="AQ1415" s="11">
        <f t="shared" si="483"/>
        <v>0</v>
      </c>
      <c r="AT1415" s="3"/>
      <c r="AU1415" s="17"/>
      <c r="AV1415" s="19"/>
      <c r="AW1415" s="17"/>
      <c r="AX1415" s="17">
        <f t="shared" si="486"/>
        <v>1406</v>
      </c>
      <c r="AY1415" s="17">
        <f t="shared" si="484"/>
        <v>140.6</v>
      </c>
      <c r="AZ1415" s="17">
        <v>53.275586682324374</v>
      </c>
      <c r="BA1415" s="17"/>
      <c r="BB1415" s="17">
        <v>36</v>
      </c>
      <c r="BC1415" s="17"/>
      <c r="BD1415" s="17"/>
      <c r="BE1415" s="17"/>
      <c r="BF1415" s="17"/>
      <c r="BG1415" s="17"/>
      <c r="BH1415" s="17"/>
      <c r="BI1415" s="17"/>
      <c r="BJ1415" s="17"/>
      <c r="BK1415" s="17"/>
      <c r="BL1415" s="17"/>
      <c r="BM1415" s="17"/>
      <c r="BN1415" s="17"/>
      <c r="BO1415" s="17"/>
      <c r="BP1415" s="17"/>
      <c r="BQ1415" s="17"/>
      <c r="BR1415" s="17"/>
      <c r="BS1415" s="17"/>
      <c r="BT1415" s="17"/>
      <c r="BU1415" s="17"/>
      <c r="BV1415" s="17"/>
      <c r="BW1415" s="17"/>
      <c r="BX1415" s="17"/>
      <c r="BY1415" s="17"/>
      <c r="BZ1415" s="17"/>
      <c r="CA1415" s="17"/>
      <c r="CB1415" s="17"/>
      <c r="CC1415" s="17"/>
      <c r="CD1415" s="17"/>
      <c r="CE1415" s="17"/>
      <c r="CF1415" s="17"/>
      <c r="CG1415" s="17"/>
      <c r="CH1415" s="17"/>
    </row>
    <row r="1416" spans="35:86" x14ac:dyDescent="0.15">
      <c r="AI1416" s="3"/>
      <c r="AJ1416" s="3"/>
      <c r="AK1416" s="15">
        <f t="shared" si="479"/>
        <v>6</v>
      </c>
      <c r="AL1416" s="11">
        <f t="shared" si="485"/>
        <v>8442</v>
      </c>
      <c r="AM1416" s="11" t="b">
        <f t="shared" si="478"/>
        <v>0</v>
      </c>
      <c r="AN1416" s="11">
        <f t="shared" si="480"/>
        <v>36000</v>
      </c>
      <c r="AO1416" s="11">
        <f t="shared" si="481"/>
        <v>0</v>
      </c>
      <c r="AP1416" s="11">
        <f t="shared" si="482"/>
        <v>0.53385818163805854</v>
      </c>
      <c r="AQ1416" s="11">
        <f t="shared" si="483"/>
        <v>0</v>
      </c>
      <c r="AT1416" s="3"/>
      <c r="AU1416" s="17"/>
      <c r="AV1416" s="19"/>
      <c r="AW1416" s="17"/>
      <c r="AX1416" s="17">
        <f t="shared" si="486"/>
        <v>1407</v>
      </c>
      <c r="AY1416" s="17">
        <f t="shared" si="484"/>
        <v>140.69999999999999</v>
      </c>
      <c r="AZ1416" s="17">
        <v>53.385818163805851</v>
      </c>
      <c r="BA1416" s="17"/>
      <c r="BB1416" s="17">
        <v>36</v>
      </c>
      <c r="BC1416" s="17"/>
      <c r="BD1416" s="17"/>
      <c r="BE1416" s="17"/>
      <c r="BF1416" s="17"/>
      <c r="BG1416" s="17"/>
      <c r="BH1416" s="17"/>
      <c r="BI1416" s="17"/>
      <c r="BJ1416" s="17"/>
      <c r="BK1416" s="17"/>
      <c r="BL1416" s="17"/>
      <c r="BM1416" s="17"/>
      <c r="BN1416" s="17"/>
      <c r="BO1416" s="17"/>
      <c r="BP1416" s="17"/>
      <c r="BQ1416" s="17"/>
      <c r="BR1416" s="17"/>
      <c r="BS1416" s="17"/>
      <c r="BT1416" s="17"/>
      <c r="BU1416" s="17"/>
      <c r="BV1416" s="17"/>
      <c r="BW1416" s="17"/>
      <c r="BX1416" s="17"/>
      <c r="BY1416" s="17"/>
      <c r="BZ1416" s="17"/>
      <c r="CA1416" s="17"/>
      <c r="CB1416" s="17"/>
      <c r="CC1416" s="17"/>
      <c r="CD1416" s="17"/>
      <c r="CE1416" s="17"/>
      <c r="CF1416" s="17"/>
      <c r="CG1416" s="17"/>
      <c r="CH1416" s="17"/>
    </row>
    <row r="1417" spans="35:86" x14ac:dyDescent="0.15">
      <c r="AI1417" s="3"/>
      <c r="AJ1417" s="3"/>
      <c r="AK1417" s="15">
        <f t="shared" si="479"/>
        <v>6</v>
      </c>
      <c r="AL1417" s="11">
        <f t="shared" si="485"/>
        <v>8448</v>
      </c>
      <c r="AM1417" s="11" t="b">
        <f t="shared" ref="AM1417:AM1480" si="487">OR(AND(AL1417&gt;=$AC$5,AL1417&lt;=$AD$5),AND(AL1417&gt;=$AC$6,AL1417&lt;=$AD$6),AND(AL1417&gt;=$AC$7,AL1417&lt;=$AD$7),AND(AL1417&gt;=$AC$8,AL1417&lt;=$AD$8),AND(AL1417&gt;=$AC$9,AL1417&lt;=$AD$9),AND(AL1417&gt;=$AC$10,AL1417&lt;=$AD$10),AND(AL1417&gt;=$AC$11,AL1417&lt;=$AD$11),AND($AD$11&lt;$AC$11,OR(AL1417&lt;$AD$11,AL1417&gt;$AC$11)))</f>
        <v>0</v>
      </c>
      <c r="AN1417" s="11">
        <f t="shared" si="480"/>
        <v>36000</v>
      </c>
      <c r="AO1417" s="11">
        <f t="shared" si="481"/>
        <v>0</v>
      </c>
      <c r="AP1417" s="11">
        <f t="shared" si="482"/>
        <v>0.53496049645287336</v>
      </c>
      <c r="AQ1417" s="11">
        <f t="shared" si="483"/>
        <v>0</v>
      </c>
      <c r="AT1417" s="3"/>
      <c r="AU1417" s="17"/>
      <c r="AV1417" s="19"/>
      <c r="AW1417" s="17"/>
      <c r="AX1417" s="17">
        <f t="shared" si="486"/>
        <v>1408</v>
      </c>
      <c r="AY1417" s="17">
        <f t="shared" si="484"/>
        <v>140.80000000000001</v>
      </c>
      <c r="AZ1417" s="17">
        <v>53.496049645287336</v>
      </c>
      <c r="BA1417" s="17"/>
      <c r="BB1417" s="17">
        <v>36</v>
      </c>
      <c r="BC1417" s="17"/>
      <c r="BD1417" s="17"/>
      <c r="BE1417" s="17"/>
      <c r="BF1417" s="17"/>
      <c r="BG1417" s="17"/>
      <c r="BH1417" s="17"/>
      <c r="BI1417" s="17"/>
      <c r="BJ1417" s="17"/>
      <c r="BK1417" s="17"/>
      <c r="BL1417" s="17"/>
      <c r="BM1417" s="17"/>
      <c r="BN1417" s="17"/>
      <c r="BO1417" s="17"/>
      <c r="BP1417" s="17"/>
      <c r="BQ1417" s="17"/>
      <c r="BR1417" s="17"/>
      <c r="BS1417" s="17"/>
      <c r="BT1417" s="17"/>
      <c r="BU1417" s="17"/>
      <c r="BV1417" s="17"/>
      <c r="BW1417" s="17"/>
      <c r="BX1417" s="17"/>
      <c r="BY1417" s="17"/>
      <c r="BZ1417" s="17"/>
      <c r="CA1417" s="17"/>
      <c r="CB1417" s="17"/>
      <c r="CC1417" s="17"/>
      <c r="CD1417" s="17"/>
      <c r="CE1417" s="17"/>
      <c r="CF1417" s="17"/>
      <c r="CG1417" s="17"/>
      <c r="CH1417" s="17"/>
    </row>
    <row r="1418" spans="35:86" x14ac:dyDescent="0.15">
      <c r="AI1418" s="3"/>
      <c r="AJ1418" s="3"/>
      <c r="AK1418" s="15">
        <f t="shared" ref="AK1418:AK1481" si="488">1+INT(MOD(AL1418/60/24-0.5,7))</f>
        <v>6</v>
      </c>
      <c r="AL1418" s="11">
        <f t="shared" si="485"/>
        <v>8454</v>
      </c>
      <c r="AM1418" s="11" t="b">
        <f t="shared" si="487"/>
        <v>0</v>
      </c>
      <c r="AN1418" s="11">
        <f t="shared" ref="AN1418:AN1481" si="489">IF(AND(AM1418,NOT(AM1419)),$AB$26,AN1417+($AB$28-IF(AND(AM1417,AM1418),CHOOSE(AK1418,$AG$5,$AG$6,$AG$7,$AG$8,$AG$9,$AG$10,$AG$11)*$AA$22/$AA$24,0))*$AB$15)</f>
        <v>36000</v>
      </c>
      <c r="AO1418" s="11">
        <f t="shared" ref="AO1418:AO1481" si="490">IF(AND(AM1418,NOT(AM1419)),$AB$27,AO1417+($AB$29-IF(AND(AM1417,AM1418),CHOOSE(AK1418,$AG$5,$AG$6,$AG$7,$AG$8,$AG$9,$AG$10,$AG$11)*$AA$23/$AA$24,0))*$AB$15)</f>
        <v>0</v>
      </c>
      <c r="AP1418" s="11">
        <f t="shared" ref="AP1418:AP1481" si="491">IF(AN1417&lt;=0,0,(AP1417*AN1417-(IF(AND(AM1417,AM1418),CHOOSE(AK1418,$AI$5,$AI$6,$AI$7,$AI$8,$AI$9,$AI$10,$AI$11),$AA$37))*AP1417*$AB$15+$AA$34*(AQ1417-AP1417)*$AB$15+$AA$33*$AB$15)/AN1417)</f>
        <v>0.53606281126768818</v>
      </c>
      <c r="AQ1418" s="11">
        <f t="shared" si="483"/>
        <v>0</v>
      </c>
      <c r="AT1418" s="3"/>
      <c r="AU1418" s="17"/>
      <c r="AV1418" s="19"/>
      <c r="AW1418" s="17"/>
      <c r="AX1418" s="17">
        <f t="shared" si="486"/>
        <v>1409</v>
      </c>
      <c r="AY1418" s="17">
        <f t="shared" si="484"/>
        <v>140.9</v>
      </c>
      <c r="AZ1418" s="17">
        <v>53.60628112676882</v>
      </c>
      <c r="BA1418" s="17"/>
      <c r="BB1418" s="17">
        <v>36</v>
      </c>
      <c r="BC1418" s="17"/>
      <c r="BD1418" s="17"/>
      <c r="BE1418" s="17"/>
      <c r="BF1418" s="17"/>
      <c r="BG1418" s="17"/>
      <c r="BH1418" s="17"/>
      <c r="BI1418" s="17"/>
      <c r="BJ1418" s="17"/>
      <c r="BK1418" s="17"/>
      <c r="BL1418" s="17"/>
      <c r="BM1418" s="17"/>
      <c r="BN1418" s="17"/>
      <c r="BO1418" s="17"/>
      <c r="BP1418" s="17"/>
      <c r="BQ1418" s="17"/>
      <c r="BR1418" s="17"/>
      <c r="BS1418" s="17"/>
      <c r="BT1418" s="17"/>
      <c r="BU1418" s="17"/>
      <c r="BV1418" s="17"/>
      <c r="BW1418" s="17"/>
      <c r="BX1418" s="17"/>
      <c r="BY1418" s="17"/>
      <c r="BZ1418" s="17"/>
      <c r="CA1418" s="17"/>
      <c r="CB1418" s="17"/>
      <c r="CC1418" s="17"/>
      <c r="CD1418" s="17"/>
      <c r="CE1418" s="17"/>
      <c r="CF1418" s="17"/>
      <c r="CG1418" s="17"/>
      <c r="CH1418" s="17"/>
    </row>
    <row r="1419" spans="35:86" x14ac:dyDescent="0.15">
      <c r="AI1419" s="3"/>
      <c r="AJ1419" s="3"/>
      <c r="AK1419" s="15">
        <f t="shared" si="488"/>
        <v>6</v>
      </c>
      <c r="AL1419" s="11">
        <f t="shared" si="485"/>
        <v>8460</v>
      </c>
      <c r="AM1419" s="11" t="b">
        <f t="shared" si="487"/>
        <v>0</v>
      </c>
      <c r="AN1419" s="11">
        <f t="shared" si="489"/>
        <v>36000</v>
      </c>
      <c r="AO1419" s="11">
        <f t="shared" si="490"/>
        <v>0</v>
      </c>
      <c r="AP1419" s="11">
        <f t="shared" si="491"/>
        <v>0.53716512608250311</v>
      </c>
      <c r="AQ1419" s="11">
        <f t="shared" ref="AQ1419:AQ1482" si="492">IF(AO1418&lt;=0,0,(AQ1418*AO1418-$AA$34*(AQ1418-AP1418)*$AB$15)/AO1418)</f>
        <v>0</v>
      </c>
      <c r="AT1419" s="3"/>
      <c r="AU1419" s="17"/>
      <c r="AV1419" s="19"/>
      <c r="AW1419" s="17"/>
      <c r="AX1419" s="17">
        <f t="shared" si="486"/>
        <v>1410</v>
      </c>
      <c r="AY1419" s="17">
        <f t="shared" si="484"/>
        <v>141</v>
      </c>
      <c r="AZ1419" s="17">
        <v>53.716512608250312</v>
      </c>
      <c r="BA1419" s="17"/>
      <c r="BB1419" s="17">
        <v>36</v>
      </c>
      <c r="BC1419" s="17"/>
      <c r="BD1419" s="17"/>
      <c r="BE1419" s="17"/>
      <c r="BF1419" s="17"/>
      <c r="BG1419" s="17"/>
      <c r="BH1419" s="17"/>
      <c r="BI1419" s="17"/>
      <c r="BJ1419" s="17"/>
      <c r="BK1419" s="17"/>
      <c r="BL1419" s="17"/>
      <c r="BM1419" s="17"/>
      <c r="BN1419" s="17"/>
      <c r="BO1419" s="17"/>
      <c r="BP1419" s="17"/>
      <c r="BQ1419" s="17"/>
      <c r="BR1419" s="17"/>
      <c r="BS1419" s="17"/>
      <c r="BT1419" s="17"/>
      <c r="BU1419" s="17"/>
      <c r="BV1419" s="17"/>
      <c r="BW1419" s="17"/>
      <c r="BX1419" s="17"/>
      <c r="BY1419" s="17"/>
      <c r="BZ1419" s="17"/>
      <c r="CA1419" s="17"/>
      <c r="CB1419" s="17"/>
      <c r="CC1419" s="17"/>
      <c r="CD1419" s="17"/>
      <c r="CE1419" s="17"/>
      <c r="CF1419" s="17"/>
      <c r="CG1419" s="17"/>
      <c r="CH1419" s="17"/>
    </row>
    <row r="1420" spans="35:86" x14ac:dyDescent="0.15">
      <c r="AI1420" s="3"/>
      <c r="AJ1420" s="3"/>
      <c r="AK1420" s="15">
        <f t="shared" si="488"/>
        <v>6</v>
      </c>
      <c r="AL1420" s="11">
        <f t="shared" si="485"/>
        <v>8466</v>
      </c>
      <c r="AM1420" s="11" t="b">
        <f t="shared" si="487"/>
        <v>0</v>
      </c>
      <c r="AN1420" s="11">
        <f t="shared" si="489"/>
        <v>36000</v>
      </c>
      <c r="AO1420" s="11">
        <f t="shared" si="490"/>
        <v>0</v>
      </c>
      <c r="AP1420" s="11">
        <f t="shared" si="491"/>
        <v>0.53826744089731793</v>
      </c>
      <c r="AQ1420" s="11">
        <f t="shared" si="492"/>
        <v>0</v>
      </c>
      <c r="AT1420" s="3"/>
      <c r="AU1420" s="17"/>
      <c r="AV1420" s="19"/>
      <c r="AW1420" s="17"/>
      <c r="AX1420" s="17">
        <f t="shared" si="486"/>
        <v>1411</v>
      </c>
      <c r="AY1420" s="17">
        <f t="shared" si="484"/>
        <v>141.1</v>
      </c>
      <c r="AZ1420" s="17">
        <v>53.82674408973179</v>
      </c>
      <c r="BA1420" s="17"/>
      <c r="BB1420" s="17">
        <v>36</v>
      </c>
      <c r="BC1420" s="17"/>
      <c r="BD1420" s="17"/>
      <c r="BE1420" s="17"/>
      <c r="BF1420" s="17"/>
      <c r="BG1420" s="17"/>
      <c r="BH1420" s="17"/>
      <c r="BI1420" s="17"/>
      <c r="BJ1420" s="17"/>
      <c r="BK1420" s="17"/>
      <c r="BL1420" s="17"/>
      <c r="BM1420" s="17"/>
      <c r="BN1420" s="17"/>
      <c r="BO1420" s="17"/>
      <c r="BP1420" s="17"/>
      <c r="BQ1420" s="17"/>
      <c r="BR1420" s="17"/>
      <c r="BS1420" s="17"/>
      <c r="BT1420" s="17"/>
      <c r="BU1420" s="17"/>
      <c r="BV1420" s="17"/>
      <c r="BW1420" s="17"/>
      <c r="BX1420" s="17"/>
      <c r="BY1420" s="17"/>
      <c r="BZ1420" s="17"/>
      <c r="CA1420" s="17"/>
      <c r="CB1420" s="17"/>
      <c r="CC1420" s="17"/>
      <c r="CD1420" s="17"/>
      <c r="CE1420" s="17"/>
      <c r="CF1420" s="17"/>
      <c r="CG1420" s="17"/>
      <c r="CH1420" s="17"/>
    </row>
    <row r="1421" spans="35:86" x14ac:dyDescent="0.15">
      <c r="AI1421" s="3"/>
      <c r="AJ1421" s="3"/>
      <c r="AK1421" s="15">
        <f t="shared" si="488"/>
        <v>6</v>
      </c>
      <c r="AL1421" s="11">
        <f t="shared" si="485"/>
        <v>8472</v>
      </c>
      <c r="AM1421" s="11" t="b">
        <f t="shared" si="487"/>
        <v>0</v>
      </c>
      <c r="AN1421" s="11">
        <f t="shared" si="489"/>
        <v>36000</v>
      </c>
      <c r="AO1421" s="11">
        <f t="shared" si="490"/>
        <v>0</v>
      </c>
      <c r="AP1421" s="11">
        <f t="shared" si="491"/>
        <v>0.53936975571213275</v>
      </c>
      <c r="AQ1421" s="11">
        <f t="shared" si="492"/>
        <v>0</v>
      </c>
      <c r="AT1421" s="3"/>
      <c r="AU1421" s="17"/>
      <c r="AV1421" s="19"/>
      <c r="AW1421" s="17"/>
      <c r="AX1421" s="17">
        <f t="shared" si="486"/>
        <v>1412</v>
      </c>
      <c r="AY1421" s="17">
        <f t="shared" si="484"/>
        <v>141.19999999999999</v>
      </c>
      <c r="AZ1421" s="17">
        <v>53.936975571213274</v>
      </c>
      <c r="BA1421" s="17"/>
      <c r="BB1421" s="17">
        <v>36</v>
      </c>
      <c r="BC1421" s="17"/>
      <c r="BD1421" s="17"/>
      <c r="BE1421" s="17"/>
      <c r="BF1421" s="17"/>
      <c r="BG1421" s="17"/>
      <c r="BH1421" s="17"/>
      <c r="BI1421" s="17"/>
      <c r="BJ1421" s="17"/>
      <c r="BK1421" s="17"/>
      <c r="BL1421" s="17"/>
      <c r="BM1421" s="17"/>
      <c r="BN1421" s="17"/>
      <c r="BO1421" s="17"/>
      <c r="BP1421" s="17"/>
      <c r="BQ1421" s="17"/>
      <c r="BR1421" s="17"/>
      <c r="BS1421" s="17"/>
      <c r="BT1421" s="17"/>
      <c r="BU1421" s="17"/>
      <c r="BV1421" s="17"/>
      <c r="BW1421" s="17"/>
      <c r="BX1421" s="17"/>
      <c r="BY1421" s="17"/>
      <c r="BZ1421" s="17"/>
      <c r="CA1421" s="17"/>
      <c r="CB1421" s="17"/>
      <c r="CC1421" s="17"/>
      <c r="CD1421" s="17"/>
      <c r="CE1421" s="17"/>
      <c r="CF1421" s="17"/>
      <c r="CG1421" s="17"/>
      <c r="CH1421" s="17"/>
    </row>
    <row r="1422" spans="35:86" x14ac:dyDescent="0.15">
      <c r="AI1422" s="3"/>
      <c r="AJ1422" s="3"/>
      <c r="AK1422" s="15">
        <f t="shared" si="488"/>
        <v>6</v>
      </c>
      <c r="AL1422" s="11">
        <f t="shared" si="485"/>
        <v>8478</v>
      </c>
      <c r="AM1422" s="11" t="b">
        <f t="shared" si="487"/>
        <v>0</v>
      </c>
      <c r="AN1422" s="11">
        <f t="shared" si="489"/>
        <v>36000</v>
      </c>
      <c r="AO1422" s="11">
        <f t="shared" si="490"/>
        <v>0</v>
      </c>
      <c r="AP1422" s="11">
        <f t="shared" si="491"/>
        <v>0.54047207052694757</v>
      </c>
      <c r="AQ1422" s="11">
        <f t="shared" si="492"/>
        <v>0</v>
      </c>
      <c r="AT1422" s="3"/>
      <c r="AU1422" s="17"/>
      <c r="AV1422" s="19"/>
      <c r="AW1422" s="17"/>
      <c r="AX1422" s="17">
        <f t="shared" si="486"/>
        <v>1413</v>
      </c>
      <c r="AY1422" s="17">
        <f t="shared" si="484"/>
        <v>141.30000000000001</v>
      </c>
      <c r="AZ1422" s="17">
        <v>54.047207052694759</v>
      </c>
      <c r="BA1422" s="17"/>
      <c r="BB1422" s="17">
        <v>36</v>
      </c>
      <c r="BC1422" s="17"/>
      <c r="BD1422" s="17"/>
      <c r="BE1422" s="17"/>
      <c r="BF1422" s="17"/>
      <c r="BG1422" s="17"/>
      <c r="BH1422" s="17"/>
      <c r="BI1422" s="17"/>
      <c r="BJ1422" s="17"/>
      <c r="BK1422" s="17"/>
      <c r="BL1422" s="17"/>
      <c r="BM1422" s="17"/>
      <c r="BN1422" s="17"/>
      <c r="BO1422" s="17"/>
      <c r="BP1422" s="17"/>
      <c r="BQ1422" s="17"/>
      <c r="BR1422" s="17"/>
      <c r="BS1422" s="17"/>
      <c r="BT1422" s="17"/>
      <c r="BU1422" s="17"/>
      <c r="BV1422" s="17"/>
      <c r="BW1422" s="17"/>
      <c r="BX1422" s="17"/>
      <c r="BY1422" s="17"/>
      <c r="BZ1422" s="17"/>
      <c r="CA1422" s="17"/>
      <c r="CB1422" s="17"/>
      <c r="CC1422" s="17"/>
      <c r="CD1422" s="17"/>
      <c r="CE1422" s="17"/>
      <c r="CF1422" s="17"/>
      <c r="CG1422" s="17"/>
      <c r="CH1422" s="17"/>
    </row>
    <row r="1423" spans="35:86" x14ac:dyDescent="0.15">
      <c r="AI1423" s="3"/>
      <c r="AJ1423" s="3"/>
      <c r="AK1423" s="15">
        <f t="shared" si="488"/>
        <v>6</v>
      </c>
      <c r="AL1423" s="11">
        <f t="shared" si="485"/>
        <v>8484</v>
      </c>
      <c r="AM1423" s="11" t="b">
        <f t="shared" si="487"/>
        <v>0</v>
      </c>
      <c r="AN1423" s="11">
        <f t="shared" si="489"/>
        <v>36000</v>
      </c>
      <c r="AO1423" s="11">
        <f t="shared" si="490"/>
        <v>0</v>
      </c>
      <c r="AP1423" s="11">
        <f t="shared" si="491"/>
        <v>0.54157438534176239</v>
      </c>
      <c r="AQ1423" s="11">
        <f t="shared" si="492"/>
        <v>0</v>
      </c>
      <c r="AT1423" s="3"/>
      <c r="AU1423" s="17"/>
      <c r="AV1423" s="19"/>
      <c r="AW1423" s="17"/>
      <c r="AX1423" s="17">
        <f t="shared" si="486"/>
        <v>1414</v>
      </c>
      <c r="AY1423" s="17">
        <f t="shared" si="484"/>
        <v>141.4</v>
      </c>
      <c r="AZ1423" s="17">
        <v>54.157438534176237</v>
      </c>
      <c r="BA1423" s="17"/>
      <c r="BB1423" s="17">
        <v>36</v>
      </c>
      <c r="BC1423" s="17"/>
      <c r="BD1423" s="17"/>
      <c r="BE1423" s="17"/>
      <c r="BF1423" s="17"/>
      <c r="BG1423" s="17"/>
      <c r="BH1423" s="17"/>
      <c r="BI1423" s="17"/>
      <c r="BJ1423" s="17"/>
      <c r="BK1423" s="17"/>
      <c r="BL1423" s="17"/>
      <c r="BM1423" s="17"/>
      <c r="BN1423" s="17"/>
      <c r="BO1423" s="17"/>
      <c r="BP1423" s="17"/>
      <c r="BQ1423" s="17"/>
      <c r="BR1423" s="17"/>
      <c r="BS1423" s="17"/>
      <c r="BT1423" s="17"/>
      <c r="BU1423" s="17"/>
      <c r="BV1423" s="17"/>
      <c r="BW1423" s="17"/>
      <c r="BX1423" s="17"/>
      <c r="BY1423" s="17"/>
      <c r="BZ1423" s="17"/>
      <c r="CA1423" s="17"/>
      <c r="CB1423" s="17"/>
      <c r="CC1423" s="17"/>
      <c r="CD1423" s="17"/>
      <c r="CE1423" s="17"/>
      <c r="CF1423" s="17"/>
      <c r="CG1423" s="17"/>
      <c r="CH1423" s="17"/>
    </row>
    <row r="1424" spans="35:86" x14ac:dyDescent="0.15">
      <c r="AI1424" s="3"/>
      <c r="AJ1424" s="3"/>
      <c r="AK1424" s="15">
        <f t="shared" si="488"/>
        <v>6</v>
      </c>
      <c r="AL1424" s="11">
        <f t="shared" si="485"/>
        <v>8490</v>
      </c>
      <c r="AM1424" s="11" t="b">
        <f t="shared" si="487"/>
        <v>0</v>
      </c>
      <c r="AN1424" s="11">
        <f t="shared" si="489"/>
        <v>36000</v>
      </c>
      <c r="AO1424" s="11">
        <f t="shared" si="490"/>
        <v>0</v>
      </c>
      <c r="AP1424" s="11">
        <f t="shared" si="491"/>
        <v>0.54267670015657732</v>
      </c>
      <c r="AQ1424" s="11">
        <f t="shared" si="492"/>
        <v>0</v>
      </c>
      <c r="AT1424" s="3"/>
      <c r="AU1424" s="17"/>
      <c r="AV1424" s="19"/>
      <c r="AW1424" s="17"/>
      <c r="AX1424" s="17">
        <f t="shared" si="486"/>
        <v>1415</v>
      </c>
      <c r="AY1424" s="17">
        <f t="shared" si="484"/>
        <v>141.5</v>
      </c>
      <c r="AZ1424" s="17">
        <v>54.267670015657728</v>
      </c>
      <c r="BA1424" s="17"/>
      <c r="BB1424" s="17">
        <v>36</v>
      </c>
      <c r="BC1424" s="17"/>
      <c r="BD1424" s="17"/>
      <c r="BE1424" s="17"/>
      <c r="BF1424" s="17"/>
      <c r="BG1424" s="17"/>
      <c r="BH1424" s="17"/>
      <c r="BI1424" s="17"/>
      <c r="BJ1424" s="17"/>
      <c r="BK1424" s="17"/>
      <c r="BL1424" s="17"/>
      <c r="BM1424" s="17"/>
      <c r="BN1424" s="17"/>
      <c r="BO1424" s="17"/>
      <c r="BP1424" s="17"/>
      <c r="BQ1424" s="17"/>
      <c r="BR1424" s="17"/>
      <c r="BS1424" s="17"/>
      <c r="BT1424" s="17"/>
      <c r="BU1424" s="17"/>
      <c r="BV1424" s="17"/>
      <c r="BW1424" s="17"/>
      <c r="BX1424" s="17"/>
      <c r="BY1424" s="17"/>
      <c r="BZ1424" s="17"/>
      <c r="CA1424" s="17"/>
      <c r="CB1424" s="17"/>
      <c r="CC1424" s="17"/>
      <c r="CD1424" s="17"/>
      <c r="CE1424" s="17"/>
      <c r="CF1424" s="17"/>
      <c r="CG1424" s="17"/>
      <c r="CH1424" s="17"/>
    </row>
    <row r="1425" spans="35:86" x14ac:dyDescent="0.15">
      <c r="AI1425" s="3"/>
      <c r="AJ1425" s="3"/>
      <c r="AK1425" s="15">
        <f t="shared" si="488"/>
        <v>6</v>
      </c>
      <c r="AL1425" s="11">
        <f t="shared" si="485"/>
        <v>8496</v>
      </c>
      <c r="AM1425" s="11" t="b">
        <f t="shared" si="487"/>
        <v>0</v>
      </c>
      <c r="AN1425" s="11">
        <f t="shared" si="489"/>
        <v>36000</v>
      </c>
      <c r="AO1425" s="11">
        <f t="shared" si="490"/>
        <v>0</v>
      </c>
      <c r="AP1425" s="11">
        <f t="shared" si="491"/>
        <v>0.54377901497139214</v>
      </c>
      <c r="AQ1425" s="11">
        <f t="shared" si="492"/>
        <v>0</v>
      </c>
      <c r="AT1425" s="3"/>
      <c r="AU1425" s="17"/>
      <c r="AV1425" s="19"/>
      <c r="AW1425" s="17"/>
      <c r="AX1425" s="17">
        <f t="shared" si="486"/>
        <v>1416</v>
      </c>
      <c r="AY1425" s="17">
        <f t="shared" si="484"/>
        <v>141.6</v>
      </c>
      <c r="AZ1425" s="17">
        <v>54.377901497139213</v>
      </c>
      <c r="BA1425" s="17"/>
      <c r="BB1425" s="17">
        <v>36</v>
      </c>
      <c r="BC1425" s="17"/>
      <c r="BD1425" s="17"/>
      <c r="BE1425" s="17"/>
      <c r="BF1425" s="17"/>
      <c r="BG1425" s="17"/>
      <c r="BH1425" s="17"/>
      <c r="BI1425" s="17"/>
      <c r="BJ1425" s="17"/>
      <c r="BK1425" s="17"/>
      <c r="BL1425" s="17"/>
      <c r="BM1425" s="17"/>
      <c r="BN1425" s="17"/>
      <c r="BO1425" s="17"/>
      <c r="BP1425" s="17"/>
      <c r="BQ1425" s="17"/>
      <c r="BR1425" s="17"/>
      <c r="BS1425" s="17"/>
      <c r="BT1425" s="17"/>
      <c r="BU1425" s="17"/>
      <c r="BV1425" s="17"/>
      <c r="BW1425" s="17"/>
      <c r="BX1425" s="17"/>
      <c r="BY1425" s="17"/>
      <c r="BZ1425" s="17"/>
      <c r="CA1425" s="17"/>
      <c r="CB1425" s="17"/>
      <c r="CC1425" s="17"/>
      <c r="CD1425" s="17"/>
      <c r="CE1425" s="17"/>
      <c r="CF1425" s="17"/>
      <c r="CG1425" s="17"/>
      <c r="CH1425" s="17"/>
    </row>
    <row r="1426" spans="35:86" x14ac:dyDescent="0.15">
      <c r="AI1426" s="3"/>
      <c r="AJ1426" s="3"/>
      <c r="AK1426" s="15">
        <f t="shared" si="488"/>
        <v>6</v>
      </c>
      <c r="AL1426" s="11">
        <f t="shared" si="485"/>
        <v>8502</v>
      </c>
      <c r="AM1426" s="11" t="b">
        <f t="shared" si="487"/>
        <v>0</v>
      </c>
      <c r="AN1426" s="11">
        <f t="shared" si="489"/>
        <v>36000</v>
      </c>
      <c r="AO1426" s="11">
        <f t="shared" si="490"/>
        <v>0</v>
      </c>
      <c r="AP1426" s="11">
        <f t="shared" si="491"/>
        <v>0.54488132978620696</v>
      </c>
      <c r="AQ1426" s="11">
        <f t="shared" si="492"/>
        <v>0</v>
      </c>
      <c r="AT1426" s="3"/>
      <c r="AU1426" s="17"/>
      <c r="AV1426" s="19"/>
      <c r="AW1426" s="17"/>
      <c r="AX1426" s="17">
        <f t="shared" si="486"/>
        <v>1417</v>
      </c>
      <c r="AY1426" s="17">
        <f t="shared" si="484"/>
        <v>141.69999999999999</v>
      </c>
      <c r="AZ1426" s="17">
        <v>54.488132978620698</v>
      </c>
      <c r="BA1426" s="17"/>
      <c r="BB1426" s="17">
        <v>36</v>
      </c>
      <c r="BC1426" s="17"/>
      <c r="BD1426" s="17"/>
      <c r="BE1426" s="17"/>
      <c r="BF1426" s="17"/>
      <c r="BG1426" s="17"/>
      <c r="BH1426" s="17"/>
      <c r="BI1426" s="17"/>
      <c r="BJ1426" s="17"/>
      <c r="BK1426" s="17"/>
      <c r="BL1426" s="17"/>
      <c r="BM1426" s="17"/>
      <c r="BN1426" s="17"/>
      <c r="BO1426" s="17"/>
      <c r="BP1426" s="17"/>
      <c r="BQ1426" s="17"/>
      <c r="BR1426" s="17"/>
      <c r="BS1426" s="17"/>
      <c r="BT1426" s="17"/>
      <c r="BU1426" s="17"/>
      <c r="BV1426" s="17"/>
      <c r="BW1426" s="17"/>
      <c r="BX1426" s="17"/>
      <c r="BY1426" s="17"/>
      <c r="BZ1426" s="17"/>
      <c r="CA1426" s="17"/>
      <c r="CB1426" s="17"/>
      <c r="CC1426" s="17"/>
      <c r="CD1426" s="17"/>
      <c r="CE1426" s="17"/>
      <c r="CF1426" s="17"/>
      <c r="CG1426" s="17"/>
      <c r="CH1426" s="17"/>
    </row>
    <row r="1427" spans="35:86" x14ac:dyDescent="0.15">
      <c r="AI1427" s="3"/>
      <c r="AJ1427" s="3"/>
      <c r="AK1427" s="15">
        <f t="shared" si="488"/>
        <v>6</v>
      </c>
      <c r="AL1427" s="11">
        <f t="shared" si="485"/>
        <v>8508</v>
      </c>
      <c r="AM1427" s="11" t="b">
        <f t="shared" si="487"/>
        <v>0</v>
      </c>
      <c r="AN1427" s="11">
        <f t="shared" si="489"/>
        <v>36000</v>
      </c>
      <c r="AO1427" s="11">
        <f t="shared" si="490"/>
        <v>0</v>
      </c>
      <c r="AP1427" s="11">
        <f t="shared" si="491"/>
        <v>0.54598364460102178</v>
      </c>
      <c r="AQ1427" s="11">
        <f t="shared" si="492"/>
        <v>0</v>
      </c>
      <c r="AT1427" s="3"/>
      <c r="AU1427" s="17"/>
      <c r="AV1427" s="19"/>
      <c r="AW1427" s="17"/>
      <c r="AX1427" s="17">
        <f t="shared" si="486"/>
        <v>1418</v>
      </c>
      <c r="AY1427" s="17">
        <f t="shared" si="484"/>
        <v>141.80000000000001</v>
      </c>
      <c r="AZ1427" s="17">
        <v>54.598364460102175</v>
      </c>
      <c r="BA1427" s="17"/>
      <c r="BB1427" s="17">
        <v>36</v>
      </c>
      <c r="BC1427" s="17"/>
      <c r="BD1427" s="17"/>
      <c r="BE1427" s="17"/>
      <c r="BF1427" s="17"/>
      <c r="BG1427" s="17"/>
      <c r="BH1427" s="17"/>
      <c r="BI1427" s="17"/>
      <c r="BJ1427" s="17"/>
      <c r="BK1427" s="17"/>
      <c r="BL1427" s="17"/>
      <c r="BM1427" s="17"/>
      <c r="BN1427" s="17"/>
      <c r="BO1427" s="17"/>
      <c r="BP1427" s="17"/>
      <c r="BQ1427" s="17"/>
      <c r="BR1427" s="17"/>
      <c r="BS1427" s="17"/>
      <c r="BT1427" s="17"/>
      <c r="BU1427" s="17"/>
      <c r="BV1427" s="17"/>
      <c r="BW1427" s="17"/>
      <c r="BX1427" s="17"/>
      <c r="BY1427" s="17"/>
      <c r="BZ1427" s="17"/>
      <c r="CA1427" s="17"/>
      <c r="CB1427" s="17"/>
      <c r="CC1427" s="17"/>
      <c r="CD1427" s="17"/>
      <c r="CE1427" s="17"/>
      <c r="CF1427" s="17"/>
      <c r="CG1427" s="17"/>
      <c r="CH1427" s="17"/>
    </row>
    <row r="1428" spans="35:86" x14ac:dyDescent="0.15">
      <c r="AI1428" s="3"/>
      <c r="AJ1428" s="3"/>
      <c r="AK1428" s="15">
        <f t="shared" si="488"/>
        <v>6</v>
      </c>
      <c r="AL1428" s="11">
        <f t="shared" si="485"/>
        <v>8514</v>
      </c>
      <c r="AM1428" s="11" t="b">
        <f t="shared" si="487"/>
        <v>0</v>
      </c>
      <c r="AN1428" s="11">
        <f t="shared" si="489"/>
        <v>36000</v>
      </c>
      <c r="AO1428" s="11">
        <f t="shared" si="490"/>
        <v>0</v>
      </c>
      <c r="AP1428" s="11">
        <f t="shared" si="491"/>
        <v>0.5470859594158366</v>
      </c>
      <c r="AQ1428" s="11">
        <f t="shared" si="492"/>
        <v>0</v>
      </c>
      <c r="AT1428" s="3"/>
      <c r="AU1428" s="17"/>
      <c r="AV1428" s="19"/>
      <c r="AW1428" s="17"/>
      <c r="AX1428" s="17">
        <f t="shared" si="486"/>
        <v>1419</v>
      </c>
      <c r="AY1428" s="17">
        <f t="shared" ref="AY1428:AY1491" si="493">IF(ISNUMBER(AX1428),IF(ROUND((AX1428)*$AG$15*$AB$15,0) &lt;= 10080, ROUND((AX1428)*$AG$15,0)*$AB$15/60, 168),168)</f>
        <v>141.9</v>
      </c>
      <c r="AZ1428" s="17">
        <v>54.70859594158366</v>
      </c>
      <c r="BA1428" s="17"/>
      <c r="BB1428" s="17">
        <v>36</v>
      </c>
      <c r="BC1428" s="17"/>
      <c r="BD1428" s="17"/>
      <c r="BE1428" s="17"/>
      <c r="BF1428" s="17"/>
      <c r="BG1428" s="17"/>
      <c r="BH1428" s="17"/>
      <c r="BI1428" s="17"/>
      <c r="BJ1428" s="17"/>
      <c r="BK1428" s="17"/>
      <c r="BL1428" s="17"/>
      <c r="BM1428" s="17"/>
      <c r="BN1428" s="17"/>
      <c r="BO1428" s="17"/>
      <c r="BP1428" s="17"/>
      <c r="BQ1428" s="17"/>
      <c r="BR1428" s="17"/>
      <c r="BS1428" s="17"/>
      <c r="BT1428" s="17"/>
      <c r="BU1428" s="17"/>
      <c r="BV1428" s="17"/>
      <c r="BW1428" s="17"/>
      <c r="BX1428" s="17"/>
      <c r="BY1428" s="17"/>
      <c r="BZ1428" s="17"/>
      <c r="CA1428" s="17"/>
      <c r="CB1428" s="17"/>
      <c r="CC1428" s="17"/>
      <c r="CD1428" s="17"/>
      <c r="CE1428" s="17"/>
      <c r="CF1428" s="17"/>
      <c r="CG1428" s="17"/>
      <c r="CH1428" s="17"/>
    </row>
    <row r="1429" spans="35:86" x14ac:dyDescent="0.15">
      <c r="AI1429" s="3"/>
      <c r="AJ1429" s="3"/>
      <c r="AK1429" s="15">
        <f t="shared" si="488"/>
        <v>6</v>
      </c>
      <c r="AL1429" s="11">
        <f t="shared" si="485"/>
        <v>8520</v>
      </c>
      <c r="AM1429" s="11" t="b">
        <f t="shared" si="487"/>
        <v>0</v>
      </c>
      <c r="AN1429" s="11">
        <f t="shared" si="489"/>
        <v>36000</v>
      </c>
      <c r="AO1429" s="11">
        <f t="shared" si="490"/>
        <v>0</v>
      </c>
      <c r="AP1429" s="11">
        <f t="shared" si="491"/>
        <v>0.54818827423065153</v>
      </c>
      <c r="AQ1429" s="11">
        <f t="shared" si="492"/>
        <v>0</v>
      </c>
      <c r="AT1429" s="3"/>
      <c r="AU1429" s="17"/>
      <c r="AV1429" s="19"/>
      <c r="AW1429" s="17"/>
      <c r="AX1429" s="17">
        <f t="shared" si="486"/>
        <v>1420</v>
      </c>
      <c r="AY1429" s="17">
        <f t="shared" si="493"/>
        <v>142</v>
      </c>
      <c r="AZ1429" s="17">
        <v>54.818827423065152</v>
      </c>
      <c r="BA1429" s="17"/>
      <c r="BB1429" s="17">
        <v>36</v>
      </c>
      <c r="BC1429" s="17"/>
      <c r="BD1429" s="17"/>
      <c r="BE1429" s="17"/>
      <c r="BF1429" s="17"/>
      <c r="BG1429" s="17"/>
      <c r="BH1429" s="17"/>
      <c r="BI1429" s="17"/>
      <c r="BJ1429" s="17"/>
      <c r="BK1429" s="17"/>
      <c r="BL1429" s="17"/>
      <c r="BM1429" s="17"/>
      <c r="BN1429" s="17"/>
      <c r="BO1429" s="17"/>
      <c r="BP1429" s="17"/>
      <c r="BQ1429" s="17"/>
      <c r="BR1429" s="17"/>
      <c r="BS1429" s="17"/>
      <c r="BT1429" s="17"/>
      <c r="BU1429" s="17"/>
      <c r="BV1429" s="17"/>
      <c r="BW1429" s="17"/>
      <c r="BX1429" s="17"/>
      <c r="BY1429" s="17"/>
      <c r="BZ1429" s="17"/>
      <c r="CA1429" s="17"/>
      <c r="CB1429" s="17"/>
      <c r="CC1429" s="17"/>
      <c r="CD1429" s="17"/>
      <c r="CE1429" s="17"/>
      <c r="CF1429" s="17"/>
      <c r="CG1429" s="17"/>
      <c r="CH1429" s="17"/>
    </row>
    <row r="1430" spans="35:86" x14ac:dyDescent="0.15">
      <c r="AI1430" s="3"/>
      <c r="AJ1430" s="3"/>
      <c r="AK1430" s="15">
        <f t="shared" si="488"/>
        <v>6</v>
      </c>
      <c r="AL1430" s="11">
        <f t="shared" si="485"/>
        <v>8526</v>
      </c>
      <c r="AM1430" s="11" t="b">
        <f t="shared" si="487"/>
        <v>0</v>
      </c>
      <c r="AN1430" s="11">
        <f t="shared" si="489"/>
        <v>36000</v>
      </c>
      <c r="AO1430" s="11">
        <f t="shared" si="490"/>
        <v>0</v>
      </c>
      <c r="AP1430" s="11">
        <f t="shared" si="491"/>
        <v>0.54929058904546635</v>
      </c>
      <c r="AQ1430" s="11">
        <f t="shared" si="492"/>
        <v>0</v>
      </c>
      <c r="AT1430" s="3"/>
      <c r="AU1430" s="17"/>
      <c r="AV1430" s="19"/>
      <c r="AW1430" s="17"/>
      <c r="AX1430" s="17">
        <f t="shared" si="486"/>
        <v>1421</v>
      </c>
      <c r="AY1430" s="17">
        <f t="shared" si="493"/>
        <v>142.1</v>
      </c>
      <c r="AZ1430" s="17">
        <v>54.929058904546636</v>
      </c>
      <c r="BA1430" s="17"/>
      <c r="BB1430" s="17">
        <v>36</v>
      </c>
      <c r="BC1430" s="17"/>
      <c r="BD1430" s="17"/>
      <c r="BE1430" s="17"/>
      <c r="BF1430" s="17"/>
      <c r="BG1430" s="17"/>
      <c r="BH1430" s="17"/>
      <c r="BI1430" s="17"/>
      <c r="BJ1430" s="17"/>
      <c r="BK1430" s="17"/>
      <c r="BL1430" s="17"/>
      <c r="BM1430" s="17"/>
      <c r="BN1430" s="17"/>
      <c r="BO1430" s="17"/>
      <c r="BP1430" s="17"/>
      <c r="BQ1430" s="17"/>
      <c r="BR1430" s="17"/>
      <c r="BS1430" s="17"/>
      <c r="BT1430" s="17"/>
      <c r="BU1430" s="17"/>
      <c r="BV1430" s="17"/>
      <c r="BW1430" s="17"/>
      <c r="BX1430" s="17"/>
      <c r="BY1430" s="17"/>
      <c r="BZ1430" s="17"/>
      <c r="CA1430" s="17"/>
      <c r="CB1430" s="17"/>
      <c r="CC1430" s="17"/>
      <c r="CD1430" s="17"/>
      <c r="CE1430" s="17"/>
      <c r="CF1430" s="17"/>
      <c r="CG1430" s="17"/>
      <c r="CH1430" s="17"/>
    </row>
    <row r="1431" spans="35:86" x14ac:dyDescent="0.15">
      <c r="AI1431" s="3"/>
      <c r="AJ1431" s="3"/>
      <c r="AK1431" s="15">
        <f t="shared" si="488"/>
        <v>6</v>
      </c>
      <c r="AL1431" s="11">
        <f t="shared" si="485"/>
        <v>8532</v>
      </c>
      <c r="AM1431" s="11" t="b">
        <f t="shared" si="487"/>
        <v>0</v>
      </c>
      <c r="AN1431" s="11">
        <f t="shared" si="489"/>
        <v>36000</v>
      </c>
      <c r="AO1431" s="11">
        <f t="shared" si="490"/>
        <v>0</v>
      </c>
      <c r="AP1431" s="11">
        <f t="shared" si="491"/>
        <v>0.55039290386028117</v>
      </c>
      <c r="AQ1431" s="11">
        <f t="shared" si="492"/>
        <v>0</v>
      </c>
      <c r="AT1431" s="3"/>
      <c r="AU1431" s="17"/>
      <c r="AV1431" s="19"/>
      <c r="AW1431" s="17"/>
      <c r="AX1431" s="17">
        <f t="shared" si="486"/>
        <v>1422</v>
      </c>
      <c r="AY1431" s="17">
        <f t="shared" si="493"/>
        <v>142.19999999999999</v>
      </c>
      <c r="AZ1431" s="17">
        <v>55.039290386028114</v>
      </c>
      <c r="BA1431" s="17"/>
      <c r="BB1431" s="17">
        <v>36</v>
      </c>
      <c r="BC1431" s="17"/>
      <c r="BD1431" s="17"/>
      <c r="BE1431" s="17"/>
      <c r="BF1431" s="17"/>
      <c r="BG1431" s="17"/>
      <c r="BH1431" s="17"/>
      <c r="BI1431" s="17"/>
      <c r="BJ1431" s="17"/>
      <c r="BK1431" s="17"/>
      <c r="BL1431" s="17"/>
      <c r="BM1431" s="17"/>
      <c r="BN1431" s="17"/>
      <c r="BO1431" s="17"/>
      <c r="BP1431" s="17"/>
      <c r="BQ1431" s="17"/>
      <c r="BR1431" s="17"/>
      <c r="BS1431" s="17"/>
      <c r="BT1431" s="17"/>
      <c r="BU1431" s="17"/>
      <c r="BV1431" s="17"/>
      <c r="BW1431" s="17"/>
      <c r="BX1431" s="17"/>
      <c r="BY1431" s="17"/>
      <c r="BZ1431" s="17"/>
      <c r="CA1431" s="17"/>
      <c r="CB1431" s="17"/>
      <c r="CC1431" s="17"/>
      <c r="CD1431" s="17"/>
      <c r="CE1431" s="17"/>
      <c r="CF1431" s="17"/>
      <c r="CG1431" s="17"/>
      <c r="CH1431" s="17"/>
    </row>
    <row r="1432" spans="35:86" x14ac:dyDescent="0.15">
      <c r="AI1432" s="3"/>
      <c r="AJ1432" s="3"/>
      <c r="AK1432" s="15">
        <f t="shared" si="488"/>
        <v>6</v>
      </c>
      <c r="AL1432" s="11">
        <f t="shared" si="485"/>
        <v>8538</v>
      </c>
      <c r="AM1432" s="11" t="b">
        <f t="shared" si="487"/>
        <v>0</v>
      </c>
      <c r="AN1432" s="11">
        <f t="shared" si="489"/>
        <v>36000</v>
      </c>
      <c r="AO1432" s="11">
        <f t="shared" si="490"/>
        <v>0</v>
      </c>
      <c r="AP1432" s="11">
        <f t="shared" si="491"/>
        <v>0.55149521867509599</v>
      </c>
      <c r="AQ1432" s="11">
        <f t="shared" si="492"/>
        <v>0</v>
      </c>
      <c r="AT1432" s="3"/>
      <c r="AU1432" s="17"/>
      <c r="AV1432" s="19"/>
      <c r="AW1432" s="17"/>
      <c r="AX1432" s="17">
        <f t="shared" si="486"/>
        <v>1423</v>
      </c>
      <c r="AY1432" s="17">
        <f t="shared" si="493"/>
        <v>142.30000000000001</v>
      </c>
      <c r="AZ1432" s="17">
        <v>55.149521867509598</v>
      </c>
      <c r="BA1432" s="17"/>
      <c r="BB1432" s="17">
        <v>36</v>
      </c>
      <c r="BC1432" s="17"/>
      <c r="BD1432" s="17"/>
      <c r="BE1432" s="17"/>
      <c r="BF1432" s="17"/>
      <c r="BG1432" s="17"/>
      <c r="BH1432" s="17"/>
      <c r="BI1432" s="17"/>
      <c r="BJ1432" s="17"/>
      <c r="BK1432" s="17"/>
      <c r="BL1432" s="17"/>
      <c r="BM1432" s="17"/>
      <c r="BN1432" s="17"/>
      <c r="BO1432" s="17"/>
      <c r="BP1432" s="17"/>
      <c r="BQ1432" s="17"/>
      <c r="BR1432" s="17"/>
      <c r="BS1432" s="17"/>
      <c r="BT1432" s="17"/>
      <c r="BU1432" s="17"/>
      <c r="BV1432" s="17"/>
      <c r="BW1432" s="17"/>
      <c r="BX1432" s="17"/>
      <c r="BY1432" s="17"/>
      <c r="BZ1432" s="17"/>
      <c r="CA1432" s="17"/>
      <c r="CB1432" s="17"/>
      <c r="CC1432" s="17"/>
      <c r="CD1432" s="17"/>
      <c r="CE1432" s="17"/>
      <c r="CF1432" s="17"/>
      <c r="CG1432" s="17"/>
      <c r="CH1432" s="17"/>
    </row>
    <row r="1433" spans="35:86" x14ac:dyDescent="0.15">
      <c r="AI1433" s="3"/>
      <c r="AJ1433" s="3"/>
      <c r="AK1433" s="15">
        <f t="shared" si="488"/>
        <v>6</v>
      </c>
      <c r="AL1433" s="11">
        <f t="shared" si="485"/>
        <v>8544</v>
      </c>
      <c r="AM1433" s="11" t="b">
        <f t="shared" si="487"/>
        <v>0</v>
      </c>
      <c r="AN1433" s="11">
        <f t="shared" si="489"/>
        <v>36000</v>
      </c>
      <c r="AO1433" s="11">
        <f t="shared" si="490"/>
        <v>0</v>
      </c>
      <c r="AP1433" s="11">
        <f t="shared" si="491"/>
        <v>0.55259753348991081</v>
      </c>
      <c r="AQ1433" s="11">
        <f t="shared" si="492"/>
        <v>0</v>
      </c>
      <c r="AT1433" s="3"/>
      <c r="AU1433" s="17"/>
      <c r="AV1433" s="19"/>
      <c r="AW1433" s="17"/>
      <c r="AX1433" s="17">
        <f t="shared" si="486"/>
        <v>1424</v>
      </c>
      <c r="AY1433" s="17">
        <f t="shared" si="493"/>
        <v>142.4</v>
      </c>
      <c r="AZ1433" s="17">
        <v>55.259753348991083</v>
      </c>
      <c r="BA1433" s="17"/>
      <c r="BB1433" s="17">
        <v>36</v>
      </c>
      <c r="BC1433" s="17"/>
      <c r="BD1433" s="17"/>
      <c r="BE1433" s="17"/>
      <c r="BF1433" s="17"/>
      <c r="BG1433" s="17"/>
      <c r="BH1433" s="17"/>
      <c r="BI1433" s="17"/>
      <c r="BJ1433" s="17"/>
      <c r="BK1433" s="17"/>
      <c r="BL1433" s="17"/>
      <c r="BM1433" s="17"/>
      <c r="BN1433" s="17"/>
      <c r="BO1433" s="17"/>
      <c r="BP1433" s="17"/>
      <c r="BQ1433" s="17"/>
      <c r="BR1433" s="17"/>
      <c r="BS1433" s="17"/>
      <c r="BT1433" s="17"/>
      <c r="BU1433" s="17"/>
      <c r="BV1433" s="17"/>
      <c r="BW1433" s="17"/>
      <c r="BX1433" s="17"/>
      <c r="BY1433" s="17"/>
      <c r="BZ1433" s="17"/>
      <c r="CA1433" s="17"/>
      <c r="CB1433" s="17"/>
      <c r="CC1433" s="17"/>
      <c r="CD1433" s="17"/>
      <c r="CE1433" s="17"/>
      <c r="CF1433" s="17"/>
      <c r="CG1433" s="17"/>
      <c r="CH1433" s="17"/>
    </row>
    <row r="1434" spans="35:86" x14ac:dyDescent="0.15">
      <c r="AI1434" s="3"/>
      <c r="AJ1434" s="3"/>
      <c r="AK1434" s="15">
        <f t="shared" si="488"/>
        <v>6</v>
      </c>
      <c r="AL1434" s="11">
        <f t="shared" si="485"/>
        <v>8550</v>
      </c>
      <c r="AM1434" s="11" t="b">
        <f t="shared" si="487"/>
        <v>0</v>
      </c>
      <c r="AN1434" s="11">
        <f t="shared" si="489"/>
        <v>36000</v>
      </c>
      <c r="AO1434" s="11">
        <f t="shared" si="490"/>
        <v>0</v>
      </c>
      <c r="AP1434" s="11">
        <f t="shared" si="491"/>
        <v>0.55369984830472574</v>
      </c>
      <c r="AQ1434" s="11">
        <f t="shared" si="492"/>
        <v>0</v>
      </c>
      <c r="AT1434" s="3"/>
      <c r="AU1434" s="17"/>
      <c r="AV1434" s="19"/>
      <c r="AW1434" s="17"/>
      <c r="AX1434" s="17">
        <f t="shared" si="486"/>
        <v>1425</v>
      </c>
      <c r="AY1434" s="17">
        <f t="shared" si="493"/>
        <v>142.5</v>
      </c>
      <c r="AZ1434" s="17">
        <v>55.369984830472575</v>
      </c>
      <c r="BA1434" s="17"/>
      <c r="BB1434" s="17">
        <v>36</v>
      </c>
      <c r="BC1434" s="17"/>
      <c r="BD1434" s="17"/>
      <c r="BE1434" s="17"/>
      <c r="BF1434" s="17"/>
      <c r="BG1434" s="17"/>
      <c r="BH1434" s="17"/>
      <c r="BI1434" s="17"/>
      <c r="BJ1434" s="17"/>
      <c r="BK1434" s="17"/>
      <c r="BL1434" s="17"/>
      <c r="BM1434" s="17"/>
      <c r="BN1434" s="17"/>
      <c r="BO1434" s="17"/>
      <c r="BP1434" s="17"/>
      <c r="BQ1434" s="17"/>
      <c r="BR1434" s="17"/>
      <c r="BS1434" s="17"/>
      <c r="BT1434" s="17"/>
      <c r="BU1434" s="17"/>
      <c r="BV1434" s="17"/>
      <c r="BW1434" s="17"/>
      <c r="BX1434" s="17"/>
      <c r="BY1434" s="17"/>
      <c r="BZ1434" s="17"/>
      <c r="CA1434" s="17"/>
      <c r="CB1434" s="17"/>
      <c r="CC1434" s="17"/>
      <c r="CD1434" s="17"/>
      <c r="CE1434" s="17"/>
      <c r="CF1434" s="17"/>
      <c r="CG1434" s="17"/>
      <c r="CH1434" s="17"/>
    </row>
    <row r="1435" spans="35:86" x14ac:dyDescent="0.15">
      <c r="AI1435" s="3"/>
      <c r="AJ1435" s="3"/>
      <c r="AK1435" s="15">
        <f t="shared" si="488"/>
        <v>6</v>
      </c>
      <c r="AL1435" s="11">
        <f t="shared" si="485"/>
        <v>8556</v>
      </c>
      <c r="AM1435" s="11" t="b">
        <f t="shared" si="487"/>
        <v>0</v>
      </c>
      <c r="AN1435" s="11">
        <f t="shared" si="489"/>
        <v>36000</v>
      </c>
      <c r="AO1435" s="11">
        <f t="shared" si="490"/>
        <v>0</v>
      </c>
      <c r="AP1435" s="11">
        <f t="shared" si="491"/>
        <v>0.55480216311954056</v>
      </c>
      <c r="AQ1435" s="11">
        <f t="shared" si="492"/>
        <v>0</v>
      </c>
      <c r="AT1435" s="3"/>
      <c r="AU1435" s="17"/>
      <c r="AV1435" s="19"/>
      <c r="AW1435" s="17"/>
      <c r="AX1435" s="17">
        <f t="shared" si="486"/>
        <v>1426</v>
      </c>
      <c r="AY1435" s="17">
        <f t="shared" si="493"/>
        <v>142.6</v>
      </c>
      <c r="AZ1435" s="17">
        <v>55.480216311954052</v>
      </c>
      <c r="BA1435" s="17"/>
      <c r="BB1435" s="17">
        <v>36</v>
      </c>
      <c r="BC1435" s="17"/>
      <c r="BD1435" s="17"/>
      <c r="BE1435" s="17"/>
      <c r="BF1435" s="17"/>
      <c r="BG1435" s="17"/>
      <c r="BH1435" s="17"/>
      <c r="BI1435" s="17"/>
      <c r="BJ1435" s="17"/>
      <c r="BK1435" s="17"/>
      <c r="BL1435" s="17"/>
      <c r="BM1435" s="17"/>
      <c r="BN1435" s="17"/>
      <c r="BO1435" s="17"/>
      <c r="BP1435" s="17"/>
      <c r="BQ1435" s="17"/>
      <c r="BR1435" s="17"/>
      <c r="BS1435" s="17"/>
      <c r="BT1435" s="17"/>
      <c r="BU1435" s="17"/>
      <c r="BV1435" s="17"/>
      <c r="BW1435" s="17"/>
      <c r="BX1435" s="17"/>
      <c r="BY1435" s="17"/>
      <c r="BZ1435" s="17"/>
      <c r="CA1435" s="17"/>
      <c r="CB1435" s="17"/>
      <c r="CC1435" s="17"/>
      <c r="CD1435" s="17"/>
      <c r="CE1435" s="17"/>
      <c r="CF1435" s="17"/>
      <c r="CG1435" s="17"/>
      <c r="CH1435" s="17"/>
    </row>
    <row r="1436" spans="35:86" x14ac:dyDescent="0.15">
      <c r="AI1436" s="3"/>
      <c r="AJ1436" s="3"/>
      <c r="AK1436" s="15">
        <f t="shared" si="488"/>
        <v>6</v>
      </c>
      <c r="AL1436" s="11">
        <f t="shared" si="485"/>
        <v>8562</v>
      </c>
      <c r="AM1436" s="11" t="b">
        <f t="shared" si="487"/>
        <v>0</v>
      </c>
      <c r="AN1436" s="11">
        <f t="shared" si="489"/>
        <v>36000</v>
      </c>
      <c r="AO1436" s="11">
        <f t="shared" si="490"/>
        <v>0</v>
      </c>
      <c r="AP1436" s="11">
        <f t="shared" si="491"/>
        <v>0.55590447793435538</v>
      </c>
      <c r="AQ1436" s="11">
        <f t="shared" si="492"/>
        <v>0</v>
      </c>
      <c r="AT1436" s="3"/>
      <c r="AU1436" s="17"/>
      <c r="AV1436" s="19"/>
      <c r="AW1436" s="17"/>
      <c r="AX1436" s="17">
        <f t="shared" si="486"/>
        <v>1427</v>
      </c>
      <c r="AY1436" s="17">
        <f t="shared" si="493"/>
        <v>142.69999999999999</v>
      </c>
      <c r="AZ1436" s="17">
        <v>55.590447793435537</v>
      </c>
      <c r="BA1436" s="17"/>
      <c r="BB1436" s="17">
        <v>36</v>
      </c>
      <c r="BC1436" s="17"/>
      <c r="BD1436" s="17"/>
      <c r="BE1436" s="17"/>
      <c r="BF1436" s="17"/>
      <c r="BG1436" s="17"/>
      <c r="BH1436" s="17"/>
      <c r="BI1436" s="17"/>
      <c r="BJ1436" s="17"/>
      <c r="BK1436" s="17"/>
      <c r="BL1436" s="17"/>
      <c r="BM1436" s="17"/>
      <c r="BN1436" s="17"/>
      <c r="BO1436" s="17"/>
      <c r="BP1436" s="17"/>
      <c r="BQ1436" s="17"/>
      <c r="BR1436" s="17"/>
      <c r="BS1436" s="17"/>
      <c r="BT1436" s="17"/>
      <c r="BU1436" s="17"/>
      <c r="BV1436" s="17"/>
      <c r="BW1436" s="17"/>
      <c r="BX1436" s="17"/>
      <c r="BY1436" s="17"/>
      <c r="BZ1436" s="17"/>
      <c r="CA1436" s="17"/>
      <c r="CB1436" s="17"/>
      <c r="CC1436" s="17"/>
      <c r="CD1436" s="17"/>
      <c r="CE1436" s="17"/>
      <c r="CF1436" s="17"/>
      <c r="CG1436" s="17"/>
      <c r="CH1436" s="17"/>
    </row>
    <row r="1437" spans="35:86" x14ac:dyDescent="0.15">
      <c r="AI1437" s="3"/>
      <c r="AJ1437" s="3"/>
      <c r="AK1437" s="15">
        <f t="shared" si="488"/>
        <v>6</v>
      </c>
      <c r="AL1437" s="11">
        <f t="shared" si="485"/>
        <v>8568</v>
      </c>
      <c r="AM1437" s="11" t="b">
        <f t="shared" si="487"/>
        <v>0</v>
      </c>
      <c r="AN1437" s="11">
        <f t="shared" si="489"/>
        <v>36000</v>
      </c>
      <c r="AO1437" s="11">
        <f t="shared" si="490"/>
        <v>0</v>
      </c>
      <c r="AP1437" s="11">
        <f t="shared" si="491"/>
        <v>0.5570067927491702</v>
      </c>
      <c r="AQ1437" s="11">
        <f t="shared" si="492"/>
        <v>0</v>
      </c>
      <c r="AT1437" s="3"/>
      <c r="AU1437" s="17"/>
      <c r="AV1437" s="19"/>
      <c r="AW1437" s="17"/>
      <c r="AX1437" s="17">
        <f t="shared" si="486"/>
        <v>1428</v>
      </c>
      <c r="AY1437" s="17">
        <f t="shared" si="493"/>
        <v>142.80000000000001</v>
      </c>
      <c r="AZ1437" s="17">
        <v>55.700679274917022</v>
      </c>
      <c r="BA1437" s="17"/>
      <c r="BB1437" s="17">
        <v>36</v>
      </c>
      <c r="BC1437" s="17"/>
      <c r="BD1437" s="17"/>
      <c r="BE1437" s="17"/>
      <c r="BF1437" s="17"/>
      <c r="BG1437" s="17"/>
      <c r="BH1437" s="17"/>
      <c r="BI1437" s="17"/>
      <c r="BJ1437" s="17"/>
      <c r="BK1437" s="17"/>
      <c r="BL1437" s="17"/>
      <c r="BM1437" s="17"/>
      <c r="BN1437" s="17"/>
      <c r="BO1437" s="17"/>
      <c r="BP1437" s="17"/>
      <c r="BQ1437" s="17"/>
      <c r="BR1437" s="17"/>
      <c r="BS1437" s="17"/>
      <c r="BT1437" s="17"/>
      <c r="BU1437" s="17"/>
      <c r="BV1437" s="17"/>
      <c r="BW1437" s="17"/>
      <c r="BX1437" s="17"/>
      <c r="BY1437" s="17"/>
      <c r="BZ1437" s="17"/>
      <c r="CA1437" s="17"/>
      <c r="CB1437" s="17"/>
      <c r="CC1437" s="17"/>
      <c r="CD1437" s="17"/>
      <c r="CE1437" s="17"/>
      <c r="CF1437" s="17"/>
      <c r="CG1437" s="17"/>
      <c r="CH1437" s="17"/>
    </row>
    <row r="1438" spans="35:86" x14ac:dyDescent="0.15">
      <c r="AI1438" s="3"/>
      <c r="AJ1438" s="3"/>
      <c r="AK1438" s="15">
        <f t="shared" si="488"/>
        <v>6</v>
      </c>
      <c r="AL1438" s="11">
        <f t="shared" si="485"/>
        <v>8574</v>
      </c>
      <c r="AM1438" s="11" t="b">
        <f t="shared" si="487"/>
        <v>0</v>
      </c>
      <c r="AN1438" s="11">
        <f t="shared" si="489"/>
        <v>36000</v>
      </c>
      <c r="AO1438" s="11">
        <f t="shared" si="490"/>
        <v>0</v>
      </c>
      <c r="AP1438" s="11">
        <f t="shared" si="491"/>
        <v>0.55810910756398502</v>
      </c>
      <c r="AQ1438" s="11">
        <f t="shared" si="492"/>
        <v>0</v>
      </c>
      <c r="AT1438" s="3"/>
      <c r="AU1438" s="17"/>
      <c r="AV1438" s="19"/>
      <c r="AW1438" s="17"/>
      <c r="AX1438" s="17">
        <f t="shared" si="486"/>
        <v>1429</v>
      </c>
      <c r="AY1438" s="17">
        <f t="shared" si="493"/>
        <v>142.9</v>
      </c>
      <c r="AZ1438" s="17">
        <v>55.810910756398499</v>
      </c>
      <c r="BA1438" s="17"/>
      <c r="BB1438" s="17">
        <v>36</v>
      </c>
      <c r="BC1438" s="17"/>
      <c r="BD1438" s="17"/>
      <c r="BE1438" s="17"/>
      <c r="BF1438" s="17"/>
      <c r="BG1438" s="17"/>
      <c r="BH1438" s="17"/>
      <c r="BI1438" s="17"/>
      <c r="BJ1438" s="17"/>
      <c r="BK1438" s="17"/>
      <c r="BL1438" s="17"/>
      <c r="BM1438" s="17"/>
      <c r="BN1438" s="17"/>
      <c r="BO1438" s="17"/>
      <c r="BP1438" s="17"/>
      <c r="BQ1438" s="17"/>
      <c r="BR1438" s="17"/>
      <c r="BS1438" s="17"/>
      <c r="BT1438" s="17"/>
      <c r="BU1438" s="17"/>
      <c r="BV1438" s="17"/>
      <c r="BW1438" s="17"/>
      <c r="BX1438" s="17"/>
      <c r="BY1438" s="17"/>
      <c r="BZ1438" s="17"/>
      <c r="CA1438" s="17"/>
      <c r="CB1438" s="17"/>
      <c r="CC1438" s="17"/>
      <c r="CD1438" s="17"/>
      <c r="CE1438" s="17"/>
      <c r="CF1438" s="17"/>
      <c r="CG1438" s="17"/>
      <c r="CH1438" s="17"/>
    </row>
    <row r="1439" spans="35:86" x14ac:dyDescent="0.15">
      <c r="AI1439" s="3"/>
      <c r="AJ1439" s="3"/>
      <c r="AK1439" s="15">
        <f t="shared" si="488"/>
        <v>6</v>
      </c>
      <c r="AL1439" s="11">
        <f t="shared" si="485"/>
        <v>8580</v>
      </c>
      <c r="AM1439" s="11" t="b">
        <f t="shared" si="487"/>
        <v>0</v>
      </c>
      <c r="AN1439" s="11">
        <f t="shared" si="489"/>
        <v>36000</v>
      </c>
      <c r="AO1439" s="11">
        <f t="shared" si="490"/>
        <v>0</v>
      </c>
      <c r="AP1439" s="11">
        <f t="shared" si="491"/>
        <v>0.55921142237879995</v>
      </c>
      <c r="AQ1439" s="11">
        <f t="shared" si="492"/>
        <v>0</v>
      </c>
      <c r="AT1439" s="3"/>
      <c r="AU1439" s="17"/>
      <c r="AV1439" s="19"/>
      <c r="AW1439" s="17"/>
      <c r="AX1439" s="17">
        <f t="shared" si="486"/>
        <v>1430</v>
      </c>
      <c r="AY1439" s="17">
        <f t="shared" si="493"/>
        <v>143</v>
      </c>
      <c r="AZ1439" s="17">
        <v>55.921142237879998</v>
      </c>
      <c r="BA1439" s="17"/>
      <c r="BB1439" s="17">
        <v>36</v>
      </c>
      <c r="BC1439" s="17"/>
      <c r="BD1439" s="17"/>
      <c r="BE1439" s="17"/>
      <c r="BF1439" s="17"/>
      <c r="BG1439" s="17"/>
      <c r="BH1439" s="17"/>
      <c r="BI1439" s="17"/>
      <c r="BJ1439" s="17"/>
      <c r="BK1439" s="17"/>
      <c r="BL1439" s="17"/>
      <c r="BM1439" s="17"/>
      <c r="BN1439" s="17"/>
      <c r="BO1439" s="17"/>
      <c r="BP1439" s="17"/>
      <c r="BQ1439" s="17"/>
      <c r="BR1439" s="17"/>
      <c r="BS1439" s="17"/>
      <c r="BT1439" s="17"/>
      <c r="BU1439" s="17"/>
      <c r="BV1439" s="17"/>
      <c r="BW1439" s="17"/>
      <c r="BX1439" s="17"/>
      <c r="BY1439" s="17"/>
      <c r="BZ1439" s="17"/>
      <c r="CA1439" s="17"/>
      <c r="CB1439" s="17"/>
      <c r="CC1439" s="17"/>
      <c r="CD1439" s="17"/>
      <c r="CE1439" s="17"/>
      <c r="CF1439" s="17"/>
      <c r="CG1439" s="17"/>
      <c r="CH1439" s="17"/>
    </row>
    <row r="1440" spans="35:86" x14ac:dyDescent="0.15">
      <c r="AI1440" s="3"/>
      <c r="AJ1440" s="3"/>
      <c r="AK1440" s="15">
        <f t="shared" si="488"/>
        <v>6</v>
      </c>
      <c r="AL1440" s="11">
        <f t="shared" si="485"/>
        <v>8586</v>
      </c>
      <c r="AM1440" s="11" t="b">
        <f t="shared" si="487"/>
        <v>0</v>
      </c>
      <c r="AN1440" s="11">
        <f t="shared" si="489"/>
        <v>36000</v>
      </c>
      <c r="AO1440" s="11">
        <f t="shared" si="490"/>
        <v>0</v>
      </c>
      <c r="AP1440" s="11">
        <f t="shared" si="491"/>
        <v>0.56031373719361477</v>
      </c>
      <c r="AQ1440" s="11">
        <f t="shared" si="492"/>
        <v>0</v>
      </c>
      <c r="AT1440" s="3"/>
      <c r="AU1440" s="17"/>
      <c r="AV1440" s="19"/>
      <c r="AW1440" s="17"/>
      <c r="AX1440" s="17">
        <f t="shared" si="486"/>
        <v>1431</v>
      </c>
      <c r="AY1440" s="17">
        <f t="shared" si="493"/>
        <v>143.1</v>
      </c>
      <c r="AZ1440" s="17">
        <v>56.031373719361476</v>
      </c>
      <c r="BA1440" s="17"/>
      <c r="BB1440" s="17">
        <v>36</v>
      </c>
      <c r="BC1440" s="17"/>
      <c r="BD1440" s="17"/>
      <c r="BE1440" s="17"/>
      <c r="BF1440" s="17"/>
      <c r="BG1440" s="17"/>
      <c r="BH1440" s="17"/>
      <c r="BI1440" s="17"/>
      <c r="BJ1440" s="17"/>
      <c r="BK1440" s="17"/>
      <c r="BL1440" s="17"/>
      <c r="BM1440" s="17"/>
      <c r="BN1440" s="17"/>
      <c r="BO1440" s="17"/>
      <c r="BP1440" s="17"/>
      <c r="BQ1440" s="17"/>
      <c r="BR1440" s="17"/>
      <c r="BS1440" s="17"/>
      <c r="BT1440" s="17"/>
      <c r="BU1440" s="17"/>
      <c r="BV1440" s="17"/>
      <c r="BW1440" s="17"/>
      <c r="BX1440" s="17"/>
      <c r="BY1440" s="17"/>
      <c r="BZ1440" s="17"/>
      <c r="CA1440" s="17"/>
      <c r="CB1440" s="17"/>
      <c r="CC1440" s="17"/>
      <c r="CD1440" s="17"/>
      <c r="CE1440" s="17"/>
      <c r="CF1440" s="17"/>
      <c r="CG1440" s="17"/>
      <c r="CH1440" s="17"/>
    </row>
    <row r="1441" spans="35:86" x14ac:dyDescent="0.15">
      <c r="AI1441" s="3"/>
      <c r="AJ1441" s="3"/>
      <c r="AK1441" s="15">
        <f t="shared" si="488"/>
        <v>6</v>
      </c>
      <c r="AL1441" s="11">
        <f t="shared" si="485"/>
        <v>8592</v>
      </c>
      <c r="AM1441" s="11" t="b">
        <f t="shared" si="487"/>
        <v>0</v>
      </c>
      <c r="AN1441" s="11">
        <f t="shared" si="489"/>
        <v>36000</v>
      </c>
      <c r="AO1441" s="11">
        <f t="shared" si="490"/>
        <v>0</v>
      </c>
      <c r="AP1441" s="11">
        <f t="shared" si="491"/>
        <v>0.56141605200842959</v>
      </c>
      <c r="AQ1441" s="11">
        <f t="shared" si="492"/>
        <v>0</v>
      </c>
      <c r="AT1441" s="3"/>
      <c r="AU1441" s="17"/>
      <c r="AV1441" s="19"/>
      <c r="AW1441" s="17"/>
      <c r="AX1441" s="17">
        <f t="shared" si="486"/>
        <v>1432</v>
      </c>
      <c r="AY1441" s="17">
        <f t="shared" si="493"/>
        <v>143.19999999999999</v>
      </c>
      <c r="AZ1441" s="17">
        <v>56.14160520084296</v>
      </c>
      <c r="BA1441" s="17"/>
      <c r="BB1441" s="17">
        <v>36</v>
      </c>
      <c r="BC1441" s="17"/>
      <c r="BD1441" s="17"/>
      <c r="BE1441" s="17"/>
      <c r="BF1441" s="17"/>
      <c r="BG1441" s="17"/>
      <c r="BH1441" s="17"/>
      <c r="BI1441" s="17"/>
      <c r="BJ1441" s="17"/>
      <c r="BK1441" s="17"/>
      <c r="BL1441" s="17"/>
      <c r="BM1441" s="17"/>
      <c r="BN1441" s="17"/>
      <c r="BO1441" s="17"/>
      <c r="BP1441" s="17"/>
      <c r="BQ1441" s="17"/>
      <c r="BR1441" s="17"/>
      <c r="BS1441" s="17"/>
      <c r="BT1441" s="17"/>
      <c r="BU1441" s="17"/>
      <c r="BV1441" s="17"/>
      <c r="BW1441" s="17"/>
      <c r="BX1441" s="17"/>
      <c r="BY1441" s="17"/>
      <c r="BZ1441" s="17"/>
      <c r="CA1441" s="17"/>
      <c r="CB1441" s="17"/>
      <c r="CC1441" s="17"/>
      <c r="CD1441" s="17"/>
      <c r="CE1441" s="17"/>
      <c r="CF1441" s="17"/>
      <c r="CG1441" s="17"/>
      <c r="CH1441" s="17"/>
    </row>
    <row r="1442" spans="35:86" x14ac:dyDescent="0.15">
      <c r="AI1442" s="3"/>
      <c r="AJ1442" s="3"/>
      <c r="AK1442" s="15">
        <f t="shared" si="488"/>
        <v>6</v>
      </c>
      <c r="AL1442" s="11">
        <f t="shared" si="485"/>
        <v>8598</v>
      </c>
      <c r="AM1442" s="11" t="b">
        <f t="shared" si="487"/>
        <v>0</v>
      </c>
      <c r="AN1442" s="11">
        <f t="shared" si="489"/>
        <v>36000</v>
      </c>
      <c r="AO1442" s="11">
        <f t="shared" si="490"/>
        <v>0</v>
      </c>
      <c r="AP1442" s="11">
        <f t="shared" si="491"/>
        <v>0.56251836682324441</v>
      </c>
      <c r="AQ1442" s="11">
        <f t="shared" si="492"/>
        <v>0</v>
      </c>
      <c r="AT1442" s="3"/>
      <c r="AU1442" s="17"/>
      <c r="AV1442" s="19"/>
      <c r="AW1442" s="17"/>
      <c r="AX1442" s="17">
        <f t="shared" si="486"/>
        <v>1433</v>
      </c>
      <c r="AY1442" s="17">
        <f t="shared" si="493"/>
        <v>143.30000000000001</v>
      </c>
      <c r="AZ1442" s="17">
        <v>56.251836682324438</v>
      </c>
      <c r="BA1442" s="17"/>
      <c r="BB1442" s="17">
        <v>36</v>
      </c>
      <c r="BC1442" s="17"/>
      <c r="BD1442" s="17"/>
      <c r="BE1442" s="17"/>
      <c r="BF1442" s="17"/>
      <c r="BG1442" s="17"/>
      <c r="BH1442" s="17"/>
      <c r="BI1442" s="17"/>
      <c r="BJ1442" s="17"/>
      <c r="BK1442" s="17"/>
      <c r="BL1442" s="17"/>
      <c r="BM1442" s="17"/>
      <c r="BN1442" s="17"/>
      <c r="BO1442" s="17"/>
      <c r="BP1442" s="17"/>
      <c r="BQ1442" s="17"/>
      <c r="BR1442" s="17"/>
      <c r="BS1442" s="17"/>
      <c r="BT1442" s="17"/>
      <c r="BU1442" s="17"/>
      <c r="BV1442" s="17"/>
      <c r="BW1442" s="17"/>
      <c r="BX1442" s="17"/>
      <c r="BY1442" s="17"/>
      <c r="BZ1442" s="17"/>
      <c r="CA1442" s="17"/>
      <c r="CB1442" s="17"/>
      <c r="CC1442" s="17"/>
      <c r="CD1442" s="17"/>
      <c r="CE1442" s="17"/>
      <c r="CF1442" s="17"/>
      <c r="CG1442" s="17"/>
      <c r="CH1442" s="17"/>
    </row>
    <row r="1443" spans="35:86" x14ac:dyDescent="0.15">
      <c r="AI1443" s="3"/>
      <c r="AJ1443" s="3"/>
      <c r="AK1443" s="15">
        <f t="shared" si="488"/>
        <v>6</v>
      </c>
      <c r="AL1443" s="11">
        <f t="shared" si="485"/>
        <v>8604</v>
      </c>
      <c r="AM1443" s="11" t="b">
        <f t="shared" si="487"/>
        <v>0</v>
      </c>
      <c r="AN1443" s="11">
        <f t="shared" si="489"/>
        <v>36000</v>
      </c>
      <c r="AO1443" s="11">
        <f t="shared" si="490"/>
        <v>0</v>
      </c>
      <c r="AP1443" s="11">
        <f t="shared" si="491"/>
        <v>0.56362068163805923</v>
      </c>
      <c r="AQ1443" s="11">
        <f t="shared" si="492"/>
        <v>0</v>
      </c>
      <c r="AT1443" s="3"/>
      <c r="AU1443" s="17"/>
      <c r="AV1443" s="19"/>
      <c r="AW1443" s="17"/>
      <c r="AX1443" s="17">
        <f t="shared" si="486"/>
        <v>1434</v>
      </c>
      <c r="AY1443" s="17">
        <f t="shared" si="493"/>
        <v>143.4</v>
      </c>
      <c r="AZ1443" s="17">
        <v>56.362068163805922</v>
      </c>
      <c r="BA1443" s="17"/>
      <c r="BB1443" s="17">
        <v>36</v>
      </c>
      <c r="BC1443" s="17"/>
      <c r="BD1443" s="17"/>
      <c r="BE1443" s="17"/>
      <c r="BF1443" s="17"/>
      <c r="BG1443" s="17"/>
      <c r="BH1443" s="17"/>
      <c r="BI1443" s="17"/>
      <c r="BJ1443" s="17"/>
      <c r="BK1443" s="17"/>
      <c r="BL1443" s="17"/>
      <c r="BM1443" s="17"/>
      <c r="BN1443" s="17"/>
      <c r="BO1443" s="17"/>
      <c r="BP1443" s="17"/>
      <c r="BQ1443" s="17"/>
      <c r="BR1443" s="17"/>
      <c r="BS1443" s="17"/>
      <c r="BT1443" s="17"/>
      <c r="BU1443" s="17"/>
      <c r="BV1443" s="17"/>
      <c r="BW1443" s="17"/>
      <c r="BX1443" s="17"/>
      <c r="BY1443" s="17"/>
      <c r="BZ1443" s="17"/>
      <c r="CA1443" s="17"/>
      <c r="CB1443" s="17"/>
      <c r="CC1443" s="17"/>
      <c r="CD1443" s="17"/>
      <c r="CE1443" s="17"/>
      <c r="CF1443" s="17"/>
      <c r="CG1443" s="17"/>
      <c r="CH1443" s="17"/>
    </row>
    <row r="1444" spans="35:86" x14ac:dyDescent="0.15">
      <c r="AI1444" s="3"/>
      <c r="AJ1444" s="3"/>
      <c r="AK1444" s="15">
        <f t="shared" si="488"/>
        <v>6</v>
      </c>
      <c r="AL1444" s="11">
        <f t="shared" si="485"/>
        <v>8610</v>
      </c>
      <c r="AM1444" s="11" t="b">
        <f t="shared" si="487"/>
        <v>0</v>
      </c>
      <c r="AN1444" s="11">
        <f t="shared" si="489"/>
        <v>36000</v>
      </c>
      <c r="AO1444" s="11">
        <f t="shared" si="490"/>
        <v>0</v>
      </c>
      <c r="AP1444" s="11">
        <f t="shared" si="491"/>
        <v>0.56472299645287416</v>
      </c>
      <c r="AQ1444" s="11">
        <f t="shared" si="492"/>
        <v>0</v>
      </c>
      <c r="AT1444" s="3"/>
      <c r="AU1444" s="17"/>
      <c r="AV1444" s="19"/>
      <c r="AW1444" s="17"/>
      <c r="AX1444" s="17">
        <f t="shared" si="486"/>
        <v>1435</v>
      </c>
      <c r="AY1444" s="17">
        <f t="shared" si="493"/>
        <v>143.5</v>
      </c>
      <c r="AZ1444" s="17">
        <v>56.472299645287414</v>
      </c>
      <c r="BA1444" s="17"/>
      <c r="BB1444" s="17">
        <v>36</v>
      </c>
      <c r="BC1444" s="17"/>
      <c r="BD1444" s="17"/>
      <c r="BE1444" s="17"/>
      <c r="BF1444" s="17"/>
      <c r="BG1444" s="17"/>
      <c r="BH1444" s="17"/>
      <c r="BI1444" s="17"/>
      <c r="BJ1444" s="17"/>
      <c r="BK1444" s="17"/>
      <c r="BL1444" s="17"/>
      <c r="BM1444" s="17"/>
      <c r="BN1444" s="17"/>
      <c r="BO1444" s="17"/>
      <c r="BP1444" s="17"/>
      <c r="BQ1444" s="17"/>
      <c r="BR1444" s="17"/>
      <c r="BS1444" s="17"/>
      <c r="BT1444" s="17"/>
      <c r="BU1444" s="17"/>
      <c r="BV1444" s="17"/>
      <c r="BW1444" s="17"/>
      <c r="BX1444" s="17"/>
      <c r="BY1444" s="17"/>
      <c r="BZ1444" s="17"/>
      <c r="CA1444" s="17"/>
      <c r="CB1444" s="17"/>
      <c r="CC1444" s="17"/>
      <c r="CD1444" s="17"/>
      <c r="CE1444" s="17"/>
      <c r="CF1444" s="17"/>
      <c r="CG1444" s="17"/>
      <c r="CH1444" s="17"/>
    </row>
    <row r="1445" spans="35:86" x14ac:dyDescent="0.15">
      <c r="AI1445" s="3"/>
      <c r="AJ1445" s="3"/>
      <c r="AK1445" s="15">
        <f t="shared" si="488"/>
        <v>6</v>
      </c>
      <c r="AL1445" s="11">
        <f t="shared" si="485"/>
        <v>8616</v>
      </c>
      <c r="AM1445" s="11" t="b">
        <f t="shared" si="487"/>
        <v>0</v>
      </c>
      <c r="AN1445" s="11">
        <f t="shared" si="489"/>
        <v>36000</v>
      </c>
      <c r="AO1445" s="11">
        <f t="shared" si="490"/>
        <v>0</v>
      </c>
      <c r="AP1445" s="11">
        <f t="shared" si="491"/>
        <v>0.56582531126768898</v>
      </c>
      <c r="AQ1445" s="11">
        <f t="shared" si="492"/>
        <v>0</v>
      </c>
      <c r="AT1445" s="3"/>
      <c r="AU1445" s="17"/>
      <c r="AV1445" s="19"/>
      <c r="AW1445" s="17"/>
      <c r="AX1445" s="17">
        <f t="shared" si="486"/>
        <v>1436</v>
      </c>
      <c r="AY1445" s="17">
        <f t="shared" si="493"/>
        <v>143.6</v>
      </c>
      <c r="AZ1445" s="17">
        <v>56.582531126768899</v>
      </c>
      <c r="BA1445" s="17"/>
      <c r="BB1445" s="17">
        <v>36</v>
      </c>
      <c r="BC1445" s="17"/>
      <c r="BD1445" s="17"/>
      <c r="BE1445" s="17"/>
      <c r="BF1445" s="17"/>
      <c r="BG1445" s="17"/>
      <c r="BH1445" s="17"/>
      <c r="BI1445" s="17"/>
      <c r="BJ1445" s="17"/>
      <c r="BK1445" s="17"/>
      <c r="BL1445" s="17"/>
      <c r="BM1445" s="17"/>
      <c r="BN1445" s="17"/>
      <c r="BO1445" s="17"/>
      <c r="BP1445" s="17"/>
      <c r="BQ1445" s="17"/>
      <c r="BR1445" s="17"/>
      <c r="BS1445" s="17"/>
      <c r="BT1445" s="17"/>
      <c r="BU1445" s="17"/>
      <c r="BV1445" s="17"/>
      <c r="BW1445" s="17"/>
      <c r="BX1445" s="17"/>
      <c r="BY1445" s="17"/>
      <c r="BZ1445" s="17"/>
      <c r="CA1445" s="17"/>
      <c r="CB1445" s="17"/>
      <c r="CC1445" s="17"/>
      <c r="CD1445" s="17"/>
      <c r="CE1445" s="17"/>
      <c r="CF1445" s="17"/>
      <c r="CG1445" s="17"/>
      <c r="CH1445" s="17"/>
    </row>
    <row r="1446" spans="35:86" x14ac:dyDescent="0.15">
      <c r="AI1446" s="3"/>
      <c r="AJ1446" s="3"/>
      <c r="AK1446" s="15">
        <f t="shared" si="488"/>
        <v>6</v>
      </c>
      <c r="AL1446" s="11">
        <f t="shared" si="485"/>
        <v>8622</v>
      </c>
      <c r="AM1446" s="11" t="b">
        <f t="shared" si="487"/>
        <v>0</v>
      </c>
      <c r="AN1446" s="11">
        <f t="shared" si="489"/>
        <v>36000</v>
      </c>
      <c r="AO1446" s="11">
        <f t="shared" si="490"/>
        <v>0</v>
      </c>
      <c r="AP1446" s="11">
        <f t="shared" si="491"/>
        <v>0.5669276260825038</v>
      </c>
      <c r="AQ1446" s="11">
        <f t="shared" si="492"/>
        <v>0</v>
      </c>
      <c r="AT1446" s="3"/>
      <c r="AU1446" s="17"/>
      <c r="AV1446" s="19"/>
      <c r="AW1446" s="17"/>
      <c r="AX1446" s="17">
        <f t="shared" si="486"/>
        <v>1437</v>
      </c>
      <c r="AY1446" s="17">
        <f t="shared" si="493"/>
        <v>143.69999999999999</v>
      </c>
      <c r="AZ1446" s="17">
        <v>56.692762608250376</v>
      </c>
      <c r="BA1446" s="17"/>
      <c r="BB1446" s="17">
        <v>36</v>
      </c>
      <c r="BC1446" s="17"/>
      <c r="BD1446" s="17"/>
      <c r="BE1446" s="17"/>
      <c r="BF1446" s="17"/>
      <c r="BG1446" s="17"/>
      <c r="BH1446" s="17"/>
      <c r="BI1446" s="17"/>
      <c r="BJ1446" s="17"/>
      <c r="BK1446" s="17"/>
      <c r="BL1446" s="17"/>
      <c r="BM1446" s="17"/>
      <c r="BN1446" s="17"/>
      <c r="BO1446" s="17"/>
      <c r="BP1446" s="17"/>
      <c r="BQ1446" s="17"/>
      <c r="BR1446" s="17"/>
      <c r="BS1446" s="17"/>
      <c r="BT1446" s="17"/>
      <c r="BU1446" s="17"/>
      <c r="BV1446" s="17"/>
      <c r="BW1446" s="17"/>
      <c r="BX1446" s="17"/>
      <c r="BY1446" s="17"/>
      <c r="BZ1446" s="17"/>
      <c r="CA1446" s="17"/>
      <c r="CB1446" s="17"/>
      <c r="CC1446" s="17"/>
      <c r="CD1446" s="17"/>
      <c r="CE1446" s="17"/>
      <c r="CF1446" s="17"/>
      <c r="CG1446" s="17"/>
      <c r="CH1446" s="17"/>
    </row>
    <row r="1447" spans="35:86" x14ac:dyDescent="0.15">
      <c r="AI1447" s="3"/>
      <c r="AJ1447" s="3"/>
      <c r="AK1447" s="15">
        <f t="shared" si="488"/>
        <v>6</v>
      </c>
      <c r="AL1447" s="11">
        <f t="shared" si="485"/>
        <v>8628</v>
      </c>
      <c r="AM1447" s="11" t="b">
        <f t="shared" si="487"/>
        <v>0</v>
      </c>
      <c r="AN1447" s="11">
        <f t="shared" si="489"/>
        <v>36000</v>
      </c>
      <c r="AO1447" s="11">
        <f t="shared" si="490"/>
        <v>0</v>
      </c>
      <c r="AP1447" s="11">
        <f t="shared" si="491"/>
        <v>0.56802994089731862</v>
      </c>
      <c r="AQ1447" s="11">
        <f t="shared" si="492"/>
        <v>0</v>
      </c>
      <c r="AT1447" s="3"/>
      <c r="AU1447" s="17"/>
      <c r="AV1447" s="19"/>
      <c r="AW1447" s="17"/>
      <c r="AX1447" s="17">
        <f t="shared" si="486"/>
        <v>1438</v>
      </c>
      <c r="AY1447" s="17">
        <f t="shared" si="493"/>
        <v>143.80000000000001</v>
      </c>
      <c r="AZ1447" s="17">
        <v>56.802994089731861</v>
      </c>
      <c r="BA1447" s="17"/>
      <c r="BB1447" s="17">
        <v>36</v>
      </c>
      <c r="BC1447" s="17"/>
      <c r="BD1447" s="17"/>
      <c r="BE1447" s="17"/>
      <c r="BF1447" s="17"/>
      <c r="BG1447" s="17"/>
      <c r="BH1447" s="17"/>
      <c r="BI1447" s="17"/>
      <c r="BJ1447" s="17"/>
      <c r="BK1447" s="17"/>
      <c r="BL1447" s="17"/>
      <c r="BM1447" s="17"/>
      <c r="BN1447" s="17"/>
      <c r="BO1447" s="17"/>
      <c r="BP1447" s="17"/>
      <c r="BQ1447" s="17"/>
      <c r="BR1447" s="17"/>
      <c r="BS1447" s="17"/>
      <c r="BT1447" s="17"/>
      <c r="BU1447" s="17"/>
      <c r="BV1447" s="17"/>
      <c r="BW1447" s="17"/>
      <c r="BX1447" s="17"/>
      <c r="BY1447" s="17"/>
      <c r="BZ1447" s="17"/>
      <c r="CA1447" s="17"/>
      <c r="CB1447" s="17"/>
      <c r="CC1447" s="17"/>
      <c r="CD1447" s="17"/>
      <c r="CE1447" s="17"/>
      <c r="CF1447" s="17"/>
      <c r="CG1447" s="17"/>
      <c r="CH1447" s="17"/>
    </row>
    <row r="1448" spans="35:86" x14ac:dyDescent="0.15">
      <c r="AI1448" s="3"/>
      <c r="AJ1448" s="3"/>
      <c r="AK1448" s="15">
        <f t="shared" si="488"/>
        <v>6</v>
      </c>
      <c r="AL1448" s="11">
        <f t="shared" si="485"/>
        <v>8634</v>
      </c>
      <c r="AM1448" s="11" t="b">
        <f t="shared" si="487"/>
        <v>0</v>
      </c>
      <c r="AN1448" s="11">
        <f t="shared" si="489"/>
        <v>36000</v>
      </c>
      <c r="AO1448" s="11">
        <f t="shared" si="490"/>
        <v>0</v>
      </c>
      <c r="AP1448" s="11">
        <f t="shared" si="491"/>
        <v>0.56913225571213344</v>
      </c>
      <c r="AQ1448" s="11">
        <f t="shared" si="492"/>
        <v>0</v>
      </c>
      <c r="AT1448" s="3"/>
      <c r="AU1448" s="17"/>
      <c r="AV1448" s="19"/>
      <c r="AW1448" s="17"/>
      <c r="AX1448" s="17">
        <f t="shared" si="486"/>
        <v>1439</v>
      </c>
      <c r="AY1448" s="17">
        <f t="shared" si="493"/>
        <v>143.9</v>
      </c>
      <c r="AZ1448" s="17">
        <v>56.913225571213346</v>
      </c>
      <c r="BA1448" s="17"/>
      <c r="BB1448" s="17">
        <v>36</v>
      </c>
      <c r="BC1448" s="17"/>
      <c r="BD1448" s="17"/>
      <c r="BE1448" s="17"/>
      <c r="BF1448" s="17"/>
      <c r="BG1448" s="17"/>
      <c r="BH1448" s="17"/>
      <c r="BI1448" s="17"/>
      <c r="BJ1448" s="17"/>
      <c r="BK1448" s="17"/>
      <c r="BL1448" s="17"/>
      <c r="BM1448" s="17"/>
      <c r="BN1448" s="17"/>
      <c r="BO1448" s="17"/>
      <c r="BP1448" s="17"/>
      <c r="BQ1448" s="17"/>
      <c r="BR1448" s="17"/>
      <c r="BS1448" s="17"/>
      <c r="BT1448" s="17"/>
      <c r="BU1448" s="17"/>
      <c r="BV1448" s="17"/>
      <c r="BW1448" s="17"/>
      <c r="BX1448" s="17"/>
      <c r="BY1448" s="17"/>
      <c r="BZ1448" s="17"/>
      <c r="CA1448" s="17"/>
      <c r="CB1448" s="17"/>
      <c r="CC1448" s="17"/>
      <c r="CD1448" s="17"/>
      <c r="CE1448" s="17"/>
      <c r="CF1448" s="17"/>
      <c r="CG1448" s="17"/>
      <c r="CH1448" s="17"/>
    </row>
    <row r="1449" spans="35:86" x14ac:dyDescent="0.15">
      <c r="AI1449" s="3"/>
      <c r="AJ1449" s="3"/>
      <c r="AK1449" s="15">
        <f t="shared" si="488"/>
        <v>6</v>
      </c>
      <c r="AL1449" s="11">
        <f t="shared" si="485"/>
        <v>8640</v>
      </c>
      <c r="AM1449" s="11" t="b">
        <f t="shared" si="487"/>
        <v>0</v>
      </c>
      <c r="AN1449" s="11">
        <f t="shared" si="489"/>
        <v>36000</v>
      </c>
      <c r="AO1449" s="11">
        <f t="shared" si="490"/>
        <v>0</v>
      </c>
      <c r="AP1449" s="11">
        <f t="shared" si="491"/>
        <v>0.57023457052694837</v>
      </c>
      <c r="AQ1449" s="11">
        <f t="shared" si="492"/>
        <v>0</v>
      </c>
      <c r="AT1449" s="3"/>
      <c r="AU1449" s="17"/>
      <c r="AV1449" s="19"/>
      <c r="AW1449" s="17"/>
      <c r="AX1449" s="17">
        <f t="shared" si="486"/>
        <v>1440</v>
      </c>
      <c r="AY1449" s="17">
        <f t="shared" si="493"/>
        <v>144</v>
      </c>
      <c r="AZ1449" s="17">
        <v>57.023457052694837</v>
      </c>
      <c r="BA1449" s="17"/>
      <c r="BB1449" s="17">
        <v>36</v>
      </c>
      <c r="BC1449" s="17"/>
      <c r="BD1449" s="17"/>
      <c r="BE1449" s="17"/>
      <c r="BF1449" s="17"/>
      <c r="BG1449" s="17"/>
      <c r="BH1449" s="17"/>
      <c r="BI1449" s="17"/>
      <c r="BJ1449" s="17"/>
      <c r="BK1449" s="17"/>
      <c r="BL1449" s="17"/>
      <c r="BM1449" s="17"/>
      <c r="BN1449" s="17"/>
      <c r="BO1449" s="17"/>
      <c r="BP1449" s="17"/>
      <c r="BQ1449" s="17"/>
      <c r="BR1449" s="17"/>
      <c r="BS1449" s="17"/>
      <c r="BT1449" s="17"/>
      <c r="BU1449" s="17"/>
      <c r="BV1449" s="17"/>
      <c r="BW1449" s="17"/>
      <c r="BX1449" s="17"/>
      <c r="BY1449" s="17"/>
      <c r="BZ1449" s="17"/>
      <c r="CA1449" s="17"/>
      <c r="CB1449" s="17"/>
      <c r="CC1449" s="17"/>
      <c r="CD1449" s="17"/>
      <c r="CE1449" s="17"/>
      <c r="CF1449" s="17"/>
      <c r="CG1449" s="17"/>
      <c r="CH1449" s="17"/>
    </row>
    <row r="1450" spans="35:86" x14ac:dyDescent="0.15">
      <c r="AI1450" s="3"/>
      <c r="AJ1450" s="3"/>
      <c r="AK1450" s="15">
        <f t="shared" si="488"/>
        <v>6</v>
      </c>
      <c r="AL1450" s="11">
        <f t="shared" si="485"/>
        <v>8646</v>
      </c>
      <c r="AM1450" s="11" t="b">
        <f t="shared" si="487"/>
        <v>0</v>
      </c>
      <c r="AN1450" s="11">
        <f t="shared" si="489"/>
        <v>36000</v>
      </c>
      <c r="AO1450" s="11">
        <f t="shared" si="490"/>
        <v>0</v>
      </c>
      <c r="AP1450" s="11">
        <f t="shared" si="491"/>
        <v>0.57133688534176319</v>
      </c>
      <c r="AQ1450" s="11">
        <f t="shared" si="492"/>
        <v>0</v>
      </c>
      <c r="AT1450" s="3"/>
      <c r="AU1450" s="17"/>
      <c r="AV1450" s="19"/>
      <c r="AW1450" s="17"/>
      <c r="AX1450" s="17">
        <f t="shared" si="486"/>
        <v>1441</v>
      </c>
      <c r="AY1450" s="17">
        <f t="shared" si="493"/>
        <v>144.1</v>
      </c>
      <c r="AZ1450" s="17">
        <v>57.133688534176322</v>
      </c>
      <c r="BA1450" s="17"/>
      <c r="BB1450" s="17">
        <v>36</v>
      </c>
      <c r="BC1450" s="17"/>
      <c r="BD1450" s="17"/>
      <c r="BE1450" s="17"/>
      <c r="BF1450" s="17"/>
      <c r="BG1450" s="17"/>
      <c r="BH1450" s="17"/>
      <c r="BI1450" s="17"/>
      <c r="BJ1450" s="17"/>
      <c r="BK1450" s="17"/>
      <c r="BL1450" s="17"/>
      <c r="BM1450" s="17"/>
      <c r="BN1450" s="17"/>
      <c r="BO1450" s="17"/>
      <c r="BP1450" s="17"/>
      <c r="BQ1450" s="17"/>
      <c r="BR1450" s="17"/>
      <c r="BS1450" s="17"/>
      <c r="BT1450" s="17"/>
      <c r="BU1450" s="17"/>
      <c r="BV1450" s="17"/>
      <c r="BW1450" s="17"/>
      <c r="BX1450" s="17"/>
      <c r="BY1450" s="17"/>
      <c r="BZ1450" s="17"/>
      <c r="CA1450" s="17"/>
      <c r="CB1450" s="17"/>
      <c r="CC1450" s="17"/>
      <c r="CD1450" s="17"/>
      <c r="CE1450" s="17"/>
      <c r="CF1450" s="17"/>
      <c r="CG1450" s="17"/>
      <c r="CH1450" s="17"/>
    </row>
    <row r="1451" spans="35:86" x14ac:dyDescent="0.15">
      <c r="AI1451" s="3"/>
      <c r="AJ1451" s="3"/>
      <c r="AK1451" s="15">
        <f t="shared" si="488"/>
        <v>6</v>
      </c>
      <c r="AL1451" s="11">
        <f t="shared" si="485"/>
        <v>8652</v>
      </c>
      <c r="AM1451" s="11" t="b">
        <f t="shared" si="487"/>
        <v>0</v>
      </c>
      <c r="AN1451" s="11">
        <f t="shared" si="489"/>
        <v>36000</v>
      </c>
      <c r="AO1451" s="11">
        <f t="shared" si="490"/>
        <v>0</v>
      </c>
      <c r="AP1451" s="11">
        <f t="shared" si="491"/>
        <v>0.57243920015657801</v>
      </c>
      <c r="AQ1451" s="11">
        <f t="shared" si="492"/>
        <v>0</v>
      </c>
      <c r="AT1451" s="3"/>
      <c r="AU1451" s="17"/>
      <c r="AV1451" s="19"/>
      <c r="AW1451" s="17"/>
      <c r="AX1451" s="17">
        <f t="shared" si="486"/>
        <v>1442</v>
      </c>
      <c r="AY1451" s="17">
        <f t="shared" si="493"/>
        <v>144.19999999999999</v>
      </c>
      <c r="AZ1451" s="17">
        <v>57.2439200156578</v>
      </c>
      <c r="BA1451" s="17"/>
      <c r="BB1451" s="17">
        <v>36</v>
      </c>
      <c r="BC1451" s="17"/>
      <c r="BD1451" s="17"/>
      <c r="BE1451" s="17"/>
      <c r="BF1451" s="17"/>
      <c r="BG1451" s="17"/>
      <c r="BH1451" s="17"/>
      <c r="BI1451" s="17"/>
      <c r="BJ1451" s="17"/>
      <c r="BK1451" s="17"/>
      <c r="BL1451" s="17"/>
      <c r="BM1451" s="17"/>
      <c r="BN1451" s="17"/>
      <c r="BO1451" s="17"/>
      <c r="BP1451" s="17"/>
      <c r="BQ1451" s="17"/>
      <c r="BR1451" s="17"/>
      <c r="BS1451" s="17"/>
      <c r="BT1451" s="17"/>
      <c r="BU1451" s="17"/>
      <c r="BV1451" s="17"/>
      <c r="BW1451" s="17"/>
      <c r="BX1451" s="17"/>
      <c r="BY1451" s="17"/>
      <c r="BZ1451" s="17"/>
      <c r="CA1451" s="17"/>
      <c r="CB1451" s="17"/>
      <c r="CC1451" s="17"/>
      <c r="CD1451" s="17"/>
      <c r="CE1451" s="17"/>
      <c r="CF1451" s="17"/>
      <c r="CG1451" s="17"/>
      <c r="CH1451" s="17"/>
    </row>
    <row r="1452" spans="35:86" x14ac:dyDescent="0.15">
      <c r="AI1452" s="3"/>
      <c r="AJ1452" s="3"/>
      <c r="AK1452" s="15">
        <f t="shared" si="488"/>
        <v>6</v>
      </c>
      <c r="AL1452" s="11">
        <f t="shared" si="485"/>
        <v>8658</v>
      </c>
      <c r="AM1452" s="11" t="b">
        <f t="shared" si="487"/>
        <v>0</v>
      </c>
      <c r="AN1452" s="11">
        <f t="shared" si="489"/>
        <v>36000</v>
      </c>
      <c r="AO1452" s="11">
        <f t="shared" si="490"/>
        <v>0</v>
      </c>
      <c r="AP1452" s="11">
        <f t="shared" si="491"/>
        <v>0.57354151497139283</v>
      </c>
      <c r="AQ1452" s="11">
        <f t="shared" si="492"/>
        <v>0</v>
      </c>
      <c r="AT1452" s="3"/>
      <c r="AU1452" s="17"/>
      <c r="AV1452" s="19"/>
      <c r="AW1452" s="17"/>
      <c r="AX1452" s="17">
        <f t="shared" si="486"/>
        <v>1443</v>
      </c>
      <c r="AY1452" s="17">
        <f t="shared" si="493"/>
        <v>144.30000000000001</v>
      </c>
      <c r="AZ1452" s="17">
        <v>57.354151497139284</v>
      </c>
      <c r="BA1452" s="17"/>
      <c r="BB1452" s="17">
        <v>36</v>
      </c>
      <c r="BC1452" s="17"/>
      <c r="BD1452" s="17"/>
      <c r="BE1452" s="17"/>
      <c r="BF1452" s="17"/>
      <c r="BG1452" s="17"/>
      <c r="BH1452" s="17"/>
      <c r="BI1452" s="17"/>
      <c r="BJ1452" s="17"/>
      <c r="BK1452" s="17"/>
      <c r="BL1452" s="17"/>
      <c r="BM1452" s="17"/>
      <c r="BN1452" s="17"/>
      <c r="BO1452" s="17"/>
      <c r="BP1452" s="17"/>
      <c r="BQ1452" s="17"/>
      <c r="BR1452" s="17"/>
      <c r="BS1452" s="17"/>
      <c r="BT1452" s="17"/>
      <c r="BU1452" s="17"/>
      <c r="BV1452" s="17"/>
      <c r="BW1452" s="17"/>
      <c r="BX1452" s="17"/>
      <c r="BY1452" s="17"/>
      <c r="BZ1452" s="17"/>
      <c r="CA1452" s="17"/>
      <c r="CB1452" s="17"/>
      <c r="CC1452" s="17"/>
      <c r="CD1452" s="17"/>
      <c r="CE1452" s="17"/>
      <c r="CF1452" s="17"/>
      <c r="CG1452" s="17"/>
      <c r="CH1452" s="17"/>
    </row>
    <row r="1453" spans="35:86" x14ac:dyDescent="0.15">
      <c r="AI1453" s="3"/>
      <c r="AJ1453" s="3"/>
      <c r="AK1453" s="15">
        <f t="shared" si="488"/>
        <v>6</v>
      </c>
      <c r="AL1453" s="11">
        <f t="shared" ref="AL1453:AL1516" si="494">AL1452+$AB$15</f>
        <v>8664</v>
      </c>
      <c r="AM1453" s="11" t="b">
        <f t="shared" si="487"/>
        <v>0</v>
      </c>
      <c r="AN1453" s="11">
        <f t="shared" si="489"/>
        <v>36000</v>
      </c>
      <c r="AO1453" s="11">
        <f t="shared" si="490"/>
        <v>0</v>
      </c>
      <c r="AP1453" s="11">
        <f t="shared" si="491"/>
        <v>0.57464382978620765</v>
      </c>
      <c r="AQ1453" s="11">
        <f t="shared" si="492"/>
        <v>0</v>
      </c>
      <c r="AT1453" s="3"/>
      <c r="AU1453" s="17"/>
      <c r="AV1453" s="19"/>
      <c r="AW1453" s="17"/>
      <c r="AX1453" s="17">
        <f t="shared" si="486"/>
        <v>1444</v>
      </c>
      <c r="AY1453" s="17">
        <f t="shared" si="493"/>
        <v>144.4</v>
      </c>
      <c r="AZ1453" s="17">
        <v>57.464382978620762</v>
      </c>
      <c r="BA1453" s="17"/>
      <c r="BB1453" s="17">
        <v>36</v>
      </c>
      <c r="BC1453" s="17"/>
      <c r="BD1453" s="17"/>
      <c r="BE1453" s="17"/>
      <c r="BF1453" s="17"/>
      <c r="BG1453" s="17"/>
      <c r="BH1453" s="17"/>
      <c r="BI1453" s="17"/>
      <c r="BJ1453" s="17"/>
      <c r="BK1453" s="17"/>
      <c r="BL1453" s="17"/>
      <c r="BM1453" s="17"/>
      <c r="BN1453" s="17"/>
      <c r="BO1453" s="17"/>
      <c r="BP1453" s="17"/>
      <c r="BQ1453" s="17"/>
      <c r="BR1453" s="17"/>
      <c r="BS1453" s="17"/>
      <c r="BT1453" s="17"/>
      <c r="BU1453" s="17"/>
      <c r="BV1453" s="17"/>
      <c r="BW1453" s="17"/>
      <c r="BX1453" s="17"/>
      <c r="BY1453" s="17"/>
      <c r="BZ1453" s="17"/>
      <c r="CA1453" s="17"/>
      <c r="CB1453" s="17"/>
      <c r="CC1453" s="17"/>
      <c r="CD1453" s="17"/>
      <c r="CE1453" s="17"/>
      <c r="CF1453" s="17"/>
      <c r="CG1453" s="17"/>
      <c r="CH1453" s="17"/>
    </row>
    <row r="1454" spans="35:86" x14ac:dyDescent="0.15">
      <c r="AI1454" s="3"/>
      <c r="AJ1454" s="3"/>
      <c r="AK1454" s="15">
        <f t="shared" si="488"/>
        <v>6</v>
      </c>
      <c r="AL1454" s="11">
        <f t="shared" si="494"/>
        <v>8670</v>
      </c>
      <c r="AM1454" s="11" t="b">
        <f t="shared" si="487"/>
        <v>0</v>
      </c>
      <c r="AN1454" s="11">
        <f t="shared" si="489"/>
        <v>36000</v>
      </c>
      <c r="AO1454" s="11">
        <f t="shared" si="490"/>
        <v>0</v>
      </c>
      <c r="AP1454" s="11">
        <f t="shared" si="491"/>
        <v>0.57574614460102258</v>
      </c>
      <c r="AQ1454" s="11">
        <f t="shared" si="492"/>
        <v>0</v>
      </c>
      <c r="AT1454" s="3"/>
      <c r="AU1454" s="17"/>
      <c r="AV1454" s="19"/>
      <c r="AW1454" s="17"/>
      <c r="AX1454" s="17">
        <f t="shared" ref="AX1454:AX1517" si="495">IF(AX1453&gt;=$AG$14,$AG$14,AX1453+1)</f>
        <v>1445</v>
      </c>
      <c r="AY1454" s="17">
        <f t="shared" si="493"/>
        <v>144.5</v>
      </c>
      <c r="AZ1454" s="17">
        <v>57.574614460102261</v>
      </c>
      <c r="BA1454" s="17"/>
      <c r="BB1454" s="17">
        <v>36</v>
      </c>
      <c r="BC1454" s="17"/>
      <c r="BD1454" s="17"/>
      <c r="BE1454" s="17"/>
      <c r="BF1454" s="17"/>
      <c r="BG1454" s="17"/>
      <c r="BH1454" s="17"/>
      <c r="BI1454" s="17"/>
      <c r="BJ1454" s="17"/>
      <c r="BK1454" s="17"/>
      <c r="BL1454" s="17"/>
      <c r="BM1454" s="17"/>
      <c r="BN1454" s="17"/>
      <c r="BO1454" s="17"/>
      <c r="BP1454" s="17"/>
      <c r="BQ1454" s="17"/>
      <c r="BR1454" s="17"/>
      <c r="BS1454" s="17"/>
      <c r="BT1454" s="17"/>
      <c r="BU1454" s="17"/>
      <c r="BV1454" s="17"/>
      <c r="BW1454" s="17"/>
      <c r="BX1454" s="17"/>
      <c r="BY1454" s="17"/>
      <c r="BZ1454" s="17"/>
      <c r="CA1454" s="17"/>
      <c r="CB1454" s="17"/>
      <c r="CC1454" s="17"/>
      <c r="CD1454" s="17"/>
      <c r="CE1454" s="17"/>
      <c r="CF1454" s="17"/>
      <c r="CG1454" s="17"/>
      <c r="CH1454" s="17"/>
    </row>
    <row r="1455" spans="35:86" x14ac:dyDescent="0.15">
      <c r="AI1455" s="3"/>
      <c r="AJ1455" s="3"/>
      <c r="AK1455" s="15">
        <f t="shared" si="488"/>
        <v>6</v>
      </c>
      <c r="AL1455" s="11">
        <f t="shared" si="494"/>
        <v>8676</v>
      </c>
      <c r="AM1455" s="11" t="b">
        <f t="shared" si="487"/>
        <v>0</v>
      </c>
      <c r="AN1455" s="11">
        <f t="shared" si="489"/>
        <v>36000</v>
      </c>
      <c r="AO1455" s="11">
        <f t="shared" si="490"/>
        <v>0</v>
      </c>
      <c r="AP1455" s="11">
        <f t="shared" si="491"/>
        <v>0.57684845941583751</v>
      </c>
      <c r="AQ1455" s="11">
        <f t="shared" si="492"/>
        <v>0</v>
      </c>
      <c r="AT1455" s="3"/>
      <c r="AU1455" s="17"/>
      <c r="AV1455" s="19"/>
      <c r="AW1455" s="17"/>
      <c r="AX1455" s="17">
        <f t="shared" si="495"/>
        <v>1446</v>
      </c>
      <c r="AY1455" s="17">
        <f t="shared" si="493"/>
        <v>144.6</v>
      </c>
      <c r="AZ1455" s="17">
        <v>57.684845941583752</v>
      </c>
      <c r="BA1455" s="17"/>
      <c r="BB1455" s="17">
        <v>36</v>
      </c>
      <c r="BC1455" s="17"/>
      <c r="BD1455" s="17"/>
      <c r="BE1455" s="17"/>
      <c r="BF1455" s="17"/>
      <c r="BG1455" s="17"/>
      <c r="BH1455" s="17"/>
      <c r="BI1455" s="17"/>
      <c r="BJ1455" s="17"/>
      <c r="BK1455" s="17"/>
      <c r="BL1455" s="17"/>
      <c r="BM1455" s="17"/>
      <c r="BN1455" s="17"/>
      <c r="BO1455" s="17"/>
      <c r="BP1455" s="17"/>
      <c r="BQ1455" s="17"/>
      <c r="BR1455" s="17"/>
      <c r="BS1455" s="17"/>
      <c r="BT1455" s="17"/>
      <c r="BU1455" s="17"/>
      <c r="BV1455" s="17"/>
      <c r="BW1455" s="17"/>
      <c r="BX1455" s="17"/>
      <c r="BY1455" s="17"/>
      <c r="BZ1455" s="17"/>
      <c r="CA1455" s="17"/>
      <c r="CB1455" s="17"/>
      <c r="CC1455" s="17"/>
      <c r="CD1455" s="17"/>
      <c r="CE1455" s="17"/>
      <c r="CF1455" s="17"/>
      <c r="CG1455" s="17"/>
      <c r="CH1455" s="17"/>
    </row>
    <row r="1456" spans="35:86" x14ac:dyDescent="0.15">
      <c r="AI1456" s="3"/>
      <c r="AJ1456" s="3"/>
      <c r="AK1456" s="15">
        <f t="shared" si="488"/>
        <v>6</v>
      </c>
      <c r="AL1456" s="11">
        <f t="shared" si="494"/>
        <v>8682</v>
      </c>
      <c r="AM1456" s="11" t="b">
        <f t="shared" si="487"/>
        <v>0</v>
      </c>
      <c r="AN1456" s="11">
        <f t="shared" si="489"/>
        <v>36000</v>
      </c>
      <c r="AO1456" s="11">
        <f t="shared" si="490"/>
        <v>0</v>
      </c>
      <c r="AP1456" s="11">
        <f t="shared" si="491"/>
        <v>0.57795077423065233</v>
      </c>
      <c r="AQ1456" s="11">
        <f t="shared" si="492"/>
        <v>0</v>
      </c>
      <c r="AT1456" s="3"/>
      <c r="AU1456" s="17"/>
      <c r="AV1456" s="19"/>
      <c r="AW1456" s="17"/>
      <c r="AX1456" s="17">
        <f t="shared" si="495"/>
        <v>1447</v>
      </c>
      <c r="AY1456" s="17">
        <f t="shared" si="493"/>
        <v>144.69999999999999</v>
      </c>
      <c r="AZ1456" s="17">
        <v>57.79507742306523</v>
      </c>
      <c r="BA1456" s="17"/>
      <c r="BB1456" s="17">
        <v>36</v>
      </c>
      <c r="BC1456" s="17"/>
      <c r="BD1456" s="17"/>
      <c r="BE1456" s="17"/>
      <c r="BF1456" s="17"/>
      <c r="BG1456" s="17"/>
      <c r="BH1456" s="17"/>
      <c r="BI1456" s="17"/>
      <c r="BJ1456" s="17"/>
      <c r="BK1456" s="17"/>
      <c r="BL1456" s="17"/>
      <c r="BM1456" s="17"/>
      <c r="BN1456" s="17"/>
      <c r="BO1456" s="17"/>
      <c r="BP1456" s="17"/>
      <c r="BQ1456" s="17"/>
      <c r="BR1456" s="17"/>
      <c r="BS1456" s="17"/>
      <c r="BT1456" s="17"/>
      <c r="BU1456" s="17"/>
      <c r="BV1456" s="17"/>
      <c r="BW1456" s="17"/>
      <c r="BX1456" s="17"/>
      <c r="BY1456" s="17"/>
      <c r="BZ1456" s="17"/>
      <c r="CA1456" s="17"/>
      <c r="CB1456" s="17"/>
      <c r="CC1456" s="17"/>
      <c r="CD1456" s="17"/>
      <c r="CE1456" s="17"/>
      <c r="CF1456" s="17"/>
      <c r="CG1456" s="17"/>
      <c r="CH1456" s="17"/>
    </row>
    <row r="1457" spans="35:86" x14ac:dyDescent="0.15">
      <c r="AI1457" s="3"/>
      <c r="AJ1457" s="3"/>
      <c r="AK1457" s="15">
        <f t="shared" si="488"/>
        <v>6</v>
      </c>
      <c r="AL1457" s="11">
        <f t="shared" si="494"/>
        <v>8688</v>
      </c>
      <c r="AM1457" s="11" t="b">
        <f t="shared" si="487"/>
        <v>0</v>
      </c>
      <c r="AN1457" s="11">
        <f t="shared" si="489"/>
        <v>36000</v>
      </c>
      <c r="AO1457" s="11">
        <f t="shared" si="490"/>
        <v>0</v>
      </c>
      <c r="AP1457" s="11">
        <f t="shared" si="491"/>
        <v>0.57905308904546715</v>
      </c>
      <c r="AQ1457" s="11">
        <f t="shared" si="492"/>
        <v>0</v>
      </c>
      <c r="AT1457" s="3"/>
      <c r="AU1457" s="17"/>
      <c r="AV1457" s="19"/>
      <c r="AW1457" s="17"/>
      <c r="AX1457" s="17">
        <f t="shared" si="495"/>
        <v>1448</v>
      </c>
      <c r="AY1457" s="17">
        <f t="shared" si="493"/>
        <v>144.80000000000001</v>
      </c>
      <c r="AZ1457" s="17">
        <v>57.905308904546715</v>
      </c>
      <c r="BA1457" s="17"/>
      <c r="BB1457" s="17">
        <v>36</v>
      </c>
      <c r="BC1457" s="17"/>
      <c r="BD1457" s="17"/>
      <c r="BE1457" s="17"/>
      <c r="BF1457" s="17"/>
      <c r="BG1457" s="17"/>
      <c r="BH1457" s="17"/>
      <c r="BI1457" s="17"/>
      <c r="BJ1457" s="17"/>
      <c r="BK1457" s="17"/>
      <c r="BL1457" s="17"/>
      <c r="BM1457" s="17"/>
      <c r="BN1457" s="17"/>
      <c r="BO1457" s="17"/>
      <c r="BP1457" s="17"/>
      <c r="BQ1457" s="17"/>
      <c r="BR1457" s="17"/>
      <c r="BS1457" s="17"/>
      <c r="BT1457" s="17"/>
      <c r="BU1457" s="17"/>
      <c r="BV1457" s="17"/>
      <c r="BW1457" s="17"/>
      <c r="BX1457" s="17"/>
      <c r="BY1457" s="17"/>
      <c r="BZ1457" s="17"/>
      <c r="CA1457" s="17"/>
      <c r="CB1457" s="17"/>
      <c r="CC1457" s="17"/>
      <c r="CD1457" s="17"/>
      <c r="CE1457" s="17"/>
      <c r="CF1457" s="17"/>
      <c r="CG1457" s="17"/>
      <c r="CH1457" s="17"/>
    </row>
    <row r="1458" spans="35:86" x14ac:dyDescent="0.15">
      <c r="AI1458" s="3"/>
      <c r="AJ1458" s="3"/>
      <c r="AK1458" s="15">
        <f t="shared" si="488"/>
        <v>6</v>
      </c>
      <c r="AL1458" s="11">
        <f t="shared" si="494"/>
        <v>8694</v>
      </c>
      <c r="AM1458" s="11" t="b">
        <f t="shared" si="487"/>
        <v>0</v>
      </c>
      <c r="AN1458" s="11">
        <f t="shared" si="489"/>
        <v>36000</v>
      </c>
      <c r="AO1458" s="11">
        <f t="shared" si="490"/>
        <v>0</v>
      </c>
      <c r="AP1458" s="11">
        <f t="shared" si="491"/>
        <v>0.58015540386028197</v>
      </c>
      <c r="AQ1458" s="11">
        <f t="shared" si="492"/>
        <v>0</v>
      </c>
      <c r="AT1458" s="3"/>
      <c r="AU1458" s="17"/>
      <c r="AV1458" s="19"/>
      <c r="AW1458" s="17"/>
      <c r="AX1458" s="17">
        <f t="shared" si="495"/>
        <v>1449</v>
      </c>
      <c r="AY1458" s="17">
        <f t="shared" si="493"/>
        <v>144.9</v>
      </c>
      <c r="AZ1458" s="17">
        <v>58.015540386028199</v>
      </c>
      <c r="BA1458" s="17"/>
      <c r="BB1458" s="17">
        <v>36</v>
      </c>
      <c r="BC1458" s="17"/>
      <c r="BD1458" s="17"/>
      <c r="BE1458" s="17"/>
      <c r="BF1458" s="17"/>
      <c r="BG1458" s="17"/>
      <c r="BH1458" s="17"/>
      <c r="BI1458" s="17"/>
      <c r="BJ1458" s="17"/>
      <c r="BK1458" s="17"/>
      <c r="BL1458" s="17"/>
      <c r="BM1458" s="17"/>
      <c r="BN1458" s="17"/>
      <c r="BO1458" s="17"/>
      <c r="BP1458" s="17"/>
      <c r="BQ1458" s="17"/>
      <c r="BR1458" s="17"/>
      <c r="BS1458" s="17"/>
      <c r="BT1458" s="17"/>
      <c r="BU1458" s="17"/>
      <c r="BV1458" s="17"/>
      <c r="BW1458" s="17"/>
      <c r="BX1458" s="17"/>
      <c r="BY1458" s="17"/>
      <c r="BZ1458" s="17"/>
      <c r="CA1458" s="17"/>
      <c r="CB1458" s="17"/>
      <c r="CC1458" s="17"/>
      <c r="CD1458" s="17"/>
      <c r="CE1458" s="17"/>
      <c r="CF1458" s="17"/>
      <c r="CG1458" s="17"/>
      <c r="CH1458" s="17"/>
    </row>
    <row r="1459" spans="35:86" x14ac:dyDescent="0.15">
      <c r="AI1459" s="3"/>
      <c r="AJ1459" s="3"/>
      <c r="AK1459" s="15">
        <f t="shared" si="488"/>
        <v>6</v>
      </c>
      <c r="AL1459" s="11">
        <f t="shared" si="494"/>
        <v>8700</v>
      </c>
      <c r="AM1459" s="11" t="b">
        <f t="shared" si="487"/>
        <v>0</v>
      </c>
      <c r="AN1459" s="11">
        <f t="shared" si="489"/>
        <v>36000</v>
      </c>
      <c r="AO1459" s="11">
        <f t="shared" si="490"/>
        <v>0</v>
      </c>
      <c r="AP1459" s="11">
        <f t="shared" si="491"/>
        <v>0.58125771867509679</v>
      </c>
      <c r="AQ1459" s="11">
        <f t="shared" si="492"/>
        <v>0</v>
      </c>
      <c r="AT1459" s="3"/>
      <c r="AU1459" s="17"/>
      <c r="AV1459" s="19"/>
      <c r="AW1459" s="17"/>
      <c r="AX1459" s="17">
        <f t="shared" si="495"/>
        <v>1450</v>
      </c>
      <c r="AY1459" s="17">
        <f t="shared" si="493"/>
        <v>145</v>
      </c>
      <c r="AZ1459" s="17">
        <v>58.125771867509677</v>
      </c>
      <c r="BA1459" s="17"/>
      <c r="BB1459" s="17">
        <v>36</v>
      </c>
      <c r="BC1459" s="17"/>
      <c r="BD1459" s="17"/>
      <c r="BE1459" s="17"/>
      <c r="BF1459" s="17"/>
      <c r="BG1459" s="17"/>
      <c r="BH1459" s="17"/>
      <c r="BI1459" s="17"/>
      <c r="BJ1459" s="17"/>
      <c r="BK1459" s="17"/>
      <c r="BL1459" s="17"/>
      <c r="BM1459" s="17"/>
      <c r="BN1459" s="17"/>
      <c r="BO1459" s="17"/>
      <c r="BP1459" s="17"/>
      <c r="BQ1459" s="17"/>
      <c r="BR1459" s="17"/>
      <c r="BS1459" s="17"/>
      <c r="BT1459" s="17"/>
      <c r="BU1459" s="17"/>
      <c r="BV1459" s="17"/>
      <c r="BW1459" s="17"/>
      <c r="BX1459" s="17"/>
      <c r="BY1459" s="17"/>
      <c r="BZ1459" s="17"/>
      <c r="CA1459" s="17"/>
      <c r="CB1459" s="17"/>
      <c r="CC1459" s="17"/>
      <c r="CD1459" s="17"/>
      <c r="CE1459" s="17"/>
      <c r="CF1459" s="17"/>
      <c r="CG1459" s="17"/>
      <c r="CH1459" s="17"/>
    </row>
    <row r="1460" spans="35:86" x14ac:dyDescent="0.15">
      <c r="AI1460" s="3"/>
      <c r="AJ1460" s="3"/>
      <c r="AK1460" s="15">
        <f t="shared" si="488"/>
        <v>6</v>
      </c>
      <c r="AL1460" s="11">
        <f t="shared" si="494"/>
        <v>8706</v>
      </c>
      <c r="AM1460" s="11" t="b">
        <f t="shared" si="487"/>
        <v>0</v>
      </c>
      <c r="AN1460" s="11">
        <f t="shared" si="489"/>
        <v>36000</v>
      </c>
      <c r="AO1460" s="11">
        <f t="shared" si="490"/>
        <v>0</v>
      </c>
      <c r="AP1460" s="11">
        <f t="shared" si="491"/>
        <v>0.58236003348991172</v>
      </c>
      <c r="AQ1460" s="11">
        <f t="shared" si="492"/>
        <v>0</v>
      </c>
      <c r="AT1460" s="3"/>
      <c r="AU1460" s="17"/>
      <c r="AV1460" s="19"/>
      <c r="AW1460" s="17"/>
      <c r="AX1460" s="17">
        <f t="shared" si="495"/>
        <v>1451</v>
      </c>
      <c r="AY1460" s="17">
        <f t="shared" si="493"/>
        <v>145.1</v>
      </c>
      <c r="AZ1460" s="17">
        <v>58.236003348991176</v>
      </c>
      <c r="BA1460" s="17"/>
      <c r="BB1460" s="17">
        <v>36</v>
      </c>
      <c r="BC1460" s="17"/>
      <c r="BD1460" s="17"/>
      <c r="BE1460" s="17"/>
      <c r="BF1460" s="17"/>
      <c r="BG1460" s="17"/>
      <c r="BH1460" s="17"/>
      <c r="BI1460" s="17"/>
      <c r="BJ1460" s="17"/>
      <c r="BK1460" s="17"/>
      <c r="BL1460" s="17"/>
      <c r="BM1460" s="17"/>
      <c r="BN1460" s="17"/>
      <c r="BO1460" s="17"/>
      <c r="BP1460" s="17"/>
      <c r="BQ1460" s="17"/>
      <c r="BR1460" s="17"/>
      <c r="BS1460" s="17"/>
      <c r="BT1460" s="17"/>
      <c r="BU1460" s="17"/>
      <c r="BV1460" s="17"/>
      <c r="BW1460" s="17"/>
      <c r="BX1460" s="17"/>
      <c r="BY1460" s="17"/>
      <c r="BZ1460" s="17"/>
      <c r="CA1460" s="17"/>
      <c r="CB1460" s="17"/>
      <c r="CC1460" s="17"/>
      <c r="CD1460" s="17"/>
      <c r="CE1460" s="17"/>
      <c r="CF1460" s="17"/>
      <c r="CG1460" s="17"/>
      <c r="CH1460" s="17"/>
    </row>
    <row r="1461" spans="35:86" x14ac:dyDescent="0.15">
      <c r="AI1461" s="3"/>
      <c r="AJ1461" s="3"/>
      <c r="AK1461" s="15">
        <f t="shared" si="488"/>
        <v>6</v>
      </c>
      <c r="AL1461" s="11">
        <f t="shared" si="494"/>
        <v>8712</v>
      </c>
      <c r="AM1461" s="11" t="b">
        <f t="shared" si="487"/>
        <v>0</v>
      </c>
      <c r="AN1461" s="11">
        <f t="shared" si="489"/>
        <v>36000</v>
      </c>
      <c r="AO1461" s="11">
        <f t="shared" si="490"/>
        <v>0</v>
      </c>
      <c r="AP1461" s="11">
        <f t="shared" si="491"/>
        <v>0.58346234830472654</v>
      </c>
      <c r="AQ1461" s="11">
        <f t="shared" si="492"/>
        <v>0</v>
      </c>
      <c r="AT1461" s="3"/>
      <c r="AU1461" s="17"/>
      <c r="AV1461" s="19"/>
      <c r="AW1461" s="17"/>
      <c r="AX1461" s="17">
        <f t="shared" si="495"/>
        <v>1452</v>
      </c>
      <c r="AY1461" s="17">
        <f t="shared" si="493"/>
        <v>145.19999999999999</v>
      </c>
      <c r="AZ1461" s="17">
        <v>58.346234830472653</v>
      </c>
      <c r="BA1461" s="17"/>
      <c r="BB1461" s="17">
        <v>36</v>
      </c>
      <c r="BC1461" s="17"/>
      <c r="BD1461" s="17"/>
      <c r="BE1461" s="17"/>
      <c r="BF1461" s="17"/>
      <c r="BG1461" s="17"/>
      <c r="BH1461" s="17"/>
      <c r="BI1461" s="17"/>
      <c r="BJ1461" s="17"/>
      <c r="BK1461" s="17"/>
      <c r="BL1461" s="17"/>
      <c r="BM1461" s="17"/>
      <c r="BN1461" s="17"/>
      <c r="BO1461" s="17"/>
      <c r="BP1461" s="17"/>
      <c r="BQ1461" s="17"/>
      <c r="BR1461" s="17"/>
      <c r="BS1461" s="17"/>
      <c r="BT1461" s="17"/>
      <c r="BU1461" s="17"/>
      <c r="BV1461" s="17"/>
      <c r="BW1461" s="17"/>
      <c r="BX1461" s="17"/>
      <c r="BY1461" s="17"/>
      <c r="BZ1461" s="17"/>
      <c r="CA1461" s="17"/>
      <c r="CB1461" s="17"/>
      <c r="CC1461" s="17"/>
      <c r="CD1461" s="17"/>
      <c r="CE1461" s="17"/>
      <c r="CF1461" s="17"/>
      <c r="CG1461" s="17"/>
      <c r="CH1461" s="17"/>
    </row>
    <row r="1462" spans="35:86" x14ac:dyDescent="0.15">
      <c r="AI1462" s="3"/>
      <c r="AJ1462" s="3"/>
      <c r="AK1462" s="15">
        <f t="shared" si="488"/>
        <v>6</v>
      </c>
      <c r="AL1462" s="11">
        <f t="shared" si="494"/>
        <v>8718</v>
      </c>
      <c r="AM1462" s="11" t="b">
        <f t="shared" si="487"/>
        <v>0</v>
      </c>
      <c r="AN1462" s="11">
        <f t="shared" si="489"/>
        <v>36000</v>
      </c>
      <c r="AO1462" s="11">
        <f t="shared" si="490"/>
        <v>0</v>
      </c>
      <c r="AP1462" s="11">
        <f t="shared" si="491"/>
        <v>0.58456466311954136</v>
      </c>
      <c r="AQ1462" s="11">
        <f t="shared" si="492"/>
        <v>0</v>
      </c>
      <c r="AT1462" s="3"/>
      <c r="AU1462" s="17"/>
      <c r="AV1462" s="19"/>
      <c r="AW1462" s="17"/>
      <c r="AX1462" s="17">
        <f t="shared" si="495"/>
        <v>1453</v>
      </c>
      <c r="AY1462" s="17">
        <f t="shared" si="493"/>
        <v>145.30000000000001</v>
      </c>
      <c r="AZ1462" s="17">
        <v>58.456466311954138</v>
      </c>
      <c r="BA1462" s="17"/>
      <c r="BB1462" s="17">
        <v>36</v>
      </c>
      <c r="BC1462" s="17"/>
      <c r="BD1462" s="17"/>
      <c r="BE1462" s="17"/>
      <c r="BF1462" s="17"/>
      <c r="BG1462" s="17"/>
      <c r="BH1462" s="17"/>
      <c r="BI1462" s="17"/>
      <c r="BJ1462" s="17"/>
      <c r="BK1462" s="17"/>
      <c r="BL1462" s="17"/>
      <c r="BM1462" s="17"/>
      <c r="BN1462" s="17"/>
      <c r="BO1462" s="17"/>
      <c r="BP1462" s="17"/>
      <c r="BQ1462" s="17"/>
      <c r="BR1462" s="17"/>
      <c r="BS1462" s="17"/>
      <c r="BT1462" s="17"/>
      <c r="BU1462" s="17"/>
      <c r="BV1462" s="17"/>
      <c r="BW1462" s="17"/>
      <c r="BX1462" s="17"/>
      <c r="BY1462" s="17"/>
      <c r="BZ1462" s="17"/>
      <c r="CA1462" s="17"/>
      <c r="CB1462" s="17"/>
      <c r="CC1462" s="17"/>
      <c r="CD1462" s="17"/>
      <c r="CE1462" s="17"/>
      <c r="CF1462" s="17"/>
      <c r="CG1462" s="17"/>
      <c r="CH1462" s="17"/>
    </row>
    <row r="1463" spans="35:86" x14ac:dyDescent="0.15">
      <c r="AI1463" s="3"/>
      <c r="AJ1463" s="3"/>
      <c r="AK1463" s="15">
        <f t="shared" si="488"/>
        <v>6</v>
      </c>
      <c r="AL1463" s="11">
        <f t="shared" si="494"/>
        <v>8724</v>
      </c>
      <c r="AM1463" s="11" t="b">
        <f t="shared" si="487"/>
        <v>0</v>
      </c>
      <c r="AN1463" s="11">
        <f t="shared" si="489"/>
        <v>36000</v>
      </c>
      <c r="AO1463" s="11">
        <f t="shared" si="490"/>
        <v>0</v>
      </c>
      <c r="AP1463" s="11">
        <f t="shared" si="491"/>
        <v>0.58566697793435618</v>
      </c>
      <c r="AQ1463" s="11">
        <f t="shared" si="492"/>
        <v>0</v>
      </c>
      <c r="AT1463" s="3"/>
      <c r="AU1463" s="17"/>
      <c r="AV1463" s="19"/>
      <c r="AW1463" s="17"/>
      <c r="AX1463" s="17">
        <f t="shared" si="495"/>
        <v>1454</v>
      </c>
      <c r="AY1463" s="17">
        <f t="shared" si="493"/>
        <v>145.4</v>
      </c>
      <c r="AZ1463" s="17">
        <v>58.566697793435615</v>
      </c>
      <c r="BA1463" s="17"/>
      <c r="BB1463" s="17">
        <v>36</v>
      </c>
      <c r="BC1463" s="17"/>
      <c r="BD1463" s="17"/>
      <c r="BE1463" s="17"/>
      <c r="BF1463" s="17"/>
      <c r="BG1463" s="17"/>
      <c r="BH1463" s="17"/>
      <c r="BI1463" s="17"/>
      <c r="BJ1463" s="17"/>
      <c r="BK1463" s="17"/>
      <c r="BL1463" s="17"/>
      <c r="BM1463" s="17"/>
      <c r="BN1463" s="17"/>
      <c r="BO1463" s="17"/>
      <c r="BP1463" s="17"/>
      <c r="BQ1463" s="17"/>
      <c r="BR1463" s="17"/>
      <c r="BS1463" s="17"/>
      <c r="BT1463" s="17"/>
      <c r="BU1463" s="17"/>
      <c r="BV1463" s="17"/>
      <c r="BW1463" s="17"/>
      <c r="BX1463" s="17"/>
      <c r="BY1463" s="17"/>
      <c r="BZ1463" s="17"/>
      <c r="CA1463" s="17"/>
      <c r="CB1463" s="17"/>
      <c r="CC1463" s="17"/>
      <c r="CD1463" s="17"/>
      <c r="CE1463" s="17"/>
      <c r="CF1463" s="17"/>
      <c r="CG1463" s="17"/>
      <c r="CH1463" s="17"/>
    </row>
    <row r="1464" spans="35:86" x14ac:dyDescent="0.15">
      <c r="AI1464" s="3"/>
      <c r="AJ1464" s="3"/>
      <c r="AK1464" s="15">
        <f t="shared" si="488"/>
        <v>6</v>
      </c>
      <c r="AL1464" s="11">
        <f t="shared" si="494"/>
        <v>8730</v>
      </c>
      <c r="AM1464" s="11" t="b">
        <f t="shared" si="487"/>
        <v>0</v>
      </c>
      <c r="AN1464" s="11">
        <f t="shared" si="489"/>
        <v>36000</v>
      </c>
      <c r="AO1464" s="11">
        <f t="shared" si="490"/>
        <v>0</v>
      </c>
      <c r="AP1464" s="11">
        <f t="shared" si="491"/>
        <v>0.586769292749171</v>
      </c>
      <c r="AQ1464" s="11">
        <f t="shared" si="492"/>
        <v>0</v>
      </c>
      <c r="AT1464" s="3"/>
      <c r="AU1464" s="17"/>
      <c r="AV1464" s="19"/>
      <c r="AW1464" s="17"/>
      <c r="AX1464" s="17">
        <f t="shared" si="495"/>
        <v>1455</v>
      </c>
      <c r="AY1464" s="17">
        <f t="shared" si="493"/>
        <v>145.5</v>
      </c>
      <c r="AZ1464" s="17">
        <v>58.6769292749171</v>
      </c>
      <c r="BA1464" s="17"/>
      <c r="BB1464" s="17">
        <v>36</v>
      </c>
      <c r="BC1464" s="17"/>
      <c r="BD1464" s="17"/>
      <c r="BE1464" s="17"/>
      <c r="BF1464" s="17"/>
      <c r="BG1464" s="17"/>
      <c r="BH1464" s="17"/>
      <c r="BI1464" s="17"/>
      <c r="BJ1464" s="17"/>
      <c r="BK1464" s="17"/>
      <c r="BL1464" s="17"/>
      <c r="BM1464" s="17"/>
      <c r="BN1464" s="17"/>
      <c r="BO1464" s="17"/>
      <c r="BP1464" s="17"/>
      <c r="BQ1464" s="17"/>
      <c r="BR1464" s="17"/>
      <c r="BS1464" s="17"/>
      <c r="BT1464" s="17"/>
      <c r="BU1464" s="17"/>
      <c r="BV1464" s="17"/>
      <c r="BW1464" s="17"/>
      <c r="BX1464" s="17"/>
      <c r="BY1464" s="17"/>
      <c r="BZ1464" s="17"/>
      <c r="CA1464" s="17"/>
      <c r="CB1464" s="17"/>
      <c r="CC1464" s="17"/>
      <c r="CD1464" s="17"/>
      <c r="CE1464" s="17"/>
      <c r="CF1464" s="17"/>
      <c r="CG1464" s="17"/>
      <c r="CH1464" s="17"/>
    </row>
    <row r="1465" spans="35:86" x14ac:dyDescent="0.15">
      <c r="AI1465" s="3"/>
      <c r="AJ1465" s="3"/>
      <c r="AK1465" s="15">
        <f t="shared" si="488"/>
        <v>6</v>
      </c>
      <c r="AL1465" s="11">
        <f t="shared" si="494"/>
        <v>8736</v>
      </c>
      <c r="AM1465" s="11" t="b">
        <f t="shared" si="487"/>
        <v>0</v>
      </c>
      <c r="AN1465" s="11">
        <f t="shared" si="489"/>
        <v>36000</v>
      </c>
      <c r="AO1465" s="11">
        <f t="shared" si="490"/>
        <v>0</v>
      </c>
      <c r="AP1465" s="11">
        <f t="shared" si="491"/>
        <v>0.58787160756398593</v>
      </c>
      <c r="AQ1465" s="11">
        <f t="shared" si="492"/>
        <v>0</v>
      </c>
      <c r="AT1465" s="3"/>
      <c r="AU1465" s="17"/>
      <c r="AV1465" s="19"/>
      <c r="AW1465" s="17"/>
      <c r="AX1465" s="17">
        <f t="shared" si="495"/>
        <v>1456</v>
      </c>
      <c r="AY1465" s="17">
        <f t="shared" si="493"/>
        <v>145.6</v>
      </c>
      <c r="AZ1465" s="17">
        <v>58.787160756398592</v>
      </c>
      <c r="BA1465" s="17"/>
      <c r="BB1465" s="17">
        <v>36</v>
      </c>
      <c r="BC1465" s="17"/>
      <c r="BD1465" s="17"/>
      <c r="BE1465" s="17"/>
      <c r="BF1465" s="17"/>
      <c r="BG1465" s="17"/>
      <c r="BH1465" s="17"/>
      <c r="BI1465" s="17"/>
      <c r="BJ1465" s="17"/>
      <c r="BK1465" s="17"/>
      <c r="BL1465" s="17"/>
      <c r="BM1465" s="17"/>
      <c r="BN1465" s="17"/>
      <c r="BO1465" s="17"/>
      <c r="BP1465" s="17"/>
      <c r="BQ1465" s="17"/>
      <c r="BR1465" s="17"/>
      <c r="BS1465" s="17"/>
      <c r="BT1465" s="17"/>
      <c r="BU1465" s="17"/>
      <c r="BV1465" s="17"/>
      <c r="BW1465" s="17"/>
      <c r="BX1465" s="17"/>
      <c r="BY1465" s="17"/>
      <c r="BZ1465" s="17"/>
      <c r="CA1465" s="17"/>
      <c r="CB1465" s="17"/>
      <c r="CC1465" s="17"/>
      <c r="CD1465" s="17"/>
      <c r="CE1465" s="17"/>
      <c r="CF1465" s="17"/>
      <c r="CG1465" s="17"/>
      <c r="CH1465" s="17"/>
    </row>
    <row r="1466" spans="35:86" x14ac:dyDescent="0.15">
      <c r="AI1466" s="3"/>
      <c r="AJ1466" s="3"/>
      <c r="AK1466" s="15">
        <f t="shared" si="488"/>
        <v>6</v>
      </c>
      <c r="AL1466" s="11">
        <f t="shared" si="494"/>
        <v>8742</v>
      </c>
      <c r="AM1466" s="11" t="b">
        <f t="shared" si="487"/>
        <v>0</v>
      </c>
      <c r="AN1466" s="11">
        <f t="shared" si="489"/>
        <v>36000</v>
      </c>
      <c r="AO1466" s="11">
        <f t="shared" si="490"/>
        <v>0</v>
      </c>
      <c r="AP1466" s="11">
        <f t="shared" si="491"/>
        <v>0.58897392237880075</v>
      </c>
      <c r="AQ1466" s="11">
        <f t="shared" si="492"/>
        <v>0</v>
      </c>
      <c r="AT1466" s="3"/>
      <c r="AU1466" s="17"/>
      <c r="AV1466" s="19"/>
      <c r="AW1466" s="17"/>
      <c r="AX1466" s="17">
        <f t="shared" si="495"/>
        <v>1457</v>
      </c>
      <c r="AY1466" s="17">
        <f t="shared" si="493"/>
        <v>145.69999999999999</v>
      </c>
      <c r="AZ1466" s="17">
        <v>58.897392237880076</v>
      </c>
      <c r="BA1466" s="17"/>
      <c r="BB1466" s="17">
        <v>36</v>
      </c>
      <c r="BC1466" s="17"/>
      <c r="BD1466" s="17"/>
      <c r="BE1466" s="17"/>
      <c r="BF1466" s="17"/>
      <c r="BG1466" s="17"/>
      <c r="BH1466" s="17"/>
      <c r="BI1466" s="17"/>
      <c r="BJ1466" s="17"/>
      <c r="BK1466" s="17"/>
      <c r="BL1466" s="17"/>
      <c r="BM1466" s="17"/>
      <c r="BN1466" s="17"/>
      <c r="BO1466" s="17"/>
      <c r="BP1466" s="17"/>
      <c r="BQ1466" s="17"/>
      <c r="BR1466" s="17"/>
      <c r="BS1466" s="17"/>
      <c r="BT1466" s="17"/>
      <c r="BU1466" s="17"/>
      <c r="BV1466" s="17"/>
      <c r="BW1466" s="17"/>
      <c r="BX1466" s="17"/>
      <c r="BY1466" s="17"/>
      <c r="BZ1466" s="17"/>
      <c r="CA1466" s="17"/>
      <c r="CB1466" s="17"/>
      <c r="CC1466" s="17"/>
      <c r="CD1466" s="17"/>
      <c r="CE1466" s="17"/>
      <c r="CF1466" s="17"/>
      <c r="CG1466" s="17"/>
      <c r="CH1466" s="17"/>
    </row>
    <row r="1467" spans="35:86" x14ac:dyDescent="0.15">
      <c r="AI1467" s="3"/>
      <c r="AJ1467" s="3"/>
      <c r="AK1467" s="15">
        <f t="shared" si="488"/>
        <v>6</v>
      </c>
      <c r="AL1467" s="11">
        <f t="shared" si="494"/>
        <v>8748</v>
      </c>
      <c r="AM1467" s="11" t="b">
        <f t="shared" si="487"/>
        <v>0</v>
      </c>
      <c r="AN1467" s="11">
        <f t="shared" si="489"/>
        <v>36000</v>
      </c>
      <c r="AO1467" s="11">
        <f t="shared" si="490"/>
        <v>0</v>
      </c>
      <c r="AP1467" s="11">
        <f t="shared" si="491"/>
        <v>0.59007623719361557</v>
      </c>
      <c r="AQ1467" s="11">
        <f t="shared" si="492"/>
        <v>0</v>
      </c>
      <c r="AT1467" s="3"/>
      <c r="AU1467" s="17"/>
      <c r="AV1467" s="19"/>
      <c r="AW1467" s="17"/>
      <c r="AX1467" s="17">
        <f t="shared" si="495"/>
        <v>1458</v>
      </c>
      <c r="AY1467" s="17">
        <f t="shared" si="493"/>
        <v>145.80000000000001</v>
      </c>
      <c r="AZ1467" s="17">
        <v>59.007623719361554</v>
      </c>
      <c r="BA1467" s="17"/>
      <c r="BB1467" s="17">
        <v>36</v>
      </c>
      <c r="BC1467" s="17"/>
      <c r="BD1467" s="17"/>
      <c r="BE1467" s="17"/>
      <c r="BF1467" s="17"/>
      <c r="BG1467" s="17"/>
      <c r="BH1467" s="17"/>
      <c r="BI1467" s="17"/>
      <c r="BJ1467" s="17"/>
      <c r="BK1467" s="17"/>
      <c r="BL1467" s="17"/>
      <c r="BM1467" s="17"/>
      <c r="BN1467" s="17"/>
      <c r="BO1467" s="17"/>
      <c r="BP1467" s="17"/>
      <c r="BQ1467" s="17"/>
      <c r="BR1467" s="17"/>
      <c r="BS1467" s="17"/>
      <c r="BT1467" s="17"/>
      <c r="BU1467" s="17"/>
      <c r="BV1467" s="17"/>
      <c r="BW1467" s="17"/>
      <c r="BX1467" s="17"/>
      <c r="BY1467" s="17"/>
      <c r="BZ1467" s="17"/>
      <c r="CA1467" s="17"/>
      <c r="CB1467" s="17"/>
      <c r="CC1467" s="17"/>
      <c r="CD1467" s="17"/>
      <c r="CE1467" s="17"/>
      <c r="CF1467" s="17"/>
      <c r="CG1467" s="17"/>
      <c r="CH1467" s="17"/>
    </row>
    <row r="1468" spans="35:86" x14ac:dyDescent="0.15">
      <c r="AI1468" s="3"/>
      <c r="AJ1468" s="3"/>
      <c r="AK1468" s="15">
        <f t="shared" si="488"/>
        <v>6</v>
      </c>
      <c r="AL1468" s="11">
        <f t="shared" si="494"/>
        <v>8754</v>
      </c>
      <c r="AM1468" s="11" t="b">
        <f t="shared" si="487"/>
        <v>0</v>
      </c>
      <c r="AN1468" s="11">
        <f t="shared" si="489"/>
        <v>36000</v>
      </c>
      <c r="AO1468" s="11">
        <f t="shared" si="490"/>
        <v>0</v>
      </c>
      <c r="AP1468" s="11">
        <f t="shared" si="491"/>
        <v>0.59117855200843039</v>
      </c>
      <c r="AQ1468" s="11">
        <f t="shared" si="492"/>
        <v>0</v>
      </c>
      <c r="AT1468" s="3"/>
      <c r="AU1468" s="17"/>
      <c r="AV1468" s="19"/>
      <c r="AW1468" s="17"/>
      <c r="AX1468" s="17">
        <f t="shared" si="495"/>
        <v>1459</v>
      </c>
      <c r="AY1468" s="17">
        <f t="shared" si="493"/>
        <v>145.9</v>
      </c>
      <c r="AZ1468" s="17">
        <v>59.117855200843039</v>
      </c>
      <c r="BA1468" s="17"/>
      <c r="BB1468" s="17">
        <v>36</v>
      </c>
      <c r="BC1468" s="17"/>
      <c r="BD1468" s="17"/>
      <c r="BE1468" s="17"/>
      <c r="BF1468" s="17"/>
      <c r="BG1468" s="17"/>
      <c r="BH1468" s="17"/>
      <c r="BI1468" s="17"/>
      <c r="BJ1468" s="17"/>
      <c r="BK1468" s="17"/>
      <c r="BL1468" s="17"/>
      <c r="BM1468" s="17"/>
      <c r="BN1468" s="17"/>
      <c r="BO1468" s="17"/>
      <c r="BP1468" s="17"/>
      <c r="BQ1468" s="17"/>
      <c r="BR1468" s="17"/>
      <c r="BS1468" s="17"/>
      <c r="BT1468" s="17"/>
      <c r="BU1468" s="17"/>
      <c r="BV1468" s="17"/>
      <c r="BW1468" s="17"/>
      <c r="BX1468" s="17"/>
      <c r="BY1468" s="17"/>
      <c r="BZ1468" s="17"/>
      <c r="CA1468" s="17"/>
      <c r="CB1468" s="17"/>
      <c r="CC1468" s="17"/>
      <c r="CD1468" s="17"/>
      <c r="CE1468" s="17"/>
      <c r="CF1468" s="17"/>
      <c r="CG1468" s="17"/>
      <c r="CH1468" s="17"/>
    </row>
    <row r="1469" spans="35:86" x14ac:dyDescent="0.15">
      <c r="AI1469" s="3"/>
      <c r="AJ1469" s="3"/>
      <c r="AK1469" s="15">
        <f t="shared" si="488"/>
        <v>6</v>
      </c>
      <c r="AL1469" s="11">
        <f t="shared" si="494"/>
        <v>8760</v>
      </c>
      <c r="AM1469" s="11" t="b">
        <f t="shared" si="487"/>
        <v>0</v>
      </c>
      <c r="AN1469" s="11">
        <f t="shared" si="489"/>
        <v>36000</v>
      </c>
      <c r="AO1469" s="11">
        <f t="shared" si="490"/>
        <v>0</v>
      </c>
      <c r="AP1469" s="11">
        <f t="shared" si="491"/>
        <v>0.59228086682324521</v>
      </c>
      <c r="AQ1469" s="11">
        <f t="shared" si="492"/>
        <v>0</v>
      </c>
      <c r="AT1469" s="3"/>
      <c r="AU1469" s="17"/>
      <c r="AV1469" s="19"/>
      <c r="AW1469" s="17"/>
      <c r="AX1469" s="17">
        <f t="shared" si="495"/>
        <v>1460</v>
      </c>
      <c r="AY1469" s="17">
        <f t="shared" si="493"/>
        <v>146</v>
      </c>
      <c r="AZ1469" s="17">
        <v>59.228086682324523</v>
      </c>
      <c r="BA1469" s="17"/>
      <c r="BB1469" s="17">
        <v>36</v>
      </c>
      <c r="BC1469" s="17"/>
      <c r="BD1469" s="17"/>
      <c r="BE1469" s="17"/>
      <c r="BF1469" s="17"/>
      <c r="BG1469" s="17"/>
      <c r="BH1469" s="17"/>
      <c r="BI1469" s="17"/>
      <c r="BJ1469" s="17"/>
      <c r="BK1469" s="17"/>
      <c r="BL1469" s="17"/>
      <c r="BM1469" s="17"/>
      <c r="BN1469" s="17"/>
      <c r="BO1469" s="17"/>
      <c r="BP1469" s="17"/>
      <c r="BQ1469" s="17"/>
      <c r="BR1469" s="17"/>
      <c r="BS1469" s="17"/>
      <c r="BT1469" s="17"/>
      <c r="BU1469" s="17"/>
      <c r="BV1469" s="17"/>
      <c r="BW1469" s="17"/>
      <c r="BX1469" s="17"/>
      <c r="BY1469" s="17"/>
      <c r="BZ1469" s="17"/>
      <c r="CA1469" s="17"/>
      <c r="CB1469" s="17"/>
      <c r="CC1469" s="17"/>
      <c r="CD1469" s="17"/>
      <c r="CE1469" s="17"/>
      <c r="CF1469" s="17"/>
      <c r="CG1469" s="17"/>
      <c r="CH1469" s="17"/>
    </row>
    <row r="1470" spans="35:86" x14ac:dyDescent="0.15">
      <c r="AI1470" s="3"/>
      <c r="AJ1470" s="3"/>
      <c r="AK1470" s="15">
        <f t="shared" si="488"/>
        <v>6</v>
      </c>
      <c r="AL1470" s="11">
        <f t="shared" si="494"/>
        <v>8766</v>
      </c>
      <c r="AM1470" s="11" t="b">
        <f t="shared" si="487"/>
        <v>0</v>
      </c>
      <c r="AN1470" s="11">
        <f t="shared" si="489"/>
        <v>36000</v>
      </c>
      <c r="AO1470" s="11">
        <f t="shared" si="490"/>
        <v>0</v>
      </c>
      <c r="AP1470" s="11">
        <f t="shared" si="491"/>
        <v>0.59338318163806014</v>
      </c>
      <c r="AQ1470" s="11">
        <f t="shared" si="492"/>
        <v>0</v>
      </c>
      <c r="AT1470" s="3"/>
      <c r="AU1470" s="17"/>
      <c r="AV1470" s="19"/>
      <c r="AW1470" s="17"/>
      <c r="AX1470" s="17">
        <f t="shared" si="495"/>
        <v>1461</v>
      </c>
      <c r="AY1470" s="17">
        <f t="shared" si="493"/>
        <v>146.1</v>
      </c>
      <c r="AZ1470" s="17">
        <v>59.338318163806015</v>
      </c>
      <c r="BA1470" s="17"/>
      <c r="BB1470" s="17">
        <v>36</v>
      </c>
      <c r="BC1470" s="17"/>
      <c r="BD1470" s="17"/>
      <c r="BE1470" s="17"/>
      <c r="BF1470" s="17"/>
      <c r="BG1470" s="17"/>
      <c r="BH1470" s="17"/>
      <c r="BI1470" s="17"/>
      <c r="BJ1470" s="17"/>
      <c r="BK1470" s="17"/>
      <c r="BL1470" s="17"/>
      <c r="BM1470" s="17"/>
      <c r="BN1470" s="17"/>
      <c r="BO1470" s="17"/>
      <c r="BP1470" s="17"/>
      <c r="BQ1470" s="17"/>
      <c r="BR1470" s="17"/>
      <c r="BS1470" s="17"/>
      <c r="BT1470" s="17"/>
      <c r="BU1470" s="17"/>
      <c r="BV1470" s="17"/>
      <c r="BW1470" s="17"/>
      <c r="BX1470" s="17"/>
      <c r="BY1470" s="17"/>
      <c r="BZ1470" s="17"/>
      <c r="CA1470" s="17"/>
      <c r="CB1470" s="17"/>
      <c r="CC1470" s="17"/>
      <c r="CD1470" s="17"/>
      <c r="CE1470" s="17"/>
      <c r="CF1470" s="17"/>
      <c r="CG1470" s="17"/>
      <c r="CH1470" s="17"/>
    </row>
    <row r="1471" spans="35:86" x14ac:dyDescent="0.15">
      <c r="AI1471" s="3"/>
      <c r="AJ1471" s="3"/>
      <c r="AK1471" s="15">
        <f t="shared" si="488"/>
        <v>6</v>
      </c>
      <c r="AL1471" s="11">
        <f t="shared" si="494"/>
        <v>8772</v>
      </c>
      <c r="AM1471" s="11" t="b">
        <f t="shared" si="487"/>
        <v>0</v>
      </c>
      <c r="AN1471" s="11">
        <f t="shared" si="489"/>
        <v>36000</v>
      </c>
      <c r="AO1471" s="11">
        <f t="shared" si="490"/>
        <v>0</v>
      </c>
      <c r="AP1471" s="11">
        <f t="shared" si="491"/>
        <v>0.59448549645287496</v>
      </c>
      <c r="AQ1471" s="11">
        <f t="shared" si="492"/>
        <v>0</v>
      </c>
      <c r="AT1471" s="3"/>
      <c r="AU1471" s="17"/>
      <c r="AV1471" s="19"/>
      <c r="AW1471" s="17"/>
      <c r="AX1471" s="17">
        <f t="shared" si="495"/>
        <v>1462</v>
      </c>
      <c r="AY1471" s="17">
        <f t="shared" si="493"/>
        <v>146.19999999999999</v>
      </c>
      <c r="AZ1471" s="17">
        <v>59.4485496452875</v>
      </c>
      <c r="BA1471" s="17"/>
      <c r="BB1471" s="17">
        <v>36</v>
      </c>
      <c r="BC1471" s="17"/>
      <c r="BD1471" s="17"/>
      <c r="BE1471" s="17"/>
      <c r="BF1471" s="17"/>
      <c r="BG1471" s="17"/>
      <c r="BH1471" s="17"/>
      <c r="BI1471" s="17"/>
      <c r="BJ1471" s="17"/>
      <c r="BK1471" s="17"/>
      <c r="BL1471" s="17"/>
      <c r="BM1471" s="17"/>
      <c r="BN1471" s="17"/>
      <c r="BO1471" s="17"/>
      <c r="BP1471" s="17"/>
      <c r="BQ1471" s="17"/>
      <c r="BR1471" s="17"/>
      <c r="BS1471" s="17"/>
      <c r="BT1471" s="17"/>
      <c r="BU1471" s="17"/>
      <c r="BV1471" s="17"/>
      <c r="BW1471" s="17"/>
      <c r="BX1471" s="17"/>
      <c r="BY1471" s="17"/>
      <c r="BZ1471" s="17"/>
      <c r="CA1471" s="17"/>
      <c r="CB1471" s="17"/>
      <c r="CC1471" s="17"/>
      <c r="CD1471" s="17"/>
      <c r="CE1471" s="17"/>
      <c r="CF1471" s="17"/>
      <c r="CG1471" s="17"/>
      <c r="CH1471" s="17"/>
    </row>
    <row r="1472" spans="35:86" x14ac:dyDescent="0.15">
      <c r="AI1472" s="3"/>
      <c r="AJ1472" s="3"/>
      <c r="AK1472" s="15">
        <f t="shared" si="488"/>
        <v>6</v>
      </c>
      <c r="AL1472" s="11">
        <f t="shared" si="494"/>
        <v>8778</v>
      </c>
      <c r="AM1472" s="11" t="b">
        <f t="shared" si="487"/>
        <v>0</v>
      </c>
      <c r="AN1472" s="11">
        <f t="shared" si="489"/>
        <v>36000</v>
      </c>
      <c r="AO1472" s="11">
        <f t="shared" si="490"/>
        <v>0</v>
      </c>
      <c r="AP1472" s="11">
        <f t="shared" si="491"/>
        <v>0.59558781126768978</v>
      </c>
      <c r="AQ1472" s="11">
        <f t="shared" si="492"/>
        <v>0</v>
      </c>
      <c r="AT1472" s="3"/>
      <c r="AU1472" s="17"/>
      <c r="AV1472" s="19"/>
      <c r="AW1472" s="17"/>
      <c r="AX1472" s="17">
        <f t="shared" si="495"/>
        <v>1463</v>
      </c>
      <c r="AY1472" s="17">
        <f t="shared" si="493"/>
        <v>146.30000000000001</v>
      </c>
      <c r="AZ1472" s="17">
        <v>59.558781126768977</v>
      </c>
      <c r="BA1472" s="17"/>
      <c r="BB1472" s="17">
        <v>36</v>
      </c>
      <c r="BC1472" s="17"/>
      <c r="BD1472" s="17"/>
      <c r="BE1472" s="17"/>
      <c r="BF1472" s="17"/>
      <c r="BG1472" s="17"/>
      <c r="BH1472" s="17"/>
      <c r="BI1472" s="17"/>
      <c r="BJ1472" s="17"/>
      <c r="BK1472" s="17"/>
      <c r="BL1472" s="17"/>
      <c r="BM1472" s="17"/>
      <c r="BN1472" s="17"/>
      <c r="BO1472" s="17"/>
      <c r="BP1472" s="17"/>
      <c r="BQ1472" s="17"/>
      <c r="BR1472" s="17"/>
      <c r="BS1472" s="17"/>
      <c r="BT1472" s="17"/>
      <c r="BU1472" s="17"/>
      <c r="BV1472" s="17"/>
      <c r="BW1472" s="17"/>
      <c r="BX1472" s="17"/>
      <c r="BY1472" s="17"/>
      <c r="BZ1472" s="17"/>
      <c r="CA1472" s="17"/>
      <c r="CB1472" s="17"/>
      <c r="CC1472" s="17"/>
      <c r="CD1472" s="17"/>
      <c r="CE1472" s="17"/>
      <c r="CF1472" s="17"/>
      <c r="CG1472" s="17"/>
      <c r="CH1472" s="17"/>
    </row>
    <row r="1473" spans="35:86" x14ac:dyDescent="0.15">
      <c r="AI1473" s="3"/>
      <c r="AJ1473" s="3"/>
      <c r="AK1473" s="15">
        <f t="shared" si="488"/>
        <v>6</v>
      </c>
      <c r="AL1473" s="11">
        <f t="shared" si="494"/>
        <v>8784</v>
      </c>
      <c r="AM1473" s="11" t="b">
        <f t="shared" si="487"/>
        <v>0</v>
      </c>
      <c r="AN1473" s="11">
        <f t="shared" si="489"/>
        <v>36000</v>
      </c>
      <c r="AO1473" s="11">
        <f t="shared" si="490"/>
        <v>0</v>
      </c>
      <c r="AP1473" s="11">
        <f t="shared" si="491"/>
        <v>0.5966901260825046</v>
      </c>
      <c r="AQ1473" s="11">
        <f t="shared" si="492"/>
        <v>0</v>
      </c>
      <c r="AT1473" s="3"/>
      <c r="AU1473" s="17"/>
      <c r="AV1473" s="19"/>
      <c r="AW1473" s="17"/>
      <c r="AX1473" s="17">
        <f t="shared" si="495"/>
        <v>1464</v>
      </c>
      <c r="AY1473" s="17">
        <f t="shared" si="493"/>
        <v>146.4</v>
      </c>
      <c r="AZ1473" s="17">
        <v>59.669012608250462</v>
      </c>
      <c r="BA1473" s="17"/>
      <c r="BB1473" s="17">
        <v>36</v>
      </c>
      <c r="BC1473" s="17"/>
      <c r="BD1473" s="17"/>
      <c r="BE1473" s="17"/>
      <c r="BF1473" s="17"/>
      <c r="BG1473" s="17"/>
      <c r="BH1473" s="17"/>
      <c r="BI1473" s="17"/>
      <c r="BJ1473" s="17"/>
      <c r="BK1473" s="17"/>
      <c r="BL1473" s="17"/>
      <c r="BM1473" s="17"/>
      <c r="BN1473" s="17"/>
      <c r="BO1473" s="17"/>
      <c r="BP1473" s="17"/>
      <c r="BQ1473" s="17"/>
      <c r="BR1473" s="17"/>
      <c r="BS1473" s="17"/>
      <c r="BT1473" s="17"/>
      <c r="BU1473" s="17"/>
      <c r="BV1473" s="17"/>
      <c r="BW1473" s="17"/>
      <c r="BX1473" s="17"/>
      <c r="BY1473" s="17"/>
      <c r="BZ1473" s="17"/>
      <c r="CA1473" s="17"/>
      <c r="CB1473" s="17"/>
      <c r="CC1473" s="17"/>
      <c r="CD1473" s="17"/>
      <c r="CE1473" s="17"/>
      <c r="CF1473" s="17"/>
      <c r="CG1473" s="17"/>
      <c r="CH1473" s="17"/>
    </row>
    <row r="1474" spans="35:86" x14ac:dyDescent="0.15">
      <c r="AI1474" s="3"/>
      <c r="AJ1474" s="3"/>
      <c r="AK1474" s="15">
        <f t="shared" si="488"/>
        <v>6</v>
      </c>
      <c r="AL1474" s="11">
        <f t="shared" si="494"/>
        <v>8790</v>
      </c>
      <c r="AM1474" s="11" t="b">
        <f t="shared" si="487"/>
        <v>0</v>
      </c>
      <c r="AN1474" s="11">
        <f t="shared" si="489"/>
        <v>36000</v>
      </c>
      <c r="AO1474" s="11">
        <f t="shared" si="490"/>
        <v>0</v>
      </c>
      <c r="AP1474" s="11">
        <f t="shared" si="491"/>
        <v>0.59779244089731942</v>
      </c>
      <c r="AQ1474" s="11">
        <f t="shared" si="492"/>
        <v>0</v>
      </c>
      <c r="AT1474" s="3"/>
      <c r="AU1474" s="17"/>
      <c r="AV1474" s="19"/>
      <c r="AW1474" s="17"/>
      <c r="AX1474" s="17">
        <f t="shared" si="495"/>
        <v>1465</v>
      </c>
      <c r="AY1474" s="17">
        <f t="shared" si="493"/>
        <v>146.5</v>
      </c>
      <c r="AZ1474" s="17">
        <v>59.779244089731939</v>
      </c>
      <c r="BA1474" s="17"/>
      <c r="BB1474" s="17">
        <v>36</v>
      </c>
      <c r="BC1474" s="17"/>
      <c r="BD1474" s="17"/>
      <c r="BE1474" s="17"/>
      <c r="BF1474" s="17"/>
      <c r="BG1474" s="17"/>
      <c r="BH1474" s="17"/>
      <c r="BI1474" s="17"/>
      <c r="BJ1474" s="17"/>
      <c r="BK1474" s="17"/>
      <c r="BL1474" s="17"/>
      <c r="BM1474" s="17"/>
      <c r="BN1474" s="17"/>
      <c r="BO1474" s="17"/>
      <c r="BP1474" s="17"/>
      <c r="BQ1474" s="17"/>
      <c r="BR1474" s="17"/>
      <c r="BS1474" s="17"/>
      <c r="BT1474" s="17"/>
      <c r="BU1474" s="17"/>
      <c r="BV1474" s="17"/>
      <c r="BW1474" s="17"/>
      <c r="BX1474" s="17"/>
      <c r="BY1474" s="17"/>
      <c r="BZ1474" s="17"/>
      <c r="CA1474" s="17"/>
      <c r="CB1474" s="17"/>
      <c r="CC1474" s="17"/>
      <c r="CD1474" s="17"/>
      <c r="CE1474" s="17"/>
      <c r="CF1474" s="17"/>
      <c r="CG1474" s="17"/>
      <c r="CH1474" s="17"/>
    </row>
    <row r="1475" spans="35:86" x14ac:dyDescent="0.15">
      <c r="AI1475" s="3"/>
      <c r="AJ1475" s="3"/>
      <c r="AK1475" s="15">
        <f t="shared" si="488"/>
        <v>6</v>
      </c>
      <c r="AL1475" s="11">
        <f t="shared" si="494"/>
        <v>8796</v>
      </c>
      <c r="AM1475" s="11" t="b">
        <f t="shared" si="487"/>
        <v>0</v>
      </c>
      <c r="AN1475" s="11">
        <f t="shared" si="489"/>
        <v>36000</v>
      </c>
      <c r="AO1475" s="11">
        <f t="shared" si="490"/>
        <v>0</v>
      </c>
      <c r="AP1475" s="11">
        <f t="shared" si="491"/>
        <v>0.59889475571213435</v>
      </c>
      <c r="AQ1475" s="11">
        <f t="shared" si="492"/>
        <v>0</v>
      </c>
      <c r="AT1475" s="3"/>
      <c r="AU1475" s="17"/>
      <c r="AV1475" s="19"/>
      <c r="AW1475" s="17"/>
      <c r="AX1475" s="17">
        <f t="shared" si="495"/>
        <v>1466</v>
      </c>
      <c r="AY1475" s="17">
        <f t="shared" si="493"/>
        <v>146.6</v>
      </c>
      <c r="AZ1475" s="17">
        <v>59.889475571213438</v>
      </c>
      <c r="BA1475" s="17"/>
      <c r="BB1475" s="17">
        <v>36</v>
      </c>
      <c r="BC1475" s="17"/>
      <c r="BD1475" s="17"/>
      <c r="BE1475" s="17"/>
      <c r="BF1475" s="17"/>
      <c r="BG1475" s="17"/>
      <c r="BH1475" s="17"/>
      <c r="BI1475" s="17"/>
      <c r="BJ1475" s="17"/>
      <c r="BK1475" s="17"/>
      <c r="BL1475" s="17"/>
      <c r="BM1475" s="17"/>
      <c r="BN1475" s="17"/>
      <c r="BO1475" s="17"/>
      <c r="BP1475" s="17"/>
      <c r="BQ1475" s="17"/>
      <c r="BR1475" s="17"/>
      <c r="BS1475" s="17"/>
      <c r="BT1475" s="17"/>
      <c r="BU1475" s="17"/>
      <c r="BV1475" s="17"/>
      <c r="BW1475" s="17"/>
      <c r="BX1475" s="17"/>
      <c r="BY1475" s="17"/>
      <c r="BZ1475" s="17"/>
      <c r="CA1475" s="17"/>
      <c r="CB1475" s="17"/>
      <c r="CC1475" s="17"/>
      <c r="CD1475" s="17"/>
      <c r="CE1475" s="17"/>
      <c r="CF1475" s="17"/>
      <c r="CG1475" s="17"/>
      <c r="CH1475" s="17"/>
    </row>
    <row r="1476" spans="35:86" x14ac:dyDescent="0.15">
      <c r="AI1476" s="3"/>
      <c r="AJ1476" s="3"/>
      <c r="AK1476" s="15">
        <f t="shared" si="488"/>
        <v>6</v>
      </c>
      <c r="AL1476" s="11">
        <f t="shared" si="494"/>
        <v>8802</v>
      </c>
      <c r="AM1476" s="11" t="b">
        <f t="shared" si="487"/>
        <v>0</v>
      </c>
      <c r="AN1476" s="11">
        <f t="shared" si="489"/>
        <v>36000</v>
      </c>
      <c r="AO1476" s="11">
        <f t="shared" si="490"/>
        <v>0</v>
      </c>
      <c r="AP1476" s="11">
        <f t="shared" si="491"/>
        <v>0.59999707052694917</v>
      </c>
      <c r="AQ1476" s="11">
        <f t="shared" si="492"/>
        <v>0</v>
      </c>
      <c r="AT1476" s="3"/>
      <c r="AU1476" s="17"/>
      <c r="AV1476" s="19"/>
      <c r="AW1476" s="17"/>
      <c r="AX1476" s="17">
        <f t="shared" si="495"/>
        <v>1467</v>
      </c>
      <c r="AY1476" s="17">
        <f t="shared" si="493"/>
        <v>146.69999999999999</v>
      </c>
      <c r="AZ1476" s="17">
        <v>59.999707052694916</v>
      </c>
      <c r="BA1476" s="17"/>
      <c r="BB1476" s="17">
        <v>36</v>
      </c>
      <c r="BC1476" s="17"/>
      <c r="BD1476" s="17"/>
      <c r="BE1476" s="17"/>
      <c r="BF1476" s="17"/>
      <c r="BG1476" s="17"/>
      <c r="BH1476" s="17"/>
      <c r="BI1476" s="17"/>
      <c r="BJ1476" s="17"/>
      <c r="BK1476" s="17"/>
      <c r="BL1476" s="17"/>
      <c r="BM1476" s="17"/>
      <c r="BN1476" s="17"/>
      <c r="BO1476" s="17"/>
      <c r="BP1476" s="17"/>
      <c r="BQ1476" s="17"/>
      <c r="BR1476" s="17"/>
      <c r="BS1476" s="17"/>
      <c r="BT1476" s="17"/>
      <c r="BU1476" s="17"/>
      <c r="BV1476" s="17"/>
      <c r="BW1476" s="17"/>
      <c r="BX1476" s="17"/>
      <c r="BY1476" s="17"/>
      <c r="BZ1476" s="17"/>
      <c r="CA1476" s="17"/>
      <c r="CB1476" s="17"/>
      <c r="CC1476" s="17"/>
      <c r="CD1476" s="17"/>
      <c r="CE1476" s="17"/>
      <c r="CF1476" s="17"/>
      <c r="CG1476" s="17"/>
      <c r="CH1476" s="17"/>
    </row>
    <row r="1477" spans="35:86" x14ac:dyDescent="0.15">
      <c r="AI1477" s="3"/>
      <c r="AJ1477" s="3"/>
      <c r="AK1477" s="15">
        <f t="shared" si="488"/>
        <v>6</v>
      </c>
      <c r="AL1477" s="11">
        <f t="shared" si="494"/>
        <v>8808</v>
      </c>
      <c r="AM1477" s="11" t="b">
        <f t="shared" si="487"/>
        <v>0</v>
      </c>
      <c r="AN1477" s="11">
        <f t="shared" si="489"/>
        <v>36000</v>
      </c>
      <c r="AO1477" s="11">
        <f t="shared" si="490"/>
        <v>0</v>
      </c>
      <c r="AP1477" s="11">
        <f t="shared" si="491"/>
        <v>0.60109938534176399</v>
      </c>
      <c r="AQ1477" s="11">
        <f t="shared" si="492"/>
        <v>0</v>
      </c>
      <c r="AT1477" s="3"/>
      <c r="AU1477" s="17"/>
      <c r="AV1477" s="19"/>
      <c r="AW1477" s="17"/>
      <c r="AX1477" s="17">
        <f t="shared" si="495"/>
        <v>1468</v>
      </c>
      <c r="AY1477" s="17">
        <f t="shared" si="493"/>
        <v>146.80000000000001</v>
      </c>
      <c r="AZ1477" s="17">
        <v>60.109938534176401</v>
      </c>
      <c r="BA1477" s="17"/>
      <c r="BB1477" s="17">
        <v>36</v>
      </c>
      <c r="BC1477" s="17"/>
      <c r="BD1477" s="17"/>
      <c r="BE1477" s="17"/>
      <c r="BF1477" s="17"/>
      <c r="BG1477" s="17"/>
      <c r="BH1477" s="17"/>
      <c r="BI1477" s="17"/>
      <c r="BJ1477" s="17"/>
      <c r="BK1477" s="17"/>
      <c r="BL1477" s="17"/>
      <c r="BM1477" s="17"/>
      <c r="BN1477" s="17"/>
      <c r="BO1477" s="17"/>
      <c r="BP1477" s="17"/>
      <c r="BQ1477" s="17"/>
      <c r="BR1477" s="17"/>
      <c r="BS1477" s="17"/>
      <c r="BT1477" s="17"/>
      <c r="BU1477" s="17"/>
      <c r="BV1477" s="17"/>
      <c r="BW1477" s="17"/>
      <c r="BX1477" s="17"/>
      <c r="BY1477" s="17"/>
      <c r="BZ1477" s="17"/>
      <c r="CA1477" s="17"/>
      <c r="CB1477" s="17"/>
      <c r="CC1477" s="17"/>
      <c r="CD1477" s="17"/>
      <c r="CE1477" s="17"/>
      <c r="CF1477" s="17"/>
      <c r="CG1477" s="17"/>
      <c r="CH1477" s="17"/>
    </row>
    <row r="1478" spans="35:86" x14ac:dyDescent="0.15">
      <c r="AI1478" s="3"/>
      <c r="AJ1478" s="3"/>
      <c r="AK1478" s="15">
        <f t="shared" si="488"/>
        <v>6</v>
      </c>
      <c r="AL1478" s="11">
        <f t="shared" si="494"/>
        <v>8814</v>
      </c>
      <c r="AM1478" s="11" t="b">
        <f t="shared" si="487"/>
        <v>0</v>
      </c>
      <c r="AN1478" s="11">
        <f t="shared" si="489"/>
        <v>36000</v>
      </c>
      <c r="AO1478" s="11">
        <f t="shared" si="490"/>
        <v>0</v>
      </c>
      <c r="AP1478" s="11">
        <f t="shared" si="491"/>
        <v>0.60220170015657881</v>
      </c>
      <c r="AQ1478" s="11">
        <f t="shared" si="492"/>
        <v>0</v>
      </c>
      <c r="AT1478" s="3"/>
      <c r="AU1478" s="17"/>
      <c r="AV1478" s="19"/>
      <c r="AW1478" s="17"/>
      <c r="AX1478" s="17">
        <f t="shared" si="495"/>
        <v>1469</v>
      </c>
      <c r="AY1478" s="17">
        <f t="shared" si="493"/>
        <v>146.9</v>
      </c>
      <c r="AZ1478" s="17">
        <v>60.220170015657878</v>
      </c>
      <c r="BA1478" s="17"/>
      <c r="BB1478" s="17">
        <v>36</v>
      </c>
      <c r="BC1478" s="17"/>
      <c r="BD1478" s="17"/>
      <c r="BE1478" s="17"/>
      <c r="BF1478" s="17"/>
      <c r="BG1478" s="17"/>
      <c r="BH1478" s="17"/>
      <c r="BI1478" s="17"/>
      <c r="BJ1478" s="17"/>
      <c r="BK1478" s="17"/>
      <c r="BL1478" s="17"/>
      <c r="BM1478" s="17"/>
      <c r="BN1478" s="17"/>
      <c r="BO1478" s="17"/>
      <c r="BP1478" s="17"/>
      <c r="BQ1478" s="17"/>
      <c r="BR1478" s="17"/>
      <c r="BS1478" s="17"/>
      <c r="BT1478" s="17"/>
      <c r="BU1478" s="17"/>
      <c r="BV1478" s="17"/>
      <c r="BW1478" s="17"/>
      <c r="BX1478" s="17"/>
      <c r="BY1478" s="17"/>
      <c r="BZ1478" s="17"/>
      <c r="CA1478" s="17"/>
      <c r="CB1478" s="17"/>
      <c r="CC1478" s="17"/>
      <c r="CD1478" s="17"/>
      <c r="CE1478" s="17"/>
      <c r="CF1478" s="17"/>
      <c r="CG1478" s="17"/>
      <c r="CH1478" s="17"/>
    </row>
    <row r="1479" spans="35:86" x14ac:dyDescent="0.15">
      <c r="AI1479" s="3"/>
      <c r="AJ1479" s="3"/>
      <c r="AK1479" s="15">
        <f t="shared" si="488"/>
        <v>6</v>
      </c>
      <c r="AL1479" s="11">
        <f t="shared" si="494"/>
        <v>8820</v>
      </c>
      <c r="AM1479" s="11" t="b">
        <f t="shared" si="487"/>
        <v>0</v>
      </c>
      <c r="AN1479" s="11">
        <f t="shared" si="489"/>
        <v>36000</v>
      </c>
      <c r="AO1479" s="11">
        <f t="shared" si="490"/>
        <v>0</v>
      </c>
      <c r="AP1479" s="11">
        <f t="shared" si="491"/>
        <v>0.60330401497139363</v>
      </c>
      <c r="AQ1479" s="11">
        <f t="shared" si="492"/>
        <v>0</v>
      </c>
      <c r="AT1479" s="3"/>
      <c r="AU1479" s="17"/>
      <c r="AV1479" s="19"/>
      <c r="AW1479" s="17"/>
      <c r="AX1479" s="17">
        <f t="shared" si="495"/>
        <v>1470</v>
      </c>
      <c r="AY1479" s="17">
        <f t="shared" si="493"/>
        <v>147</v>
      </c>
      <c r="AZ1479" s="17">
        <v>60.330401497139363</v>
      </c>
      <c r="BA1479" s="17"/>
      <c r="BB1479" s="17">
        <v>36</v>
      </c>
      <c r="BC1479" s="17"/>
      <c r="BD1479" s="17"/>
      <c r="BE1479" s="17"/>
      <c r="BF1479" s="17"/>
      <c r="BG1479" s="17"/>
      <c r="BH1479" s="17"/>
      <c r="BI1479" s="17"/>
      <c r="BJ1479" s="17"/>
      <c r="BK1479" s="17"/>
      <c r="BL1479" s="17"/>
      <c r="BM1479" s="17"/>
      <c r="BN1479" s="17"/>
      <c r="BO1479" s="17"/>
      <c r="BP1479" s="17"/>
      <c r="BQ1479" s="17"/>
      <c r="BR1479" s="17"/>
      <c r="BS1479" s="17"/>
      <c r="BT1479" s="17"/>
      <c r="BU1479" s="17"/>
      <c r="BV1479" s="17"/>
      <c r="BW1479" s="17"/>
      <c r="BX1479" s="17"/>
      <c r="BY1479" s="17"/>
      <c r="BZ1479" s="17"/>
      <c r="CA1479" s="17"/>
      <c r="CB1479" s="17"/>
      <c r="CC1479" s="17"/>
      <c r="CD1479" s="17"/>
      <c r="CE1479" s="17"/>
      <c r="CF1479" s="17"/>
      <c r="CG1479" s="17"/>
      <c r="CH1479" s="17"/>
    </row>
    <row r="1480" spans="35:86" x14ac:dyDescent="0.15">
      <c r="AI1480" s="3"/>
      <c r="AJ1480" s="3"/>
      <c r="AK1480" s="15">
        <f t="shared" si="488"/>
        <v>6</v>
      </c>
      <c r="AL1480" s="11">
        <f t="shared" si="494"/>
        <v>8826</v>
      </c>
      <c r="AM1480" s="11" t="b">
        <f t="shared" si="487"/>
        <v>0</v>
      </c>
      <c r="AN1480" s="11">
        <f t="shared" si="489"/>
        <v>36000</v>
      </c>
      <c r="AO1480" s="11">
        <f t="shared" si="490"/>
        <v>0</v>
      </c>
      <c r="AP1480" s="11">
        <f t="shared" si="491"/>
        <v>0.60440632978620856</v>
      </c>
      <c r="AQ1480" s="11">
        <f t="shared" si="492"/>
        <v>0</v>
      </c>
      <c r="AT1480" s="3"/>
      <c r="AU1480" s="17"/>
      <c r="AV1480" s="19"/>
      <c r="AW1480" s="17"/>
      <c r="AX1480" s="17">
        <f t="shared" si="495"/>
        <v>1471</v>
      </c>
      <c r="AY1480" s="17">
        <f t="shared" si="493"/>
        <v>147.1</v>
      </c>
      <c r="AZ1480" s="17">
        <v>60.440632978620854</v>
      </c>
      <c r="BA1480" s="17"/>
      <c r="BB1480" s="17">
        <v>36</v>
      </c>
      <c r="BC1480" s="17"/>
      <c r="BD1480" s="17"/>
      <c r="BE1480" s="17"/>
      <c r="BF1480" s="17"/>
      <c r="BG1480" s="17"/>
      <c r="BH1480" s="17"/>
      <c r="BI1480" s="17"/>
      <c r="BJ1480" s="17"/>
      <c r="BK1480" s="17"/>
      <c r="BL1480" s="17"/>
      <c r="BM1480" s="17"/>
      <c r="BN1480" s="17"/>
      <c r="BO1480" s="17"/>
      <c r="BP1480" s="17"/>
      <c r="BQ1480" s="17"/>
      <c r="BR1480" s="17"/>
      <c r="BS1480" s="17"/>
      <c r="BT1480" s="17"/>
      <c r="BU1480" s="17"/>
      <c r="BV1480" s="17"/>
      <c r="BW1480" s="17"/>
      <c r="BX1480" s="17"/>
      <c r="BY1480" s="17"/>
      <c r="BZ1480" s="17"/>
      <c r="CA1480" s="17"/>
      <c r="CB1480" s="17"/>
      <c r="CC1480" s="17"/>
      <c r="CD1480" s="17"/>
      <c r="CE1480" s="17"/>
      <c r="CF1480" s="17"/>
      <c r="CG1480" s="17"/>
      <c r="CH1480" s="17"/>
    </row>
    <row r="1481" spans="35:86" x14ac:dyDescent="0.15">
      <c r="AI1481" s="3"/>
      <c r="AJ1481" s="3"/>
      <c r="AK1481" s="15">
        <f t="shared" si="488"/>
        <v>6</v>
      </c>
      <c r="AL1481" s="11">
        <f t="shared" si="494"/>
        <v>8832</v>
      </c>
      <c r="AM1481" s="11" t="b">
        <f t="shared" ref="AM1481:AM1544" si="496">OR(AND(AL1481&gt;=$AC$5,AL1481&lt;=$AD$5),AND(AL1481&gt;=$AC$6,AL1481&lt;=$AD$6),AND(AL1481&gt;=$AC$7,AL1481&lt;=$AD$7),AND(AL1481&gt;=$AC$8,AL1481&lt;=$AD$8),AND(AL1481&gt;=$AC$9,AL1481&lt;=$AD$9),AND(AL1481&gt;=$AC$10,AL1481&lt;=$AD$10),AND(AL1481&gt;=$AC$11,AL1481&lt;=$AD$11),AND($AD$11&lt;$AC$11,OR(AL1481&lt;$AD$11,AL1481&gt;$AC$11)))</f>
        <v>0</v>
      </c>
      <c r="AN1481" s="11">
        <f t="shared" si="489"/>
        <v>36000</v>
      </c>
      <c r="AO1481" s="11">
        <f t="shared" si="490"/>
        <v>0</v>
      </c>
      <c r="AP1481" s="11">
        <f t="shared" si="491"/>
        <v>0.60550864460102338</v>
      </c>
      <c r="AQ1481" s="11">
        <f t="shared" si="492"/>
        <v>0</v>
      </c>
      <c r="AT1481" s="3"/>
      <c r="AU1481" s="17"/>
      <c r="AV1481" s="19"/>
      <c r="AW1481" s="17"/>
      <c r="AX1481" s="17">
        <f t="shared" si="495"/>
        <v>1472</v>
      </c>
      <c r="AY1481" s="17">
        <f t="shared" si="493"/>
        <v>147.19999999999999</v>
      </c>
      <c r="AZ1481" s="17">
        <v>60.550864460102339</v>
      </c>
      <c r="BA1481" s="17"/>
      <c r="BB1481" s="17">
        <v>36</v>
      </c>
      <c r="BC1481" s="17"/>
      <c r="BD1481" s="17"/>
      <c r="BE1481" s="17"/>
      <c r="BF1481" s="17"/>
      <c r="BG1481" s="17"/>
      <c r="BH1481" s="17"/>
      <c r="BI1481" s="17"/>
      <c r="BJ1481" s="17"/>
      <c r="BK1481" s="17"/>
      <c r="BL1481" s="17"/>
      <c r="BM1481" s="17"/>
      <c r="BN1481" s="17"/>
      <c r="BO1481" s="17"/>
      <c r="BP1481" s="17"/>
      <c r="BQ1481" s="17"/>
      <c r="BR1481" s="17"/>
      <c r="BS1481" s="17"/>
      <c r="BT1481" s="17"/>
      <c r="BU1481" s="17"/>
      <c r="BV1481" s="17"/>
      <c r="BW1481" s="17"/>
      <c r="BX1481" s="17"/>
      <c r="BY1481" s="17"/>
      <c r="BZ1481" s="17"/>
      <c r="CA1481" s="17"/>
      <c r="CB1481" s="17"/>
      <c r="CC1481" s="17"/>
      <c r="CD1481" s="17"/>
      <c r="CE1481" s="17"/>
      <c r="CF1481" s="17"/>
      <c r="CG1481" s="17"/>
      <c r="CH1481" s="17"/>
    </row>
    <row r="1482" spans="35:86" x14ac:dyDescent="0.15">
      <c r="AI1482" s="3"/>
      <c r="AJ1482" s="3"/>
      <c r="AK1482" s="15">
        <f t="shared" ref="AK1482:AK1545" si="497">1+INT(MOD(AL1482/60/24-0.5,7))</f>
        <v>6</v>
      </c>
      <c r="AL1482" s="11">
        <f t="shared" si="494"/>
        <v>8838</v>
      </c>
      <c r="AM1482" s="11" t="b">
        <f t="shared" si="496"/>
        <v>0</v>
      </c>
      <c r="AN1482" s="11">
        <f t="shared" ref="AN1482:AN1545" si="498">IF(AND(AM1482,NOT(AM1483)),$AB$26,AN1481+($AB$28-IF(AND(AM1481,AM1482),CHOOSE(AK1482,$AG$5,$AG$6,$AG$7,$AG$8,$AG$9,$AG$10,$AG$11)*$AA$22/$AA$24,0))*$AB$15)</f>
        <v>36000</v>
      </c>
      <c r="AO1482" s="11">
        <f t="shared" ref="AO1482:AO1545" si="499">IF(AND(AM1482,NOT(AM1483)),$AB$27,AO1481+($AB$29-IF(AND(AM1481,AM1482),CHOOSE(AK1482,$AG$5,$AG$6,$AG$7,$AG$8,$AG$9,$AG$10,$AG$11)*$AA$23/$AA$24,0))*$AB$15)</f>
        <v>0</v>
      </c>
      <c r="AP1482" s="11">
        <f t="shared" ref="AP1482:AP1545" si="500">IF(AN1481&lt;=0,0,(AP1481*AN1481-(IF(AND(AM1481,AM1482),CHOOSE(AK1482,$AI$5,$AI$6,$AI$7,$AI$8,$AI$9,$AI$10,$AI$11),$AA$37))*AP1481*$AB$15+$AA$34*(AQ1481-AP1481)*$AB$15+$AA$33*$AB$15)/AN1481)</f>
        <v>0.6066109594158382</v>
      </c>
      <c r="AQ1482" s="11">
        <f t="shared" si="492"/>
        <v>0</v>
      </c>
      <c r="AT1482" s="3"/>
      <c r="AU1482" s="17"/>
      <c r="AV1482" s="19"/>
      <c r="AW1482" s="17"/>
      <c r="AX1482" s="17">
        <f t="shared" si="495"/>
        <v>1473</v>
      </c>
      <c r="AY1482" s="17">
        <f t="shared" si="493"/>
        <v>147.30000000000001</v>
      </c>
      <c r="AZ1482" s="17">
        <v>60.661095941583824</v>
      </c>
      <c r="BA1482" s="17"/>
      <c r="BB1482" s="17">
        <v>36</v>
      </c>
      <c r="BC1482" s="17"/>
      <c r="BD1482" s="17"/>
      <c r="BE1482" s="17"/>
      <c r="BF1482" s="17"/>
      <c r="BG1482" s="17"/>
      <c r="BH1482" s="17"/>
      <c r="BI1482" s="17"/>
      <c r="BJ1482" s="17"/>
      <c r="BK1482" s="17"/>
      <c r="BL1482" s="17"/>
      <c r="BM1482" s="17"/>
      <c r="BN1482" s="17"/>
      <c r="BO1482" s="17"/>
      <c r="BP1482" s="17"/>
      <c r="BQ1482" s="17"/>
      <c r="BR1482" s="17"/>
      <c r="BS1482" s="17"/>
      <c r="BT1482" s="17"/>
      <c r="BU1482" s="17"/>
      <c r="BV1482" s="17"/>
      <c r="BW1482" s="17"/>
      <c r="BX1482" s="17"/>
      <c r="BY1482" s="17"/>
      <c r="BZ1482" s="17"/>
      <c r="CA1482" s="17"/>
      <c r="CB1482" s="17"/>
      <c r="CC1482" s="17"/>
      <c r="CD1482" s="17"/>
      <c r="CE1482" s="17"/>
      <c r="CF1482" s="17"/>
      <c r="CG1482" s="17"/>
      <c r="CH1482" s="17"/>
    </row>
    <row r="1483" spans="35:86" x14ac:dyDescent="0.15">
      <c r="AI1483" s="3"/>
      <c r="AJ1483" s="3"/>
      <c r="AK1483" s="15">
        <f t="shared" si="497"/>
        <v>6</v>
      </c>
      <c r="AL1483" s="11">
        <f t="shared" si="494"/>
        <v>8844</v>
      </c>
      <c r="AM1483" s="11" t="b">
        <f t="shared" si="496"/>
        <v>0</v>
      </c>
      <c r="AN1483" s="11">
        <f t="shared" si="498"/>
        <v>36000</v>
      </c>
      <c r="AO1483" s="11">
        <f t="shared" si="499"/>
        <v>0</v>
      </c>
      <c r="AP1483" s="11">
        <f t="shared" si="500"/>
        <v>0.60771327423065302</v>
      </c>
      <c r="AQ1483" s="11">
        <f t="shared" ref="AQ1483:AQ1546" si="501">IF(AO1482&lt;=0,0,(AQ1482*AO1482-$AA$34*(AQ1482-AP1482)*$AB$15)/AO1482)</f>
        <v>0</v>
      </c>
      <c r="AT1483" s="3"/>
      <c r="AU1483" s="17"/>
      <c r="AV1483" s="19"/>
      <c r="AW1483" s="17"/>
      <c r="AX1483" s="17">
        <f t="shared" si="495"/>
        <v>1474</v>
      </c>
      <c r="AY1483" s="17">
        <f t="shared" si="493"/>
        <v>147.4</v>
      </c>
      <c r="AZ1483" s="17">
        <v>60.771327423065301</v>
      </c>
      <c r="BA1483" s="17"/>
      <c r="BB1483" s="17">
        <v>36</v>
      </c>
      <c r="BC1483" s="17"/>
      <c r="BD1483" s="17"/>
      <c r="BE1483" s="17"/>
      <c r="BF1483" s="17"/>
      <c r="BG1483" s="17"/>
      <c r="BH1483" s="17"/>
      <c r="BI1483" s="17"/>
      <c r="BJ1483" s="17"/>
      <c r="BK1483" s="17"/>
      <c r="BL1483" s="17"/>
      <c r="BM1483" s="17"/>
      <c r="BN1483" s="17"/>
      <c r="BO1483" s="17"/>
      <c r="BP1483" s="17"/>
      <c r="BQ1483" s="17"/>
      <c r="BR1483" s="17"/>
      <c r="BS1483" s="17"/>
      <c r="BT1483" s="17"/>
      <c r="BU1483" s="17"/>
      <c r="BV1483" s="17"/>
      <c r="BW1483" s="17"/>
      <c r="BX1483" s="17"/>
      <c r="BY1483" s="17"/>
      <c r="BZ1483" s="17"/>
      <c r="CA1483" s="17"/>
      <c r="CB1483" s="17"/>
      <c r="CC1483" s="17"/>
      <c r="CD1483" s="17"/>
      <c r="CE1483" s="17"/>
      <c r="CF1483" s="17"/>
      <c r="CG1483" s="17"/>
      <c r="CH1483" s="17"/>
    </row>
    <row r="1484" spans="35:86" x14ac:dyDescent="0.15">
      <c r="AI1484" s="3"/>
      <c r="AJ1484" s="3"/>
      <c r="AK1484" s="15">
        <f t="shared" si="497"/>
        <v>6</v>
      </c>
      <c r="AL1484" s="11">
        <f t="shared" si="494"/>
        <v>8850</v>
      </c>
      <c r="AM1484" s="11" t="b">
        <f t="shared" si="496"/>
        <v>0</v>
      </c>
      <c r="AN1484" s="11">
        <f t="shared" si="498"/>
        <v>36000</v>
      </c>
      <c r="AO1484" s="11">
        <f t="shared" si="499"/>
        <v>0</v>
      </c>
      <c r="AP1484" s="11">
        <f t="shared" si="500"/>
        <v>0.60881558904546784</v>
      </c>
      <c r="AQ1484" s="11">
        <f t="shared" si="501"/>
        <v>0</v>
      </c>
      <c r="AT1484" s="3"/>
      <c r="AU1484" s="17"/>
      <c r="AV1484" s="19"/>
      <c r="AW1484" s="17"/>
      <c r="AX1484" s="17">
        <f t="shared" si="495"/>
        <v>1475</v>
      </c>
      <c r="AY1484" s="17">
        <f t="shared" si="493"/>
        <v>147.5</v>
      </c>
      <c r="AZ1484" s="17">
        <v>60.881558904546786</v>
      </c>
      <c r="BA1484" s="17"/>
      <c r="BB1484" s="17">
        <v>36</v>
      </c>
      <c r="BC1484" s="17"/>
      <c r="BD1484" s="17"/>
      <c r="BE1484" s="17"/>
      <c r="BF1484" s="17"/>
      <c r="BG1484" s="17"/>
      <c r="BH1484" s="17"/>
      <c r="BI1484" s="17"/>
      <c r="BJ1484" s="17"/>
      <c r="BK1484" s="17"/>
      <c r="BL1484" s="17"/>
      <c r="BM1484" s="17"/>
      <c r="BN1484" s="17"/>
      <c r="BO1484" s="17"/>
      <c r="BP1484" s="17"/>
      <c r="BQ1484" s="17"/>
      <c r="BR1484" s="17"/>
      <c r="BS1484" s="17"/>
      <c r="BT1484" s="17"/>
      <c r="BU1484" s="17"/>
      <c r="BV1484" s="17"/>
      <c r="BW1484" s="17"/>
      <c r="BX1484" s="17"/>
      <c r="BY1484" s="17"/>
      <c r="BZ1484" s="17"/>
      <c r="CA1484" s="17"/>
      <c r="CB1484" s="17"/>
      <c r="CC1484" s="17"/>
      <c r="CD1484" s="17"/>
      <c r="CE1484" s="17"/>
      <c r="CF1484" s="17"/>
      <c r="CG1484" s="17"/>
      <c r="CH1484" s="17"/>
    </row>
    <row r="1485" spans="35:86" x14ac:dyDescent="0.15">
      <c r="AI1485" s="3"/>
      <c r="AJ1485" s="3"/>
      <c r="AK1485" s="15">
        <f t="shared" si="497"/>
        <v>6</v>
      </c>
      <c r="AL1485" s="11">
        <f t="shared" si="494"/>
        <v>8856</v>
      </c>
      <c r="AM1485" s="11" t="b">
        <f t="shared" si="496"/>
        <v>0</v>
      </c>
      <c r="AN1485" s="11">
        <f t="shared" si="498"/>
        <v>36000</v>
      </c>
      <c r="AO1485" s="11">
        <f t="shared" si="499"/>
        <v>0</v>
      </c>
      <c r="AP1485" s="11">
        <f t="shared" si="500"/>
        <v>0.60991790386028277</v>
      </c>
      <c r="AQ1485" s="11">
        <f t="shared" si="501"/>
        <v>0</v>
      </c>
      <c r="AT1485" s="3"/>
      <c r="AU1485" s="17"/>
      <c r="AV1485" s="19"/>
      <c r="AW1485" s="17"/>
      <c r="AX1485" s="17">
        <f t="shared" si="495"/>
        <v>1476</v>
      </c>
      <c r="AY1485" s="17">
        <f t="shared" si="493"/>
        <v>147.6</v>
      </c>
      <c r="AZ1485" s="17">
        <v>60.991790386028278</v>
      </c>
      <c r="BA1485" s="17"/>
      <c r="BB1485" s="17">
        <v>36</v>
      </c>
      <c r="BC1485" s="17"/>
      <c r="BD1485" s="17"/>
      <c r="BE1485" s="17"/>
      <c r="BF1485" s="17"/>
      <c r="BG1485" s="17"/>
      <c r="BH1485" s="17"/>
      <c r="BI1485" s="17"/>
      <c r="BJ1485" s="17"/>
      <c r="BK1485" s="17"/>
      <c r="BL1485" s="17"/>
      <c r="BM1485" s="17"/>
      <c r="BN1485" s="17"/>
      <c r="BO1485" s="17"/>
      <c r="BP1485" s="17"/>
      <c r="BQ1485" s="17"/>
      <c r="BR1485" s="17"/>
      <c r="BS1485" s="17"/>
      <c r="BT1485" s="17"/>
      <c r="BU1485" s="17"/>
      <c r="BV1485" s="17"/>
      <c r="BW1485" s="17"/>
      <c r="BX1485" s="17"/>
      <c r="BY1485" s="17"/>
      <c r="BZ1485" s="17"/>
      <c r="CA1485" s="17"/>
      <c r="CB1485" s="17"/>
      <c r="CC1485" s="17"/>
      <c r="CD1485" s="17"/>
      <c r="CE1485" s="17"/>
      <c r="CF1485" s="17"/>
      <c r="CG1485" s="17"/>
      <c r="CH1485" s="17"/>
    </row>
    <row r="1486" spans="35:86" x14ac:dyDescent="0.15">
      <c r="AI1486" s="3"/>
      <c r="AJ1486" s="3"/>
      <c r="AK1486" s="15">
        <f t="shared" si="497"/>
        <v>6</v>
      </c>
      <c r="AL1486" s="11">
        <f t="shared" si="494"/>
        <v>8862</v>
      </c>
      <c r="AM1486" s="11" t="b">
        <f t="shared" si="496"/>
        <v>0</v>
      </c>
      <c r="AN1486" s="11">
        <f t="shared" si="498"/>
        <v>36000</v>
      </c>
      <c r="AO1486" s="11">
        <f t="shared" si="499"/>
        <v>0</v>
      </c>
      <c r="AP1486" s="11">
        <f t="shared" si="500"/>
        <v>0.61102021867509759</v>
      </c>
      <c r="AQ1486" s="11">
        <f t="shared" si="501"/>
        <v>0</v>
      </c>
      <c r="AT1486" s="3"/>
      <c r="AU1486" s="17"/>
      <c r="AV1486" s="19"/>
      <c r="AW1486" s="17"/>
      <c r="AX1486" s="17">
        <f t="shared" si="495"/>
        <v>1477</v>
      </c>
      <c r="AY1486" s="17">
        <f t="shared" si="493"/>
        <v>147.69999999999999</v>
      </c>
      <c r="AZ1486" s="17">
        <v>61.102021867509762</v>
      </c>
      <c r="BA1486" s="17"/>
      <c r="BB1486" s="17">
        <v>36</v>
      </c>
      <c r="BC1486" s="17"/>
      <c r="BD1486" s="17"/>
      <c r="BE1486" s="17"/>
      <c r="BF1486" s="17"/>
      <c r="BG1486" s="17"/>
      <c r="BH1486" s="17"/>
      <c r="BI1486" s="17"/>
      <c r="BJ1486" s="17"/>
      <c r="BK1486" s="17"/>
      <c r="BL1486" s="17"/>
      <c r="BM1486" s="17"/>
      <c r="BN1486" s="17"/>
      <c r="BO1486" s="17"/>
      <c r="BP1486" s="17"/>
      <c r="BQ1486" s="17"/>
      <c r="BR1486" s="17"/>
      <c r="BS1486" s="17"/>
      <c r="BT1486" s="17"/>
      <c r="BU1486" s="17"/>
      <c r="BV1486" s="17"/>
      <c r="BW1486" s="17"/>
      <c r="BX1486" s="17"/>
      <c r="BY1486" s="17"/>
      <c r="BZ1486" s="17"/>
      <c r="CA1486" s="17"/>
      <c r="CB1486" s="17"/>
      <c r="CC1486" s="17"/>
      <c r="CD1486" s="17"/>
      <c r="CE1486" s="17"/>
      <c r="CF1486" s="17"/>
      <c r="CG1486" s="17"/>
      <c r="CH1486" s="17"/>
    </row>
    <row r="1487" spans="35:86" x14ac:dyDescent="0.15">
      <c r="AI1487" s="3"/>
      <c r="AJ1487" s="3"/>
      <c r="AK1487" s="15">
        <f t="shared" si="497"/>
        <v>6</v>
      </c>
      <c r="AL1487" s="11">
        <f t="shared" si="494"/>
        <v>8868</v>
      </c>
      <c r="AM1487" s="11" t="b">
        <f t="shared" si="496"/>
        <v>0</v>
      </c>
      <c r="AN1487" s="11">
        <f t="shared" si="498"/>
        <v>36000</v>
      </c>
      <c r="AO1487" s="11">
        <f t="shared" si="499"/>
        <v>0</v>
      </c>
      <c r="AP1487" s="11">
        <f t="shared" si="500"/>
        <v>0.61212253348991241</v>
      </c>
      <c r="AQ1487" s="11">
        <f t="shared" si="501"/>
        <v>0</v>
      </c>
      <c r="AT1487" s="3"/>
      <c r="AU1487" s="17"/>
      <c r="AV1487" s="19"/>
      <c r="AW1487" s="17"/>
      <c r="AX1487" s="17">
        <f t="shared" si="495"/>
        <v>1478</v>
      </c>
      <c r="AY1487" s="17">
        <f t="shared" si="493"/>
        <v>147.80000000000001</v>
      </c>
      <c r="AZ1487" s="17">
        <v>61.21225334899124</v>
      </c>
      <c r="BA1487" s="17"/>
      <c r="BB1487" s="17">
        <v>36</v>
      </c>
      <c r="BC1487" s="17"/>
      <c r="BD1487" s="17"/>
      <c r="BE1487" s="17"/>
      <c r="BF1487" s="17"/>
      <c r="BG1487" s="17"/>
      <c r="BH1487" s="17"/>
      <c r="BI1487" s="17"/>
      <c r="BJ1487" s="17"/>
      <c r="BK1487" s="17"/>
      <c r="BL1487" s="17"/>
      <c r="BM1487" s="17"/>
      <c r="BN1487" s="17"/>
      <c r="BO1487" s="17"/>
      <c r="BP1487" s="17"/>
      <c r="BQ1487" s="17"/>
      <c r="BR1487" s="17"/>
      <c r="BS1487" s="17"/>
      <c r="BT1487" s="17"/>
      <c r="BU1487" s="17"/>
      <c r="BV1487" s="17"/>
      <c r="BW1487" s="17"/>
      <c r="BX1487" s="17"/>
      <c r="BY1487" s="17"/>
      <c r="BZ1487" s="17"/>
      <c r="CA1487" s="17"/>
      <c r="CB1487" s="17"/>
      <c r="CC1487" s="17"/>
      <c r="CD1487" s="17"/>
      <c r="CE1487" s="17"/>
      <c r="CF1487" s="17"/>
      <c r="CG1487" s="17"/>
      <c r="CH1487" s="17"/>
    </row>
    <row r="1488" spans="35:86" x14ac:dyDescent="0.15">
      <c r="AI1488" s="3"/>
      <c r="AJ1488" s="3"/>
      <c r="AK1488" s="15">
        <f t="shared" si="497"/>
        <v>6</v>
      </c>
      <c r="AL1488" s="11">
        <f t="shared" si="494"/>
        <v>8874</v>
      </c>
      <c r="AM1488" s="11" t="b">
        <f t="shared" si="496"/>
        <v>0</v>
      </c>
      <c r="AN1488" s="11">
        <f t="shared" si="498"/>
        <v>36000</v>
      </c>
      <c r="AO1488" s="11">
        <f t="shared" si="499"/>
        <v>0</v>
      </c>
      <c r="AP1488" s="11">
        <f t="shared" si="500"/>
        <v>0.61322484830472723</v>
      </c>
      <c r="AQ1488" s="11">
        <f t="shared" si="501"/>
        <v>0</v>
      </c>
      <c r="AT1488" s="3"/>
      <c r="AU1488" s="17"/>
      <c r="AV1488" s="19"/>
      <c r="AW1488" s="17"/>
      <c r="AX1488" s="17">
        <f t="shared" si="495"/>
        <v>1479</v>
      </c>
      <c r="AY1488" s="17">
        <f t="shared" si="493"/>
        <v>147.9</v>
      </c>
      <c r="AZ1488" s="17">
        <v>61.322484830472725</v>
      </c>
      <c r="BA1488" s="17"/>
      <c r="BB1488" s="17">
        <v>36</v>
      </c>
      <c r="BC1488" s="17"/>
      <c r="BD1488" s="17"/>
      <c r="BE1488" s="17"/>
      <c r="BF1488" s="17"/>
      <c r="BG1488" s="17"/>
      <c r="BH1488" s="17"/>
      <c r="BI1488" s="17"/>
      <c r="BJ1488" s="17"/>
      <c r="BK1488" s="17"/>
      <c r="BL1488" s="17"/>
      <c r="BM1488" s="17"/>
      <c r="BN1488" s="17"/>
      <c r="BO1488" s="17"/>
      <c r="BP1488" s="17"/>
      <c r="BQ1488" s="17"/>
      <c r="BR1488" s="17"/>
      <c r="BS1488" s="17"/>
      <c r="BT1488" s="17"/>
      <c r="BU1488" s="17"/>
      <c r="BV1488" s="17"/>
      <c r="BW1488" s="17"/>
      <c r="BX1488" s="17"/>
      <c r="BY1488" s="17"/>
      <c r="BZ1488" s="17"/>
      <c r="CA1488" s="17"/>
      <c r="CB1488" s="17"/>
      <c r="CC1488" s="17"/>
      <c r="CD1488" s="17"/>
      <c r="CE1488" s="17"/>
      <c r="CF1488" s="17"/>
      <c r="CG1488" s="17"/>
      <c r="CH1488" s="17"/>
    </row>
    <row r="1489" spans="35:86" x14ac:dyDescent="0.15">
      <c r="AI1489" s="3"/>
      <c r="AJ1489" s="3"/>
      <c r="AK1489" s="15">
        <f t="shared" si="497"/>
        <v>6</v>
      </c>
      <c r="AL1489" s="11">
        <f t="shared" si="494"/>
        <v>8880</v>
      </c>
      <c r="AM1489" s="11" t="b">
        <f t="shared" si="496"/>
        <v>0</v>
      </c>
      <c r="AN1489" s="11">
        <f t="shared" si="498"/>
        <v>36000</v>
      </c>
      <c r="AO1489" s="11">
        <f t="shared" si="499"/>
        <v>0</v>
      </c>
      <c r="AP1489" s="11">
        <f t="shared" si="500"/>
        <v>0.61432716311954205</v>
      </c>
      <c r="AQ1489" s="11">
        <f t="shared" si="501"/>
        <v>0</v>
      </c>
      <c r="AT1489" s="3"/>
      <c r="AU1489" s="17"/>
      <c r="AV1489" s="19"/>
      <c r="AW1489" s="17"/>
      <c r="AX1489" s="17">
        <f t="shared" si="495"/>
        <v>1480</v>
      </c>
      <c r="AY1489" s="17">
        <f t="shared" si="493"/>
        <v>148</v>
      </c>
      <c r="AZ1489" s="17">
        <v>61.432716311954202</v>
      </c>
      <c r="BA1489" s="17"/>
      <c r="BB1489" s="17">
        <v>36</v>
      </c>
      <c r="BC1489" s="17"/>
      <c r="BD1489" s="17"/>
      <c r="BE1489" s="17"/>
      <c r="BF1489" s="17"/>
      <c r="BG1489" s="17"/>
      <c r="BH1489" s="17"/>
      <c r="BI1489" s="17"/>
      <c r="BJ1489" s="17"/>
      <c r="BK1489" s="17"/>
      <c r="BL1489" s="17"/>
      <c r="BM1489" s="17"/>
      <c r="BN1489" s="17"/>
      <c r="BO1489" s="17"/>
      <c r="BP1489" s="17"/>
      <c r="BQ1489" s="17"/>
      <c r="BR1489" s="17"/>
      <c r="BS1489" s="17"/>
      <c r="BT1489" s="17"/>
      <c r="BU1489" s="17"/>
      <c r="BV1489" s="17"/>
      <c r="BW1489" s="17"/>
      <c r="BX1489" s="17"/>
      <c r="BY1489" s="17"/>
      <c r="BZ1489" s="17"/>
      <c r="CA1489" s="17"/>
      <c r="CB1489" s="17"/>
      <c r="CC1489" s="17"/>
      <c r="CD1489" s="17"/>
      <c r="CE1489" s="17"/>
      <c r="CF1489" s="17"/>
      <c r="CG1489" s="17"/>
      <c r="CH1489" s="17"/>
    </row>
    <row r="1490" spans="35:86" x14ac:dyDescent="0.15">
      <c r="AI1490" s="3"/>
      <c r="AJ1490" s="3"/>
      <c r="AK1490" s="15">
        <f t="shared" si="497"/>
        <v>6</v>
      </c>
      <c r="AL1490" s="11">
        <f t="shared" si="494"/>
        <v>8886</v>
      </c>
      <c r="AM1490" s="11" t="b">
        <f t="shared" si="496"/>
        <v>0</v>
      </c>
      <c r="AN1490" s="11">
        <f t="shared" si="498"/>
        <v>36000</v>
      </c>
      <c r="AO1490" s="11">
        <f t="shared" si="499"/>
        <v>0</v>
      </c>
      <c r="AP1490" s="11">
        <f t="shared" si="500"/>
        <v>0.61542947793435698</v>
      </c>
      <c r="AQ1490" s="11">
        <f t="shared" si="501"/>
        <v>0</v>
      </c>
      <c r="AT1490" s="3"/>
      <c r="AU1490" s="17"/>
      <c r="AV1490" s="19"/>
      <c r="AW1490" s="17"/>
      <c r="AX1490" s="17">
        <f t="shared" si="495"/>
        <v>1481</v>
      </c>
      <c r="AY1490" s="17">
        <f t="shared" si="493"/>
        <v>148.1</v>
      </c>
      <c r="AZ1490" s="17">
        <v>61.542947793435701</v>
      </c>
      <c r="BA1490" s="17"/>
      <c r="BB1490" s="17">
        <v>36</v>
      </c>
      <c r="BC1490" s="17"/>
      <c r="BD1490" s="17"/>
      <c r="BE1490" s="17"/>
      <c r="BF1490" s="17"/>
      <c r="BG1490" s="17"/>
      <c r="BH1490" s="17"/>
      <c r="BI1490" s="17"/>
      <c r="BJ1490" s="17"/>
      <c r="BK1490" s="17"/>
      <c r="BL1490" s="17"/>
      <c r="BM1490" s="17"/>
      <c r="BN1490" s="17"/>
      <c r="BO1490" s="17"/>
      <c r="BP1490" s="17"/>
      <c r="BQ1490" s="17"/>
      <c r="BR1490" s="17"/>
      <c r="BS1490" s="17"/>
      <c r="BT1490" s="17"/>
      <c r="BU1490" s="17"/>
      <c r="BV1490" s="17"/>
      <c r="BW1490" s="17"/>
      <c r="BX1490" s="17"/>
      <c r="BY1490" s="17"/>
      <c r="BZ1490" s="17"/>
      <c r="CA1490" s="17"/>
      <c r="CB1490" s="17"/>
      <c r="CC1490" s="17"/>
      <c r="CD1490" s="17"/>
      <c r="CE1490" s="17"/>
      <c r="CF1490" s="17"/>
      <c r="CG1490" s="17"/>
      <c r="CH1490" s="17"/>
    </row>
    <row r="1491" spans="35:86" x14ac:dyDescent="0.15">
      <c r="AI1491" s="3"/>
      <c r="AJ1491" s="3"/>
      <c r="AK1491" s="15">
        <f t="shared" si="497"/>
        <v>6</v>
      </c>
      <c r="AL1491" s="11">
        <f t="shared" si="494"/>
        <v>8892</v>
      </c>
      <c r="AM1491" s="11" t="b">
        <f t="shared" si="496"/>
        <v>0</v>
      </c>
      <c r="AN1491" s="11">
        <f t="shared" si="498"/>
        <v>36000</v>
      </c>
      <c r="AO1491" s="11">
        <f t="shared" si="499"/>
        <v>0</v>
      </c>
      <c r="AP1491" s="11">
        <f t="shared" si="500"/>
        <v>0.6165317927491718</v>
      </c>
      <c r="AQ1491" s="11">
        <f t="shared" si="501"/>
        <v>0</v>
      </c>
      <c r="AT1491" s="3"/>
      <c r="AU1491" s="17"/>
      <c r="AV1491" s="19"/>
      <c r="AW1491" s="17"/>
      <c r="AX1491" s="17">
        <f t="shared" si="495"/>
        <v>1482</v>
      </c>
      <c r="AY1491" s="17">
        <f t="shared" si="493"/>
        <v>148.19999999999999</v>
      </c>
      <c r="AZ1491" s="17">
        <v>61.653179274917179</v>
      </c>
      <c r="BA1491" s="17"/>
      <c r="BB1491" s="17">
        <v>36</v>
      </c>
      <c r="BC1491" s="17"/>
      <c r="BD1491" s="17"/>
      <c r="BE1491" s="17"/>
      <c r="BF1491" s="17"/>
      <c r="BG1491" s="17"/>
      <c r="BH1491" s="17"/>
      <c r="BI1491" s="17"/>
      <c r="BJ1491" s="17"/>
      <c r="BK1491" s="17"/>
      <c r="BL1491" s="17"/>
      <c r="BM1491" s="17"/>
      <c r="BN1491" s="17"/>
      <c r="BO1491" s="17"/>
      <c r="BP1491" s="17"/>
      <c r="BQ1491" s="17"/>
      <c r="BR1491" s="17"/>
      <c r="BS1491" s="17"/>
      <c r="BT1491" s="17"/>
      <c r="BU1491" s="17"/>
      <c r="BV1491" s="17"/>
      <c r="BW1491" s="17"/>
      <c r="BX1491" s="17"/>
      <c r="BY1491" s="17"/>
      <c r="BZ1491" s="17"/>
      <c r="CA1491" s="17"/>
      <c r="CB1491" s="17"/>
      <c r="CC1491" s="17"/>
      <c r="CD1491" s="17"/>
      <c r="CE1491" s="17"/>
      <c r="CF1491" s="17"/>
      <c r="CG1491" s="17"/>
      <c r="CH1491" s="17"/>
    </row>
    <row r="1492" spans="35:86" x14ac:dyDescent="0.15">
      <c r="AI1492" s="3"/>
      <c r="AJ1492" s="3"/>
      <c r="AK1492" s="15">
        <f t="shared" si="497"/>
        <v>6</v>
      </c>
      <c r="AL1492" s="11">
        <f t="shared" si="494"/>
        <v>8898</v>
      </c>
      <c r="AM1492" s="11" t="b">
        <f t="shared" si="496"/>
        <v>0</v>
      </c>
      <c r="AN1492" s="11">
        <f t="shared" si="498"/>
        <v>36000</v>
      </c>
      <c r="AO1492" s="11">
        <f t="shared" si="499"/>
        <v>0</v>
      </c>
      <c r="AP1492" s="11">
        <f t="shared" si="500"/>
        <v>0.61763410756398662</v>
      </c>
      <c r="AQ1492" s="11">
        <f t="shared" si="501"/>
        <v>0</v>
      </c>
      <c r="AT1492" s="3"/>
      <c r="AU1492" s="17"/>
      <c r="AV1492" s="19"/>
      <c r="AW1492" s="17"/>
      <c r="AX1492" s="17">
        <f t="shared" si="495"/>
        <v>1483</v>
      </c>
      <c r="AY1492" s="17">
        <f t="shared" ref="AY1492:AY1555" si="502">IF(ISNUMBER(AX1492),IF(ROUND((AX1492)*$AG$15*$AB$15,0) &lt;= 10080, ROUND((AX1492)*$AG$15,0)*$AB$15/60, 168),168)</f>
        <v>148.30000000000001</v>
      </c>
      <c r="AZ1492" s="17">
        <v>61.763410756398663</v>
      </c>
      <c r="BA1492" s="17"/>
      <c r="BB1492" s="17">
        <v>36</v>
      </c>
      <c r="BC1492" s="17"/>
      <c r="BD1492" s="17"/>
      <c r="BE1492" s="17"/>
      <c r="BF1492" s="17"/>
      <c r="BG1492" s="17"/>
      <c r="BH1492" s="17"/>
      <c r="BI1492" s="17"/>
      <c r="BJ1492" s="17"/>
      <c r="BK1492" s="17"/>
      <c r="BL1492" s="17"/>
      <c r="BM1492" s="17"/>
      <c r="BN1492" s="17"/>
      <c r="BO1492" s="17"/>
      <c r="BP1492" s="17"/>
      <c r="BQ1492" s="17"/>
      <c r="BR1492" s="17"/>
      <c r="BS1492" s="17"/>
      <c r="BT1492" s="17"/>
      <c r="BU1492" s="17"/>
      <c r="BV1492" s="17"/>
      <c r="BW1492" s="17"/>
      <c r="BX1492" s="17"/>
      <c r="BY1492" s="17"/>
      <c r="BZ1492" s="17"/>
      <c r="CA1492" s="17"/>
      <c r="CB1492" s="17"/>
      <c r="CC1492" s="17"/>
      <c r="CD1492" s="17"/>
      <c r="CE1492" s="17"/>
      <c r="CF1492" s="17"/>
      <c r="CG1492" s="17"/>
      <c r="CH1492" s="17"/>
    </row>
    <row r="1493" spans="35:86" x14ac:dyDescent="0.15">
      <c r="AI1493" s="3"/>
      <c r="AJ1493" s="3"/>
      <c r="AK1493" s="15">
        <f t="shared" si="497"/>
        <v>6</v>
      </c>
      <c r="AL1493" s="11">
        <f t="shared" si="494"/>
        <v>8904</v>
      </c>
      <c r="AM1493" s="11" t="b">
        <f t="shared" si="496"/>
        <v>0</v>
      </c>
      <c r="AN1493" s="11">
        <f t="shared" si="498"/>
        <v>36000</v>
      </c>
      <c r="AO1493" s="11">
        <f t="shared" si="499"/>
        <v>0</v>
      </c>
      <c r="AP1493" s="11">
        <f t="shared" si="500"/>
        <v>0.61873642237880144</v>
      </c>
      <c r="AQ1493" s="11">
        <f t="shared" si="501"/>
        <v>0</v>
      </c>
      <c r="AT1493" s="3"/>
      <c r="AU1493" s="17"/>
      <c r="AV1493" s="19"/>
      <c r="AW1493" s="17"/>
      <c r="AX1493" s="17">
        <f t="shared" si="495"/>
        <v>1484</v>
      </c>
      <c r="AY1493" s="17">
        <f t="shared" si="502"/>
        <v>148.4</v>
      </c>
      <c r="AZ1493" s="17">
        <v>61.873642237880148</v>
      </c>
      <c r="BA1493" s="17"/>
      <c r="BB1493" s="17">
        <v>36</v>
      </c>
      <c r="BC1493" s="17"/>
      <c r="BD1493" s="17"/>
      <c r="BE1493" s="17"/>
      <c r="BF1493" s="17"/>
      <c r="BG1493" s="17"/>
      <c r="BH1493" s="17"/>
      <c r="BI1493" s="17"/>
      <c r="BJ1493" s="17"/>
      <c r="BK1493" s="17"/>
      <c r="BL1493" s="17"/>
      <c r="BM1493" s="17"/>
      <c r="BN1493" s="17"/>
      <c r="BO1493" s="17"/>
      <c r="BP1493" s="17"/>
      <c r="BQ1493" s="17"/>
      <c r="BR1493" s="17"/>
      <c r="BS1493" s="17"/>
      <c r="BT1493" s="17"/>
      <c r="BU1493" s="17"/>
      <c r="BV1493" s="17"/>
      <c r="BW1493" s="17"/>
      <c r="BX1493" s="17"/>
      <c r="BY1493" s="17"/>
      <c r="BZ1493" s="17"/>
      <c r="CA1493" s="17"/>
      <c r="CB1493" s="17"/>
      <c r="CC1493" s="17"/>
      <c r="CD1493" s="17"/>
      <c r="CE1493" s="17"/>
      <c r="CF1493" s="17"/>
      <c r="CG1493" s="17"/>
      <c r="CH1493" s="17"/>
    </row>
    <row r="1494" spans="35:86" x14ac:dyDescent="0.15">
      <c r="AI1494" s="3"/>
      <c r="AJ1494" s="3"/>
      <c r="AK1494" s="15">
        <f t="shared" si="497"/>
        <v>6</v>
      </c>
      <c r="AL1494" s="11">
        <f t="shared" si="494"/>
        <v>8910</v>
      </c>
      <c r="AM1494" s="11" t="b">
        <f t="shared" si="496"/>
        <v>0</v>
      </c>
      <c r="AN1494" s="11">
        <f t="shared" si="498"/>
        <v>36000</v>
      </c>
      <c r="AO1494" s="11">
        <f t="shared" si="499"/>
        <v>0</v>
      </c>
      <c r="AP1494" s="11">
        <f t="shared" si="500"/>
        <v>0.61983873719361626</v>
      </c>
      <c r="AQ1494" s="11">
        <f t="shared" si="501"/>
        <v>0</v>
      </c>
      <c r="AT1494" s="3"/>
      <c r="AU1494" s="17"/>
      <c r="AV1494" s="19"/>
      <c r="AW1494" s="17"/>
      <c r="AX1494" s="17">
        <f t="shared" si="495"/>
        <v>1485</v>
      </c>
      <c r="AY1494" s="17">
        <f t="shared" si="502"/>
        <v>148.5</v>
      </c>
      <c r="AZ1494" s="17">
        <v>61.983873719361625</v>
      </c>
      <c r="BA1494" s="17"/>
      <c r="BB1494" s="17">
        <v>36</v>
      </c>
      <c r="BC1494" s="17"/>
      <c r="BD1494" s="17"/>
      <c r="BE1494" s="17"/>
      <c r="BF1494" s="17"/>
      <c r="BG1494" s="17"/>
      <c r="BH1494" s="17"/>
      <c r="BI1494" s="17"/>
      <c r="BJ1494" s="17"/>
      <c r="BK1494" s="17"/>
      <c r="BL1494" s="17"/>
      <c r="BM1494" s="17"/>
      <c r="BN1494" s="17"/>
      <c r="BO1494" s="17"/>
      <c r="BP1494" s="17"/>
      <c r="BQ1494" s="17"/>
      <c r="BR1494" s="17"/>
      <c r="BS1494" s="17"/>
      <c r="BT1494" s="17"/>
      <c r="BU1494" s="17"/>
      <c r="BV1494" s="17"/>
      <c r="BW1494" s="17"/>
      <c r="BX1494" s="17"/>
      <c r="BY1494" s="17"/>
      <c r="BZ1494" s="17"/>
      <c r="CA1494" s="17"/>
      <c r="CB1494" s="17"/>
      <c r="CC1494" s="17"/>
      <c r="CD1494" s="17"/>
      <c r="CE1494" s="17"/>
      <c r="CF1494" s="17"/>
      <c r="CG1494" s="17"/>
      <c r="CH1494" s="17"/>
    </row>
    <row r="1495" spans="35:86" x14ac:dyDescent="0.15">
      <c r="AI1495" s="3"/>
      <c r="AJ1495" s="3"/>
      <c r="AK1495" s="15">
        <f t="shared" si="497"/>
        <v>6</v>
      </c>
      <c r="AL1495" s="11">
        <f t="shared" si="494"/>
        <v>8916</v>
      </c>
      <c r="AM1495" s="11" t="b">
        <f t="shared" si="496"/>
        <v>0</v>
      </c>
      <c r="AN1495" s="11">
        <f t="shared" si="498"/>
        <v>36000</v>
      </c>
      <c r="AO1495" s="11">
        <f t="shared" si="499"/>
        <v>0</v>
      </c>
      <c r="AP1495" s="11">
        <f t="shared" si="500"/>
        <v>0.62094105200843119</v>
      </c>
      <c r="AQ1495" s="11">
        <f t="shared" si="501"/>
        <v>0</v>
      </c>
      <c r="AT1495" s="3"/>
      <c r="AU1495" s="17"/>
      <c r="AV1495" s="19"/>
      <c r="AW1495" s="17"/>
      <c r="AX1495" s="17">
        <f t="shared" si="495"/>
        <v>1486</v>
      </c>
      <c r="AY1495" s="17">
        <f t="shared" si="502"/>
        <v>148.6</v>
      </c>
      <c r="AZ1495" s="17">
        <v>62.094105200843117</v>
      </c>
      <c r="BA1495" s="17"/>
      <c r="BB1495" s="17">
        <v>36</v>
      </c>
      <c r="BC1495" s="17"/>
      <c r="BD1495" s="17"/>
      <c r="BE1495" s="17"/>
      <c r="BF1495" s="17"/>
      <c r="BG1495" s="17"/>
      <c r="BH1495" s="17"/>
      <c r="BI1495" s="17"/>
      <c r="BJ1495" s="17"/>
      <c r="BK1495" s="17"/>
      <c r="BL1495" s="17"/>
      <c r="BM1495" s="17"/>
      <c r="BN1495" s="17"/>
      <c r="BO1495" s="17"/>
      <c r="BP1495" s="17"/>
      <c r="BQ1495" s="17"/>
      <c r="BR1495" s="17"/>
      <c r="BS1495" s="17"/>
      <c r="BT1495" s="17"/>
      <c r="BU1495" s="17"/>
      <c r="BV1495" s="17"/>
      <c r="BW1495" s="17"/>
      <c r="BX1495" s="17"/>
      <c r="BY1495" s="17"/>
      <c r="BZ1495" s="17"/>
      <c r="CA1495" s="17"/>
      <c r="CB1495" s="17"/>
      <c r="CC1495" s="17"/>
      <c r="CD1495" s="17"/>
      <c r="CE1495" s="17"/>
      <c r="CF1495" s="17"/>
      <c r="CG1495" s="17"/>
      <c r="CH1495" s="17"/>
    </row>
    <row r="1496" spans="35:86" x14ac:dyDescent="0.15">
      <c r="AI1496" s="3"/>
      <c r="AJ1496" s="3"/>
      <c r="AK1496" s="15">
        <f t="shared" si="497"/>
        <v>6</v>
      </c>
      <c r="AL1496" s="11">
        <f t="shared" si="494"/>
        <v>8922</v>
      </c>
      <c r="AM1496" s="11" t="b">
        <f t="shared" si="496"/>
        <v>0</v>
      </c>
      <c r="AN1496" s="11">
        <f t="shared" si="498"/>
        <v>36000</v>
      </c>
      <c r="AO1496" s="11">
        <f t="shared" si="499"/>
        <v>0</v>
      </c>
      <c r="AP1496" s="11">
        <f t="shared" si="500"/>
        <v>0.62204336682324612</v>
      </c>
      <c r="AQ1496" s="11">
        <f t="shared" si="501"/>
        <v>0</v>
      </c>
      <c r="AT1496" s="3"/>
      <c r="AU1496" s="17"/>
      <c r="AV1496" s="19"/>
      <c r="AW1496" s="17"/>
      <c r="AX1496" s="17">
        <f t="shared" si="495"/>
        <v>1487</v>
      </c>
      <c r="AY1496" s="17">
        <f t="shared" si="502"/>
        <v>148.69999999999999</v>
      </c>
      <c r="AZ1496" s="17">
        <v>62.204336682324609</v>
      </c>
      <c r="BA1496" s="17"/>
      <c r="BB1496" s="17">
        <v>36</v>
      </c>
      <c r="BC1496" s="17"/>
      <c r="BD1496" s="17"/>
      <c r="BE1496" s="17"/>
      <c r="BF1496" s="17"/>
      <c r="BG1496" s="17"/>
      <c r="BH1496" s="17"/>
      <c r="BI1496" s="17"/>
      <c r="BJ1496" s="17"/>
      <c r="BK1496" s="17"/>
      <c r="BL1496" s="17"/>
      <c r="BM1496" s="17"/>
      <c r="BN1496" s="17"/>
      <c r="BO1496" s="17"/>
      <c r="BP1496" s="17"/>
      <c r="BQ1496" s="17"/>
      <c r="BR1496" s="17"/>
      <c r="BS1496" s="17"/>
      <c r="BT1496" s="17"/>
      <c r="BU1496" s="17"/>
      <c r="BV1496" s="17"/>
      <c r="BW1496" s="17"/>
      <c r="BX1496" s="17"/>
      <c r="BY1496" s="17"/>
      <c r="BZ1496" s="17"/>
      <c r="CA1496" s="17"/>
      <c r="CB1496" s="17"/>
      <c r="CC1496" s="17"/>
      <c r="CD1496" s="17"/>
      <c r="CE1496" s="17"/>
      <c r="CF1496" s="17"/>
      <c r="CG1496" s="17"/>
      <c r="CH1496" s="17"/>
    </row>
    <row r="1497" spans="35:86" x14ac:dyDescent="0.15">
      <c r="AI1497" s="3"/>
      <c r="AJ1497" s="3"/>
      <c r="AK1497" s="15">
        <f t="shared" si="497"/>
        <v>6</v>
      </c>
      <c r="AL1497" s="11">
        <f t="shared" si="494"/>
        <v>8928</v>
      </c>
      <c r="AM1497" s="11" t="b">
        <f t="shared" si="496"/>
        <v>0</v>
      </c>
      <c r="AN1497" s="11">
        <f t="shared" si="498"/>
        <v>36000</v>
      </c>
      <c r="AO1497" s="11">
        <f t="shared" si="499"/>
        <v>0</v>
      </c>
      <c r="AP1497" s="11">
        <f t="shared" si="500"/>
        <v>0.62314568163806094</v>
      </c>
      <c r="AQ1497" s="11">
        <f t="shared" si="501"/>
        <v>0</v>
      </c>
      <c r="AT1497" s="3"/>
      <c r="AU1497" s="17"/>
      <c r="AV1497" s="19"/>
      <c r="AW1497" s="17"/>
      <c r="AX1497" s="17">
        <f t="shared" si="495"/>
        <v>1488</v>
      </c>
      <c r="AY1497" s="17">
        <f t="shared" si="502"/>
        <v>148.80000000000001</v>
      </c>
      <c r="AZ1497" s="17">
        <v>62.314568163806094</v>
      </c>
      <c r="BA1497" s="17"/>
      <c r="BB1497" s="17">
        <v>36</v>
      </c>
      <c r="BC1497" s="17"/>
      <c r="BD1497" s="17"/>
      <c r="BE1497" s="17"/>
      <c r="BF1497" s="17"/>
      <c r="BG1497" s="17"/>
      <c r="BH1497" s="17"/>
      <c r="BI1497" s="17"/>
      <c r="BJ1497" s="17"/>
      <c r="BK1497" s="17"/>
      <c r="BL1497" s="17"/>
      <c r="BM1497" s="17"/>
      <c r="BN1497" s="17"/>
      <c r="BO1497" s="17"/>
      <c r="BP1497" s="17"/>
      <c r="BQ1497" s="17"/>
      <c r="BR1497" s="17"/>
      <c r="BS1497" s="17"/>
      <c r="BT1497" s="17"/>
      <c r="BU1497" s="17"/>
      <c r="BV1497" s="17"/>
      <c r="BW1497" s="17"/>
      <c r="BX1497" s="17"/>
      <c r="BY1497" s="17"/>
      <c r="BZ1497" s="17"/>
      <c r="CA1497" s="17"/>
      <c r="CB1497" s="17"/>
      <c r="CC1497" s="17"/>
      <c r="CD1497" s="17"/>
      <c r="CE1497" s="17"/>
      <c r="CF1497" s="17"/>
      <c r="CG1497" s="17"/>
      <c r="CH1497" s="17"/>
    </row>
    <row r="1498" spans="35:86" x14ac:dyDescent="0.15">
      <c r="AI1498" s="3"/>
      <c r="AJ1498" s="3"/>
      <c r="AK1498" s="15">
        <f t="shared" si="497"/>
        <v>6</v>
      </c>
      <c r="AL1498" s="11">
        <f t="shared" si="494"/>
        <v>8934</v>
      </c>
      <c r="AM1498" s="11" t="b">
        <f t="shared" si="496"/>
        <v>0</v>
      </c>
      <c r="AN1498" s="11">
        <f t="shared" si="498"/>
        <v>36000</v>
      </c>
      <c r="AO1498" s="11">
        <f t="shared" si="499"/>
        <v>0</v>
      </c>
      <c r="AP1498" s="11">
        <f t="shared" si="500"/>
        <v>0.62424799645287576</v>
      </c>
      <c r="AQ1498" s="11">
        <f t="shared" si="501"/>
        <v>0</v>
      </c>
      <c r="AT1498" s="3"/>
      <c r="AU1498" s="17"/>
      <c r="AV1498" s="19"/>
      <c r="AW1498" s="17"/>
      <c r="AX1498" s="17">
        <f t="shared" si="495"/>
        <v>1489</v>
      </c>
      <c r="AY1498" s="17">
        <f t="shared" si="502"/>
        <v>148.9</v>
      </c>
      <c r="AZ1498" s="17">
        <v>62.424799645287578</v>
      </c>
      <c r="BA1498" s="17"/>
      <c r="BB1498" s="17">
        <v>36</v>
      </c>
      <c r="BC1498" s="17"/>
      <c r="BD1498" s="17"/>
      <c r="BE1498" s="17"/>
      <c r="BF1498" s="17"/>
      <c r="BG1498" s="17"/>
      <c r="BH1498" s="17"/>
      <c r="BI1498" s="17"/>
      <c r="BJ1498" s="17"/>
      <c r="BK1498" s="17"/>
      <c r="BL1498" s="17"/>
      <c r="BM1498" s="17"/>
      <c r="BN1498" s="17"/>
      <c r="BO1498" s="17"/>
      <c r="BP1498" s="17"/>
      <c r="BQ1498" s="17"/>
      <c r="BR1498" s="17"/>
      <c r="BS1498" s="17"/>
      <c r="BT1498" s="17"/>
      <c r="BU1498" s="17"/>
      <c r="BV1498" s="17"/>
      <c r="BW1498" s="17"/>
      <c r="BX1498" s="17"/>
      <c r="BY1498" s="17"/>
      <c r="BZ1498" s="17"/>
      <c r="CA1498" s="17"/>
      <c r="CB1498" s="17"/>
      <c r="CC1498" s="17"/>
      <c r="CD1498" s="17"/>
      <c r="CE1498" s="17"/>
      <c r="CF1498" s="17"/>
      <c r="CG1498" s="17"/>
      <c r="CH1498" s="17"/>
    </row>
    <row r="1499" spans="35:86" x14ac:dyDescent="0.15">
      <c r="AI1499" s="3"/>
      <c r="AJ1499" s="3"/>
      <c r="AK1499" s="15">
        <f t="shared" si="497"/>
        <v>6</v>
      </c>
      <c r="AL1499" s="11">
        <f t="shared" si="494"/>
        <v>8940</v>
      </c>
      <c r="AM1499" s="11" t="b">
        <f t="shared" si="496"/>
        <v>0</v>
      </c>
      <c r="AN1499" s="11">
        <f t="shared" si="498"/>
        <v>36000</v>
      </c>
      <c r="AO1499" s="11">
        <f t="shared" si="499"/>
        <v>0</v>
      </c>
      <c r="AP1499" s="11">
        <f t="shared" si="500"/>
        <v>0.62535031126769058</v>
      </c>
      <c r="AQ1499" s="11">
        <f t="shared" si="501"/>
        <v>0</v>
      </c>
      <c r="AT1499" s="3"/>
      <c r="AU1499" s="17"/>
      <c r="AV1499" s="19"/>
      <c r="AW1499" s="17"/>
      <c r="AX1499" s="17">
        <f t="shared" si="495"/>
        <v>1490</v>
      </c>
      <c r="AY1499" s="17">
        <f t="shared" si="502"/>
        <v>149</v>
      </c>
      <c r="AZ1499" s="17">
        <v>62.535031126769056</v>
      </c>
      <c r="BA1499" s="17"/>
      <c r="BB1499" s="17">
        <v>36</v>
      </c>
      <c r="BC1499" s="17"/>
      <c r="BD1499" s="17"/>
      <c r="BE1499" s="17"/>
      <c r="BF1499" s="17"/>
      <c r="BG1499" s="17"/>
      <c r="BH1499" s="17"/>
      <c r="BI1499" s="17"/>
      <c r="BJ1499" s="17"/>
      <c r="BK1499" s="17"/>
      <c r="BL1499" s="17"/>
      <c r="BM1499" s="17"/>
      <c r="BN1499" s="17"/>
      <c r="BO1499" s="17"/>
      <c r="BP1499" s="17"/>
      <c r="BQ1499" s="17"/>
      <c r="BR1499" s="17"/>
      <c r="BS1499" s="17"/>
      <c r="BT1499" s="17"/>
      <c r="BU1499" s="17"/>
      <c r="BV1499" s="17"/>
      <c r="BW1499" s="17"/>
      <c r="BX1499" s="17"/>
      <c r="BY1499" s="17"/>
      <c r="BZ1499" s="17"/>
      <c r="CA1499" s="17"/>
      <c r="CB1499" s="17"/>
      <c r="CC1499" s="17"/>
      <c r="CD1499" s="17"/>
      <c r="CE1499" s="17"/>
      <c r="CF1499" s="17"/>
      <c r="CG1499" s="17"/>
      <c r="CH1499" s="17"/>
    </row>
    <row r="1500" spans="35:86" x14ac:dyDescent="0.15">
      <c r="AI1500" s="3"/>
      <c r="AJ1500" s="3"/>
      <c r="AK1500" s="15">
        <f t="shared" si="497"/>
        <v>6</v>
      </c>
      <c r="AL1500" s="11">
        <f t="shared" si="494"/>
        <v>8946</v>
      </c>
      <c r="AM1500" s="11" t="b">
        <f t="shared" si="496"/>
        <v>0</v>
      </c>
      <c r="AN1500" s="11">
        <f t="shared" si="498"/>
        <v>36000</v>
      </c>
      <c r="AO1500" s="11">
        <f t="shared" si="499"/>
        <v>0</v>
      </c>
      <c r="AP1500" s="11">
        <f t="shared" si="500"/>
        <v>0.6264526260825054</v>
      </c>
      <c r="AQ1500" s="11">
        <f t="shared" si="501"/>
        <v>0</v>
      </c>
      <c r="AT1500" s="3"/>
      <c r="AU1500" s="17"/>
      <c r="AV1500" s="19"/>
      <c r="AW1500" s="17"/>
      <c r="AX1500" s="17">
        <f t="shared" si="495"/>
        <v>1491</v>
      </c>
      <c r="AY1500" s="17">
        <f t="shared" si="502"/>
        <v>149.1</v>
      </c>
      <c r="AZ1500" s="17">
        <v>62.64526260825054</v>
      </c>
      <c r="BA1500" s="17"/>
      <c r="BB1500" s="17">
        <v>36</v>
      </c>
      <c r="BC1500" s="17"/>
      <c r="BD1500" s="17"/>
      <c r="BE1500" s="17"/>
      <c r="BF1500" s="17"/>
      <c r="BG1500" s="17"/>
      <c r="BH1500" s="17"/>
      <c r="BI1500" s="17"/>
      <c r="BJ1500" s="17"/>
      <c r="BK1500" s="17"/>
      <c r="BL1500" s="17"/>
      <c r="BM1500" s="17"/>
      <c r="BN1500" s="17"/>
      <c r="BO1500" s="17"/>
      <c r="BP1500" s="17"/>
      <c r="BQ1500" s="17"/>
      <c r="BR1500" s="17"/>
      <c r="BS1500" s="17"/>
      <c r="BT1500" s="17"/>
      <c r="BU1500" s="17"/>
      <c r="BV1500" s="17"/>
      <c r="BW1500" s="17"/>
      <c r="BX1500" s="17"/>
      <c r="BY1500" s="17"/>
      <c r="BZ1500" s="17"/>
      <c r="CA1500" s="17"/>
      <c r="CB1500" s="17"/>
      <c r="CC1500" s="17"/>
      <c r="CD1500" s="17"/>
      <c r="CE1500" s="17"/>
      <c r="CF1500" s="17"/>
      <c r="CG1500" s="17"/>
      <c r="CH1500" s="17"/>
    </row>
    <row r="1501" spans="35:86" x14ac:dyDescent="0.15">
      <c r="AI1501" s="3"/>
      <c r="AJ1501" s="3"/>
      <c r="AK1501" s="15">
        <f t="shared" si="497"/>
        <v>6</v>
      </c>
      <c r="AL1501" s="11">
        <f t="shared" si="494"/>
        <v>8952</v>
      </c>
      <c r="AM1501" s="11" t="b">
        <f t="shared" si="496"/>
        <v>0</v>
      </c>
      <c r="AN1501" s="11">
        <f t="shared" si="498"/>
        <v>36000</v>
      </c>
      <c r="AO1501" s="11">
        <f t="shared" si="499"/>
        <v>0</v>
      </c>
      <c r="AP1501" s="11">
        <f t="shared" si="500"/>
        <v>0.62755494089732033</v>
      </c>
      <c r="AQ1501" s="11">
        <f t="shared" si="501"/>
        <v>0</v>
      </c>
      <c r="AT1501" s="3"/>
      <c r="AU1501" s="17"/>
      <c r="AV1501" s="19"/>
      <c r="AW1501" s="17"/>
      <c r="AX1501" s="17">
        <f t="shared" si="495"/>
        <v>1492</v>
      </c>
      <c r="AY1501" s="17">
        <f t="shared" si="502"/>
        <v>149.19999999999999</v>
      </c>
      <c r="AZ1501" s="17">
        <v>62.755494089732032</v>
      </c>
      <c r="BA1501" s="17"/>
      <c r="BB1501" s="17">
        <v>36</v>
      </c>
      <c r="BC1501" s="17"/>
      <c r="BD1501" s="17"/>
      <c r="BE1501" s="17"/>
      <c r="BF1501" s="17"/>
      <c r="BG1501" s="17"/>
      <c r="BH1501" s="17"/>
      <c r="BI1501" s="17"/>
      <c r="BJ1501" s="17"/>
      <c r="BK1501" s="17"/>
      <c r="BL1501" s="17"/>
      <c r="BM1501" s="17"/>
      <c r="BN1501" s="17"/>
      <c r="BO1501" s="17"/>
      <c r="BP1501" s="17"/>
      <c r="BQ1501" s="17"/>
      <c r="BR1501" s="17"/>
      <c r="BS1501" s="17"/>
      <c r="BT1501" s="17"/>
      <c r="BU1501" s="17"/>
      <c r="BV1501" s="17"/>
      <c r="BW1501" s="17"/>
      <c r="BX1501" s="17"/>
      <c r="BY1501" s="17"/>
      <c r="BZ1501" s="17"/>
      <c r="CA1501" s="17"/>
      <c r="CB1501" s="17"/>
      <c r="CC1501" s="17"/>
      <c r="CD1501" s="17"/>
      <c r="CE1501" s="17"/>
      <c r="CF1501" s="17"/>
      <c r="CG1501" s="17"/>
      <c r="CH1501" s="17"/>
    </row>
    <row r="1502" spans="35:86" x14ac:dyDescent="0.15">
      <c r="AI1502" s="3"/>
      <c r="AJ1502" s="3"/>
      <c r="AK1502" s="15">
        <f t="shared" si="497"/>
        <v>6</v>
      </c>
      <c r="AL1502" s="11">
        <f t="shared" si="494"/>
        <v>8958</v>
      </c>
      <c r="AM1502" s="11" t="b">
        <f t="shared" si="496"/>
        <v>0</v>
      </c>
      <c r="AN1502" s="11">
        <f t="shared" si="498"/>
        <v>36000</v>
      </c>
      <c r="AO1502" s="11">
        <f t="shared" si="499"/>
        <v>0</v>
      </c>
      <c r="AP1502" s="11">
        <f t="shared" si="500"/>
        <v>0.62865725571213515</v>
      </c>
      <c r="AQ1502" s="11">
        <f t="shared" si="501"/>
        <v>0</v>
      </c>
      <c r="AT1502" s="3"/>
      <c r="AU1502" s="17"/>
      <c r="AV1502" s="19"/>
      <c r="AW1502" s="17"/>
      <c r="AX1502" s="17">
        <f t="shared" si="495"/>
        <v>1493</v>
      </c>
      <c r="AY1502" s="17">
        <f t="shared" si="502"/>
        <v>149.30000000000001</v>
      </c>
      <c r="AZ1502" s="17">
        <v>62.865725571213517</v>
      </c>
      <c r="BA1502" s="17"/>
      <c r="BB1502" s="17">
        <v>36</v>
      </c>
      <c r="BC1502" s="17"/>
      <c r="BD1502" s="17"/>
      <c r="BE1502" s="17"/>
      <c r="BF1502" s="17"/>
      <c r="BG1502" s="17"/>
      <c r="BH1502" s="17"/>
      <c r="BI1502" s="17"/>
      <c r="BJ1502" s="17"/>
      <c r="BK1502" s="17"/>
      <c r="BL1502" s="17"/>
      <c r="BM1502" s="17"/>
      <c r="BN1502" s="17"/>
      <c r="BO1502" s="17"/>
      <c r="BP1502" s="17"/>
      <c r="BQ1502" s="17"/>
      <c r="BR1502" s="17"/>
      <c r="BS1502" s="17"/>
      <c r="BT1502" s="17"/>
      <c r="BU1502" s="17"/>
      <c r="BV1502" s="17"/>
      <c r="BW1502" s="17"/>
      <c r="BX1502" s="17"/>
      <c r="BY1502" s="17"/>
      <c r="BZ1502" s="17"/>
      <c r="CA1502" s="17"/>
      <c r="CB1502" s="17"/>
      <c r="CC1502" s="17"/>
      <c r="CD1502" s="17"/>
      <c r="CE1502" s="17"/>
      <c r="CF1502" s="17"/>
      <c r="CG1502" s="17"/>
      <c r="CH1502" s="17"/>
    </row>
    <row r="1503" spans="35:86" x14ac:dyDescent="0.15">
      <c r="AI1503" s="3"/>
      <c r="AJ1503" s="3"/>
      <c r="AK1503" s="15">
        <f t="shared" si="497"/>
        <v>6</v>
      </c>
      <c r="AL1503" s="11">
        <f t="shared" si="494"/>
        <v>8964</v>
      </c>
      <c r="AM1503" s="11" t="b">
        <f t="shared" si="496"/>
        <v>0</v>
      </c>
      <c r="AN1503" s="11">
        <f t="shared" si="498"/>
        <v>36000</v>
      </c>
      <c r="AO1503" s="11">
        <f t="shared" si="499"/>
        <v>0</v>
      </c>
      <c r="AP1503" s="11">
        <f t="shared" si="500"/>
        <v>0.62975957052694997</v>
      </c>
      <c r="AQ1503" s="11">
        <f t="shared" si="501"/>
        <v>0</v>
      </c>
      <c r="AT1503" s="3"/>
      <c r="AU1503" s="17"/>
      <c r="AV1503" s="19"/>
      <c r="AW1503" s="17"/>
      <c r="AX1503" s="17">
        <f t="shared" si="495"/>
        <v>1494</v>
      </c>
      <c r="AY1503" s="17">
        <f t="shared" si="502"/>
        <v>149.4</v>
      </c>
      <c r="AZ1503" s="17">
        <v>62.975957052694994</v>
      </c>
      <c r="BA1503" s="17"/>
      <c r="BB1503" s="17">
        <v>36</v>
      </c>
      <c r="BC1503" s="17"/>
      <c r="BD1503" s="17"/>
      <c r="BE1503" s="17"/>
      <c r="BF1503" s="17"/>
      <c r="BG1503" s="17"/>
      <c r="BH1503" s="17"/>
      <c r="BI1503" s="17"/>
      <c r="BJ1503" s="17"/>
      <c r="BK1503" s="17"/>
      <c r="BL1503" s="17"/>
      <c r="BM1503" s="17"/>
      <c r="BN1503" s="17"/>
      <c r="BO1503" s="17"/>
      <c r="BP1503" s="17"/>
      <c r="BQ1503" s="17"/>
      <c r="BR1503" s="17"/>
      <c r="BS1503" s="17"/>
      <c r="BT1503" s="17"/>
      <c r="BU1503" s="17"/>
      <c r="BV1503" s="17"/>
      <c r="BW1503" s="17"/>
      <c r="BX1503" s="17"/>
      <c r="BY1503" s="17"/>
      <c r="BZ1503" s="17"/>
      <c r="CA1503" s="17"/>
      <c r="CB1503" s="17"/>
      <c r="CC1503" s="17"/>
      <c r="CD1503" s="17"/>
      <c r="CE1503" s="17"/>
      <c r="CF1503" s="17"/>
      <c r="CG1503" s="17"/>
      <c r="CH1503" s="17"/>
    </row>
    <row r="1504" spans="35:86" x14ac:dyDescent="0.15">
      <c r="AI1504" s="3"/>
      <c r="AJ1504" s="3"/>
      <c r="AK1504" s="15">
        <f t="shared" si="497"/>
        <v>6</v>
      </c>
      <c r="AL1504" s="11">
        <f t="shared" si="494"/>
        <v>8970</v>
      </c>
      <c r="AM1504" s="11" t="b">
        <f t="shared" si="496"/>
        <v>0</v>
      </c>
      <c r="AN1504" s="11">
        <f t="shared" si="498"/>
        <v>36000</v>
      </c>
      <c r="AO1504" s="11">
        <f t="shared" si="499"/>
        <v>0</v>
      </c>
      <c r="AP1504" s="11">
        <f t="shared" si="500"/>
        <v>0.63086188534176479</v>
      </c>
      <c r="AQ1504" s="11">
        <f t="shared" si="501"/>
        <v>0</v>
      </c>
      <c r="AT1504" s="3"/>
      <c r="AU1504" s="17"/>
      <c r="AV1504" s="19"/>
      <c r="AW1504" s="17"/>
      <c r="AX1504" s="17">
        <f t="shared" si="495"/>
        <v>1495</v>
      </c>
      <c r="AY1504" s="17">
        <f t="shared" si="502"/>
        <v>149.5</v>
      </c>
      <c r="AZ1504" s="17">
        <v>63.086188534176479</v>
      </c>
      <c r="BA1504" s="17"/>
      <c r="BB1504" s="17">
        <v>36</v>
      </c>
      <c r="BC1504" s="17"/>
      <c r="BD1504" s="17"/>
      <c r="BE1504" s="17"/>
      <c r="BF1504" s="17"/>
      <c r="BG1504" s="17"/>
      <c r="BH1504" s="17"/>
      <c r="BI1504" s="17"/>
      <c r="BJ1504" s="17"/>
      <c r="BK1504" s="17"/>
      <c r="BL1504" s="17"/>
      <c r="BM1504" s="17"/>
      <c r="BN1504" s="17"/>
      <c r="BO1504" s="17"/>
      <c r="BP1504" s="17"/>
      <c r="BQ1504" s="17"/>
      <c r="BR1504" s="17"/>
      <c r="BS1504" s="17"/>
      <c r="BT1504" s="17"/>
      <c r="BU1504" s="17"/>
      <c r="BV1504" s="17"/>
      <c r="BW1504" s="17"/>
      <c r="BX1504" s="17"/>
      <c r="BY1504" s="17"/>
      <c r="BZ1504" s="17"/>
      <c r="CA1504" s="17"/>
      <c r="CB1504" s="17"/>
      <c r="CC1504" s="17"/>
      <c r="CD1504" s="17"/>
      <c r="CE1504" s="17"/>
      <c r="CF1504" s="17"/>
      <c r="CG1504" s="17"/>
      <c r="CH1504" s="17"/>
    </row>
    <row r="1505" spans="35:86" x14ac:dyDescent="0.15">
      <c r="AI1505" s="3"/>
      <c r="AJ1505" s="3"/>
      <c r="AK1505" s="15">
        <f t="shared" si="497"/>
        <v>6</v>
      </c>
      <c r="AL1505" s="11">
        <f t="shared" si="494"/>
        <v>8976</v>
      </c>
      <c r="AM1505" s="11" t="b">
        <f t="shared" si="496"/>
        <v>0</v>
      </c>
      <c r="AN1505" s="11">
        <f t="shared" si="498"/>
        <v>36000</v>
      </c>
      <c r="AO1505" s="11">
        <f t="shared" si="499"/>
        <v>0</v>
      </c>
      <c r="AP1505" s="11">
        <f t="shared" si="500"/>
        <v>0.63196420015657961</v>
      </c>
      <c r="AQ1505" s="11">
        <f t="shared" si="501"/>
        <v>0</v>
      </c>
      <c r="AT1505" s="3"/>
      <c r="AU1505" s="17"/>
      <c r="AV1505" s="19"/>
      <c r="AW1505" s="17"/>
      <c r="AX1505" s="17">
        <f t="shared" si="495"/>
        <v>1496</v>
      </c>
      <c r="AY1505" s="17">
        <f t="shared" si="502"/>
        <v>149.6</v>
      </c>
      <c r="AZ1505" s="17">
        <v>63.196420015657964</v>
      </c>
      <c r="BA1505" s="17"/>
      <c r="BB1505" s="17">
        <v>36</v>
      </c>
      <c r="BC1505" s="17"/>
      <c r="BD1505" s="17"/>
      <c r="BE1505" s="17"/>
      <c r="BF1505" s="17"/>
      <c r="BG1505" s="17"/>
      <c r="BH1505" s="17"/>
      <c r="BI1505" s="17"/>
      <c r="BJ1505" s="17"/>
      <c r="BK1505" s="17"/>
      <c r="BL1505" s="17"/>
      <c r="BM1505" s="17"/>
      <c r="BN1505" s="17"/>
      <c r="BO1505" s="17"/>
      <c r="BP1505" s="17"/>
      <c r="BQ1505" s="17"/>
      <c r="BR1505" s="17"/>
      <c r="BS1505" s="17"/>
      <c r="BT1505" s="17"/>
      <c r="BU1505" s="17"/>
      <c r="BV1505" s="17"/>
      <c r="BW1505" s="17"/>
      <c r="BX1505" s="17"/>
      <c r="BY1505" s="17"/>
      <c r="BZ1505" s="17"/>
      <c r="CA1505" s="17"/>
      <c r="CB1505" s="17"/>
      <c r="CC1505" s="17"/>
      <c r="CD1505" s="17"/>
      <c r="CE1505" s="17"/>
      <c r="CF1505" s="17"/>
      <c r="CG1505" s="17"/>
      <c r="CH1505" s="17"/>
    </row>
    <row r="1506" spans="35:86" x14ac:dyDescent="0.15">
      <c r="AI1506" s="3"/>
      <c r="AJ1506" s="3"/>
      <c r="AK1506" s="15">
        <f t="shared" si="497"/>
        <v>6</v>
      </c>
      <c r="AL1506" s="11">
        <f t="shared" si="494"/>
        <v>8982</v>
      </c>
      <c r="AM1506" s="11" t="b">
        <f t="shared" si="496"/>
        <v>0</v>
      </c>
      <c r="AN1506" s="11">
        <f t="shared" si="498"/>
        <v>36000</v>
      </c>
      <c r="AO1506" s="11">
        <f t="shared" si="499"/>
        <v>0</v>
      </c>
      <c r="AP1506" s="11">
        <f t="shared" si="500"/>
        <v>0.63306651497139454</v>
      </c>
      <c r="AQ1506" s="11">
        <f t="shared" si="501"/>
        <v>0</v>
      </c>
      <c r="AT1506" s="3"/>
      <c r="AU1506" s="17"/>
      <c r="AV1506" s="19"/>
      <c r="AW1506" s="17"/>
      <c r="AX1506" s="17">
        <f t="shared" si="495"/>
        <v>1497</v>
      </c>
      <c r="AY1506" s="17">
        <f t="shared" si="502"/>
        <v>149.69999999999999</v>
      </c>
      <c r="AZ1506" s="17">
        <v>63.306651497139455</v>
      </c>
      <c r="BA1506" s="17"/>
      <c r="BB1506" s="17">
        <v>36</v>
      </c>
      <c r="BC1506" s="17"/>
      <c r="BD1506" s="17"/>
      <c r="BE1506" s="17"/>
      <c r="BF1506" s="17"/>
      <c r="BG1506" s="17"/>
      <c r="BH1506" s="17"/>
      <c r="BI1506" s="17"/>
      <c r="BJ1506" s="17"/>
      <c r="BK1506" s="17"/>
      <c r="BL1506" s="17"/>
      <c r="BM1506" s="17"/>
      <c r="BN1506" s="17"/>
      <c r="BO1506" s="17"/>
      <c r="BP1506" s="17"/>
      <c r="BQ1506" s="17"/>
      <c r="BR1506" s="17"/>
      <c r="BS1506" s="17"/>
      <c r="BT1506" s="17"/>
      <c r="BU1506" s="17"/>
      <c r="BV1506" s="17"/>
      <c r="BW1506" s="17"/>
      <c r="BX1506" s="17"/>
      <c r="BY1506" s="17"/>
      <c r="BZ1506" s="17"/>
      <c r="CA1506" s="17"/>
      <c r="CB1506" s="17"/>
      <c r="CC1506" s="17"/>
      <c r="CD1506" s="17"/>
      <c r="CE1506" s="17"/>
      <c r="CF1506" s="17"/>
      <c r="CG1506" s="17"/>
      <c r="CH1506" s="17"/>
    </row>
    <row r="1507" spans="35:86" x14ac:dyDescent="0.15">
      <c r="AI1507" s="3"/>
      <c r="AJ1507" s="3"/>
      <c r="AK1507" s="15">
        <f t="shared" si="497"/>
        <v>6</v>
      </c>
      <c r="AL1507" s="11">
        <f t="shared" si="494"/>
        <v>8988</v>
      </c>
      <c r="AM1507" s="11" t="b">
        <f t="shared" si="496"/>
        <v>0</v>
      </c>
      <c r="AN1507" s="11">
        <f t="shared" si="498"/>
        <v>36000</v>
      </c>
      <c r="AO1507" s="11">
        <f t="shared" si="499"/>
        <v>0</v>
      </c>
      <c r="AP1507" s="11">
        <f t="shared" si="500"/>
        <v>0.63416882978620936</v>
      </c>
      <c r="AQ1507" s="11">
        <f t="shared" si="501"/>
        <v>0</v>
      </c>
      <c r="AT1507" s="3"/>
      <c r="AU1507" s="17"/>
      <c r="AV1507" s="19"/>
      <c r="AW1507" s="17"/>
      <c r="AX1507" s="17">
        <f t="shared" si="495"/>
        <v>1498</v>
      </c>
      <c r="AY1507" s="17">
        <f t="shared" si="502"/>
        <v>149.80000000000001</v>
      </c>
      <c r="AZ1507" s="17">
        <v>63.416882978620933</v>
      </c>
      <c r="BA1507" s="17"/>
      <c r="BB1507" s="17">
        <v>36</v>
      </c>
      <c r="BC1507" s="17"/>
      <c r="BD1507" s="17"/>
      <c r="BE1507" s="17"/>
      <c r="BF1507" s="17"/>
      <c r="BG1507" s="17"/>
      <c r="BH1507" s="17"/>
      <c r="BI1507" s="17"/>
      <c r="BJ1507" s="17"/>
      <c r="BK1507" s="17"/>
      <c r="BL1507" s="17"/>
      <c r="BM1507" s="17"/>
      <c r="BN1507" s="17"/>
      <c r="BO1507" s="17"/>
      <c r="BP1507" s="17"/>
      <c r="BQ1507" s="17"/>
      <c r="BR1507" s="17"/>
      <c r="BS1507" s="17"/>
      <c r="BT1507" s="17"/>
      <c r="BU1507" s="17"/>
      <c r="BV1507" s="17"/>
      <c r="BW1507" s="17"/>
      <c r="BX1507" s="17"/>
      <c r="BY1507" s="17"/>
      <c r="BZ1507" s="17"/>
      <c r="CA1507" s="17"/>
      <c r="CB1507" s="17"/>
      <c r="CC1507" s="17"/>
      <c r="CD1507" s="17"/>
      <c r="CE1507" s="17"/>
      <c r="CF1507" s="17"/>
      <c r="CG1507" s="17"/>
      <c r="CH1507" s="17"/>
    </row>
    <row r="1508" spans="35:86" x14ac:dyDescent="0.15">
      <c r="AI1508" s="3"/>
      <c r="AJ1508" s="3"/>
      <c r="AK1508" s="15">
        <f t="shared" si="497"/>
        <v>6</v>
      </c>
      <c r="AL1508" s="11">
        <f t="shared" si="494"/>
        <v>8994</v>
      </c>
      <c r="AM1508" s="11" t="b">
        <f t="shared" si="496"/>
        <v>0</v>
      </c>
      <c r="AN1508" s="11">
        <f t="shared" si="498"/>
        <v>36000</v>
      </c>
      <c r="AO1508" s="11">
        <f t="shared" si="499"/>
        <v>0</v>
      </c>
      <c r="AP1508" s="11">
        <f t="shared" si="500"/>
        <v>0.63527114460102418</v>
      </c>
      <c r="AQ1508" s="11">
        <f t="shared" si="501"/>
        <v>0</v>
      </c>
      <c r="AT1508" s="3"/>
      <c r="AU1508" s="17"/>
      <c r="AV1508" s="19"/>
      <c r="AW1508" s="17"/>
      <c r="AX1508" s="17">
        <f t="shared" si="495"/>
        <v>1499</v>
      </c>
      <c r="AY1508" s="17">
        <f t="shared" si="502"/>
        <v>149.9</v>
      </c>
      <c r="AZ1508" s="17">
        <v>63.527114460102418</v>
      </c>
      <c r="BA1508" s="17"/>
      <c r="BB1508" s="17">
        <v>36</v>
      </c>
      <c r="BC1508" s="17"/>
      <c r="BD1508" s="17"/>
      <c r="BE1508" s="17"/>
      <c r="BF1508" s="17"/>
      <c r="BG1508" s="17"/>
      <c r="BH1508" s="17"/>
      <c r="BI1508" s="17"/>
      <c r="BJ1508" s="17"/>
      <c r="BK1508" s="17"/>
      <c r="BL1508" s="17"/>
      <c r="BM1508" s="17"/>
      <c r="BN1508" s="17"/>
      <c r="BO1508" s="17"/>
      <c r="BP1508" s="17"/>
      <c r="BQ1508" s="17"/>
      <c r="BR1508" s="17"/>
      <c r="BS1508" s="17"/>
      <c r="BT1508" s="17"/>
      <c r="BU1508" s="17"/>
      <c r="BV1508" s="17"/>
      <c r="BW1508" s="17"/>
      <c r="BX1508" s="17"/>
      <c r="BY1508" s="17"/>
      <c r="BZ1508" s="17"/>
      <c r="CA1508" s="17"/>
      <c r="CB1508" s="17"/>
      <c r="CC1508" s="17"/>
      <c r="CD1508" s="17"/>
      <c r="CE1508" s="17"/>
      <c r="CF1508" s="17"/>
      <c r="CG1508" s="17"/>
      <c r="CH1508" s="17"/>
    </row>
    <row r="1509" spans="35:86" x14ac:dyDescent="0.15">
      <c r="AI1509" s="3"/>
      <c r="AJ1509" s="3"/>
      <c r="AK1509" s="15">
        <f t="shared" si="497"/>
        <v>6</v>
      </c>
      <c r="AL1509" s="11">
        <f t="shared" si="494"/>
        <v>9000</v>
      </c>
      <c r="AM1509" s="11" t="b">
        <f t="shared" si="496"/>
        <v>0</v>
      </c>
      <c r="AN1509" s="11">
        <f t="shared" si="498"/>
        <v>36000</v>
      </c>
      <c r="AO1509" s="11">
        <f t="shared" si="499"/>
        <v>0</v>
      </c>
      <c r="AP1509" s="11">
        <f t="shared" si="500"/>
        <v>0.636373459415839</v>
      </c>
      <c r="AQ1509" s="11">
        <f t="shared" si="501"/>
        <v>0</v>
      </c>
      <c r="AT1509" s="3"/>
      <c r="AU1509" s="17"/>
      <c r="AV1509" s="19"/>
      <c r="AW1509" s="17"/>
      <c r="AX1509" s="17">
        <f t="shared" si="495"/>
        <v>1500</v>
      </c>
      <c r="AY1509" s="17">
        <f t="shared" si="502"/>
        <v>150</v>
      </c>
      <c r="AZ1509" s="17">
        <v>63.637345941583902</v>
      </c>
      <c r="BA1509" s="17"/>
      <c r="BB1509" s="17">
        <v>36</v>
      </c>
      <c r="BC1509" s="17"/>
      <c r="BD1509" s="17"/>
      <c r="BE1509" s="17"/>
      <c r="BF1509" s="17"/>
      <c r="BG1509" s="17"/>
      <c r="BH1509" s="17"/>
      <c r="BI1509" s="17"/>
      <c r="BJ1509" s="17"/>
      <c r="BK1509" s="17"/>
      <c r="BL1509" s="17"/>
      <c r="BM1509" s="17"/>
      <c r="BN1509" s="17"/>
      <c r="BO1509" s="17"/>
      <c r="BP1509" s="17"/>
      <c r="BQ1509" s="17"/>
      <c r="BR1509" s="17"/>
      <c r="BS1509" s="17"/>
      <c r="BT1509" s="17"/>
      <c r="BU1509" s="17"/>
      <c r="BV1509" s="17"/>
      <c r="BW1509" s="17"/>
      <c r="BX1509" s="17"/>
      <c r="BY1509" s="17"/>
      <c r="BZ1509" s="17"/>
      <c r="CA1509" s="17"/>
      <c r="CB1509" s="17"/>
      <c r="CC1509" s="17"/>
      <c r="CD1509" s="17"/>
      <c r="CE1509" s="17"/>
      <c r="CF1509" s="17"/>
      <c r="CG1509" s="17"/>
      <c r="CH1509" s="17"/>
    </row>
    <row r="1510" spans="35:86" x14ac:dyDescent="0.15">
      <c r="AI1510" s="3"/>
      <c r="AJ1510" s="3"/>
      <c r="AK1510" s="15">
        <f t="shared" si="497"/>
        <v>6</v>
      </c>
      <c r="AL1510" s="11">
        <f t="shared" si="494"/>
        <v>9006</v>
      </c>
      <c r="AM1510" s="11" t="b">
        <f t="shared" si="496"/>
        <v>0</v>
      </c>
      <c r="AN1510" s="11">
        <f t="shared" si="498"/>
        <v>36000</v>
      </c>
      <c r="AO1510" s="11">
        <f t="shared" si="499"/>
        <v>0</v>
      </c>
      <c r="AP1510" s="11">
        <f t="shared" si="500"/>
        <v>0.63747577423065382</v>
      </c>
      <c r="AQ1510" s="11">
        <f t="shared" si="501"/>
        <v>0</v>
      </c>
      <c r="AT1510" s="3"/>
      <c r="AU1510" s="17"/>
      <c r="AV1510" s="19"/>
      <c r="AW1510" s="17"/>
      <c r="AX1510" s="17">
        <f t="shared" si="495"/>
        <v>1501</v>
      </c>
      <c r="AY1510" s="17">
        <f t="shared" si="502"/>
        <v>150.1</v>
      </c>
      <c r="AZ1510" s="17">
        <v>63.74757742306538</v>
      </c>
      <c r="BA1510" s="17"/>
      <c r="BB1510" s="17">
        <v>36</v>
      </c>
      <c r="BC1510" s="17"/>
      <c r="BD1510" s="17"/>
      <c r="BE1510" s="17"/>
      <c r="BF1510" s="17"/>
      <c r="BG1510" s="17"/>
      <c r="BH1510" s="17"/>
      <c r="BI1510" s="17"/>
      <c r="BJ1510" s="17"/>
      <c r="BK1510" s="17"/>
      <c r="BL1510" s="17"/>
      <c r="BM1510" s="17"/>
      <c r="BN1510" s="17"/>
      <c r="BO1510" s="17"/>
      <c r="BP1510" s="17"/>
      <c r="BQ1510" s="17"/>
      <c r="BR1510" s="17"/>
      <c r="BS1510" s="17"/>
      <c r="BT1510" s="17"/>
      <c r="BU1510" s="17"/>
      <c r="BV1510" s="17"/>
      <c r="BW1510" s="17"/>
      <c r="BX1510" s="17"/>
      <c r="BY1510" s="17"/>
      <c r="BZ1510" s="17"/>
      <c r="CA1510" s="17"/>
      <c r="CB1510" s="17"/>
      <c r="CC1510" s="17"/>
      <c r="CD1510" s="17"/>
      <c r="CE1510" s="17"/>
      <c r="CF1510" s="17"/>
      <c r="CG1510" s="17"/>
      <c r="CH1510" s="17"/>
    </row>
    <row r="1511" spans="35:86" x14ac:dyDescent="0.15">
      <c r="AI1511" s="3"/>
      <c r="AJ1511" s="3"/>
      <c r="AK1511" s="15">
        <f t="shared" si="497"/>
        <v>6</v>
      </c>
      <c r="AL1511" s="11">
        <f t="shared" si="494"/>
        <v>9012</v>
      </c>
      <c r="AM1511" s="11" t="b">
        <f t="shared" si="496"/>
        <v>0</v>
      </c>
      <c r="AN1511" s="11">
        <f t="shared" si="498"/>
        <v>36000</v>
      </c>
      <c r="AO1511" s="11">
        <f t="shared" si="499"/>
        <v>0</v>
      </c>
      <c r="AP1511" s="11">
        <f t="shared" si="500"/>
        <v>0.63857808904546876</v>
      </c>
      <c r="AQ1511" s="11">
        <f t="shared" si="501"/>
        <v>0</v>
      </c>
      <c r="AT1511" s="3"/>
      <c r="AU1511" s="17"/>
      <c r="AV1511" s="19"/>
      <c r="AW1511" s="17"/>
      <c r="AX1511" s="17">
        <f t="shared" si="495"/>
        <v>1502</v>
      </c>
      <c r="AY1511" s="17">
        <f t="shared" si="502"/>
        <v>150.19999999999999</v>
      </c>
      <c r="AZ1511" s="17">
        <v>63.857808904546879</v>
      </c>
      <c r="BA1511" s="17"/>
      <c r="BB1511" s="17">
        <v>36</v>
      </c>
      <c r="BC1511" s="17"/>
      <c r="BD1511" s="17"/>
      <c r="BE1511" s="17"/>
      <c r="BF1511" s="17"/>
      <c r="BG1511" s="17"/>
      <c r="BH1511" s="17"/>
      <c r="BI1511" s="17"/>
      <c r="BJ1511" s="17"/>
      <c r="BK1511" s="17"/>
      <c r="BL1511" s="17"/>
      <c r="BM1511" s="17"/>
      <c r="BN1511" s="17"/>
      <c r="BO1511" s="17"/>
      <c r="BP1511" s="17"/>
      <c r="BQ1511" s="17"/>
      <c r="BR1511" s="17"/>
      <c r="BS1511" s="17"/>
      <c r="BT1511" s="17"/>
      <c r="BU1511" s="17"/>
      <c r="BV1511" s="17"/>
      <c r="BW1511" s="17"/>
      <c r="BX1511" s="17"/>
      <c r="BY1511" s="17"/>
      <c r="BZ1511" s="17"/>
      <c r="CA1511" s="17"/>
      <c r="CB1511" s="17"/>
      <c r="CC1511" s="17"/>
      <c r="CD1511" s="17"/>
      <c r="CE1511" s="17"/>
      <c r="CF1511" s="17"/>
      <c r="CG1511" s="17"/>
      <c r="CH1511" s="17"/>
    </row>
    <row r="1512" spans="35:86" x14ac:dyDescent="0.15">
      <c r="AI1512" s="3"/>
      <c r="AJ1512" s="3"/>
      <c r="AK1512" s="15">
        <f t="shared" si="497"/>
        <v>6</v>
      </c>
      <c r="AL1512" s="11">
        <f t="shared" si="494"/>
        <v>9018</v>
      </c>
      <c r="AM1512" s="11" t="b">
        <f t="shared" si="496"/>
        <v>0</v>
      </c>
      <c r="AN1512" s="11">
        <f t="shared" si="498"/>
        <v>36000</v>
      </c>
      <c r="AO1512" s="11">
        <f t="shared" si="499"/>
        <v>0</v>
      </c>
      <c r="AP1512" s="11">
        <f t="shared" si="500"/>
        <v>0.63968040386028358</v>
      </c>
      <c r="AQ1512" s="11">
        <f t="shared" si="501"/>
        <v>0</v>
      </c>
      <c r="AT1512" s="3"/>
      <c r="AU1512" s="17"/>
      <c r="AV1512" s="19"/>
      <c r="AW1512" s="17"/>
      <c r="AX1512" s="17">
        <f t="shared" si="495"/>
        <v>1503</v>
      </c>
      <c r="AY1512" s="17">
        <f t="shared" si="502"/>
        <v>150.30000000000001</v>
      </c>
      <c r="AZ1512" s="17">
        <v>63.968040386028356</v>
      </c>
      <c r="BA1512" s="17"/>
      <c r="BB1512" s="17">
        <v>36</v>
      </c>
      <c r="BC1512" s="17"/>
      <c r="BD1512" s="17"/>
      <c r="BE1512" s="17"/>
      <c r="BF1512" s="17"/>
      <c r="BG1512" s="17"/>
      <c r="BH1512" s="17"/>
      <c r="BI1512" s="17"/>
      <c r="BJ1512" s="17"/>
      <c r="BK1512" s="17"/>
      <c r="BL1512" s="17"/>
      <c r="BM1512" s="17"/>
      <c r="BN1512" s="17"/>
      <c r="BO1512" s="17"/>
      <c r="BP1512" s="17"/>
      <c r="BQ1512" s="17"/>
      <c r="BR1512" s="17"/>
      <c r="BS1512" s="17"/>
      <c r="BT1512" s="17"/>
      <c r="BU1512" s="17"/>
      <c r="BV1512" s="17"/>
      <c r="BW1512" s="17"/>
      <c r="BX1512" s="17"/>
      <c r="BY1512" s="17"/>
      <c r="BZ1512" s="17"/>
      <c r="CA1512" s="17"/>
      <c r="CB1512" s="17"/>
      <c r="CC1512" s="17"/>
      <c r="CD1512" s="17"/>
      <c r="CE1512" s="17"/>
      <c r="CF1512" s="17"/>
      <c r="CG1512" s="17"/>
      <c r="CH1512" s="17"/>
    </row>
    <row r="1513" spans="35:86" x14ac:dyDescent="0.15">
      <c r="AI1513" s="3"/>
      <c r="AJ1513" s="3"/>
      <c r="AK1513" s="15">
        <f t="shared" si="497"/>
        <v>6</v>
      </c>
      <c r="AL1513" s="11">
        <f t="shared" si="494"/>
        <v>9024</v>
      </c>
      <c r="AM1513" s="11" t="b">
        <f t="shared" si="496"/>
        <v>0</v>
      </c>
      <c r="AN1513" s="11">
        <f t="shared" si="498"/>
        <v>36000</v>
      </c>
      <c r="AO1513" s="11">
        <f t="shared" si="499"/>
        <v>0</v>
      </c>
      <c r="AP1513" s="11">
        <f t="shared" si="500"/>
        <v>0.64078271867509839</v>
      </c>
      <c r="AQ1513" s="11">
        <f t="shared" si="501"/>
        <v>0</v>
      </c>
      <c r="AT1513" s="3"/>
      <c r="AU1513" s="17"/>
      <c r="AV1513" s="19"/>
      <c r="AW1513" s="17"/>
      <c r="AX1513" s="17">
        <f t="shared" si="495"/>
        <v>1504</v>
      </c>
      <c r="AY1513" s="17">
        <f t="shared" si="502"/>
        <v>150.4</v>
      </c>
      <c r="AZ1513" s="17">
        <v>64.078271867509841</v>
      </c>
      <c r="BA1513" s="17"/>
      <c r="BB1513" s="17">
        <v>36</v>
      </c>
      <c r="BC1513" s="17"/>
      <c r="BD1513" s="17"/>
      <c r="BE1513" s="17"/>
      <c r="BF1513" s="17"/>
      <c r="BG1513" s="17"/>
      <c r="BH1513" s="17"/>
      <c r="BI1513" s="17"/>
      <c r="BJ1513" s="17"/>
      <c r="BK1513" s="17"/>
      <c r="BL1513" s="17"/>
      <c r="BM1513" s="17"/>
      <c r="BN1513" s="17"/>
      <c r="BO1513" s="17"/>
      <c r="BP1513" s="17"/>
      <c r="BQ1513" s="17"/>
      <c r="BR1513" s="17"/>
      <c r="BS1513" s="17"/>
      <c r="BT1513" s="17"/>
      <c r="BU1513" s="17"/>
      <c r="BV1513" s="17"/>
      <c r="BW1513" s="17"/>
      <c r="BX1513" s="17"/>
      <c r="BY1513" s="17"/>
      <c r="BZ1513" s="17"/>
      <c r="CA1513" s="17"/>
      <c r="CB1513" s="17"/>
      <c r="CC1513" s="17"/>
      <c r="CD1513" s="17"/>
      <c r="CE1513" s="17"/>
      <c r="CF1513" s="17"/>
      <c r="CG1513" s="17"/>
      <c r="CH1513" s="17"/>
    </row>
    <row r="1514" spans="35:86" x14ac:dyDescent="0.15">
      <c r="AI1514" s="3"/>
      <c r="AJ1514" s="3"/>
      <c r="AK1514" s="15">
        <f t="shared" si="497"/>
        <v>6</v>
      </c>
      <c r="AL1514" s="11">
        <f t="shared" si="494"/>
        <v>9030</v>
      </c>
      <c r="AM1514" s="11" t="b">
        <f t="shared" si="496"/>
        <v>0</v>
      </c>
      <c r="AN1514" s="11">
        <f t="shared" si="498"/>
        <v>36000</v>
      </c>
      <c r="AO1514" s="11">
        <f t="shared" si="499"/>
        <v>0</v>
      </c>
      <c r="AP1514" s="11">
        <f t="shared" si="500"/>
        <v>0.64188503348991321</v>
      </c>
      <c r="AQ1514" s="11">
        <f t="shared" si="501"/>
        <v>0</v>
      </c>
      <c r="AT1514" s="3"/>
      <c r="AU1514" s="17"/>
      <c r="AV1514" s="19"/>
      <c r="AW1514" s="17"/>
      <c r="AX1514" s="17">
        <f t="shared" si="495"/>
        <v>1505</v>
      </c>
      <c r="AY1514" s="17">
        <f t="shared" si="502"/>
        <v>150.5</v>
      </c>
      <c r="AZ1514" s="17">
        <v>64.188503348991318</v>
      </c>
      <c r="BA1514" s="17"/>
      <c r="BB1514" s="17">
        <v>36</v>
      </c>
      <c r="BC1514" s="17"/>
      <c r="BD1514" s="17"/>
      <c r="BE1514" s="17"/>
      <c r="BF1514" s="17"/>
      <c r="BG1514" s="17"/>
      <c r="BH1514" s="17"/>
      <c r="BI1514" s="17"/>
      <c r="BJ1514" s="17"/>
      <c r="BK1514" s="17"/>
      <c r="BL1514" s="17"/>
      <c r="BM1514" s="17"/>
      <c r="BN1514" s="17"/>
      <c r="BO1514" s="17"/>
      <c r="BP1514" s="17"/>
      <c r="BQ1514" s="17"/>
      <c r="BR1514" s="17"/>
      <c r="BS1514" s="17"/>
      <c r="BT1514" s="17"/>
      <c r="BU1514" s="17"/>
      <c r="BV1514" s="17"/>
      <c r="BW1514" s="17"/>
      <c r="BX1514" s="17"/>
      <c r="BY1514" s="17"/>
      <c r="BZ1514" s="17"/>
      <c r="CA1514" s="17"/>
      <c r="CB1514" s="17"/>
      <c r="CC1514" s="17"/>
      <c r="CD1514" s="17"/>
      <c r="CE1514" s="17"/>
      <c r="CF1514" s="17"/>
      <c r="CG1514" s="17"/>
      <c r="CH1514" s="17"/>
    </row>
    <row r="1515" spans="35:86" x14ac:dyDescent="0.15">
      <c r="AI1515" s="3"/>
      <c r="AJ1515" s="3"/>
      <c r="AK1515" s="15">
        <f t="shared" si="497"/>
        <v>6</v>
      </c>
      <c r="AL1515" s="11">
        <f t="shared" si="494"/>
        <v>9036</v>
      </c>
      <c r="AM1515" s="11" t="b">
        <f t="shared" si="496"/>
        <v>0</v>
      </c>
      <c r="AN1515" s="11">
        <f t="shared" si="498"/>
        <v>36000</v>
      </c>
      <c r="AO1515" s="11">
        <f t="shared" si="499"/>
        <v>0</v>
      </c>
      <c r="AP1515" s="11">
        <f t="shared" si="500"/>
        <v>0.64298734830472803</v>
      </c>
      <c r="AQ1515" s="11">
        <f t="shared" si="501"/>
        <v>0</v>
      </c>
      <c r="AT1515" s="3"/>
      <c r="AU1515" s="17"/>
      <c r="AV1515" s="19"/>
      <c r="AW1515" s="17"/>
      <c r="AX1515" s="17">
        <f t="shared" si="495"/>
        <v>1506</v>
      </c>
      <c r="AY1515" s="17">
        <f t="shared" si="502"/>
        <v>150.6</v>
      </c>
      <c r="AZ1515" s="17">
        <v>64.29873483047281</v>
      </c>
      <c r="BA1515" s="17"/>
      <c r="BB1515" s="17">
        <v>36</v>
      </c>
      <c r="BC1515" s="17"/>
      <c r="BD1515" s="17"/>
      <c r="BE1515" s="17"/>
      <c r="BF1515" s="17"/>
      <c r="BG1515" s="17"/>
      <c r="BH1515" s="17"/>
      <c r="BI1515" s="17"/>
      <c r="BJ1515" s="17"/>
      <c r="BK1515" s="17"/>
      <c r="BL1515" s="17"/>
      <c r="BM1515" s="17"/>
      <c r="BN1515" s="17"/>
      <c r="BO1515" s="17"/>
      <c r="BP1515" s="17"/>
      <c r="BQ1515" s="17"/>
      <c r="BR1515" s="17"/>
      <c r="BS1515" s="17"/>
      <c r="BT1515" s="17"/>
      <c r="BU1515" s="17"/>
      <c r="BV1515" s="17"/>
      <c r="BW1515" s="17"/>
      <c r="BX1515" s="17"/>
      <c r="BY1515" s="17"/>
      <c r="BZ1515" s="17"/>
      <c r="CA1515" s="17"/>
      <c r="CB1515" s="17"/>
      <c r="CC1515" s="17"/>
      <c r="CD1515" s="17"/>
      <c r="CE1515" s="17"/>
      <c r="CF1515" s="17"/>
      <c r="CG1515" s="17"/>
      <c r="CH1515" s="17"/>
    </row>
    <row r="1516" spans="35:86" x14ac:dyDescent="0.15">
      <c r="AI1516" s="3"/>
      <c r="AJ1516" s="3"/>
      <c r="AK1516" s="15">
        <f t="shared" si="497"/>
        <v>6</v>
      </c>
      <c r="AL1516" s="11">
        <f t="shared" si="494"/>
        <v>9042</v>
      </c>
      <c r="AM1516" s="11" t="b">
        <f t="shared" si="496"/>
        <v>0</v>
      </c>
      <c r="AN1516" s="11">
        <f t="shared" si="498"/>
        <v>36000</v>
      </c>
      <c r="AO1516" s="11">
        <f t="shared" si="499"/>
        <v>0</v>
      </c>
      <c r="AP1516" s="11">
        <f t="shared" si="500"/>
        <v>0.64408966311954297</v>
      </c>
      <c r="AQ1516" s="11">
        <f t="shared" si="501"/>
        <v>0</v>
      </c>
      <c r="AT1516" s="3"/>
      <c r="AU1516" s="17"/>
      <c r="AV1516" s="19"/>
      <c r="AW1516" s="17"/>
      <c r="AX1516" s="17">
        <f t="shared" si="495"/>
        <v>1507</v>
      </c>
      <c r="AY1516" s="17">
        <f t="shared" si="502"/>
        <v>150.69999999999999</v>
      </c>
      <c r="AZ1516" s="17">
        <v>64.408966311954302</v>
      </c>
      <c r="BA1516" s="17"/>
      <c r="BB1516" s="17">
        <v>36</v>
      </c>
      <c r="BC1516" s="17"/>
      <c r="BD1516" s="17"/>
      <c r="BE1516" s="17"/>
      <c r="BF1516" s="17"/>
      <c r="BG1516" s="17"/>
      <c r="BH1516" s="17"/>
      <c r="BI1516" s="17"/>
      <c r="BJ1516" s="17"/>
      <c r="BK1516" s="17"/>
      <c r="BL1516" s="17"/>
      <c r="BM1516" s="17"/>
      <c r="BN1516" s="17"/>
      <c r="BO1516" s="17"/>
      <c r="BP1516" s="17"/>
      <c r="BQ1516" s="17"/>
      <c r="BR1516" s="17"/>
      <c r="BS1516" s="17"/>
      <c r="BT1516" s="17"/>
      <c r="BU1516" s="17"/>
      <c r="BV1516" s="17"/>
      <c r="BW1516" s="17"/>
      <c r="BX1516" s="17"/>
      <c r="BY1516" s="17"/>
      <c r="BZ1516" s="17"/>
      <c r="CA1516" s="17"/>
      <c r="CB1516" s="17"/>
      <c r="CC1516" s="17"/>
      <c r="CD1516" s="17"/>
      <c r="CE1516" s="17"/>
      <c r="CF1516" s="17"/>
      <c r="CG1516" s="17"/>
      <c r="CH1516" s="17"/>
    </row>
    <row r="1517" spans="35:86" x14ac:dyDescent="0.15">
      <c r="AI1517" s="3"/>
      <c r="AJ1517" s="3"/>
      <c r="AK1517" s="15">
        <f t="shared" si="497"/>
        <v>6</v>
      </c>
      <c r="AL1517" s="11">
        <f t="shared" ref="AL1517:AL1561" si="503">AL1516+$AB$15</f>
        <v>9048</v>
      </c>
      <c r="AM1517" s="11" t="b">
        <f t="shared" si="496"/>
        <v>0</v>
      </c>
      <c r="AN1517" s="11">
        <f t="shared" si="498"/>
        <v>36000</v>
      </c>
      <c r="AO1517" s="11">
        <f t="shared" si="499"/>
        <v>0</v>
      </c>
      <c r="AP1517" s="11">
        <f t="shared" si="500"/>
        <v>0.64519197793435779</v>
      </c>
      <c r="AQ1517" s="11">
        <f t="shared" si="501"/>
        <v>0</v>
      </c>
      <c r="AT1517" s="3"/>
      <c r="AU1517" s="17"/>
      <c r="AV1517" s="19"/>
      <c r="AW1517" s="17"/>
      <c r="AX1517" s="17">
        <f t="shared" si="495"/>
        <v>1508</v>
      </c>
      <c r="AY1517" s="17">
        <f t="shared" si="502"/>
        <v>150.80000000000001</v>
      </c>
      <c r="AZ1517" s="17">
        <v>64.519197793435779</v>
      </c>
      <c r="BA1517" s="17"/>
      <c r="BB1517" s="17">
        <v>36</v>
      </c>
      <c r="BC1517" s="17"/>
      <c r="BD1517" s="17"/>
      <c r="BE1517" s="17"/>
      <c r="BF1517" s="17"/>
      <c r="BG1517" s="17"/>
      <c r="BH1517" s="17"/>
      <c r="BI1517" s="17"/>
      <c r="BJ1517" s="17"/>
      <c r="BK1517" s="17"/>
      <c r="BL1517" s="17"/>
      <c r="BM1517" s="17"/>
      <c r="BN1517" s="17"/>
      <c r="BO1517" s="17"/>
      <c r="BP1517" s="17"/>
      <c r="BQ1517" s="17"/>
      <c r="BR1517" s="17"/>
      <c r="BS1517" s="17"/>
      <c r="BT1517" s="17"/>
      <c r="BU1517" s="17"/>
      <c r="BV1517" s="17"/>
      <c r="BW1517" s="17"/>
      <c r="BX1517" s="17"/>
      <c r="BY1517" s="17"/>
      <c r="BZ1517" s="17"/>
      <c r="CA1517" s="17"/>
      <c r="CB1517" s="17"/>
      <c r="CC1517" s="17"/>
      <c r="CD1517" s="17"/>
      <c r="CE1517" s="17"/>
      <c r="CF1517" s="17"/>
      <c r="CG1517" s="17"/>
      <c r="CH1517" s="17"/>
    </row>
    <row r="1518" spans="35:86" x14ac:dyDescent="0.15">
      <c r="AI1518" s="3"/>
      <c r="AJ1518" s="3"/>
      <c r="AK1518" s="15">
        <f t="shared" si="497"/>
        <v>6</v>
      </c>
      <c r="AL1518" s="11">
        <f t="shared" si="503"/>
        <v>9054</v>
      </c>
      <c r="AM1518" s="11" t="b">
        <f t="shared" si="496"/>
        <v>0</v>
      </c>
      <c r="AN1518" s="11">
        <f t="shared" si="498"/>
        <v>36000</v>
      </c>
      <c r="AO1518" s="11">
        <f t="shared" si="499"/>
        <v>0</v>
      </c>
      <c r="AP1518" s="11">
        <f t="shared" si="500"/>
        <v>0.64629429274917261</v>
      </c>
      <c r="AQ1518" s="11">
        <f t="shared" si="501"/>
        <v>0</v>
      </c>
      <c r="AT1518" s="3"/>
      <c r="AU1518" s="17"/>
      <c r="AV1518" s="19"/>
      <c r="AW1518" s="17"/>
      <c r="AX1518" s="17">
        <f t="shared" ref="AX1518:AX1581" si="504">IF(AX1517&gt;=$AG$14,$AG$14,AX1517+1)</f>
        <v>1509</v>
      </c>
      <c r="AY1518" s="17">
        <f t="shared" si="502"/>
        <v>150.9</v>
      </c>
      <c r="AZ1518" s="17">
        <v>64.629429274917257</v>
      </c>
      <c r="BA1518" s="17"/>
      <c r="BB1518" s="17">
        <v>36</v>
      </c>
      <c r="BC1518" s="17"/>
      <c r="BD1518" s="17"/>
      <c r="BE1518" s="17"/>
      <c r="BF1518" s="17"/>
      <c r="BG1518" s="17"/>
      <c r="BH1518" s="17"/>
      <c r="BI1518" s="17"/>
      <c r="BJ1518" s="17"/>
      <c r="BK1518" s="17"/>
      <c r="BL1518" s="17"/>
      <c r="BM1518" s="17"/>
      <c r="BN1518" s="17"/>
      <c r="BO1518" s="17"/>
      <c r="BP1518" s="17"/>
      <c r="BQ1518" s="17"/>
      <c r="BR1518" s="17"/>
      <c r="BS1518" s="17"/>
      <c r="BT1518" s="17"/>
      <c r="BU1518" s="17"/>
      <c r="BV1518" s="17"/>
      <c r="BW1518" s="17"/>
      <c r="BX1518" s="17"/>
      <c r="BY1518" s="17"/>
      <c r="BZ1518" s="17"/>
      <c r="CA1518" s="17"/>
      <c r="CB1518" s="17"/>
      <c r="CC1518" s="17"/>
      <c r="CD1518" s="17"/>
      <c r="CE1518" s="17"/>
      <c r="CF1518" s="17"/>
      <c r="CG1518" s="17"/>
      <c r="CH1518" s="17"/>
    </row>
    <row r="1519" spans="35:86" x14ac:dyDescent="0.15">
      <c r="AI1519" s="3"/>
      <c r="AJ1519" s="3"/>
      <c r="AK1519" s="15">
        <f t="shared" si="497"/>
        <v>6</v>
      </c>
      <c r="AL1519" s="11">
        <f t="shared" si="503"/>
        <v>9060</v>
      </c>
      <c r="AM1519" s="11" t="b">
        <f t="shared" si="496"/>
        <v>0</v>
      </c>
      <c r="AN1519" s="11">
        <f t="shared" si="498"/>
        <v>36000</v>
      </c>
      <c r="AO1519" s="11">
        <f t="shared" si="499"/>
        <v>0</v>
      </c>
      <c r="AP1519" s="11">
        <f t="shared" si="500"/>
        <v>0.64739660756398743</v>
      </c>
      <c r="AQ1519" s="11">
        <f t="shared" si="501"/>
        <v>0</v>
      </c>
      <c r="AT1519" s="3"/>
      <c r="AU1519" s="17"/>
      <c r="AV1519" s="19"/>
      <c r="AW1519" s="17"/>
      <c r="AX1519" s="17">
        <f t="shared" si="504"/>
        <v>1510</v>
      </c>
      <c r="AY1519" s="17">
        <f t="shared" si="502"/>
        <v>151</v>
      </c>
      <c r="AZ1519" s="17">
        <v>64.739660756398749</v>
      </c>
      <c r="BA1519" s="17"/>
      <c r="BB1519" s="17">
        <v>36</v>
      </c>
      <c r="BC1519" s="17"/>
      <c r="BD1519" s="17"/>
      <c r="BE1519" s="17"/>
      <c r="BF1519" s="17"/>
      <c r="BG1519" s="17"/>
      <c r="BH1519" s="17"/>
      <c r="BI1519" s="17"/>
      <c r="BJ1519" s="17"/>
      <c r="BK1519" s="17"/>
      <c r="BL1519" s="17"/>
      <c r="BM1519" s="17"/>
      <c r="BN1519" s="17"/>
      <c r="BO1519" s="17"/>
      <c r="BP1519" s="17"/>
      <c r="BQ1519" s="17"/>
      <c r="BR1519" s="17"/>
      <c r="BS1519" s="17"/>
      <c r="BT1519" s="17"/>
      <c r="BU1519" s="17"/>
      <c r="BV1519" s="17"/>
      <c r="BW1519" s="17"/>
      <c r="BX1519" s="17"/>
      <c r="BY1519" s="17"/>
      <c r="BZ1519" s="17"/>
      <c r="CA1519" s="17"/>
      <c r="CB1519" s="17"/>
      <c r="CC1519" s="17"/>
      <c r="CD1519" s="17"/>
      <c r="CE1519" s="17"/>
      <c r="CF1519" s="17"/>
      <c r="CG1519" s="17"/>
      <c r="CH1519" s="17"/>
    </row>
    <row r="1520" spans="35:86" x14ac:dyDescent="0.15">
      <c r="AI1520" s="3"/>
      <c r="AJ1520" s="3"/>
      <c r="AK1520" s="15">
        <f t="shared" si="497"/>
        <v>6</v>
      </c>
      <c r="AL1520" s="11">
        <f t="shared" si="503"/>
        <v>9066</v>
      </c>
      <c r="AM1520" s="11" t="b">
        <f t="shared" si="496"/>
        <v>0</v>
      </c>
      <c r="AN1520" s="11">
        <f t="shared" si="498"/>
        <v>36000</v>
      </c>
      <c r="AO1520" s="11">
        <f t="shared" si="499"/>
        <v>0</v>
      </c>
      <c r="AP1520" s="11">
        <f t="shared" si="500"/>
        <v>0.64849892237880224</v>
      </c>
      <c r="AQ1520" s="11">
        <f t="shared" si="501"/>
        <v>0</v>
      </c>
      <c r="AT1520" s="3"/>
      <c r="AU1520" s="17"/>
      <c r="AV1520" s="19"/>
      <c r="AW1520" s="17"/>
      <c r="AX1520" s="17">
        <f t="shared" si="504"/>
        <v>1511</v>
      </c>
      <c r="AY1520" s="17">
        <f t="shared" si="502"/>
        <v>151.1</v>
      </c>
      <c r="AZ1520" s="17">
        <v>64.849892237880226</v>
      </c>
      <c r="BA1520" s="17"/>
      <c r="BB1520" s="17">
        <v>36</v>
      </c>
      <c r="BC1520" s="17"/>
      <c r="BD1520" s="17"/>
      <c r="BE1520" s="17"/>
      <c r="BF1520" s="17"/>
      <c r="BG1520" s="17"/>
      <c r="BH1520" s="17"/>
      <c r="BI1520" s="17"/>
      <c r="BJ1520" s="17"/>
      <c r="BK1520" s="17"/>
      <c r="BL1520" s="17"/>
      <c r="BM1520" s="17"/>
      <c r="BN1520" s="17"/>
      <c r="BO1520" s="17"/>
      <c r="BP1520" s="17"/>
      <c r="BQ1520" s="17"/>
      <c r="BR1520" s="17"/>
      <c r="BS1520" s="17"/>
      <c r="BT1520" s="17"/>
      <c r="BU1520" s="17"/>
      <c r="BV1520" s="17"/>
      <c r="BW1520" s="17"/>
      <c r="BX1520" s="17"/>
      <c r="BY1520" s="17"/>
      <c r="BZ1520" s="17"/>
      <c r="CA1520" s="17"/>
      <c r="CB1520" s="17"/>
      <c r="CC1520" s="17"/>
      <c r="CD1520" s="17"/>
      <c r="CE1520" s="17"/>
      <c r="CF1520" s="17"/>
      <c r="CG1520" s="17"/>
      <c r="CH1520" s="17"/>
    </row>
    <row r="1521" spans="35:86" x14ac:dyDescent="0.15">
      <c r="AI1521" s="3"/>
      <c r="AJ1521" s="3"/>
      <c r="AK1521" s="15">
        <f t="shared" si="497"/>
        <v>6</v>
      </c>
      <c r="AL1521" s="11">
        <f t="shared" si="503"/>
        <v>9072</v>
      </c>
      <c r="AM1521" s="11" t="b">
        <f t="shared" si="496"/>
        <v>0</v>
      </c>
      <c r="AN1521" s="11">
        <f t="shared" si="498"/>
        <v>36000</v>
      </c>
      <c r="AO1521" s="11">
        <f t="shared" si="499"/>
        <v>0</v>
      </c>
      <c r="AP1521" s="11">
        <f t="shared" si="500"/>
        <v>0.64960123719361718</v>
      </c>
      <c r="AQ1521" s="11">
        <f t="shared" si="501"/>
        <v>0</v>
      </c>
      <c r="AT1521" s="3"/>
      <c r="AU1521" s="17"/>
      <c r="AV1521" s="19"/>
      <c r="AW1521" s="17"/>
      <c r="AX1521" s="17">
        <f t="shared" si="504"/>
        <v>1512</v>
      </c>
      <c r="AY1521" s="17">
        <f t="shared" si="502"/>
        <v>151.19999999999999</v>
      </c>
      <c r="AZ1521" s="17">
        <v>64.960123719361718</v>
      </c>
      <c r="BA1521" s="17"/>
      <c r="BB1521" s="17">
        <v>36</v>
      </c>
      <c r="BC1521" s="17"/>
      <c r="BD1521" s="17"/>
      <c r="BE1521" s="17"/>
      <c r="BF1521" s="17"/>
      <c r="BG1521" s="17"/>
      <c r="BH1521" s="17"/>
      <c r="BI1521" s="17"/>
      <c r="BJ1521" s="17"/>
      <c r="BK1521" s="17"/>
      <c r="BL1521" s="17"/>
      <c r="BM1521" s="17"/>
      <c r="BN1521" s="17"/>
      <c r="BO1521" s="17"/>
      <c r="BP1521" s="17"/>
      <c r="BQ1521" s="17"/>
      <c r="BR1521" s="17"/>
      <c r="BS1521" s="17"/>
      <c r="BT1521" s="17"/>
      <c r="BU1521" s="17"/>
      <c r="BV1521" s="17"/>
      <c r="BW1521" s="17"/>
      <c r="BX1521" s="17"/>
      <c r="BY1521" s="17"/>
      <c r="BZ1521" s="17"/>
      <c r="CA1521" s="17"/>
      <c r="CB1521" s="17"/>
      <c r="CC1521" s="17"/>
      <c r="CD1521" s="17"/>
      <c r="CE1521" s="17"/>
      <c r="CF1521" s="17"/>
      <c r="CG1521" s="17"/>
      <c r="CH1521" s="17"/>
    </row>
    <row r="1522" spans="35:86" x14ac:dyDescent="0.15">
      <c r="AI1522" s="3"/>
      <c r="AJ1522" s="3"/>
      <c r="AK1522" s="15">
        <f t="shared" si="497"/>
        <v>6</v>
      </c>
      <c r="AL1522" s="11">
        <f t="shared" si="503"/>
        <v>9078</v>
      </c>
      <c r="AM1522" s="11" t="b">
        <f t="shared" si="496"/>
        <v>0</v>
      </c>
      <c r="AN1522" s="11">
        <f t="shared" si="498"/>
        <v>36000</v>
      </c>
      <c r="AO1522" s="11">
        <f t="shared" si="499"/>
        <v>0</v>
      </c>
      <c r="AP1522" s="11">
        <f t="shared" si="500"/>
        <v>0.650703552008432</v>
      </c>
      <c r="AQ1522" s="11">
        <f t="shared" si="501"/>
        <v>0</v>
      </c>
      <c r="AT1522" s="3"/>
      <c r="AU1522" s="17"/>
      <c r="AV1522" s="19"/>
      <c r="AW1522" s="17"/>
      <c r="AX1522" s="17">
        <f t="shared" si="504"/>
        <v>1513</v>
      </c>
      <c r="AY1522" s="17">
        <f t="shared" si="502"/>
        <v>151.30000000000001</v>
      </c>
      <c r="AZ1522" s="17">
        <v>65.070355200843196</v>
      </c>
      <c r="BA1522" s="17"/>
      <c r="BB1522" s="17">
        <v>36</v>
      </c>
      <c r="BC1522" s="17"/>
      <c r="BD1522" s="17"/>
      <c r="BE1522" s="17"/>
      <c r="BF1522" s="17"/>
      <c r="BG1522" s="17"/>
      <c r="BH1522" s="17"/>
      <c r="BI1522" s="17"/>
      <c r="BJ1522" s="17"/>
      <c r="BK1522" s="17"/>
      <c r="BL1522" s="17"/>
      <c r="BM1522" s="17"/>
      <c r="BN1522" s="17"/>
      <c r="BO1522" s="17"/>
      <c r="BP1522" s="17"/>
      <c r="BQ1522" s="17"/>
      <c r="BR1522" s="17"/>
      <c r="BS1522" s="17"/>
      <c r="BT1522" s="17"/>
      <c r="BU1522" s="17"/>
      <c r="BV1522" s="17"/>
      <c r="BW1522" s="17"/>
      <c r="BX1522" s="17"/>
      <c r="BY1522" s="17"/>
      <c r="BZ1522" s="17"/>
      <c r="CA1522" s="17"/>
      <c r="CB1522" s="17"/>
      <c r="CC1522" s="17"/>
      <c r="CD1522" s="17"/>
      <c r="CE1522" s="17"/>
      <c r="CF1522" s="17"/>
      <c r="CG1522" s="17"/>
      <c r="CH1522" s="17"/>
    </row>
    <row r="1523" spans="35:86" x14ac:dyDescent="0.15">
      <c r="AI1523" s="3"/>
      <c r="AJ1523" s="3"/>
      <c r="AK1523" s="15">
        <f t="shared" si="497"/>
        <v>6</v>
      </c>
      <c r="AL1523" s="11">
        <f t="shared" si="503"/>
        <v>9084</v>
      </c>
      <c r="AM1523" s="11" t="b">
        <f t="shared" si="496"/>
        <v>0</v>
      </c>
      <c r="AN1523" s="11">
        <f t="shared" si="498"/>
        <v>36000</v>
      </c>
      <c r="AO1523" s="11">
        <f t="shared" si="499"/>
        <v>0</v>
      </c>
      <c r="AP1523" s="11">
        <f t="shared" si="500"/>
        <v>0.65180586682324682</v>
      </c>
      <c r="AQ1523" s="11">
        <f t="shared" si="501"/>
        <v>0</v>
      </c>
      <c r="AT1523" s="3"/>
      <c r="AU1523" s="17"/>
      <c r="AV1523" s="19"/>
      <c r="AW1523" s="17"/>
      <c r="AX1523" s="17">
        <f t="shared" si="504"/>
        <v>1514</v>
      </c>
      <c r="AY1523" s="17">
        <f t="shared" si="502"/>
        <v>151.4</v>
      </c>
      <c r="AZ1523" s="17">
        <v>65.180586682324687</v>
      </c>
      <c r="BA1523" s="17"/>
      <c r="BB1523" s="17">
        <v>36</v>
      </c>
      <c r="BC1523" s="17"/>
      <c r="BD1523" s="17"/>
      <c r="BE1523" s="17"/>
      <c r="BF1523" s="17"/>
      <c r="BG1523" s="17"/>
      <c r="BH1523" s="17"/>
      <c r="BI1523" s="17"/>
      <c r="BJ1523" s="17"/>
      <c r="BK1523" s="17"/>
      <c r="BL1523" s="17"/>
      <c r="BM1523" s="17"/>
      <c r="BN1523" s="17"/>
      <c r="BO1523" s="17"/>
      <c r="BP1523" s="17"/>
      <c r="BQ1523" s="17"/>
      <c r="BR1523" s="17"/>
      <c r="BS1523" s="17"/>
      <c r="BT1523" s="17"/>
      <c r="BU1523" s="17"/>
      <c r="BV1523" s="17"/>
      <c r="BW1523" s="17"/>
      <c r="BX1523" s="17"/>
      <c r="BY1523" s="17"/>
      <c r="BZ1523" s="17"/>
      <c r="CA1523" s="17"/>
      <c r="CB1523" s="17"/>
      <c r="CC1523" s="17"/>
      <c r="CD1523" s="17"/>
      <c r="CE1523" s="17"/>
      <c r="CF1523" s="17"/>
      <c r="CG1523" s="17"/>
      <c r="CH1523" s="17"/>
    </row>
    <row r="1524" spans="35:86" x14ac:dyDescent="0.15">
      <c r="AI1524" s="3"/>
      <c r="AJ1524" s="3"/>
      <c r="AK1524" s="15">
        <f t="shared" si="497"/>
        <v>6</v>
      </c>
      <c r="AL1524" s="11">
        <f t="shared" si="503"/>
        <v>9090</v>
      </c>
      <c r="AM1524" s="11" t="b">
        <f t="shared" si="496"/>
        <v>0</v>
      </c>
      <c r="AN1524" s="11">
        <f t="shared" si="498"/>
        <v>36000</v>
      </c>
      <c r="AO1524" s="11">
        <f t="shared" si="499"/>
        <v>0</v>
      </c>
      <c r="AP1524" s="11">
        <f t="shared" si="500"/>
        <v>0.65290818163806164</v>
      </c>
      <c r="AQ1524" s="11">
        <f t="shared" si="501"/>
        <v>0</v>
      </c>
      <c r="AT1524" s="3"/>
      <c r="AU1524" s="17"/>
      <c r="AV1524" s="19"/>
      <c r="AW1524" s="17"/>
      <c r="AX1524" s="17">
        <f t="shared" si="504"/>
        <v>1515</v>
      </c>
      <c r="AY1524" s="17">
        <f t="shared" si="502"/>
        <v>151.5</v>
      </c>
      <c r="AZ1524" s="17">
        <v>65.290818163806165</v>
      </c>
      <c r="BA1524" s="17"/>
      <c r="BB1524" s="17">
        <v>36</v>
      </c>
      <c r="BC1524" s="17"/>
      <c r="BD1524" s="17"/>
      <c r="BE1524" s="17"/>
      <c r="BF1524" s="17"/>
      <c r="BG1524" s="17"/>
      <c r="BH1524" s="17"/>
      <c r="BI1524" s="17"/>
      <c r="BJ1524" s="17"/>
      <c r="BK1524" s="17"/>
      <c r="BL1524" s="17"/>
      <c r="BM1524" s="17"/>
      <c r="BN1524" s="17"/>
      <c r="BO1524" s="17"/>
      <c r="BP1524" s="17"/>
      <c r="BQ1524" s="17"/>
      <c r="BR1524" s="17"/>
      <c r="BS1524" s="17"/>
      <c r="BT1524" s="17"/>
      <c r="BU1524" s="17"/>
      <c r="BV1524" s="17"/>
      <c r="BW1524" s="17"/>
      <c r="BX1524" s="17"/>
      <c r="BY1524" s="17"/>
      <c r="BZ1524" s="17"/>
      <c r="CA1524" s="17"/>
      <c r="CB1524" s="17"/>
      <c r="CC1524" s="17"/>
      <c r="CD1524" s="17"/>
      <c r="CE1524" s="17"/>
      <c r="CF1524" s="17"/>
      <c r="CG1524" s="17"/>
      <c r="CH1524" s="17"/>
    </row>
    <row r="1525" spans="35:86" x14ac:dyDescent="0.15">
      <c r="AI1525" s="3"/>
      <c r="AJ1525" s="3"/>
      <c r="AK1525" s="15">
        <f t="shared" si="497"/>
        <v>6</v>
      </c>
      <c r="AL1525" s="11">
        <f t="shared" si="503"/>
        <v>9096</v>
      </c>
      <c r="AM1525" s="11" t="b">
        <f t="shared" si="496"/>
        <v>0</v>
      </c>
      <c r="AN1525" s="11">
        <f t="shared" si="498"/>
        <v>36000</v>
      </c>
      <c r="AO1525" s="11">
        <f t="shared" si="499"/>
        <v>0</v>
      </c>
      <c r="AP1525" s="11">
        <f t="shared" si="500"/>
        <v>0.65401049645287646</v>
      </c>
      <c r="AQ1525" s="11">
        <f t="shared" si="501"/>
        <v>0</v>
      </c>
      <c r="AT1525" s="3"/>
      <c r="AU1525" s="17"/>
      <c r="AV1525" s="19"/>
      <c r="AW1525" s="17"/>
      <c r="AX1525" s="17">
        <f t="shared" si="504"/>
        <v>1516</v>
      </c>
      <c r="AY1525" s="17">
        <f t="shared" si="502"/>
        <v>151.6</v>
      </c>
      <c r="AZ1525" s="17">
        <v>65.401049645287642</v>
      </c>
      <c r="BA1525" s="17"/>
      <c r="BB1525" s="17">
        <v>36</v>
      </c>
      <c r="BC1525" s="17"/>
      <c r="BD1525" s="17"/>
      <c r="BE1525" s="17"/>
      <c r="BF1525" s="17"/>
      <c r="BG1525" s="17"/>
      <c r="BH1525" s="17"/>
      <c r="BI1525" s="17"/>
      <c r="BJ1525" s="17"/>
      <c r="BK1525" s="17"/>
      <c r="BL1525" s="17"/>
      <c r="BM1525" s="17"/>
      <c r="BN1525" s="17"/>
      <c r="BO1525" s="17"/>
      <c r="BP1525" s="17"/>
      <c r="BQ1525" s="17"/>
      <c r="BR1525" s="17"/>
      <c r="BS1525" s="17"/>
      <c r="BT1525" s="17"/>
      <c r="BU1525" s="17"/>
      <c r="BV1525" s="17"/>
      <c r="BW1525" s="17"/>
      <c r="BX1525" s="17"/>
      <c r="BY1525" s="17"/>
      <c r="BZ1525" s="17"/>
      <c r="CA1525" s="17"/>
      <c r="CB1525" s="17"/>
      <c r="CC1525" s="17"/>
      <c r="CD1525" s="17"/>
      <c r="CE1525" s="17"/>
      <c r="CF1525" s="17"/>
      <c r="CG1525" s="17"/>
      <c r="CH1525" s="17"/>
    </row>
    <row r="1526" spans="35:86" x14ac:dyDescent="0.15">
      <c r="AI1526" s="3"/>
      <c r="AJ1526" s="3"/>
      <c r="AK1526" s="15">
        <f t="shared" si="497"/>
        <v>6</v>
      </c>
      <c r="AL1526" s="11">
        <f t="shared" si="503"/>
        <v>9102</v>
      </c>
      <c r="AM1526" s="11" t="b">
        <f t="shared" si="496"/>
        <v>0</v>
      </c>
      <c r="AN1526" s="11">
        <f t="shared" si="498"/>
        <v>36000</v>
      </c>
      <c r="AO1526" s="11">
        <f t="shared" si="499"/>
        <v>0</v>
      </c>
      <c r="AP1526" s="11">
        <f t="shared" si="500"/>
        <v>0.65511281126769139</v>
      </c>
      <c r="AQ1526" s="11">
        <f t="shared" si="501"/>
        <v>0</v>
      </c>
      <c r="AT1526" s="3"/>
      <c r="AU1526" s="17"/>
      <c r="AV1526" s="19"/>
      <c r="AW1526" s="17"/>
      <c r="AX1526" s="17">
        <f t="shared" si="504"/>
        <v>1517</v>
      </c>
      <c r="AY1526" s="17">
        <f t="shared" si="502"/>
        <v>151.69999999999999</v>
      </c>
      <c r="AZ1526" s="17">
        <v>65.511281126769134</v>
      </c>
      <c r="BA1526" s="17"/>
      <c r="BB1526" s="17">
        <v>36</v>
      </c>
      <c r="BC1526" s="17"/>
      <c r="BD1526" s="17"/>
      <c r="BE1526" s="17"/>
      <c r="BF1526" s="17"/>
      <c r="BG1526" s="17"/>
      <c r="BH1526" s="17"/>
      <c r="BI1526" s="17"/>
      <c r="BJ1526" s="17"/>
      <c r="BK1526" s="17"/>
      <c r="BL1526" s="17"/>
      <c r="BM1526" s="17"/>
      <c r="BN1526" s="17"/>
      <c r="BO1526" s="17"/>
      <c r="BP1526" s="17"/>
      <c r="BQ1526" s="17"/>
      <c r="BR1526" s="17"/>
      <c r="BS1526" s="17"/>
      <c r="BT1526" s="17"/>
      <c r="BU1526" s="17"/>
      <c r="BV1526" s="17"/>
      <c r="BW1526" s="17"/>
      <c r="BX1526" s="17"/>
      <c r="BY1526" s="17"/>
      <c r="BZ1526" s="17"/>
      <c r="CA1526" s="17"/>
      <c r="CB1526" s="17"/>
      <c r="CC1526" s="17"/>
      <c r="CD1526" s="17"/>
      <c r="CE1526" s="17"/>
      <c r="CF1526" s="17"/>
      <c r="CG1526" s="17"/>
      <c r="CH1526" s="17"/>
    </row>
    <row r="1527" spans="35:86" x14ac:dyDescent="0.15">
      <c r="AI1527" s="3"/>
      <c r="AJ1527" s="3"/>
      <c r="AK1527" s="15">
        <f t="shared" si="497"/>
        <v>6</v>
      </c>
      <c r="AL1527" s="11">
        <f t="shared" si="503"/>
        <v>9108</v>
      </c>
      <c r="AM1527" s="11" t="b">
        <f t="shared" si="496"/>
        <v>0</v>
      </c>
      <c r="AN1527" s="11">
        <f t="shared" si="498"/>
        <v>36000</v>
      </c>
      <c r="AO1527" s="11">
        <f t="shared" si="499"/>
        <v>0</v>
      </c>
      <c r="AP1527" s="11">
        <f t="shared" si="500"/>
        <v>0.65621512608250621</v>
      </c>
      <c r="AQ1527" s="11">
        <f t="shared" si="501"/>
        <v>0</v>
      </c>
      <c r="AT1527" s="3"/>
      <c r="AU1527" s="17"/>
      <c r="AV1527" s="19"/>
      <c r="AW1527" s="17"/>
      <c r="AX1527" s="17">
        <f t="shared" si="504"/>
        <v>1518</v>
      </c>
      <c r="AY1527" s="17">
        <f t="shared" si="502"/>
        <v>151.80000000000001</v>
      </c>
      <c r="AZ1527" s="17">
        <v>65.621512608250626</v>
      </c>
      <c r="BA1527" s="17"/>
      <c r="BB1527" s="17">
        <v>36</v>
      </c>
      <c r="BC1527" s="17"/>
      <c r="BD1527" s="17"/>
      <c r="BE1527" s="17"/>
      <c r="BF1527" s="17"/>
      <c r="BG1527" s="17"/>
      <c r="BH1527" s="17"/>
      <c r="BI1527" s="17"/>
      <c r="BJ1527" s="17"/>
      <c r="BK1527" s="17"/>
      <c r="BL1527" s="17"/>
      <c r="BM1527" s="17"/>
      <c r="BN1527" s="17"/>
      <c r="BO1527" s="17"/>
      <c r="BP1527" s="17"/>
      <c r="BQ1527" s="17"/>
      <c r="BR1527" s="17"/>
      <c r="BS1527" s="17"/>
      <c r="BT1527" s="17"/>
      <c r="BU1527" s="17"/>
      <c r="BV1527" s="17"/>
      <c r="BW1527" s="17"/>
      <c r="BX1527" s="17"/>
      <c r="BY1527" s="17"/>
      <c r="BZ1527" s="17"/>
      <c r="CA1527" s="17"/>
      <c r="CB1527" s="17"/>
      <c r="CC1527" s="17"/>
      <c r="CD1527" s="17"/>
      <c r="CE1527" s="17"/>
      <c r="CF1527" s="17"/>
      <c r="CG1527" s="17"/>
      <c r="CH1527" s="17"/>
    </row>
    <row r="1528" spans="35:86" x14ac:dyDescent="0.15">
      <c r="AI1528" s="3"/>
      <c r="AJ1528" s="3"/>
      <c r="AK1528" s="15">
        <f t="shared" si="497"/>
        <v>6</v>
      </c>
      <c r="AL1528" s="11">
        <f t="shared" si="503"/>
        <v>9114</v>
      </c>
      <c r="AM1528" s="11" t="b">
        <f t="shared" si="496"/>
        <v>0</v>
      </c>
      <c r="AN1528" s="11">
        <f t="shared" si="498"/>
        <v>36000</v>
      </c>
      <c r="AO1528" s="11">
        <f t="shared" si="499"/>
        <v>0</v>
      </c>
      <c r="AP1528" s="11">
        <f t="shared" si="500"/>
        <v>0.65731744089732103</v>
      </c>
      <c r="AQ1528" s="11">
        <f t="shared" si="501"/>
        <v>0</v>
      </c>
      <c r="AT1528" s="3"/>
      <c r="AU1528" s="17"/>
      <c r="AV1528" s="19"/>
      <c r="AW1528" s="17"/>
      <c r="AX1528" s="17">
        <f t="shared" si="504"/>
        <v>1519</v>
      </c>
      <c r="AY1528" s="17">
        <f t="shared" si="502"/>
        <v>151.9</v>
      </c>
      <c r="AZ1528" s="17">
        <v>65.731744089732103</v>
      </c>
      <c r="BA1528" s="17"/>
      <c r="BB1528" s="17">
        <v>36</v>
      </c>
      <c r="BC1528" s="17"/>
      <c r="BD1528" s="17"/>
      <c r="BE1528" s="17"/>
      <c r="BF1528" s="17"/>
      <c r="BG1528" s="17"/>
      <c r="BH1528" s="17"/>
      <c r="BI1528" s="17"/>
      <c r="BJ1528" s="17"/>
      <c r="BK1528" s="17"/>
      <c r="BL1528" s="17"/>
      <c r="BM1528" s="17"/>
      <c r="BN1528" s="17"/>
      <c r="BO1528" s="17"/>
      <c r="BP1528" s="17"/>
      <c r="BQ1528" s="17"/>
      <c r="BR1528" s="17"/>
      <c r="BS1528" s="17"/>
      <c r="BT1528" s="17"/>
      <c r="BU1528" s="17"/>
      <c r="BV1528" s="17"/>
      <c r="BW1528" s="17"/>
      <c r="BX1528" s="17"/>
      <c r="BY1528" s="17"/>
      <c r="BZ1528" s="17"/>
      <c r="CA1528" s="17"/>
      <c r="CB1528" s="17"/>
      <c r="CC1528" s="17"/>
      <c r="CD1528" s="17"/>
      <c r="CE1528" s="17"/>
      <c r="CF1528" s="17"/>
      <c r="CG1528" s="17"/>
      <c r="CH1528" s="17"/>
    </row>
    <row r="1529" spans="35:86" x14ac:dyDescent="0.15">
      <c r="AI1529" s="3"/>
      <c r="AJ1529" s="3"/>
      <c r="AK1529" s="15">
        <f t="shared" si="497"/>
        <v>6</v>
      </c>
      <c r="AL1529" s="11">
        <f t="shared" si="503"/>
        <v>9120</v>
      </c>
      <c r="AM1529" s="11" t="b">
        <f t="shared" si="496"/>
        <v>0</v>
      </c>
      <c r="AN1529" s="11">
        <f t="shared" si="498"/>
        <v>36000</v>
      </c>
      <c r="AO1529" s="11">
        <f t="shared" si="499"/>
        <v>0</v>
      </c>
      <c r="AP1529" s="11">
        <f t="shared" si="500"/>
        <v>0.65841975571213585</v>
      </c>
      <c r="AQ1529" s="11">
        <f t="shared" si="501"/>
        <v>0</v>
      </c>
      <c r="AT1529" s="3"/>
      <c r="AU1529" s="17"/>
      <c r="AV1529" s="19"/>
      <c r="AW1529" s="17"/>
      <c r="AX1529" s="17">
        <f t="shared" si="504"/>
        <v>1520</v>
      </c>
      <c r="AY1529" s="17">
        <f t="shared" si="502"/>
        <v>152</v>
      </c>
      <c r="AZ1529" s="17">
        <v>65.841975571213581</v>
      </c>
      <c r="BA1529" s="17"/>
      <c r="BB1529" s="17">
        <v>36</v>
      </c>
      <c r="BC1529" s="17"/>
      <c r="BD1529" s="17"/>
      <c r="BE1529" s="17"/>
      <c r="BF1529" s="17"/>
      <c r="BG1529" s="17"/>
      <c r="BH1529" s="17"/>
      <c r="BI1529" s="17"/>
      <c r="BJ1529" s="17"/>
      <c r="BK1529" s="17"/>
      <c r="BL1529" s="17"/>
      <c r="BM1529" s="17"/>
      <c r="BN1529" s="17"/>
      <c r="BO1529" s="17"/>
      <c r="BP1529" s="17"/>
      <c r="BQ1529" s="17"/>
      <c r="BR1529" s="17"/>
      <c r="BS1529" s="17"/>
      <c r="BT1529" s="17"/>
      <c r="BU1529" s="17"/>
      <c r="BV1529" s="17"/>
      <c r="BW1529" s="17"/>
      <c r="BX1529" s="17"/>
      <c r="BY1529" s="17"/>
      <c r="BZ1529" s="17"/>
      <c r="CA1529" s="17"/>
      <c r="CB1529" s="17"/>
      <c r="CC1529" s="17"/>
      <c r="CD1529" s="17"/>
      <c r="CE1529" s="17"/>
      <c r="CF1529" s="17"/>
      <c r="CG1529" s="17"/>
      <c r="CH1529" s="17"/>
    </row>
    <row r="1530" spans="35:86" x14ac:dyDescent="0.15">
      <c r="AI1530" s="3"/>
      <c r="AJ1530" s="3"/>
      <c r="AK1530" s="15">
        <f t="shared" si="497"/>
        <v>6</v>
      </c>
      <c r="AL1530" s="11">
        <f t="shared" si="503"/>
        <v>9126</v>
      </c>
      <c r="AM1530" s="11" t="b">
        <f t="shared" si="496"/>
        <v>0</v>
      </c>
      <c r="AN1530" s="11">
        <f t="shared" si="498"/>
        <v>36000</v>
      </c>
      <c r="AO1530" s="11">
        <f t="shared" si="499"/>
        <v>0</v>
      </c>
      <c r="AP1530" s="11">
        <f t="shared" si="500"/>
        <v>0.65952207052695067</v>
      </c>
      <c r="AQ1530" s="11">
        <f t="shared" si="501"/>
        <v>0</v>
      </c>
      <c r="AT1530" s="3"/>
      <c r="AU1530" s="17"/>
      <c r="AV1530" s="19"/>
      <c r="AW1530" s="17"/>
      <c r="AX1530" s="17">
        <f t="shared" si="504"/>
        <v>1521</v>
      </c>
      <c r="AY1530" s="17">
        <f t="shared" si="502"/>
        <v>152.1</v>
      </c>
      <c r="AZ1530" s="17">
        <v>65.952207052695073</v>
      </c>
      <c r="BA1530" s="17"/>
      <c r="BB1530" s="17">
        <v>36</v>
      </c>
      <c r="BC1530" s="17"/>
      <c r="BD1530" s="17"/>
      <c r="BE1530" s="17"/>
      <c r="BF1530" s="17"/>
      <c r="BG1530" s="17"/>
      <c r="BH1530" s="17"/>
      <c r="BI1530" s="17"/>
      <c r="BJ1530" s="17"/>
      <c r="BK1530" s="17"/>
      <c r="BL1530" s="17"/>
      <c r="BM1530" s="17"/>
      <c r="BN1530" s="17"/>
      <c r="BO1530" s="17"/>
      <c r="BP1530" s="17"/>
      <c r="BQ1530" s="17"/>
      <c r="BR1530" s="17"/>
      <c r="BS1530" s="17"/>
      <c r="BT1530" s="17"/>
      <c r="BU1530" s="17"/>
      <c r="BV1530" s="17"/>
      <c r="BW1530" s="17"/>
      <c r="BX1530" s="17"/>
      <c r="BY1530" s="17"/>
      <c r="BZ1530" s="17"/>
      <c r="CA1530" s="17"/>
      <c r="CB1530" s="17"/>
      <c r="CC1530" s="17"/>
      <c r="CD1530" s="17"/>
      <c r="CE1530" s="17"/>
      <c r="CF1530" s="17"/>
      <c r="CG1530" s="17"/>
      <c r="CH1530" s="17"/>
    </row>
    <row r="1531" spans="35:86" x14ac:dyDescent="0.15">
      <c r="AI1531" s="3"/>
      <c r="AJ1531" s="3"/>
      <c r="AK1531" s="15">
        <f t="shared" si="497"/>
        <v>6</v>
      </c>
      <c r="AL1531" s="11">
        <f t="shared" si="503"/>
        <v>9132</v>
      </c>
      <c r="AM1531" s="11" t="b">
        <f t="shared" si="496"/>
        <v>0</v>
      </c>
      <c r="AN1531" s="11">
        <f t="shared" si="498"/>
        <v>36000</v>
      </c>
      <c r="AO1531" s="11">
        <f t="shared" si="499"/>
        <v>0</v>
      </c>
      <c r="AP1531" s="11">
        <f t="shared" si="500"/>
        <v>0.6606243853417656</v>
      </c>
      <c r="AQ1531" s="11">
        <f t="shared" si="501"/>
        <v>0</v>
      </c>
      <c r="AT1531" s="3"/>
      <c r="AU1531" s="17"/>
      <c r="AV1531" s="19"/>
      <c r="AW1531" s="17"/>
      <c r="AX1531" s="17">
        <f t="shared" si="504"/>
        <v>1522</v>
      </c>
      <c r="AY1531" s="17">
        <f t="shared" si="502"/>
        <v>152.19999999999999</v>
      </c>
      <c r="AZ1531" s="17">
        <v>66.062438534176565</v>
      </c>
      <c r="BA1531" s="17"/>
      <c r="BB1531" s="17">
        <v>36</v>
      </c>
      <c r="BC1531" s="17"/>
      <c r="BD1531" s="17"/>
      <c r="BE1531" s="17"/>
      <c r="BF1531" s="17"/>
      <c r="BG1531" s="17"/>
      <c r="BH1531" s="17"/>
      <c r="BI1531" s="17"/>
      <c r="BJ1531" s="17"/>
      <c r="BK1531" s="17"/>
      <c r="BL1531" s="17"/>
      <c r="BM1531" s="17"/>
      <c r="BN1531" s="17"/>
      <c r="BO1531" s="17"/>
      <c r="BP1531" s="17"/>
      <c r="BQ1531" s="17"/>
      <c r="BR1531" s="17"/>
      <c r="BS1531" s="17"/>
      <c r="BT1531" s="17"/>
      <c r="BU1531" s="17"/>
      <c r="BV1531" s="17"/>
      <c r="BW1531" s="17"/>
      <c r="BX1531" s="17"/>
      <c r="BY1531" s="17"/>
      <c r="BZ1531" s="17"/>
      <c r="CA1531" s="17"/>
      <c r="CB1531" s="17"/>
      <c r="CC1531" s="17"/>
      <c r="CD1531" s="17"/>
      <c r="CE1531" s="17"/>
      <c r="CF1531" s="17"/>
      <c r="CG1531" s="17"/>
      <c r="CH1531" s="17"/>
    </row>
    <row r="1532" spans="35:86" x14ac:dyDescent="0.15">
      <c r="AI1532" s="3"/>
      <c r="AJ1532" s="3"/>
      <c r="AK1532" s="15">
        <f t="shared" si="497"/>
        <v>6</v>
      </c>
      <c r="AL1532" s="11">
        <f t="shared" si="503"/>
        <v>9138</v>
      </c>
      <c r="AM1532" s="11" t="b">
        <f t="shared" si="496"/>
        <v>0</v>
      </c>
      <c r="AN1532" s="11">
        <f t="shared" si="498"/>
        <v>36000</v>
      </c>
      <c r="AO1532" s="11">
        <f t="shared" si="499"/>
        <v>0</v>
      </c>
      <c r="AP1532" s="11">
        <f t="shared" si="500"/>
        <v>0.66172670015658042</v>
      </c>
      <c r="AQ1532" s="11">
        <f t="shared" si="501"/>
        <v>0</v>
      </c>
      <c r="AT1532" s="3"/>
      <c r="AU1532" s="17"/>
      <c r="AV1532" s="19"/>
      <c r="AW1532" s="17"/>
      <c r="AX1532" s="17">
        <f t="shared" si="504"/>
        <v>1523</v>
      </c>
      <c r="AY1532" s="17">
        <f t="shared" si="502"/>
        <v>152.30000000000001</v>
      </c>
      <c r="AZ1532" s="17">
        <v>66.172670015658042</v>
      </c>
      <c r="BA1532" s="17"/>
      <c r="BB1532" s="17">
        <v>36</v>
      </c>
      <c r="BC1532" s="17"/>
      <c r="BD1532" s="17"/>
      <c r="BE1532" s="17"/>
      <c r="BF1532" s="17"/>
      <c r="BG1532" s="17"/>
      <c r="BH1532" s="17"/>
      <c r="BI1532" s="17"/>
      <c r="BJ1532" s="17"/>
      <c r="BK1532" s="17"/>
      <c r="BL1532" s="17"/>
      <c r="BM1532" s="17"/>
      <c r="BN1532" s="17"/>
      <c r="BO1532" s="17"/>
      <c r="BP1532" s="17"/>
      <c r="BQ1532" s="17"/>
      <c r="BR1532" s="17"/>
      <c r="BS1532" s="17"/>
      <c r="BT1532" s="17"/>
      <c r="BU1532" s="17"/>
      <c r="BV1532" s="17"/>
      <c r="BW1532" s="17"/>
      <c r="BX1532" s="17"/>
      <c r="BY1532" s="17"/>
      <c r="BZ1532" s="17"/>
      <c r="CA1532" s="17"/>
      <c r="CB1532" s="17"/>
      <c r="CC1532" s="17"/>
      <c r="CD1532" s="17"/>
      <c r="CE1532" s="17"/>
      <c r="CF1532" s="17"/>
      <c r="CG1532" s="17"/>
      <c r="CH1532" s="17"/>
    </row>
    <row r="1533" spans="35:86" x14ac:dyDescent="0.15">
      <c r="AI1533" s="3"/>
      <c r="AJ1533" s="3"/>
      <c r="AK1533" s="15">
        <f t="shared" si="497"/>
        <v>6</v>
      </c>
      <c r="AL1533" s="11">
        <f t="shared" si="503"/>
        <v>9144</v>
      </c>
      <c r="AM1533" s="11" t="b">
        <f t="shared" si="496"/>
        <v>0</v>
      </c>
      <c r="AN1533" s="11">
        <f t="shared" si="498"/>
        <v>36000</v>
      </c>
      <c r="AO1533" s="11">
        <f t="shared" si="499"/>
        <v>0</v>
      </c>
      <c r="AP1533" s="11">
        <f t="shared" si="500"/>
        <v>0.66282901497139524</v>
      </c>
      <c r="AQ1533" s="11">
        <f t="shared" si="501"/>
        <v>0</v>
      </c>
      <c r="AT1533" s="3"/>
      <c r="AU1533" s="17"/>
      <c r="AV1533" s="19"/>
      <c r="AW1533" s="17"/>
      <c r="AX1533" s="17">
        <f t="shared" si="504"/>
        <v>1524</v>
      </c>
      <c r="AY1533" s="17">
        <f t="shared" si="502"/>
        <v>152.4</v>
      </c>
      <c r="AZ1533" s="17">
        <v>66.28290149713952</v>
      </c>
      <c r="BA1533" s="17"/>
      <c r="BB1533" s="17">
        <v>36</v>
      </c>
      <c r="BC1533" s="17"/>
      <c r="BD1533" s="17"/>
      <c r="BE1533" s="17"/>
      <c r="BF1533" s="17"/>
      <c r="BG1533" s="17"/>
      <c r="BH1533" s="17"/>
      <c r="BI1533" s="17"/>
      <c r="BJ1533" s="17"/>
      <c r="BK1533" s="17"/>
      <c r="BL1533" s="17"/>
      <c r="BM1533" s="17"/>
      <c r="BN1533" s="17"/>
      <c r="BO1533" s="17"/>
      <c r="BP1533" s="17"/>
      <c r="BQ1533" s="17"/>
      <c r="BR1533" s="17"/>
      <c r="BS1533" s="17"/>
      <c r="BT1533" s="17"/>
      <c r="BU1533" s="17"/>
      <c r="BV1533" s="17"/>
      <c r="BW1533" s="17"/>
      <c r="BX1533" s="17"/>
      <c r="BY1533" s="17"/>
      <c r="BZ1533" s="17"/>
      <c r="CA1533" s="17"/>
      <c r="CB1533" s="17"/>
      <c r="CC1533" s="17"/>
      <c r="CD1533" s="17"/>
      <c r="CE1533" s="17"/>
      <c r="CF1533" s="17"/>
      <c r="CG1533" s="17"/>
      <c r="CH1533" s="17"/>
    </row>
    <row r="1534" spans="35:86" x14ac:dyDescent="0.15">
      <c r="AI1534" s="3"/>
      <c r="AJ1534" s="3"/>
      <c r="AK1534" s="15">
        <f t="shared" si="497"/>
        <v>6</v>
      </c>
      <c r="AL1534" s="11">
        <f t="shared" si="503"/>
        <v>9150</v>
      </c>
      <c r="AM1534" s="11" t="b">
        <f t="shared" si="496"/>
        <v>0</v>
      </c>
      <c r="AN1534" s="11">
        <f t="shared" si="498"/>
        <v>36000</v>
      </c>
      <c r="AO1534" s="11">
        <f t="shared" si="499"/>
        <v>0</v>
      </c>
      <c r="AP1534" s="11">
        <f t="shared" si="500"/>
        <v>0.66393132978621006</v>
      </c>
      <c r="AQ1534" s="11">
        <f t="shared" si="501"/>
        <v>0</v>
      </c>
      <c r="AT1534" s="3"/>
      <c r="AU1534" s="17"/>
      <c r="AV1534" s="19"/>
      <c r="AW1534" s="17"/>
      <c r="AX1534" s="17">
        <f t="shared" si="504"/>
        <v>1525</v>
      </c>
      <c r="AY1534" s="17">
        <f t="shared" si="502"/>
        <v>152.5</v>
      </c>
      <c r="AZ1534" s="17">
        <v>66.393132978621011</v>
      </c>
      <c r="BA1534" s="17"/>
      <c r="BB1534" s="17">
        <v>36</v>
      </c>
      <c r="BC1534" s="17"/>
      <c r="BD1534" s="17"/>
      <c r="BE1534" s="17"/>
      <c r="BF1534" s="17"/>
      <c r="BG1534" s="17"/>
      <c r="BH1534" s="17"/>
      <c r="BI1534" s="17"/>
      <c r="BJ1534" s="17"/>
      <c r="BK1534" s="17"/>
      <c r="BL1534" s="17"/>
      <c r="BM1534" s="17"/>
      <c r="BN1534" s="17"/>
      <c r="BO1534" s="17"/>
      <c r="BP1534" s="17"/>
      <c r="BQ1534" s="17"/>
      <c r="BR1534" s="17"/>
      <c r="BS1534" s="17"/>
      <c r="BT1534" s="17"/>
      <c r="BU1534" s="17"/>
      <c r="BV1534" s="17"/>
      <c r="BW1534" s="17"/>
      <c r="BX1534" s="17"/>
      <c r="BY1534" s="17"/>
      <c r="BZ1534" s="17"/>
      <c r="CA1534" s="17"/>
      <c r="CB1534" s="17"/>
      <c r="CC1534" s="17"/>
      <c r="CD1534" s="17"/>
      <c r="CE1534" s="17"/>
      <c r="CF1534" s="17"/>
      <c r="CG1534" s="17"/>
      <c r="CH1534" s="17"/>
    </row>
    <row r="1535" spans="35:86" x14ac:dyDescent="0.15">
      <c r="AI1535" s="3"/>
      <c r="AJ1535" s="3"/>
      <c r="AK1535" s="15">
        <f t="shared" si="497"/>
        <v>6</v>
      </c>
      <c r="AL1535" s="11">
        <f t="shared" si="503"/>
        <v>9156</v>
      </c>
      <c r="AM1535" s="11" t="b">
        <f t="shared" si="496"/>
        <v>0</v>
      </c>
      <c r="AN1535" s="11">
        <f t="shared" si="498"/>
        <v>36000</v>
      </c>
      <c r="AO1535" s="11">
        <f t="shared" si="499"/>
        <v>0</v>
      </c>
      <c r="AP1535" s="11">
        <f t="shared" si="500"/>
        <v>0.66503364460102488</v>
      </c>
      <c r="AQ1535" s="11">
        <f t="shared" si="501"/>
        <v>0</v>
      </c>
      <c r="AT1535" s="3"/>
      <c r="AU1535" s="17"/>
      <c r="AV1535" s="19"/>
      <c r="AW1535" s="17"/>
      <c r="AX1535" s="17">
        <f t="shared" si="504"/>
        <v>1526</v>
      </c>
      <c r="AY1535" s="17">
        <f t="shared" si="502"/>
        <v>152.6</v>
      </c>
      <c r="AZ1535" s="17">
        <v>66.503364460102489</v>
      </c>
      <c r="BA1535" s="17"/>
      <c r="BB1535" s="17">
        <v>36</v>
      </c>
      <c r="BC1535" s="17"/>
      <c r="BD1535" s="17"/>
      <c r="BE1535" s="17"/>
      <c r="BF1535" s="17"/>
      <c r="BG1535" s="17"/>
      <c r="BH1535" s="17"/>
      <c r="BI1535" s="17"/>
      <c r="BJ1535" s="17"/>
      <c r="BK1535" s="17"/>
      <c r="BL1535" s="17"/>
      <c r="BM1535" s="17"/>
      <c r="BN1535" s="17"/>
      <c r="BO1535" s="17"/>
      <c r="BP1535" s="17"/>
      <c r="BQ1535" s="17"/>
      <c r="BR1535" s="17"/>
      <c r="BS1535" s="17"/>
      <c r="BT1535" s="17"/>
      <c r="BU1535" s="17"/>
      <c r="BV1535" s="17"/>
      <c r="BW1535" s="17"/>
      <c r="BX1535" s="17"/>
      <c r="BY1535" s="17"/>
      <c r="BZ1535" s="17"/>
      <c r="CA1535" s="17"/>
      <c r="CB1535" s="17"/>
      <c r="CC1535" s="17"/>
      <c r="CD1535" s="17"/>
      <c r="CE1535" s="17"/>
      <c r="CF1535" s="17"/>
      <c r="CG1535" s="17"/>
      <c r="CH1535" s="17"/>
    </row>
    <row r="1536" spans="35:86" x14ac:dyDescent="0.15">
      <c r="AI1536" s="3"/>
      <c r="AJ1536" s="3"/>
      <c r="AK1536" s="15">
        <f t="shared" si="497"/>
        <v>6</v>
      </c>
      <c r="AL1536" s="11">
        <f t="shared" si="503"/>
        <v>9162</v>
      </c>
      <c r="AM1536" s="11" t="b">
        <f t="shared" si="496"/>
        <v>0</v>
      </c>
      <c r="AN1536" s="11">
        <f t="shared" si="498"/>
        <v>36000</v>
      </c>
      <c r="AO1536" s="11">
        <f t="shared" si="499"/>
        <v>0</v>
      </c>
      <c r="AP1536" s="11">
        <f t="shared" si="500"/>
        <v>0.66613595941583981</v>
      </c>
      <c r="AQ1536" s="11">
        <f t="shared" si="501"/>
        <v>0</v>
      </c>
      <c r="AT1536" s="3"/>
      <c r="AU1536" s="17"/>
      <c r="AV1536" s="19"/>
      <c r="AW1536" s="17"/>
      <c r="AX1536" s="17">
        <f t="shared" si="504"/>
        <v>1527</v>
      </c>
      <c r="AY1536" s="17">
        <f t="shared" si="502"/>
        <v>152.69999999999999</v>
      </c>
      <c r="AZ1536" s="17">
        <v>66.613595941583981</v>
      </c>
      <c r="BA1536" s="17"/>
      <c r="BB1536" s="17">
        <v>36</v>
      </c>
      <c r="BC1536" s="17"/>
      <c r="BD1536" s="17"/>
      <c r="BE1536" s="17"/>
      <c r="BF1536" s="17"/>
      <c r="BG1536" s="17"/>
      <c r="BH1536" s="17"/>
      <c r="BI1536" s="17"/>
      <c r="BJ1536" s="17"/>
      <c r="BK1536" s="17"/>
      <c r="BL1536" s="17"/>
      <c r="BM1536" s="17"/>
      <c r="BN1536" s="17"/>
      <c r="BO1536" s="17"/>
      <c r="BP1536" s="17"/>
      <c r="BQ1536" s="17"/>
      <c r="BR1536" s="17"/>
      <c r="BS1536" s="17"/>
      <c r="BT1536" s="17"/>
      <c r="BU1536" s="17"/>
      <c r="BV1536" s="17"/>
      <c r="BW1536" s="17"/>
      <c r="BX1536" s="17"/>
      <c r="BY1536" s="17"/>
      <c r="BZ1536" s="17"/>
      <c r="CA1536" s="17"/>
      <c r="CB1536" s="17"/>
      <c r="CC1536" s="17"/>
      <c r="CD1536" s="17"/>
      <c r="CE1536" s="17"/>
      <c r="CF1536" s="17"/>
      <c r="CG1536" s="17"/>
      <c r="CH1536" s="17"/>
    </row>
    <row r="1537" spans="35:86" x14ac:dyDescent="0.15">
      <c r="AI1537" s="3"/>
      <c r="AJ1537" s="3"/>
      <c r="AK1537" s="15">
        <f t="shared" si="497"/>
        <v>6</v>
      </c>
      <c r="AL1537" s="11">
        <f t="shared" si="503"/>
        <v>9168</v>
      </c>
      <c r="AM1537" s="11" t="b">
        <f t="shared" si="496"/>
        <v>0</v>
      </c>
      <c r="AN1537" s="11">
        <f t="shared" si="498"/>
        <v>36000</v>
      </c>
      <c r="AO1537" s="11">
        <f t="shared" si="499"/>
        <v>0</v>
      </c>
      <c r="AP1537" s="11">
        <f t="shared" si="500"/>
        <v>0.66723827423065474</v>
      </c>
      <c r="AQ1537" s="11">
        <f t="shared" si="501"/>
        <v>0</v>
      </c>
      <c r="AT1537" s="3"/>
      <c r="AU1537" s="17"/>
      <c r="AV1537" s="19"/>
      <c r="AW1537" s="17"/>
      <c r="AX1537" s="17">
        <f t="shared" si="504"/>
        <v>1528</v>
      </c>
      <c r="AY1537" s="17">
        <f t="shared" si="502"/>
        <v>152.80000000000001</v>
      </c>
      <c r="AZ1537" s="17">
        <v>66.723827423065472</v>
      </c>
      <c r="BA1537" s="17"/>
      <c r="BB1537" s="17">
        <v>36</v>
      </c>
      <c r="BC1537" s="17"/>
      <c r="BD1537" s="17"/>
      <c r="BE1537" s="17"/>
      <c r="BF1537" s="17"/>
      <c r="BG1537" s="17"/>
      <c r="BH1537" s="17"/>
      <c r="BI1537" s="17"/>
      <c r="BJ1537" s="17"/>
      <c r="BK1537" s="17"/>
      <c r="BL1537" s="17"/>
      <c r="BM1537" s="17"/>
      <c r="BN1537" s="17"/>
      <c r="BO1537" s="17"/>
      <c r="BP1537" s="17"/>
      <c r="BQ1537" s="17"/>
      <c r="BR1537" s="17"/>
      <c r="BS1537" s="17"/>
      <c r="BT1537" s="17"/>
      <c r="BU1537" s="17"/>
      <c r="BV1537" s="17"/>
      <c r="BW1537" s="17"/>
      <c r="BX1537" s="17"/>
      <c r="BY1537" s="17"/>
      <c r="BZ1537" s="17"/>
      <c r="CA1537" s="17"/>
      <c r="CB1537" s="17"/>
      <c r="CC1537" s="17"/>
      <c r="CD1537" s="17"/>
      <c r="CE1537" s="17"/>
      <c r="CF1537" s="17"/>
      <c r="CG1537" s="17"/>
      <c r="CH1537" s="17"/>
    </row>
    <row r="1538" spans="35:86" x14ac:dyDescent="0.15">
      <c r="AI1538" s="3"/>
      <c r="AJ1538" s="3"/>
      <c r="AK1538" s="15">
        <f t="shared" si="497"/>
        <v>6</v>
      </c>
      <c r="AL1538" s="11">
        <f t="shared" si="503"/>
        <v>9174</v>
      </c>
      <c r="AM1538" s="11" t="b">
        <f t="shared" si="496"/>
        <v>0</v>
      </c>
      <c r="AN1538" s="11">
        <f t="shared" si="498"/>
        <v>36000</v>
      </c>
      <c r="AO1538" s="11">
        <f t="shared" si="499"/>
        <v>0</v>
      </c>
      <c r="AP1538" s="11">
        <f t="shared" si="500"/>
        <v>0.66834058904546956</v>
      </c>
      <c r="AQ1538" s="11">
        <f t="shared" si="501"/>
        <v>0</v>
      </c>
      <c r="AT1538" s="3"/>
      <c r="AU1538" s="17"/>
      <c r="AV1538" s="19"/>
      <c r="AW1538" s="17"/>
      <c r="AX1538" s="17">
        <f t="shared" si="504"/>
        <v>1529</v>
      </c>
      <c r="AY1538" s="17">
        <f t="shared" si="502"/>
        <v>152.9</v>
      </c>
      <c r="AZ1538" s="17">
        <v>66.83405890454695</v>
      </c>
      <c r="BA1538" s="17"/>
      <c r="BB1538" s="17">
        <v>36</v>
      </c>
      <c r="BC1538" s="17"/>
      <c r="BD1538" s="17"/>
      <c r="BE1538" s="17"/>
      <c r="BF1538" s="17"/>
      <c r="BG1538" s="17"/>
      <c r="BH1538" s="17"/>
      <c r="BI1538" s="17"/>
      <c r="BJ1538" s="17"/>
      <c r="BK1538" s="17"/>
      <c r="BL1538" s="17"/>
      <c r="BM1538" s="17"/>
      <c r="BN1538" s="17"/>
      <c r="BO1538" s="17"/>
      <c r="BP1538" s="17"/>
      <c r="BQ1538" s="17"/>
      <c r="BR1538" s="17"/>
      <c r="BS1538" s="17"/>
      <c r="BT1538" s="17"/>
      <c r="BU1538" s="17"/>
      <c r="BV1538" s="17"/>
      <c r="BW1538" s="17"/>
      <c r="BX1538" s="17"/>
      <c r="BY1538" s="17"/>
      <c r="BZ1538" s="17"/>
      <c r="CA1538" s="17"/>
      <c r="CB1538" s="17"/>
      <c r="CC1538" s="17"/>
      <c r="CD1538" s="17"/>
      <c r="CE1538" s="17"/>
      <c r="CF1538" s="17"/>
      <c r="CG1538" s="17"/>
      <c r="CH1538" s="17"/>
    </row>
    <row r="1539" spans="35:86" x14ac:dyDescent="0.15">
      <c r="AI1539" s="3"/>
      <c r="AJ1539" s="3"/>
      <c r="AK1539" s="15">
        <f t="shared" si="497"/>
        <v>6</v>
      </c>
      <c r="AL1539" s="11">
        <f t="shared" si="503"/>
        <v>9180</v>
      </c>
      <c r="AM1539" s="11" t="b">
        <f t="shared" si="496"/>
        <v>0</v>
      </c>
      <c r="AN1539" s="11">
        <f t="shared" si="498"/>
        <v>36000</v>
      </c>
      <c r="AO1539" s="11">
        <f t="shared" si="499"/>
        <v>0</v>
      </c>
      <c r="AP1539" s="11">
        <f t="shared" si="500"/>
        <v>0.66944290386028438</v>
      </c>
      <c r="AQ1539" s="11">
        <f t="shared" si="501"/>
        <v>0</v>
      </c>
      <c r="AT1539" s="3"/>
      <c r="AU1539" s="17"/>
      <c r="AV1539" s="19"/>
      <c r="AW1539" s="17"/>
      <c r="AX1539" s="17">
        <f t="shared" si="504"/>
        <v>1530</v>
      </c>
      <c r="AY1539" s="17">
        <f t="shared" si="502"/>
        <v>153</v>
      </c>
      <c r="AZ1539" s="17">
        <v>66.944290386028442</v>
      </c>
      <c r="BA1539" s="17"/>
      <c r="BB1539" s="17">
        <v>36</v>
      </c>
      <c r="BC1539" s="17"/>
      <c r="BD1539" s="17"/>
      <c r="BE1539" s="17"/>
      <c r="BF1539" s="17"/>
      <c r="BG1539" s="17"/>
      <c r="BH1539" s="17"/>
      <c r="BI1539" s="17"/>
      <c r="BJ1539" s="17"/>
      <c r="BK1539" s="17"/>
      <c r="BL1539" s="17"/>
      <c r="BM1539" s="17"/>
      <c r="BN1539" s="17"/>
      <c r="BO1539" s="17"/>
      <c r="BP1539" s="17"/>
      <c r="BQ1539" s="17"/>
      <c r="BR1539" s="17"/>
      <c r="BS1539" s="17"/>
      <c r="BT1539" s="17"/>
      <c r="BU1539" s="17"/>
      <c r="BV1539" s="17"/>
      <c r="BW1539" s="17"/>
      <c r="BX1539" s="17"/>
      <c r="BY1539" s="17"/>
      <c r="BZ1539" s="17"/>
      <c r="CA1539" s="17"/>
      <c r="CB1539" s="17"/>
      <c r="CC1539" s="17"/>
      <c r="CD1539" s="17"/>
      <c r="CE1539" s="17"/>
      <c r="CF1539" s="17"/>
      <c r="CG1539" s="17"/>
      <c r="CH1539" s="17"/>
    </row>
    <row r="1540" spans="35:86" x14ac:dyDescent="0.15">
      <c r="AI1540" s="3"/>
      <c r="AJ1540" s="3"/>
      <c r="AK1540" s="15">
        <f t="shared" si="497"/>
        <v>6</v>
      </c>
      <c r="AL1540" s="11">
        <f t="shared" si="503"/>
        <v>9186</v>
      </c>
      <c r="AM1540" s="11" t="b">
        <f t="shared" si="496"/>
        <v>0</v>
      </c>
      <c r="AN1540" s="11">
        <f t="shared" si="498"/>
        <v>36000</v>
      </c>
      <c r="AO1540" s="11">
        <f t="shared" si="499"/>
        <v>0</v>
      </c>
      <c r="AP1540" s="11">
        <f t="shared" si="500"/>
        <v>0.6705452186750992</v>
      </c>
      <c r="AQ1540" s="11">
        <f t="shared" si="501"/>
        <v>0</v>
      </c>
      <c r="AT1540" s="3"/>
      <c r="AU1540" s="17"/>
      <c r="AV1540" s="19"/>
      <c r="AW1540" s="17"/>
      <c r="AX1540" s="17">
        <f t="shared" si="504"/>
        <v>1531</v>
      </c>
      <c r="AY1540" s="17">
        <f t="shared" si="502"/>
        <v>153.1</v>
      </c>
      <c r="AZ1540" s="17">
        <v>67.054521867509919</v>
      </c>
      <c r="BA1540" s="17"/>
      <c r="BB1540" s="17">
        <v>36</v>
      </c>
      <c r="BC1540" s="17"/>
      <c r="BD1540" s="17"/>
      <c r="BE1540" s="17"/>
      <c r="BF1540" s="17"/>
      <c r="BG1540" s="17"/>
      <c r="BH1540" s="17"/>
      <c r="BI1540" s="17"/>
      <c r="BJ1540" s="17"/>
      <c r="BK1540" s="17"/>
      <c r="BL1540" s="17"/>
      <c r="BM1540" s="17"/>
      <c r="BN1540" s="17"/>
      <c r="BO1540" s="17"/>
      <c r="BP1540" s="17"/>
      <c r="BQ1540" s="17"/>
      <c r="BR1540" s="17"/>
      <c r="BS1540" s="17"/>
      <c r="BT1540" s="17"/>
      <c r="BU1540" s="17"/>
      <c r="BV1540" s="17"/>
      <c r="BW1540" s="17"/>
      <c r="BX1540" s="17"/>
      <c r="BY1540" s="17"/>
      <c r="BZ1540" s="17"/>
      <c r="CA1540" s="17"/>
      <c r="CB1540" s="17"/>
      <c r="CC1540" s="17"/>
      <c r="CD1540" s="17"/>
      <c r="CE1540" s="17"/>
      <c r="CF1540" s="17"/>
      <c r="CG1540" s="17"/>
      <c r="CH1540" s="17"/>
    </row>
    <row r="1541" spans="35:86" x14ac:dyDescent="0.15">
      <c r="AI1541" s="3"/>
      <c r="AJ1541" s="3"/>
      <c r="AK1541" s="15">
        <f t="shared" si="497"/>
        <v>6</v>
      </c>
      <c r="AL1541" s="11">
        <f t="shared" si="503"/>
        <v>9192</v>
      </c>
      <c r="AM1541" s="11" t="b">
        <f t="shared" si="496"/>
        <v>0</v>
      </c>
      <c r="AN1541" s="11">
        <f t="shared" si="498"/>
        <v>36000</v>
      </c>
      <c r="AO1541" s="11">
        <f t="shared" si="499"/>
        <v>0</v>
      </c>
      <c r="AP1541" s="11">
        <f t="shared" si="500"/>
        <v>0.67164753348991402</v>
      </c>
      <c r="AQ1541" s="11">
        <f t="shared" si="501"/>
        <v>0</v>
      </c>
      <c r="AT1541" s="3"/>
      <c r="AU1541" s="17"/>
      <c r="AV1541" s="19"/>
      <c r="AW1541" s="17"/>
      <c r="AX1541" s="17">
        <f t="shared" si="504"/>
        <v>1532</v>
      </c>
      <c r="AY1541" s="17">
        <f t="shared" si="502"/>
        <v>153.19999999999999</v>
      </c>
      <c r="AZ1541" s="17">
        <v>67.164753348991397</v>
      </c>
      <c r="BA1541" s="17"/>
      <c r="BB1541" s="17">
        <v>36</v>
      </c>
      <c r="BC1541" s="17"/>
      <c r="BD1541" s="17"/>
      <c r="BE1541" s="17"/>
      <c r="BF1541" s="17"/>
      <c r="BG1541" s="17"/>
      <c r="BH1541" s="17"/>
      <c r="BI1541" s="17"/>
      <c r="BJ1541" s="17"/>
      <c r="BK1541" s="17"/>
      <c r="BL1541" s="17"/>
      <c r="BM1541" s="17"/>
      <c r="BN1541" s="17"/>
      <c r="BO1541" s="17"/>
      <c r="BP1541" s="17"/>
      <c r="BQ1541" s="17"/>
      <c r="BR1541" s="17"/>
      <c r="BS1541" s="17"/>
      <c r="BT1541" s="17"/>
      <c r="BU1541" s="17"/>
      <c r="BV1541" s="17"/>
      <c r="BW1541" s="17"/>
      <c r="BX1541" s="17"/>
      <c r="BY1541" s="17"/>
      <c r="BZ1541" s="17"/>
      <c r="CA1541" s="17"/>
      <c r="CB1541" s="17"/>
      <c r="CC1541" s="17"/>
      <c r="CD1541" s="17"/>
      <c r="CE1541" s="17"/>
      <c r="CF1541" s="17"/>
      <c r="CG1541" s="17"/>
      <c r="CH1541" s="17"/>
    </row>
    <row r="1542" spans="35:86" x14ac:dyDescent="0.15">
      <c r="AI1542" s="3"/>
      <c r="AJ1542" s="3"/>
      <c r="AK1542" s="15">
        <f t="shared" si="497"/>
        <v>6</v>
      </c>
      <c r="AL1542" s="11">
        <f t="shared" si="503"/>
        <v>9198</v>
      </c>
      <c r="AM1542" s="11" t="b">
        <f t="shared" si="496"/>
        <v>0</v>
      </c>
      <c r="AN1542" s="11">
        <f t="shared" si="498"/>
        <v>36000</v>
      </c>
      <c r="AO1542" s="11">
        <f t="shared" si="499"/>
        <v>0</v>
      </c>
      <c r="AP1542" s="11">
        <f t="shared" si="500"/>
        <v>0.67274984830472895</v>
      </c>
      <c r="AQ1542" s="11">
        <f t="shared" si="501"/>
        <v>0</v>
      </c>
      <c r="AT1542" s="3"/>
      <c r="AU1542" s="17"/>
      <c r="AV1542" s="19"/>
      <c r="AW1542" s="17"/>
      <c r="AX1542" s="17">
        <f t="shared" si="504"/>
        <v>1533</v>
      </c>
      <c r="AY1542" s="17">
        <f t="shared" si="502"/>
        <v>153.30000000000001</v>
      </c>
      <c r="AZ1542" s="17">
        <v>67.274984830472889</v>
      </c>
      <c r="BA1542" s="17"/>
      <c r="BB1542" s="17">
        <v>36</v>
      </c>
      <c r="BC1542" s="17"/>
      <c r="BD1542" s="17"/>
      <c r="BE1542" s="17"/>
      <c r="BF1542" s="17"/>
      <c r="BG1542" s="17"/>
      <c r="BH1542" s="17"/>
      <c r="BI1542" s="17"/>
      <c r="BJ1542" s="17"/>
      <c r="BK1542" s="17"/>
      <c r="BL1542" s="17"/>
      <c r="BM1542" s="17"/>
      <c r="BN1542" s="17"/>
      <c r="BO1542" s="17"/>
      <c r="BP1542" s="17"/>
      <c r="BQ1542" s="17"/>
      <c r="BR1542" s="17"/>
      <c r="BS1542" s="17"/>
      <c r="BT1542" s="17"/>
      <c r="BU1542" s="17"/>
      <c r="BV1542" s="17"/>
      <c r="BW1542" s="17"/>
      <c r="BX1542" s="17"/>
      <c r="BY1542" s="17"/>
      <c r="BZ1542" s="17"/>
      <c r="CA1542" s="17"/>
      <c r="CB1542" s="17"/>
      <c r="CC1542" s="17"/>
      <c r="CD1542" s="17"/>
      <c r="CE1542" s="17"/>
      <c r="CF1542" s="17"/>
      <c r="CG1542" s="17"/>
      <c r="CH1542" s="17"/>
    </row>
    <row r="1543" spans="35:86" x14ac:dyDescent="0.15">
      <c r="AI1543" s="3"/>
      <c r="AJ1543" s="3"/>
      <c r="AK1543" s="15">
        <f t="shared" si="497"/>
        <v>6</v>
      </c>
      <c r="AL1543" s="11">
        <f t="shared" si="503"/>
        <v>9204</v>
      </c>
      <c r="AM1543" s="11" t="b">
        <f t="shared" si="496"/>
        <v>0</v>
      </c>
      <c r="AN1543" s="11">
        <f t="shared" si="498"/>
        <v>36000</v>
      </c>
      <c r="AO1543" s="11">
        <f t="shared" si="499"/>
        <v>0</v>
      </c>
      <c r="AP1543" s="11">
        <f t="shared" si="500"/>
        <v>0.67385216311954377</v>
      </c>
      <c r="AQ1543" s="11">
        <f t="shared" si="501"/>
        <v>0</v>
      </c>
      <c r="AT1543" s="3"/>
      <c r="AU1543" s="17"/>
      <c r="AV1543" s="19"/>
      <c r="AW1543" s="17"/>
      <c r="AX1543" s="17">
        <f t="shared" si="504"/>
        <v>1534</v>
      </c>
      <c r="AY1543" s="17">
        <f t="shared" si="502"/>
        <v>153.4</v>
      </c>
      <c r="AZ1543" s="17">
        <v>67.38521631195438</v>
      </c>
      <c r="BA1543" s="17"/>
      <c r="BB1543" s="17">
        <v>36</v>
      </c>
      <c r="BC1543" s="17"/>
      <c r="BD1543" s="17"/>
      <c r="BE1543" s="17"/>
      <c r="BF1543" s="17"/>
      <c r="BG1543" s="17"/>
      <c r="BH1543" s="17"/>
      <c r="BI1543" s="17"/>
      <c r="BJ1543" s="17"/>
      <c r="BK1543" s="17"/>
      <c r="BL1543" s="17"/>
      <c r="BM1543" s="17"/>
      <c r="BN1543" s="17"/>
      <c r="BO1543" s="17"/>
      <c r="BP1543" s="17"/>
      <c r="BQ1543" s="17"/>
      <c r="BR1543" s="17"/>
      <c r="BS1543" s="17"/>
      <c r="BT1543" s="17"/>
      <c r="BU1543" s="17"/>
      <c r="BV1543" s="17"/>
      <c r="BW1543" s="17"/>
      <c r="BX1543" s="17"/>
      <c r="BY1543" s="17"/>
      <c r="BZ1543" s="17"/>
      <c r="CA1543" s="17"/>
      <c r="CB1543" s="17"/>
      <c r="CC1543" s="17"/>
      <c r="CD1543" s="17"/>
      <c r="CE1543" s="17"/>
      <c r="CF1543" s="17"/>
      <c r="CG1543" s="17"/>
      <c r="CH1543" s="17"/>
    </row>
    <row r="1544" spans="35:86" x14ac:dyDescent="0.15">
      <c r="AI1544" s="3"/>
      <c r="AJ1544" s="3"/>
      <c r="AK1544" s="15">
        <f t="shared" si="497"/>
        <v>6</v>
      </c>
      <c r="AL1544" s="11">
        <f t="shared" si="503"/>
        <v>9210</v>
      </c>
      <c r="AM1544" s="11" t="b">
        <f t="shared" si="496"/>
        <v>0</v>
      </c>
      <c r="AN1544" s="11">
        <f t="shared" si="498"/>
        <v>36000</v>
      </c>
      <c r="AO1544" s="11">
        <f t="shared" si="499"/>
        <v>0</v>
      </c>
      <c r="AP1544" s="11">
        <f t="shared" si="500"/>
        <v>0.67495447793435859</v>
      </c>
      <c r="AQ1544" s="11">
        <f t="shared" si="501"/>
        <v>0</v>
      </c>
      <c r="AT1544" s="3"/>
      <c r="AU1544" s="17"/>
      <c r="AV1544" s="19"/>
      <c r="AW1544" s="17"/>
      <c r="AX1544" s="17">
        <f t="shared" si="504"/>
        <v>1535</v>
      </c>
      <c r="AY1544" s="17">
        <f t="shared" si="502"/>
        <v>153.5</v>
      </c>
      <c r="AZ1544" s="17">
        <v>67.495447793435858</v>
      </c>
      <c r="BA1544" s="17"/>
      <c r="BB1544" s="17">
        <v>36</v>
      </c>
      <c r="BC1544" s="17"/>
      <c r="BD1544" s="17"/>
      <c r="BE1544" s="17"/>
      <c r="BF1544" s="17"/>
      <c r="BG1544" s="17"/>
      <c r="BH1544" s="17"/>
      <c r="BI1544" s="17"/>
      <c r="BJ1544" s="17"/>
      <c r="BK1544" s="17"/>
      <c r="BL1544" s="17"/>
      <c r="BM1544" s="17"/>
      <c r="BN1544" s="17"/>
      <c r="BO1544" s="17"/>
      <c r="BP1544" s="17"/>
      <c r="BQ1544" s="17"/>
      <c r="BR1544" s="17"/>
      <c r="BS1544" s="17"/>
      <c r="BT1544" s="17"/>
      <c r="BU1544" s="17"/>
      <c r="BV1544" s="17"/>
      <c r="BW1544" s="17"/>
      <c r="BX1544" s="17"/>
      <c r="BY1544" s="17"/>
      <c r="BZ1544" s="17"/>
      <c r="CA1544" s="17"/>
      <c r="CB1544" s="17"/>
      <c r="CC1544" s="17"/>
      <c r="CD1544" s="17"/>
      <c r="CE1544" s="17"/>
      <c r="CF1544" s="17"/>
      <c r="CG1544" s="17"/>
      <c r="CH1544" s="17"/>
    </row>
    <row r="1545" spans="35:86" x14ac:dyDescent="0.15">
      <c r="AI1545" s="3"/>
      <c r="AJ1545" s="3"/>
      <c r="AK1545" s="15">
        <f t="shared" si="497"/>
        <v>6</v>
      </c>
      <c r="AL1545" s="11">
        <f t="shared" si="503"/>
        <v>9216</v>
      </c>
      <c r="AM1545" s="11" t="b">
        <f t="shared" ref="AM1545:AM1608" si="505">OR(AND(AL1545&gt;=$AC$5,AL1545&lt;=$AD$5),AND(AL1545&gt;=$AC$6,AL1545&lt;=$AD$6),AND(AL1545&gt;=$AC$7,AL1545&lt;=$AD$7),AND(AL1545&gt;=$AC$8,AL1545&lt;=$AD$8),AND(AL1545&gt;=$AC$9,AL1545&lt;=$AD$9),AND(AL1545&gt;=$AC$10,AL1545&lt;=$AD$10),AND(AL1545&gt;=$AC$11,AL1545&lt;=$AD$11),AND($AD$11&lt;$AC$11,OR(AL1545&lt;$AD$11,AL1545&gt;$AC$11)))</f>
        <v>0</v>
      </c>
      <c r="AN1545" s="11">
        <f t="shared" si="498"/>
        <v>36000</v>
      </c>
      <c r="AO1545" s="11">
        <f t="shared" si="499"/>
        <v>0</v>
      </c>
      <c r="AP1545" s="11">
        <f t="shared" si="500"/>
        <v>0.67605679274917341</v>
      </c>
      <c r="AQ1545" s="11">
        <f t="shared" si="501"/>
        <v>0</v>
      </c>
      <c r="AT1545" s="3"/>
      <c r="AU1545" s="17"/>
      <c r="AV1545" s="19"/>
      <c r="AW1545" s="17"/>
      <c r="AX1545" s="17">
        <f t="shared" si="504"/>
        <v>1536</v>
      </c>
      <c r="AY1545" s="17">
        <f t="shared" si="502"/>
        <v>153.6</v>
      </c>
      <c r="AZ1545" s="17">
        <v>67.605679274917335</v>
      </c>
      <c r="BA1545" s="17"/>
      <c r="BB1545" s="17">
        <v>36</v>
      </c>
      <c r="BC1545" s="17"/>
      <c r="BD1545" s="17"/>
      <c r="BE1545" s="17"/>
      <c r="BF1545" s="17"/>
      <c r="BG1545" s="17"/>
      <c r="BH1545" s="17"/>
      <c r="BI1545" s="17"/>
      <c r="BJ1545" s="17"/>
      <c r="BK1545" s="17"/>
      <c r="BL1545" s="17"/>
      <c r="BM1545" s="17"/>
      <c r="BN1545" s="17"/>
      <c r="BO1545" s="17"/>
      <c r="BP1545" s="17"/>
      <c r="BQ1545" s="17"/>
      <c r="BR1545" s="17"/>
      <c r="BS1545" s="17"/>
      <c r="BT1545" s="17"/>
      <c r="BU1545" s="17"/>
      <c r="BV1545" s="17"/>
      <c r="BW1545" s="17"/>
      <c r="BX1545" s="17"/>
      <c r="BY1545" s="17"/>
      <c r="BZ1545" s="17"/>
      <c r="CA1545" s="17"/>
      <c r="CB1545" s="17"/>
      <c r="CC1545" s="17"/>
      <c r="CD1545" s="17"/>
      <c r="CE1545" s="17"/>
      <c r="CF1545" s="17"/>
      <c r="CG1545" s="17"/>
      <c r="CH1545" s="17"/>
    </row>
    <row r="1546" spans="35:86" x14ac:dyDescent="0.15">
      <c r="AI1546" s="3"/>
      <c r="AJ1546" s="3"/>
      <c r="AK1546" s="15">
        <f t="shared" ref="AK1546:AK1609" si="506">1+INT(MOD(AL1546/60/24-0.5,7))</f>
        <v>6</v>
      </c>
      <c r="AL1546" s="11">
        <f t="shared" si="503"/>
        <v>9222</v>
      </c>
      <c r="AM1546" s="11" t="b">
        <f t="shared" si="505"/>
        <v>0</v>
      </c>
      <c r="AN1546" s="11">
        <f t="shared" ref="AN1546:AN1609" si="507">IF(AND(AM1546,NOT(AM1547)),$AB$26,AN1545+($AB$28-IF(AND(AM1545,AM1546),CHOOSE(AK1546,$AG$5,$AG$6,$AG$7,$AG$8,$AG$9,$AG$10,$AG$11)*$AA$22/$AA$24,0))*$AB$15)</f>
        <v>36000</v>
      </c>
      <c r="AO1546" s="11">
        <f t="shared" ref="AO1546:AO1609" si="508">IF(AND(AM1546,NOT(AM1547)),$AB$27,AO1545+($AB$29-IF(AND(AM1545,AM1546),CHOOSE(AK1546,$AG$5,$AG$6,$AG$7,$AG$8,$AG$9,$AG$10,$AG$11)*$AA$23/$AA$24,0))*$AB$15)</f>
        <v>0</v>
      </c>
      <c r="AP1546" s="11">
        <f t="shared" ref="AP1546:AP1609" si="509">IF(AN1545&lt;=0,0,(AP1545*AN1545-(IF(AND(AM1545,AM1546),CHOOSE(AK1546,$AI$5,$AI$6,$AI$7,$AI$8,$AI$9,$AI$10,$AI$11),$AA$37))*AP1545*$AB$15+$AA$34*(AQ1545-AP1545)*$AB$15+$AA$33*$AB$15)/AN1545)</f>
        <v>0.67715910756398823</v>
      </c>
      <c r="AQ1546" s="11">
        <f t="shared" si="501"/>
        <v>0</v>
      </c>
      <c r="AT1546" s="3"/>
      <c r="AU1546" s="17"/>
      <c r="AV1546" s="19"/>
      <c r="AW1546" s="17"/>
      <c r="AX1546" s="17">
        <f t="shared" si="504"/>
        <v>1537</v>
      </c>
      <c r="AY1546" s="17">
        <f t="shared" si="502"/>
        <v>153.69999999999999</v>
      </c>
      <c r="AZ1546" s="17">
        <v>67.715910756398827</v>
      </c>
      <c r="BA1546" s="17"/>
      <c r="BB1546" s="17">
        <v>36</v>
      </c>
      <c r="BC1546" s="17"/>
      <c r="BD1546" s="17"/>
      <c r="BE1546" s="17"/>
      <c r="BF1546" s="17"/>
      <c r="BG1546" s="17"/>
      <c r="BH1546" s="17"/>
      <c r="BI1546" s="17"/>
      <c r="BJ1546" s="17"/>
      <c r="BK1546" s="17"/>
      <c r="BL1546" s="17"/>
      <c r="BM1546" s="17"/>
      <c r="BN1546" s="17"/>
      <c r="BO1546" s="17"/>
      <c r="BP1546" s="17"/>
      <c r="BQ1546" s="17"/>
      <c r="BR1546" s="17"/>
      <c r="BS1546" s="17"/>
      <c r="BT1546" s="17"/>
      <c r="BU1546" s="17"/>
      <c r="BV1546" s="17"/>
      <c r="BW1546" s="17"/>
      <c r="BX1546" s="17"/>
      <c r="BY1546" s="17"/>
      <c r="BZ1546" s="17"/>
      <c r="CA1546" s="17"/>
      <c r="CB1546" s="17"/>
      <c r="CC1546" s="17"/>
      <c r="CD1546" s="17"/>
      <c r="CE1546" s="17"/>
      <c r="CF1546" s="17"/>
      <c r="CG1546" s="17"/>
      <c r="CH1546" s="17"/>
    </row>
    <row r="1547" spans="35:86" x14ac:dyDescent="0.15">
      <c r="AI1547" s="3"/>
      <c r="AJ1547" s="3"/>
      <c r="AK1547" s="15">
        <f t="shared" si="506"/>
        <v>6</v>
      </c>
      <c r="AL1547" s="11">
        <f t="shared" si="503"/>
        <v>9228</v>
      </c>
      <c r="AM1547" s="11" t="b">
        <f t="shared" si="505"/>
        <v>0</v>
      </c>
      <c r="AN1547" s="11">
        <f t="shared" si="507"/>
        <v>36000</v>
      </c>
      <c r="AO1547" s="11">
        <f t="shared" si="508"/>
        <v>0</v>
      </c>
      <c r="AP1547" s="11">
        <f t="shared" si="509"/>
        <v>0.67826142237880316</v>
      </c>
      <c r="AQ1547" s="11">
        <f t="shared" ref="AQ1547:AQ1610" si="510">IF(AO1546&lt;=0,0,(AQ1546*AO1546-$AA$34*(AQ1546-AP1546)*$AB$15)/AO1546)</f>
        <v>0</v>
      </c>
      <c r="AT1547" s="3"/>
      <c r="AU1547" s="17"/>
      <c r="AV1547" s="19"/>
      <c r="AW1547" s="17"/>
      <c r="AX1547" s="17">
        <f t="shared" si="504"/>
        <v>1538</v>
      </c>
      <c r="AY1547" s="17">
        <f t="shared" si="502"/>
        <v>153.80000000000001</v>
      </c>
      <c r="AZ1547" s="17">
        <v>67.826142237880319</v>
      </c>
      <c r="BA1547" s="17"/>
      <c r="BB1547" s="17">
        <v>36</v>
      </c>
      <c r="BC1547" s="17"/>
      <c r="BD1547" s="17"/>
      <c r="BE1547" s="17"/>
      <c r="BF1547" s="17"/>
      <c r="BG1547" s="17"/>
      <c r="BH1547" s="17"/>
      <c r="BI1547" s="17"/>
      <c r="BJ1547" s="17"/>
      <c r="BK1547" s="17"/>
      <c r="BL1547" s="17"/>
      <c r="BM1547" s="17"/>
      <c r="BN1547" s="17"/>
      <c r="BO1547" s="17"/>
      <c r="BP1547" s="17"/>
      <c r="BQ1547" s="17"/>
      <c r="BR1547" s="17"/>
      <c r="BS1547" s="17"/>
      <c r="BT1547" s="17"/>
      <c r="BU1547" s="17"/>
      <c r="BV1547" s="17"/>
      <c r="BW1547" s="17"/>
      <c r="BX1547" s="17"/>
      <c r="BY1547" s="17"/>
      <c r="BZ1547" s="17"/>
      <c r="CA1547" s="17"/>
      <c r="CB1547" s="17"/>
      <c r="CC1547" s="17"/>
      <c r="CD1547" s="17"/>
      <c r="CE1547" s="17"/>
      <c r="CF1547" s="17"/>
      <c r="CG1547" s="17"/>
      <c r="CH1547" s="17"/>
    </row>
    <row r="1548" spans="35:86" x14ac:dyDescent="0.15">
      <c r="AI1548" s="3"/>
      <c r="AJ1548" s="3"/>
      <c r="AK1548" s="15">
        <f t="shared" si="506"/>
        <v>6</v>
      </c>
      <c r="AL1548" s="11">
        <f t="shared" si="503"/>
        <v>9234</v>
      </c>
      <c r="AM1548" s="11" t="b">
        <f t="shared" si="505"/>
        <v>0</v>
      </c>
      <c r="AN1548" s="11">
        <f t="shared" si="507"/>
        <v>36000</v>
      </c>
      <c r="AO1548" s="11">
        <f t="shared" si="508"/>
        <v>0</v>
      </c>
      <c r="AP1548" s="11">
        <f t="shared" si="509"/>
        <v>0.67936373719361798</v>
      </c>
      <c r="AQ1548" s="11">
        <f t="shared" si="510"/>
        <v>0</v>
      </c>
      <c r="AT1548" s="3"/>
      <c r="AU1548" s="17"/>
      <c r="AV1548" s="19"/>
      <c r="AW1548" s="17"/>
      <c r="AX1548" s="17">
        <f t="shared" si="504"/>
        <v>1539</v>
      </c>
      <c r="AY1548" s="17">
        <f t="shared" si="502"/>
        <v>153.9</v>
      </c>
      <c r="AZ1548" s="17">
        <v>67.936373719361796</v>
      </c>
      <c r="BA1548" s="17"/>
      <c r="BB1548" s="17">
        <v>36</v>
      </c>
      <c r="BC1548" s="17"/>
      <c r="BD1548" s="17"/>
      <c r="BE1548" s="17"/>
      <c r="BF1548" s="17"/>
      <c r="BG1548" s="17"/>
      <c r="BH1548" s="17"/>
      <c r="BI1548" s="17"/>
      <c r="BJ1548" s="17"/>
      <c r="BK1548" s="17"/>
      <c r="BL1548" s="17"/>
      <c r="BM1548" s="17"/>
      <c r="BN1548" s="17"/>
      <c r="BO1548" s="17"/>
      <c r="BP1548" s="17"/>
      <c r="BQ1548" s="17"/>
      <c r="BR1548" s="17"/>
      <c r="BS1548" s="17"/>
      <c r="BT1548" s="17"/>
      <c r="BU1548" s="17"/>
      <c r="BV1548" s="17"/>
      <c r="BW1548" s="17"/>
      <c r="BX1548" s="17"/>
      <c r="BY1548" s="17"/>
      <c r="BZ1548" s="17"/>
      <c r="CA1548" s="17"/>
      <c r="CB1548" s="17"/>
      <c r="CC1548" s="17"/>
      <c r="CD1548" s="17"/>
      <c r="CE1548" s="17"/>
      <c r="CF1548" s="17"/>
      <c r="CG1548" s="17"/>
      <c r="CH1548" s="17"/>
    </row>
    <row r="1549" spans="35:86" x14ac:dyDescent="0.15">
      <c r="AI1549" s="3"/>
      <c r="AJ1549" s="3"/>
      <c r="AK1549" s="15">
        <f t="shared" si="506"/>
        <v>6</v>
      </c>
      <c r="AL1549" s="11">
        <f t="shared" si="503"/>
        <v>9240</v>
      </c>
      <c r="AM1549" s="11" t="b">
        <f t="shared" si="505"/>
        <v>0</v>
      </c>
      <c r="AN1549" s="11">
        <f t="shared" si="507"/>
        <v>36000</v>
      </c>
      <c r="AO1549" s="11">
        <f t="shared" si="508"/>
        <v>0</v>
      </c>
      <c r="AP1549" s="11">
        <f t="shared" si="509"/>
        <v>0.6804660520084328</v>
      </c>
      <c r="AQ1549" s="11">
        <f t="shared" si="510"/>
        <v>0</v>
      </c>
      <c r="AT1549" s="3"/>
      <c r="AU1549" s="17"/>
      <c r="AV1549" s="19"/>
      <c r="AW1549" s="17"/>
      <c r="AX1549" s="17">
        <f t="shared" si="504"/>
        <v>1540</v>
      </c>
      <c r="AY1549" s="17">
        <f t="shared" si="502"/>
        <v>154</v>
      </c>
      <c r="AZ1549" s="17">
        <v>68.046605200843274</v>
      </c>
      <c r="BA1549" s="17"/>
      <c r="BB1549" s="17">
        <v>36</v>
      </c>
      <c r="BC1549" s="17"/>
      <c r="BD1549" s="17"/>
      <c r="BE1549" s="17"/>
      <c r="BF1549" s="17"/>
      <c r="BG1549" s="17"/>
      <c r="BH1549" s="17"/>
      <c r="BI1549" s="17"/>
      <c r="BJ1549" s="17"/>
      <c r="BK1549" s="17"/>
      <c r="BL1549" s="17"/>
      <c r="BM1549" s="17"/>
      <c r="BN1549" s="17"/>
      <c r="BO1549" s="17"/>
      <c r="BP1549" s="17"/>
      <c r="BQ1549" s="17"/>
      <c r="BR1549" s="17"/>
      <c r="BS1549" s="17"/>
      <c r="BT1549" s="17"/>
      <c r="BU1549" s="17"/>
      <c r="BV1549" s="17"/>
      <c r="BW1549" s="17"/>
      <c r="BX1549" s="17"/>
      <c r="BY1549" s="17"/>
      <c r="BZ1549" s="17"/>
      <c r="CA1549" s="17"/>
      <c r="CB1549" s="17"/>
      <c r="CC1549" s="17"/>
      <c r="CD1549" s="17"/>
      <c r="CE1549" s="17"/>
      <c r="CF1549" s="17"/>
      <c r="CG1549" s="17"/>
      <c r="CH1549" s="17"/>
    </row>
    <row r="1550" spans="35:86" x14ac:dyDescent="0.15">
      <c r="AI1550" s="3"/>
      <c r="AJ1550" s="3"/>
      <c r="AK1550" s="15">
        <f t="shared" si="506"/>
        <v>6</v>
      </c>
      <c r="AL1550" s="11">
        <f t="shared" si="503"/>
        <v>9246</v>
      </c>
      <c r="AM1550" s="11" t="b">
        <f t="shared" si="505"/>
        <v>0</v>
      </c>
      <c r="AN1550" s="11">
        <f t="shared" si="507"/>
        <v>36000</v>
      </c>
      <c r="AO1550" s="11">
        <f t="shared" si="508"/>
        <v>0</v>
      </c>
      <c r="AP1550" s="11">
        <f t="shared" si="509"/>
        <v>0.68156836682324762</v>
      </c>
      <c r="AQ1550" s="11">
        <f t="shared" si="510"/>
        <v>0</v>
      </c>
      <c r="AT1550" s="3"/>
      <c r="AU1550" s="17"/>
      <c r="AV1550" s="19"/>
      <c r="AW1550" s="17"/>
      <c r="AX1550" s="17">
        <f t="shared" si="504"/>
        <v>1541</v>
      </c>
      <c r="AY1550" s="17">
        <f t="shared" si="502"/>
        <v>154.1</v>
      </c>
      <c r="AZ1550" s="17">
        <v>68.156836682324766</v>
      </c>
      <c r="BA1550" s="17"/>
      <c r="BB1550" s="17">
        <v>36</v>
      </c>
      <c r="BC1550" s="17"/>
      <c r="BD1550" s="17"/>
      <c r="BE1550" s="17"/>
      <c r="BF1550" s="17"/>
      <c r="BG1550" s="17"/>
      <c r="BH1550" s="17"/>
      <c r="BI1550" s="17"/>
      <c r="BJ1550" s="17"/>
      <c r="BK1550" s="17"/>
      <c r="BL1550" s="17"/>
      <c r="BM1550" s="17"/>
      <c r="BN1550" s="17"/>
      <c r="BO1550" s="17"/>
      <c r="BP1550" s="17"/>
      <c r="BQ1550" s="17"/>
      <c r="BR1550" s="17"/>
      <c r="BS1550" s="17"/>
      <c r="BT1550" s="17"/>
      <c r="BU1550" s="17"/>
      <c r="BV1550" s="17"/>
      <c r="BW1550" s="17"/>
      <c r="BX1550" s="17"/>
      <c r="BY1550" s="17"/>
      <c r="BZ1550" s="17"/>
      <c r="CA1550" s="17"/>
      <c r="CB1550" s="17"/>
      <c r="CC1550" s="17"/>
      <c r="CD1550" s="17"/>
      <c r="CE1550" s="17"/>
      <c r="CF1550" s="17"/>
      <c r="CG1550" s="17"/>
      <c r="CH1550" s="17"/>
    </row>
    <row r="1551" spans="35:86" x14ac:dyDescent="0.15">
      <c r="AI1551" s="3"/>
      <c r="AJ1551" s="3"/>
      <c r="AK1551" s="15">
        <f t="shared" si="506"/>
        <v>6</v>
      </c>
      <c r="AL1551" s="11">
        <f t="shared" si="503"/>
        <v>9252</v>
      </c>
      <c r="AM1551" s="11" t="b">
        <f t="shared" si="505"/>
        <v>0</v>
      </c>
      <c r="AN1551" s="11">
        <f t="shared" si="507"/>
        <v>36000</v>
      </c>
      <c r="AO1551" s="11">
        <f t="shared" si="508"/>
        <v>0</v>
      </c>
      <c r="AP1551" s="11">
        <f t="shared" si="509"/>
        <v>0.68267068163806244</v>
      </c>
      <c r="AQ1551" s="11">
        <f t="shared" si="510"/>
        <v>0</v>
      </c>
      <c r="AT1551" s="3"/>
      <c r="AU1551" s="17"/>
      <c r="AV1551" s="19"/>
      <c r="AW1551" s="17"/>
      <c r="AX1551" s="17">
        <f t="shared" si="504"/>
        <v>1542</v>
      </c>
      <c r="AY1551" s="17">
        <f t="shared" si="502"/>
        <v>154.19999999999999</v>
      </c>
      <c r="AZ1551" s="17">
        <v>68.267068163806243</v>
      </c>
      <c r="BA1551" s="17"/>
      <c r="BB1551" s="17">
        <v>36</v>
      </c>
      <c r="BC1551" s="17"/>
      <c r="BD1551" s="17"/>
      <c r="BE1551" s="17"/>
      <c r="BF1551" s="17"/>
      <c r="BG1551" s="17"/>
      <c r="BH1551" s="17"/>
      <c r="BI1551" s="17"/>
      <c r="BJ1551" s="17"/>
      <c r="BK1551" s="17"/>
      <c r="BL1551" s="17"/>
      <c r="BM1551" s="17"/>
      <c r="BN1551" s="17"/>
      <c r="BO1551" s="17"/>
      <c r="BP1551" s="17"/>
      <c r="BQ1551" s="17"/>
      <c r="BR1551" s="17"/>
      <c r="BS1551" s="17"/>
      <c r="BT1551" s="17"/>
      <c r="BU1551" s="17"/>
      <c r="BV1551" s="17"/>
      <c r="BW1551" s="17"/>
      <c r="BX1551" s="17"/>
      <c r="BY1551" s="17"/>
      <c r="BZ1551" s="17"/>
      <c r="CA1551" s="17"/>
      <c r="CB1551" s="17"/>
      <c r="CC1551" s="17"/>
      <c r="CD1551" s="17"/>
      <c r="CE1551" s="17"/>
      <c r="CF1551" s="17"/>
      <c r="CG1551" s="17"/>
      <c r="CH1551" s="17"/>
    </row>
    <row r="1552" spans="35:86" x14ac:dyDescent="0.15">
      <c r="AI1552" s="3"/>
      <c r="AJ1552" s="3"/>
      <c r="AK1552" s="15">
        <f t="shared" si="506"/>
        <v>6</v>
      </c>
      <c r="AL1552" s="11">
        <f t="shared" si="503"/>
        <v>9258</v>
      </c>
      <c r="AM1552" s="11" t="b">
        <f t="shared" si="505"/>
        <v>0</v>
      </c>
      <c r="AN1552" s="11">
        <f t="shared" si="507"/>
        <v>36000</v>
      </c>
      <c r="AO1552" s="11">
        <f t="shared" si="508"/>
        <v>0</v>
      </c>
      <c r="AP1552" s="11">
        <f t="shared" si="509"/>
        <v>0.68377299645287737</v>
      </c>
      <c r="AQ1552" s="11">
        <f t="shared" si="510"/>
        <v>0</v>
      </c>
      <c r="AT1552" s="3"/>
      <c r="AU1552" s="17"/>
      <c r="AV1552" s="19"/>
      <c r="AW1552" s="17"/>
      <c r="AX1552" s="17">
        <f t="shared" si="504"/>
        <v>1543</v>
      </c>
      <c r="AY1552" s="17">
        <f t="shared" si="502"/>
        <v>154.30000000000001</v>
      </c>
      <c r="AZ1552" s="17">
        <v>68.377299645287735</v>
      </c>
      <c r="BA1552" s="17"/>
      <c r="BB1552" s="17">
        <v>36</v>
      </c>
      <c r="BC1552" s="17"/>
      <c r="BD1552" s="17"/>
      <c r="BE1552" s="17"/>
      <c r="BF1552" s="17"/>
      <c r="BG1552" s="17"/>
      <c r="BH1552" s="17"/>
      <c r="BI1552" s="17"/>
      <c r="BJ1552" s="17"/>
      <c r="BK1552" s="17"/>
      <c r="BL1552" s="17"/>
      <c r="BM1552" s="17"/>
      <c r="BN1552" s="17"/>
      <c r="BO1552" s="17"/>
      <c r="BP1552" s="17"/>
      <c r="BQ1552" s="17"/>
      <c r="BR1552" s="17"/>
      <c r="BS1552" s="17"/>
      <c r="BT1552" s="17"/>
      <c r="BU1552" s="17"/>
      <c r="BV1552" s="17"/>
      <c r="BW1552" s="17"/>
      <c r="BX1552" s="17"/>
      <c r="BY1552" s="17"/>
      <c r="BZ1552" s="17"/>
      <c r="CA1552" s="17"/>
      <c r="CB1552" s="17"/>
      <c r="CC1552" s="17"/>
      <c r="CD1552" s="17"/>
      <c r="CE1552" s="17"/>
      <c r="CF1552" s="17"/>
      <c r="CG1552" s="17"/>
      <c r="CH1552" s="17"/>
    </row>
    <row r="1553" spans="35:86" x14ac:dyDescent="0.15">
      <c r="AI1553" s="3"/>
      <c r="AJ1553" s="3"/>
      <c r="AK1553" s="15">
        <f t="shared" si="506"/>
        <v>6</v>
      </c>
      <c r="AL1553" s="11">
        <f t="shared" si="503"/>
        <v>9264</v>
      </c>
      <c r="AM1553" s="11" t="b">
        <f t="shared" si="505"/>
        <v>0</v>
      </c>
      <c r="AN1553" s="11">
        <f t="shared" si="507"/>
        <v>36000</v>
      </c>
      <c r="AO1553" s="11">
        <f t="shared" si="508"/>
        <v>0</v>
      </c>
      <c r="AP1553" s="11">
        <f t="shared" si="509"/>
        <v>0.68487531126769219</v>
      </c>
      <c r="AQ1553" s="11">
        <f t="shared" si="510"/>
        <v>0</v>
      </c>
      <c r="AT1553" s="3"/>
      <c r="AU1553" s="17"/>
      <c r="AV1553" s="19"/>
      <c r="AW1553" s="17"/>
      <c r="AX1553" s="17">
        <f t="shared" si="504"/>
        <v>1544</v>
      </c>
      <c r="AY1553" s="17">
        <f t="shared" si="502"/>
        <v>154.4</v>
      </c>
      <c r="AZ1553" s="17">
        <v>68.487531126769213</v>
      </c>
      <c r="BA1553" s="17"/>
      <c r="BB1553" s="17">
        <v>36</v>
      </c>
      <c r="BC1553" s="17"/>
      <c r="BD1553" s="17"/>
      <c r="BE1553" s="17"/>
      <c r="BF1553" s="17"/>
      <c r="BG1553" s="17"/>
      <c r="BH1553" s="17"/>
      <c r="BI1553" s="17"/>
      <c r="BJ1553" s="17"/>
      <c r="BK1553" s="17"/>
      <c r="BL1553" s="17"/>
      <c r="BM1553" s="17"/>
      <c r="BN1553" s="17"/>
      <c r="BO1553" s="17"/>
      <c r="BP1553" s="17"/>
      <c r="BQ1553" s="17"/>
      <c r="BR1553" s="17"/>
      <c r="BS1553" s="17"/>
      <c r="BT1553" s="17"/>
      <c r="BU1553" s="17"/>
      <c r="BV1553" s="17"/>
      <c r="BW1553" s="17"/>
      <c r="BX1553" s="17"/>
      <c r="BY1553" s="17"/>
      <c r="BZ1553" s="17"/>
      <c r="CA1553" s="17"/>
      <c r="CB1553" s="17"/>
      <c r="CC1553" s="17"/>
      <c r="CD1553" s="17"/>
      <c r="CE1553" s="17"/>
      <c r="CF1553" s="17"/>
      <c r="CG1553" s="17"/>
      <c r="CH1553" s="17"/>
    </row>
    <row r="1554" spans="35:86" x14ac:dyDescent="0.15">
      <c r="AI1554" s="3"/>
      <c r="AJ1554" s="3"/>
      <c r="AK1554" s="15">
        <f t="shared" si="506"/>
        <v>6</v>
      </c>
      <c r="AL1554" s="11">
        <f t="shared" si="503"/>
        <v>9270</v>
      </c>
      <c r="AM1554" s="11" t="b">
        <f t="shared" si="505"/>
        <v>0</v>
      </c>
      <c r="AN1554" s="11">
        <f t="shared" si="507"/>
        <v>36000</v>
      </c>
      <c r="AO1554" s="11">
        <f t="shared" si="508"/>
        <v>0</v>
      </c>
      <c r="AP1554" s="11">
        <f t="shared" si="509"/>
        <v>0.68597762608250701</v>
      </c>
      <c r="AQ1554" s="11">
        <f t="shared" si="510"/>
        <v>0</v>
      </c>
      <c r="AT1554" s="3"/>
      <c r="AU1554" s="17"/>
      <c r="AV1554" s="19"/>
      <c r="AW1554" s="17"/>
      <c r="AX1554" s="17">
        <f t="shared" si="504"/>
        <v>1545</v>
      </c>
      <c r="AY1554" s="17">
        <f t="shared" si="502"/>
        <v>154.5</v>
      </c>
      <c r="AZ1554" s="17">
        <v>68.597762608250704</v>
      </c>
      <c r="BA1554" s="17"/>
      <c r="BB1554" s="17">
        <v>36</v>
      </c>
      <c r="BC1554" s="17"/>
      <c r="BD1554" s="17"/>
      <c r="BE1554" s="17"/>
      <c r="BF1554" s="17"/>
      <c r="BG1554" s="17"/>
      <c r="BH1554" s="17"/>
      <c r="BI1554" s="17"/>
      <c r="BJ1554" s="17"/>
      <c r="BK1554" s="17"/>
      <c r="BL1554" s="17"/>
      <c r="BM1554" s="17"/>
      <c r="BN1554" s="17"/>
      <c r="BO1554" s="17"/>
      <c r="BP1554" s="17"/>
      <c r="BQ1554" s="17"/>
      <c r="BR1554" s="17"/>
      <c r="BS1554" s="17"/>
      <c r="BT1554" s="17"/>
      <c r="BU1554" s="17"/>
      <c r="BV1554" s="17"/>
      <c r="BW1554" s="17"/>
      <c r="BX1554" s="17"/>
      <c r="BY1554" s="17"/>
      <c r="BZ1554" s="17"/>
      <c r="CA1554" s="17"/>
      <c r="CB1554" s="17"/>
      <c r="CC1554" s="17"/>
      <c r="CD1554" s="17"/>
      <c r="CE1554" s="17"/>
      <c r="CF1554" s="17"/>
      <c r="CG1554" s="17"/>
      <c r="CH1554" s="17"/>
    </row>
    <row r="1555" spans="35:86" x14ac:dyDescent="0.15">
      <c r="AI1555" s="3"/>
      <c r="AJ1555" s="3"/>
      <c r="AK1555" s="15">
        <f t="shared" si="506"/>
        <v>6</v>
      </c>
      <c r="AL1555" s="11">
        <f t="shared" si="503"/>
        <v>9276</v>
      </c>
      <c r="AM1555" s="11" t="b">
        <f t="shared" si="505"/>
        <v>0</v>
      </c>
      <c r="AN1555" s="11">
        <f t="shared" si="507"/>
        <v>36000</v>
      </c>
      <c r="AO1555" s="11">
        <f t="shared" si="508"/>
        <v>0</v>
      </c>
      <c r="AP1555" s="11">
        <f t="shared" si="509"/>
        <v>0.68707994089732183</v>
      </c>
      <c r="AQ1555" s="11">
        <f t="shared" si="510"/>
        <v>0</v>
      </c>
      <c r="AT1555" s="3"/>
      <c r="AU1555" s="17"/>
      <c r="AV1555" s="19"/>
      <c r="AW1555" s="17"/>
      <c r="AX1555" s="17">
        <f t="shared" si="504"/>
        <v>1546</v>
      </c>
      <c r="AY1555" s="17">
        <f t="shared" si="502"/>
        <v>154.6</v>
      </c>
      <c r="AZ1555" s="17">
        <v>68.707994089732182</v>
      </c>
      <c r="BA1555" s="17"/>
      <c r="BB1555" s="17">
        <v>36</v>
      </c>
      <c r="BC1555" s="17"/>
      <c r="BD1555" s="17"/>
      <c r="BE1555" s="17"/>
      <c r="BF1555" s="17"/>
      <c r="BG1555" s="17"/>
      <c r="BH1555" s="17"/>
      <c r="BI1555" s="17"/>
      <c r="BJ1555" s="17"/>
      <c r="BK1555" s="17"/>
      <c r="BL1555" s="17"/>
      <c r="BM1555" s="17"/>
      <c r="BN1555" s="17"/>
      <c r="BO1555" s="17"/>
      <c r="BP1555" s="17"/>
      <c r="BQ1555" s="17"/>
      <c r="BR1555" s="17"/>
      <c r="BS1555" s="17"/>
      <c r="BT1555" s="17"/>
      <c r="BU1555" s="17"/>
      <c r="BV1555" s="17"/>
      <c r="BW1555" s="17"/>
      <c r="BX1555" s="17"/>
      <c r="BY1555" s="17"/>
      <c r="BZ1555" s="17"/>
      <c r="CA1555" s="17"/>
      <c r="CB1555" s="17"/>
      <c r="CC1555" s="17"/>
      <c r="CD1555" s="17"/>
      <c r="CE1555" s="17"/>
      <c r="CF1555" s="17"/>
      <c r="CG1555" s="17"/>
      <c r="CH1555" s="17"/>
    </row>
    <row r="1556" spans="35:86" x14ac:dyDescent="0.15">
      <c r="AI1556" s="3"/>
      <c r="AJ1556" s="3"/>
      <c r="AK1556" s="15">
        <f t="shared" si="506"/>
        <v>6</v>
      </c>
      <c r="AL1556" s="11">
        <f t="shared" si="503"/>
        <v>9282</v>
      </c>
      <c r="AM1556" s="11" t="b">
        <f t="shared" si="505"/>
        <v>0</v>
      </c>
      <c r="AN1556" s="11">
        <f t="shared" si="507"/>
        <v>36000</v>
      </c>
      <c r="AO1556" s="11">
        <f t="shared" si="508"/>
        <v>0</v>
      </c>
      <c r="AP1556" s="11">
        <f t="shared" si="509"/>
        <v>0.68818225571213665</v>
      </c>
      <c r="AQ1556" s="11">
        <f t="shared" si="510"/>
        <v>0</v>
      </c>
      <c r="AT1556" s="3"/>
      <c r="AU1556" s="17"/>
      <c r="AV1556" s="19"/>
      <c r="AW1556" s="17"/>
      <c r="AX1556" s="17">
        <f t="shared" si="504"/>
        <v>1547</v>
      </c>
      <c r="AY1556" s="17">
        <f t="shared" ref="AY1556:AY1619" si="511">IF(ISNUMBER(AX1556),IF(ROUND((AX1556)*$AG$15*$AB$15,0) &lt;= 10080, ROUND((AX1556)*$AG$15,0)*$AB$15/60, 168),168)</f>
        <v>154.69999999999999</v>
      </c>
      <c r="AZ1556" s="17">
        <v>68.818225571213659</v>
      </c>
      <c r="BA1556" s="17"/>
      <c r="BB1556" s="17">
        <v>36</v>
      </c>
      <c r="BC1556" s="17"/>
      <c r="BD1556" s="17"/>
      <c r="BE1556" s="17"/>
      <c r="BF1556" s="17"/>
      <c r="BG1556" s="17"/>
      <c r="BH1556" s="17"/>
      <c r="BI1556" s="17"/>
      <c r="BJ1556" s="17"/>
      <c r="BK1556" s="17"/>
      <c r="BL1556" s="17"/>
      <c r="BM1556" s="17"/>
      <c r="BN1556" s="17"/>
      <c r="BO1556" s="17"/>
      <c r="BP1556" s="17"/>
      <c r="BQ1556" s="17"/>
      <c r="BR1556" s="17"/>
      <c r="BS1556" s="17"/>
      <c r="BT1556" s="17"/>
      <c r="BU1556" s="17"/>
      <c r="BV1556" s="17"/>
      <c r="BW1556" s="17"/>
      <c r="BX1556" s="17"/>
      <c r="BY1556" s="17"/>
      <c r="BZ1556" s="17"/>
      <c r="CA1556" s="17"/>
      <c r="CB1556" s="17"/>
      <c r="CC1556" s="17"/>
      <c r="CD1556" s="17"/>
      <c r="CE1556" s="17"/>
      <c r="CF1556" s="17"/>
      <c r="CG1556" s="17"/>
      <c r="CH1556" s="17"/>
    </row>
    <row r="1557" spans="35:86" x14ac:dyDescent="0.15">
      <c r="AI1557" s="3"/>
      <c r="AJ1557" s="3"/>
      <c r="AK1557" s="15">
        <f t="shared" si="506"/>
        <v>6</v>
      </c>
      <c r="AL1557" s="11">
        <f t="shared" si="503"/>
        <v>9288</v>
      </c>
      <c r="AM1557" s="11" t="b">
        <f t="shared" si="505"/>
        <v>0</v>
      </c>
      <c r="AN1557" s="11">
        <f t="shared" si="507"/>
        <v>36000</v>
      </c>
      <c r="AO1557" s="11">
        <f t="shared" si="508"/>
        <v>0</v>
      </c>
      <c r="AP1557" s="11">
        <f t="shared" si="509"/>
        <v>0.68928457052695158</v>
      </c>
      <c r="AQ1557" s="11">
        <f t="shared" si="510"/>
        <v>0</v>
      </c>
      <c r="AT1557" s="3"/>
      <c r="AU1557" s="17"/>
      <c r="AV1557" s="19"/>
      <c r="AW1557" s="17"/>
      <c r="AX1557" s="17">
        <f t="shared" si="504"/>
        <v>1548</v>
      </c>
      <c r="AY1557" s="17">
        <f t="shared" si="511"/>
        <v>154.80000000000001</v>
      </c>
      <c r="AZ1557" s="17">
        <v>68.928457052695151</v>
      </c>
      <c r="BA1557" s="17"/>
      <c r="BB1557" s="17">
        <v>36</v>
      </c>
      <c r="BC1557" s="17"/>
      <c r="BD1557" s="17"/>
      <c r="BE1557" s="17"/>
      <c r="BF1557" s="17"/>
      <c r="BG1557" s="17"/>
      <c r="BH1557" s="17"/>
      <c r="BI1557" s="17"/>
      <c r="BJ1557" s="17"/>
      <c r="BK1557" s="17"/>
      <c r="BL1557" s="17"/>
      <c r="BM1557" s="17"/>
      <c r="BN1557" s="17"/>
      <c r="BO1557" s="17"/>
      <c r="BP1557" s="17"/>
      <c r="BQ1557" s="17"/>
      <c r="BR1557" s="17"/>
      <c r="BS1557" s="17"/>
      <c r="BT1557" s="17"/>
      <c r="BU1557" s="17"/>
      <c r="BV1557" s="17"/>
      <c r="BW1557" s="17"/>
      <c r="BX1557" s="17"/>
      <c r="BY1557" s="17"/>
      <c r="BZ1557" s="17"/>
      <c r="CA1557" s="17"/>
      <c r="CB1557" s="17"/>
      <c r="CC1557" s="17"/>
      <c r="CD1557" s="17"/>
      <c r="CE1557" s="17"/>
      <c r="CF1557" s="17"/>
      <c r="CG1557" s="17"/>
      <c r="CH1557" s="17"/>
    </row>
    <row r="1558" spans="35:86" x14ac:dyDescent="0.15">
      <c r="AI1558" s="3"/>
      <c r="AJ1558" s="3"/>
      <c r="AK1558" s="15">
        <f t="shared" si="506"/>
        <v>6</v>
      </c>
      <c r="AL1558" s="11">
        <f t="shared" si="503"/>
        <v>9294</v>
      </c>
      <c r="AM1558" s="11" t="b">
        <f t="shared" si="505"/>
        <v>0</v>
      </c>
      <c r="AN1558" s="11">
        <f t="shared" si="507"/>
        <v>36000</v>
      </c>
      <c r="AO1558" s="11">
        <f t="shared" si="508"/>
        <v>0</v>
      </c>
      <c r="AP1558" s="11">
        <f t="shared" si="509"/>
        <v>0.6903868853417664</v>
      </c>
      <c r="AQ1558" s="11">
        <f t="shared" si="510"/>
        <v>0</v>
      </c>
      <c r="AT1558" s="3"/>
      <c r="AU1558" s="17"/>
      <c r="AV1558" s="19"/>
      <c r="AW1558" s="17"/>
      <c r="AX1558" s="17">
        <f t="shared" si="504"/>
        <v>1549</v>
      </c>
      <c r="AY1558" s="17">
        <f t="shared" si="511"/>
        <v>154.9</v>
      </c>
      <c r="AZ1558" s="17">
        <v>69.038688534176643</v>
      </c>
      <c r="BA1558" s="17"/>
      <c r="BB1558" s="17">
        <v>36</v>
      </c>
      <c r="BC1558" s="17"/>
      <c r="BD1558" s="17"/>
      <c r="BE1558" s="17"/>
      <c r="BF1558" s="17"/>
      <c r="BG1558" s="17"/>
      <c r="BH1558" s="17"/>
      <c r="BI1558" s="17"/>
      <c r="BJ1558" s="17"/>
      <c r="BK1558" s="17"/>
      <c r="BL1558" s="17"/>
      <c r="BM1558" s="17"/>
      <c r="BN1558" s="17"/>
      <c r="BO1558" s="17"/>
      <c r="BP1558" s="17"/>
      <c r="BQ1558" s="17"/>
      <c r="BR1558" s="17"/>
      <c r="BS1558" s="17"/>
      <c r="BT1558" s="17"/>
      <c r="BU1558" s="17"/>
      <c r="BV1558" s="17"/>
      <c r="BW1558" s="17"/>
      <c r="BX1558" s="17"/>
      <c r="BY1558" s="17"/>
      <c r="BZ1558" s="17"/>
      <c r="CA1558" s="17"/>
      <c r="CB1558" s="17"/>
      <c r="CC1558" s="17"/>
      <c r="CD1558" s="17"/>
      <c r="CE1558" s="17"/>
      <c r="CF1558" s="17"/>
      <c r="CG1558" s="17"/>
      <c r="CH1558" s="17"/>
    </row>
    <row r="1559" spans="35:86" x14ac:dyDescent="0.15">
      <c r="AI1559" s="3"/>
      <c r="AJ1559" s="3"/>
      <c r="AK1559" s="15">
        <f t="shared" si="506"/>
        <v>6</v>
      </c>
      <c r="AL1559" s="11">
        <f t="shared" si="503"/>
        <v>9300</v>
      </c>
      <c r="AM1559" s="11" t="b">
        <f t="shared" si="505"/>
        <v>0</v>
      </c>
      <c r="AN1559" s="11">
        <f t="shared" si="507"/>
        <v>36000</v>
      </c>
      <c r="AO1559" s="11">
        <f t="shared" si="508"/>
        <v>0</v>
      </c>
      <c r="AP1559" s="11">
        <f t="shared" si="509"/>
        <v>0.69148920015658122</v>
      </c>
      <c r="AQ1559" s="11">
        <f t="shared" si="510"/>
        <v>0</v>
      </c>
      <c r="AT1559" s="3"/>
      <c r="AU1559" s="17"/>
      <c r="AV1559" s="19"/>
      <c r="AW1559" s="17"/>
      <c r="AX1559" s="17">
        <f t="shared" si="504"/>
        <v>1550</v>
      </c>
      <c r="AY1559" s="17">
        <f t="shared" si="511"/>
        <v>155</v>
      </c>
      <c r="AZ1559" s="17">
        <v>69.148920015658121</v>
      </c>
      <c r="BA1559" s="17"/>
      <c r="BB1559" s="17">
        <v>36</v>
      </c>
      <c r="BC1559" s="17"/>
      <c r="BD1559" s="17"/>
      <c r="BE1559" s="17"/>
      <c r="BF1559" s="17"/>
      <c r="BG1559" s="17"/>
      <c r="BH1559" s="17"/>
      <c r="BI1559" s="17"/>
      <c r="BJ1559" s="17"/>
      <c r="BK1559" s="17"/>
      <c r="BL1559" s="17"/>
      <c r="BM1559" s="17"/>
      <c r="BN1559" s="17"/>
      <c r="BO1559" s="17"/>
      <c r="BP1559" s="17"/>
      <c r="BQ1559" s="17"/>
      <c r="BR1559" s="17"/>
      <c r="BS1559" s="17"/>
      <c r="BT1559" s="17"/>
      <c r="BU1559" s="17"/>
      <c r="BV1559" s="17"/>
      <c r="BW1559" s="17"/>
      <c r="BX1559" s="17"/>
      <c r="BY1559" s="17"/>
      <c r="BZ1559" s="17"/>
      <c r="CA1559" s="17"/>
      <c r="CB1559" s="17"/>
      <c r="CC1559" s="17"/>
      <c r="CD1559" s="17"/>
      <c r="CE1559" s="17"/>
      <c r="CF1559" s="17"/>
      <c r="CG1559" s="17"/>
      <c r="CH1559" s="17"/>
    </row>
    <row r="1560" spans="35:86" x14ac:dyDescent="0.15">
      <c r="AI1560" s="3"/>
      <c r="AJ1560" s="3"/>
      <c r="AK1560" s="15">
        <f t="shared" si="506"/>
        <v>6</v>
      </c>
      <c r="AL1560" s="11">
        <f t="shared" si="503"/>
        <v>9306</v>
      </c>
      <c r="AM1560" s="11" t="b">
        <f t="shared" si="505"/>
        <v>0</v>
      </c>
      <c r="AN1560" s="11">
        <f t="shared" si="507"/>
        <v>36000</v>
      </c>
      <c r="AO1560" s="11">
        <f t="shared" si="508"/>
        <v>0</v>
      </c>
      <c r="AP1560" s="11">
        <f t="shared" si="509"/>
        <v>0.69259151497139604</v>
      </c>
      <c r="AQ1560" s="11">
        <f t="shared" si="510"/>
        <v>0</v>
      </c>
      <c r="AT1560" s="3"/>
      <c r="AU1560" s="17"/>
      <c r="AV1560" s="19"/>
      <c r="AW1560" s="17"/>
      <c r="AX1560" s="17">
        <f t="shared" si="504"/>
        <v>1551</v>
      </c>
      <c r="AY1560" s="17">
        <f t="shared" si="511"/>
        <v>155.1</v>
      </c>
      <c r="AZ1560" s="17">
        <v>69.259151497139598</v>
      </c>
      <c r="BA1560" s="17"/>
      <c r="BB1560" s="17">
        <v>36</v>
      </c>
      <c r="BC1560" s="17"/>
      <c r="BD1560" s="17"/>
      <c r="BE1560" s="17"/>
      <c r="BF1560" s="17"/>
      <c r="BG1560" s="17"/>
      <c r="BH1560" s="17"/>
      <c r="BI1560" s="17"/>
      <c r="BJ1560" s="17"/>
      <c r="BK1560" s="17"/>
      <c r="BL1560" s="17"/>
      <c r="BM1560" s="17"/>
      <c r="BN1560" s="17"/>
      <c r="BO1560" s="17"/>
      <c r="BP1560" s="17"/>
      <c r="BQ1560" s="17"/>
      <c r="BR1560" s="17"/>
      <c r="BS1560" s="17"/>
      <c r="BT1560" s="17"/>
      <c r="BU1560" s="17"/>
      <c r="BV1560" s="17"/>
      <c r="BW1560" s="17"/>
      <c r="BX1560" s="17"/>
      <c r="BY1560" s="17"/>
      <c r="BZ1560" s="17"/>
      <c r="CA1560" s="17"/>
      <c r="CB1560" s="17"/>
      <c r="CC1560" s="17"/>
      <c r="CD1560" s="17"/>
      <c r="CE1560" s="17"/>
      <c r="CF1560" s="17"/>
      <c r="CG1560" s="17"/>
      <c r="CH1560" s="17"/>
    </row>
    <row r="1561" spans="35:86" x14ac:dyDescent="0.15">
      <c r="AI1561" s="3"/>
      <c r="AJ1561" s="3"/>
      <c r="AK1561" s="15">
        <f t="shared" si="506"/>
        <v>6</v>
      </c>
      <c r="AL1561" s="11">
        <f t="shared" si="503"/>
        <v>9312</v>
      </c>
      <c r="AM1561" s="11" t="b">
        <f t="shared" si="505"/>
        <v>0</v>
      </c>
      <c r="AN1561" s="11">
        <f t="shared" si="507"/>
        <v>36000</v>
      </c>
      <c r="AO1561" s="11">
        <f t="shared" si="508"/>
        <v>0</v>
      </c>
      <c r="AP1561" s="11">
        <f t="shared" si="509"/>
        <v>0.69369382978621086</v>
      </c>
      <c r="AQ1561" s="11">
        <f t="shared" si="510"/>
        <v>0</v>
      </c>
      <c r="AT1561" s="3"/>
      <c r="AU1561" s="17"/>
      <c r="AV1561" s="19"/>
      <c r="AW1561" s="17"/>
      <c r="AX1561" s="17">
        <f t="shared" si="504"/>
        <v>1552</v>
      </c>
      <c r="AY1561" s="17">
        <f t="shared" si="511"/>
        <v>155.19999999999999</v>
      </c>
      <c r="AZ1561" s="17">
        <v>69.36938297862109</v>
      </c>
      <c r="BA1561" s="17"/>
      <c r="BB1561" s="17">
        <v>36</v>
      </c>
      <c r="BC1561" s="17"/>
      <c r="BD1561" s="17"/>
      <c r="BE1561" s="17"/>
      <c r="BF1561" s="17"/>
      <c r="BG1561" s="17"/>
      <c r="BH1561" s="17"/>
      <c r="BI1561" s="17"/>
      <c r="BJ1561" s="17"/>
      <c r="BK1561" s="17"/>
      <c r="BL1561" s="17"/>
      <c r="BM1561" s="17"/>
      <c r="BN1561" s="17"/>
      <c r="BO1561" s="17"/>
      <c r="BP1561" s="17"/>
      <c r="BQ1561" s="17"/>
      <c r="BR1561" s="17"/>
      <c r="BS1561" s="17"/>
      <c r="BT1561" s="17"/>
      <c r="BU1561" s="17"/>
      <c r="BV1561" s="17"/>
      <c r="BW1561" s="17"/>
      <c r="BX1561" s="17"/>
      <c r="BY1561" s="17"/>
      <c r="BZ1561" s="17"/>
      <c r="CA1561" s="17"/>
      <c r="CB1561" s="17"/>
      <c r="CC1561" s="17"/>
      <c r="CD1561" s="17"/>
      <c r="CE1561" s="17"/>
      <c r="CF1561" s="17"/>
      <c r="CG1561" s="17"/>
      <c r="CH1561" s="17"/>
    </row>
    <row r="1562" spans="35:86" x14ac:dyDescent="0.15">
      <c r="AI1562" s="3"/>
      <c r="AJ1562" s="3"/>
      <c r="AK1562" s="15">
        <f t="shared" si="506"/>
        <v>6</v>
      </c>
      <c r="AL1562" s="11">
        <f>AL1561+$AB$15</f>
        <v>9318</v>
      </c>
      <c r="AM1562" s="11" t="b">
        <f t="shared" si="505"/>
        <v>0</v>
      </c>
      <c r="AN1562" s="11">
        <f t="shared" si="507"/>
        <v>36000</v>
      </c>
      <c r="AO1562" s="11">
        <f t="shared" si="508"/>
        <v>0</v>
      </c>
      <c r="AP1562" s="11">
        <f t="shared" si="509"/>
        <v>0.69479614460102579</v>
      </c>
      <c r="AQ1562" s="11">
        <f t="shared" si="510"/>
        <v>0</v>
      </c>
      <c r="AT1562" s="3"/>
      <c r="AU1562" s="17"/>
      <c r="AV1562" s="19"/>
      <c r="AW1562" s="17"/>
      <c r="AX1562" s="17">
        <f t="shared" si="504"/>
        <v>1553</v>
      </c>
      <c r="AY1562" s="17">
        <f t="shared" si="511"/>
        <v>155.30000000000001</v>
      </c>
      <c r="AZ1562" s="17">
        <v>69.479614460102582</v>
      </c>
      <c r="BA1562" s="17"/>
      <c r="BB1562" s="17">
        <v>36</v>
      </c>
      <c r="BC1562" s="17"/>
      <c r="BD1562" s="17"/>
      <c r="BE1562" s="17"/>
      <c r="BF1562" s="17"/>
      <c r="BG1562" s="17"/>
      <c r="BH1562" s="17"/>
      <c r="BI1562" s="17"/>
      <c r="BJ1562" s="17"/>
      <c r="BK1562" s="17"/>
      <c r="BL1562" s="17"/>
      <c r="BM1562" s="17"/>
      <c r="BN1562" s="17"/>
      <c r="BO1562" s="17"/>
      <c r="BP1562" s="17"/>
      <c r="BQ1562" s="17"/>
      <c r="BR1562" s="17"/>
      <c r="BS1562" s="17"/>
      <c r="BT1562" s="17"/>
      <c r="BU1562" s="17"/>
      <c r="BV1562" s="17"/>
      <c r="BW1562" s="17"/>
      <c r="BX1562" s="17"/>
      <c r="BY1562" s="17"/>
      <c r="BZ1562" s="17"/>
      <c r="CA1562" s="17"/>
      <c r="CB1562" s="17"/>
      <c r="CC1562" s="17"/>
      <c r="CD1562" s="17"/>
      <c r="CE1562" s="17"/>
      <c r="CF1562" s="17"/>
      <c r="CG1562" s="17"/>
      <c r="CH1562" s="17"/>
    </row>
    <row r="1563" spans="35:86" x14ac:dyDescent="0.15">
      <c r="AI1563" s="3"/>
      <c r="AJ1563" s="3"/>
      <c r="AK1563" s="15">
        <f t="shared" si="506"/>
        <v>6</v>
      </c>
      <c r="AL1563" s="11">
        <f t="shared" ref="AL1563:AL1586" si="512">AL1562+$AB$15</f>
        <v>9324</v>
      </c>
      <c r="AM1563" s="11" t="b">
        <f t="shared" si="505"/>
        <v>0</v>
      </c>
      <c r="AN1563" s="11">
        <f t="shared" si="507"/>
        <v>36000</v>
      </c>
      <c r="AO1563" s="11">
        <f t="shared" si="508"/>
        <v>0</v>
      </c>
      <c r="AP1563" s="11">
        <f t="shared" si="509"/>
        <v>0.69589845941584061</v>
      </c>
      <c r="AQ1563" s="11">
        <f t="shared" si="510"/>
        <v>0</v>
      </c>
      <c r="AT1563" s="3"/>
      <c r="AU1563" s="17"/>
      <c r="AV1563" s="19"/>
      <c r="AW1563" s="17"/>
      <c r="AX1563" s="17">
        <f t="shared" si="504"/>
        <v>1554</v>
      </c>
      <c r="AY1563" s="17">
        <f t="shared" si="511"/>
        <v>155.4</v>
      </c>
      <c r="AZ1563" s="17">
        <v>69.589845941584059</v>
      </c>
      <c r="BA1563" s="17"/>
      <c r="BB1563" s="17">
        <v>36</v>
      </c>
      <c r="BC1563" s="17"/>
      <c r="BD1563" s="17"/>
      <c r="BE1563" s="17"/>
      <c r="BF1563" s="17"/>
      <c r="BG1563" s="17"/>
      <c r="BH1563" s="17"/>
      <c r="BI1563" s="17"/>
      <c r="BJ1563" s="17"/>
      <c r="BK1563" s="17"/>
      <c r="BL1563" s="17"/>
      <c r="BM1563" s="17"/>
      <c r="BN1563" s="17"/>
      <c r="BO1563" s="17"/>
      <c r="BP1563" s="17"/>
      <c r="BQ1563" s="17"/>
      <c r="BR1563" s="17"/>
      <c r="BS1563" s="17"/>
      <c r="BT1563" s="17"/>
      <c r="BU1563" s="17"/>
      <c r="BV1563" s="17"/>
      <c r="BW1563" s="17"/>
      <c r="BX1563" s="17"/>
      <c r="BY1563" s="17"/>
      <c r="BZ1563" s="17"/>
      <c r="CA1563" s="17"/>
      <c r="CB1563" s="17"/>
      <c r="CC1563" s="17"/>
      <c r="CD1563" s="17"/>
      <c r="CE1563" s="17"/>
      <c r="CF1563" s="17"/>
      <c r="CG1563" s="17"/>
      <c r="CH1563" s="17"/>
    </row>
    <row r="1564" spans="35:86" x14ac:dyDescent="0.15">
      <c r="AI1564" s="3"/>
      <c r="AJ1564" s="3"/>
      <c r="AK1564" s="15">
        <f t="shared" si="506"/>
        <v>6</v>
      </c>
      <c r="AL1564" s="11">
        <f t="shared" si="512"/>
        <v>9330</v>
      </c>
      <c r="AM1564" s="11" t="b">
        <f t="shared" si="505"/>
        <v>0</v>
      </c>
      <c r="AN1564" s="11">
        <f t="shared" si="507"/>
        <v>36000</v>
      </c>
      <c r="AO1564" s="11">
        <f t="shared" si="508"/>
        <v>0</v>
      </c>
      <c r="AP1564" s="11">
        <f t="shared" si="509"/>
        <v>0.69700077423065543</v>
      </c>
      <c r="AQ1564" s="11">
        <f t="shared" si="510"/>
        <v>0</v>
      </c>
      <c r="AT1564" s="3"/>
      <c r="AU1564" s="17"/>
      <c r="AV1564" s="19"/>
      <c r="AW1564" s="17"/>
      <c r="AX1564" s="17">
        <f t="shared" si="504"/>
        <v>1555</v>
      </c>
      <c r="AY1564" s="17">
        <f t="shared" si="511"/>
        <v>155.5</v>
      </c>
      <c r="AZ1564" s="17">
        <v>69.700077423065537</v>
      </c>
      <c r="BA1564" s="17"/>
      <c r="BB1564" s="17">
        <v>36</v>
      </c>
      <c r="BC1564" s="17"/>
      <c r="BD1564" s="17"/>
      <c r="BE1564" s="17"/>
      <c r="BF1564" s="17"/>
      <c r="BG1564" s="17"/>
      <c r="BH1564" s="17"/>
      <c r="BI1564" s="17"/>
      <c r="BJ1564" s="17"/>
      <c r="BK1564" s="17"/>
      <c r="BL1564" s="17"/>
      <c r="BM1564" s="17"/>
      <c r="BN1564" s="17"/>
      <c r="BO1564" s="17"/>
      <c r="BP1564" s="17"/>
      <c r="BQ1564" s="17"/>
      <c r="BR1564" s="17"/>
      <c r="BS1564" s="17"/>
      <c r="BT1564" s="17"/>
      <c r="BU1564" s="17"/>
      <c r="BV1564" s="17"/>
      <c r="BW1564" s="17"/>
      <c r="BX1564" s="17"/>
      <c r="BY1564" s="17"/>
      <c r="BZ1564" s="17"/>
      <c r="CA1564" s="17"/>
      <c r="CB1564" s="17"/>
      <c r="CC1564" s="17"/>
      <c r="CD1564" s="17"/>
      <c r="CE1564" s="17"/>
      <c r="CF1564" s="17"/>
      <c r="CG1564" s="17"/>
      <c r="CH1564" s="17"/>
    </row>
    <row r="1565" spans="35:86" x14ac:dyDescent="0.15">
      <c r="AI1565" s="3"/>
      <c r="AJ1565" s="3"/>
      <c r="AK1565" s="15">
        <f t="shared" si="506"/>
        <v>6</v>
      </c>
      <c r="AL1565" s="11">
        <f t="shared" si="512"/>
        <v>9336</v>
      </c>
      <c r="AM1565" s="11" t="b">
        <f t="shared" si="505"/>
        <v>0</v>
      </c>
      <c r="AN1565" s="11">
        <f t="shared" si="507"/>
        <v>36000</v>
      </c>
      <c r="AO1565" s="11">
        <f t="shared" si="508"/>
        <v>0</v>
      </c>
      <c r="AP1565" s="11">
        <f t="shared" si="509"/>
        <v>0.69810308904547025</v>
      </c>
      <c r="AQ1565" s="11">
        <f t="shared" si="510"/>
        <v>0</v>
      </c>
      <c r="AT1565" s="3"/>
      <c r="AU1565" s="17"/>
      <c r="AV1565" s="19"/>
      <c r="AW1565" s="17"/>
      <c r="AX1565" s="17">
        <f t="shared" si="504"/>
        <v>1556</v>
      </c>
      <c r="AY1565" s="17">
        <f t="shared" si="511"/>
        <v>155.6</v>
      </c>
      <c r="AZ1565" s="17">
        <v>69.810308904547028</v>
      </c>
      <c r="BA1565" s="17"/>
      <c r="BB1565" s="17">
        <v>36</v>
      </c>
      <c r="BC1565" s="17"/>
      <c r="BD1565" s="17"/>
      <c r="BE1565" s="17"/>
      <c r="BF1565" s="17"/>
      <c r="BG1565" s="17"/>
      <c r="BH1565" s="17"/>
      <c r="BI1565" s="17"/>
      <c r="BJ1565" s="17"/>
      <c r="BK1565" s="17"/>
      <c r="BL1565" s="17"/>
      <c r="BM1565" s="17"/>
      <c r="BN1565" s="17"/>
      <c r="BO1565" s="17"/>
      <c r="BP1565" s="17"/>
      <c r="BQ1565" s="17"/>
      <c r="BR1565" s="17"/>
      <c r="BS1565" s="17"/>
      <c r="BT1565" s="17"/>
      <c r="BU1565" s="17"/>
      <c r="BV1565" s="17"/>
      <c r="BW1565" s="17"/>
      <c r="BX1565" s="17"/>
      <c r="BY1565" s="17"/>
      <c r="BZ1565" s="17"/>
      <c r="CA1565" s="17"/>
      <c r="CB1565" s="17"/>
      <c r="CC1565" s="17"/>
      <c r="CD1565" s="17"/>
      <c r="CE1565" s="17"/>
      <c r="CF1565" s="17"/>
      <c r="CG1565" s="17"/>
      <c r="CH1565" s="17"/>
    </row>
    <row r="1566" spans="35:86" x14ac:dyDescent="0.15">
      <c r="AI1566" s="3"/>
      <c r="AJ1566" s="3"/>
      <c r="AK1566" s="15">
        <f t="shared" si="506"/>
        <v>6</v>
      </c>
      <c r="AL1566" s="11">
        <f t="shared" si="512"/>
        <v>9342</v>
      </c>
      <c r="AM1566" s="11" t="b">
        <f t="shared" si="505"/>
        <v>0</v>
      </c>
      <c r="AN1566" s="11">
        <f t="shared" si="507"/>
        <v>36000</v>
      </c>
      <c r="AO1566" s="11">
        <f t="shared" si="508"/>
        <v>0</v>
      </c>
      <c r="AP1566" s="11">
        <f t="shared" si="509"/>
        <v>0.69920540386028507</v>
      </c>
      <c r="AQ1566" s="11">
        <f t="shared" si="510"/>
        <v>0</v>
      </c>
      <c r="AT1566" s="3"/>
      <c r="AU1566" s="17"/>
      <c r="AV1566" s="19"/>
      <c r="AW1566" s="17"/>
      <c r="AX1566" s="17">
        <f t="shared" si="504"/>
        <v>1557</v>
      </c>
      <c r="AY1566" s="17">
        <f t="shared" si="511"/>
        <v>155.69999999999999</v>
      </c>
      <c r="AZ1566" s="17">
        <v>69.920540386028506</v>
      </c>
      <c r="BA1566" s="17"/>
      <c r="BB1566" s="17">
        <v>36</v>
      </c>
      <c r="BC1566" s="17"/>
      <c r="BD1566" s="17"/>
      <c r="BE1566" s="17"/>
      <c r="BF1566" s="17"/>
      <c r="BG1566" s="17"/>
      <c r="BH1566" s="17"/>
      <c r="BI1566" s="17"/>
      <c r="BJ1566" s="17"/>
      <c r="BK1566" s="17"/>
      <c r="BL1566" s="17"/>
      <c r="BM1566" s="17"/>
      <c r="BN1566" s="17"/>
      <c r="BO1566" s="17"/>
      <c r="BP1566" s="17"/>
      <c r="BQ1566" s="17"/>
      <c r="BR1566" s="17"/>
      <c r="BS1566" s="17"/>
      <c r="BT1566" s="17"/>
      <c r="BU1566" s="17"/>
      <c r="BV1566" s="17"/>
      <c r="BW1566" s="17"/>
      <c r="BX1566" s="17"/>
      <c r="BY1566" s="17"/>
      <c r="BZ1566" s="17"/>
      <c r="CA1566" s="17"/>
      <c r="CB1566" s="17"/>
      <c r="CC1566" s="17"/>
      <c r="CD1566" s="17"/>
      <c r="CE1566" s="17"/>
      <c r="CF1566" s="17"/>
      <c r="CG1566" s="17"/>
      <c r="CH1566" s="17"/>
    </row>
    <row r="1567" spans="35:86" x14ac:dyDescent="0.15">
      <c r="AI1567" s="3"/>
      <c r="AJ1567" s="3"/>
      <c r="AK1567" s="15">
        <f t="shared" si="506"/>
        <v>6</v>
      </c>
      <c r="AL1567" s="11">
        <f t="shared" si="512"/>
        <v>9348</v>
      </c>
      <c r="AM1567" s="11" t="b">
        <f t="shared" si="505"/>
        <v>0</v>
      </c>
      <c r="AN1567" s="11">
        <f t="shared" si="507"/>
        <v>36000</v>
      </c>
      <c r="AO1567" s="11">
        <f t="shared" si="508"/>
        <v>0</v>
      </c>
      <c r="AP1567" s="11">
        <f t="shared" si="509"/>
        <v>0.7003077186751</v>
      </c>
      <c r="AQ1567" s="11">
        <f t="shared" si="510"/>
        <v>0</v>
      </c>
      <c r="AT1567" s="3"/>
      <c r="AU1567" s="17"/>
      <c r="AV1567" s="19"/>
      <c r="AW1567" s="17"/>
      <c r="AX1567" s="17">
        <f t="shared" si="504"/>
        <v>1558</v>
      </c>
      <c r="AY1567" s="17">
        <f t="shared" si="511"/>
        <v>155.80000000000001</v>
      </c>
      <c r="AZ1567" s="17">
        <v>70.030771867509998</v>
      </c>
      <c r="BA1567" s="17"/>
      <c r="BB1567" s="17">
        <v>36</v>
      </c>
      <c r="BC1567" s="17"/>
      <c r="BD1567" s="17"/>
      <c r="BE1567" s="17"/>
      <c r="BF1567" s="17"/>
      <c r="BG1567" s="17"/>
      <c r="BH1567" s="17"/>
      <c r="BI1567" s="17"/>
      <c r="BJ1567" s="17"/>
      <c r="BK1567" s="17"/>
      <c r="BL1567" s="17"/>
      <c r="BM1567" s="17"/>
      <c r="BN1567" s="17"/>
      <c r="BO1567" s="17"/>
      <c r="BP1567" s="17"/>
      <c r="BQ1567" s="17"/>
      <c r="BR1567" s="17"/>
      <c r="BS1567" s="17"/>
      <c r="BT1567" s="17"/>
      <c r="BU1567" s="17"/>
      <c r="BV1567" s="17"/>
      <c r="BW1567" s="17"/>
      <c r="BX1567" s="17"/>
      <c r="BY1567" s="17"/>
      <c r="BZ1567" s="17"/>
      <c r="CA1567" s="17"/>
      <c r="CB1567" s="17"/>
      <c r="CC1567" s="17"/>
      <c r="CD1567" s="17"/>
      <c r="CE1567" s="17"/>
      <c r="CF1567" s="17"/>
      <c r="CG1567" s="17"/>
      <c r="CH1567" s="17"/>
    </row>
    <row r="1568" spans="35:86" x14ac:dyDescent="0.15">
      <c r="AI1568" s="3"/>
      <c r="AJ1568" s="3"/>
      <c r="AK1568" s="15">
        <f t="shared" si="506"/>
        <v>6</v>
      </c>
      <c r="AL1568" s="11">
        <f t="shared" si="512"/>
        <v>9354</v>
      </c>
      <c r="AM1568" s="11" t="b">
        <f t="shared" si="505"/>
        <v>0</v>
      </c>
      <c r="AN1568" s="11">
        <f t="shared" si="507"/>
        <v>36000</v>
      </c>
      <c r="AO1568" s="11">
        <f t="shared" si="508"/>
        <v>0</v>
      </c>
      <c r="AP1568" s="11">
        <f t="shared" si="509"/>
        <v>0.70141003348991482</v>
      </c>
      <c r="AQ1568" s="11">
        <f t="shared" si="510"/>
        <v>0</v>
      </c>
      <c r="AT1568" s="3"/>
      <c r="AU1568" s="17"/>
      <c r="AV1568" s="19"/>
      <c r="AW1568" s="17"/>
      <c r="AX1568" s="17">
        <f t="shared" si="504"/>
        <v>1559</v>
      </c>
      <c r="AY1568" s="17">
        <f t="shared" si="511"/>
        <v>155.9</v>
      </c>
      <c r="AZ1568" s="17">
        <v>70.141003348991475</v>
      </c>
      <c r="BA1568" s="17"/>
      <c r="BB1568" s="17">
        <v>36</v>
      </c>
      <c r="BC1568" s="17"/>
      <c r="BD1568" s="17"/>
      <c r="BE1568" s="17"/>
      <c r="BF1568" s="17"/>
      <c r="BG1568" s="17"/>
      <c r="BH1568" s="17"/>
      <c r="BI1568" s="17"/>
      <c r="BJ1568" s="17"/>
      <c r="BK1568" s="17"/>
      <c r="BL1568" s="17"/>
      <c r="BM1568" s="17"/>
      <c r="BN1568" s="17"/>
      <c r="BO1568" s="17"/>
      <c r="BP1568" s="17"/>
      <c r="BQ1568" s="17"/>
      <c r="BR1568" s="17"/>
      <c r="BS1568" s="17"/>
      <c r="BT1568" s="17"/>
      <c r="BU1568" s="17"/>
      <c r="BV1568" s="17"/>
      <c r="BW1568" s="17"/>
      <c r="BX1568" s="17"/>
      <c r="BY1568" s="17"/>
      <c r="BZ1568" s="17"/>
      <c r="CA1568" s="17"/>
      <c r="CB1568" s="17"/>
      <c r="CC1568" s="17"/>
      <c r="CD1568" s="17"/>
      <c r="CE1568" s="17"/>
      <c r="CF1568" s="17"/>
      <c r="CG1568" s="17"/>
      <c r="CH1568" s="17"/>
    </row>
    <row r="1569" spans="35:86" x14ac:dyDescent="0.15">
      <c r="AI1569" s="3"/>
      <c r="AJ1569" s="3"/>
      <c r="AK1569" s="15">
        <f t="shared" si="506"/>
        <v>7</v>
      </c>
      <c r="AL1569" s="11">
        <f t="shared" si="512"/>
        <v>9360</v>
      </c>
      <c r="AM1569" s="11" t="b">
        <f t="shared" si="505"/>
        <v>0</v>
      </c>
      <c r="AN1569" s="11">
        <f t="shared" si="507"/>
        <v>36000</v>
      </c>
      <c r="AO1569" s="11">
        <f t="shared" si="508"/>
        <v>0</v>
      </c>
      <c r="AP1569" s="11">
        <f t="shared" si="509"/>
        <v>0.70251234830472964</v>
      </c>
      <c r="AQ1569" s="11">
        <f t="shared" si="510"/>
        <v>0</v>
      </c>
      <c r="AT1569" s="3"/>
      <c r="AU1569" s="17"/>
      <c r="AV1569" s="19"/>
      <c r="AW1569" s="17"/>
      <c r="AX1569" s="17">
        <f t="shared" si="504"/>
        <v>1560</v>
      </c>
      <c r="AY1569" s="17">
        <f t="shared" si="511"/>
        <v>156</v>
      </c>
      <c r="AZ1569" s="17">
        <v>70.251234830472967</v>
      </c>
      <c r="BA1569" s="17"/>
      <c r="BB1569" s="17">
        <v>36</v>
      </c>
      <c r="BC1569" s="17"/>
      <c r="BD1569" s="17"/>
      <c r="BE1569" s="17"/>
      <c r="BF1569" s="17"/>
      <c r="BG1569" s="17"/>
      <c r="BH1569" s="17"/>
      <c r="BI1569" s="17"/>
      <c r="BJ1569" s="17"/>
      <c r="BK1569" s="17"/>
      <c r="BL1569" s="17"/>
      <c r="BM1569" s="17"/>
      <c r="BN1569" s="17"/>
      <c r="BO1569" s="17"/>
      <c r="BP1569" s="17"/>
      <c r="BQ1569" s="17"/>
      <c r="BR1569" s="17"/>
      <c r="BS1569" s="17"/>
      <c r="BT1569" s="17"/>
      <c r="BU1569" s="17"/>
      <c r="BV1569" s="17"/>
      <c r="BW1569" s="17"/>
      <c r="BX1569" s="17"/>
      <c r="BY1569" s="17"/>
      <c r="BZ1569" s="17"/>
      <c r="CA1569" s="17"/>
      <c r="CB1569" s="17"/>
      <c r="CC1569" s="17"/>
      <c r="CD1569" s="17"/>
      <c r="CE1569" s="17"/>
      <c r="CF1569" s="17"/>
      <c r="CG1569" s="17"/>
      <c r="CH1569" s="17"/>
    </row>
    <row r="1570" spans="35:86" x14ac:dyDescent="0.15">
      <c r="AI1570" s="3"/>
      <c r="AJ1570" s="3"/>
      <c r="AK1570" s="15">
        <f t="shared" si="506"/>
        <v>7</v>
      </c>
      <c r="AL1570" s="11">
        <f t="shared" si="512"/>
        <v>9366</v>
      </c>
      <c r="AM1570" s="11" t="b">
        <f t="shared" si="505"/>
        <v>0</v>
      </c>
      <c r="AN1570" s="11">
        <f t="shared" si="507"/>
        <v>36000</v>
      </c>
      <c r="AO1570" s="11">
        <f t="shared" si="508"/>
        <v>0</v>
      </c>
      <c r="AP1570" s="11">
        <f t="shared" si="509"/>
        <v>0.70361466311954446</v>
      </c>
      <c r="AQ1570" s="11">
        <f t="shared" si="510"/>
        <v>0</v>
      </c>
      <c r="AT1570" s="3"/>
      <c r="AU1570" s="17"/>
      <c r="AV1570" s="19"/>
      <c r="AW1570" s="17"/>
      <c r="AX1570" s="17">
        <f t="shared" si="504"/>
        <v>1561</v>
      </c>
      <c r="AY1570" s="17">
        <f t="shared" si="511"/>
        <v>156.1</v>
      </c>
      <c r="AZ1570" s="17">
        <v>70.361466311954445</v>
      </c>
      <c r="BA1570" s="17"/>
      <c r="BB1570" s="17">
        <v>36</v>
      </c>
      <c r="BC1570" s="17"/>
      <c r="BD1570" s="17"/>
      <c r="BE1570" s="17"/>
      <c r="BF1570" s="17"/>
      <c r="BG1570" s="17"/>
      <c r="BH1570" s="17"/>
      <c r="BI1570" s="17"/>
      <c r="BJ1570" s="17"/>
      <c r="BK1570" s="17"/>
      <c r="BL1570" s="17"/>
      <c r="BM1570" s="17"/>
      <c r="BN1570" s="17"/>
      <c r="BO1570" s="17"/>
      <c r="BP1570" s="17"/>
      <c r="BQ1570" s="17"/>
      <c r="BR1570" s="17"/>
      <c r="BS1570" s="17"/>
      <c r="BT1570" s="17"/>
      <c r="BU1570" s="17"/>
      <c r="BV1570" s="17"/>
      <c r="BW1570" s="17"/>
      <c r="BX1570" s="17"/>
      <c r="BY1570" s="17"/>
      <c r="BZ1570" s="17"/>
      <c r="CA1570" s="17"/>
      <c r="CB1570" s="17"/>
      <c r="CC1570" s="17"/>
      <c r="CD1570" s="17"/>
      <c r="CE1570" s="17"/>
      <c r="CF1570" s="17"/>
      <c r="CG1570" s="17"/>
      <c r="CH1570" s="17"/>
    </row>
    <row r="1571" spans="35:86" x14ac:dyDescent="0.15">
      <c r="AI1571" s="3"/>
      <c r="AJ1571" s="3"/>
      <c r="AK1571" s="15">
        <f t="shared" si="506"/>
        <v>7</v>
      </c>
      <c r="AL1571" s="11">
        <f t="shared" si="512"/>
        <v>9372</v>
      </c>
      <c r="AM1571" s="11" t="b">
        <f t="shared" si="505"/>
        <v>0</v>
      </c>
      <c r="AN1571" s="11">
        <f t="shared" si="507"/>
        <v>36000</v>
      </c>
      <c r="AO1571" s="11">
        <f t="shared" si="508"/>
        <v>0</v>
      </c>
      <c r="AP1571" s="11">
        <f t="shared" si="509"/>
        <v>0.70471697793435928</v>
      </c>
      <c r="AQ1571" s="11">
        <f t="shared" si="510"/>
        <v>0</v>
      </c>
      <c r="AT1571" s="3"/>
      <c r="AU1571" s="17"/>
      <c r="AV1571" s="19"/>
      <c r="AW1571" s="17"/>
      <c r="AX1571" s="17">
        <f t="shared" si="504"/>
        <v>1562</v>
      </c>
      <c r="AY1571" s="17">
        <f t="shared" si="511"/>
        <v>156.19999999999999</v>
      </c>
      <c r="AZ1571" s="17">
        <v>70.471697793435922</v>
      </c>
      <c r="BA1571" s="17"/>
      <c r="BB1571" s="17">
        <v>36</v>
      </c>
      <c r="BC1571" s="17"/>
      <c r="BD1571" s="17"/>
      <c r="BE1571" s="17"/>
      <c r="BF1571" s="17"/>
      <c r="BG1571" s="17"/>
      <c r="BH1571" s="17"/>
      <c r="BI1571" s="17"/>
      <c r="BJ1571" s="17"/>
      <c r="BK1571" s="17"/>
      <c r="BL1571" s="17"/>
      <c r="BM1571" s="17"/>
      <c r="BN1571" s="17"/>
      <c r="BO1571" s="17"/>
      <c r="BP1571" s="17"/>
      <c r="BQ1571" s="17"/>
      <c r="BR1571" s="17"/>
      <c r="BS1571" s="17"/>
      <c r="BT1571" s="17"/>
      <c r="BU1571" s="17"/>
      <c r="BV1571" s="17"/>
      <c r="BW1571" s="17"/>
      <c r="BX1571" s="17"/>
      <c r="BY1571" s="17"/>
      <c r="BZ1571" s="17"/>
      <c r="CA1571" s="17"/>
      <c r="CB1571" s="17"/>
      <c r="CC1571" s="17"/>
      <c r="CD1571" s="17"/>
      <c r="CE1571" s="17"/>
      <c r="CF1571" s="17"/>
      <c r="CG1571" s="17"/>
      <c r="CH1571" s="17"/>
    </row>
    <row r="1572" spans="35:86" x14ac:dyDescent="0.15">
      <c r="AI1572" s="3"/>
      <c r="AJ1572" s="3"/>
      <c r="AK1572" s="15">
        <f t="shared" si="506"/>
        <v>7</v>
      </c>
      <c r="AL1572" s="11">
        <f t="shared" si="512"/>
        <v>9378</v>
      </c>
      <c r="AM1572" s="11" t="b">
        <f t="shared" si="505"/>
        <v>0</v>
      </c>
      <c r="AN1572" s="11">
        <f t="shared" si="507"/>
        <v>36000</v>
      </c>
      <c r="AO1572" s="11">
        <f t="shared" si="508"/>
        <v>0</v>
      </c>
      <c r="AP1572" s="11">
        <f t="shared" si="509"/>
        <v>0.70581929274917421</v>
      </c>
      <c r="AQ1572" s="11">
        <f t="shared" si="510"/>
        <v>0</v>
      </c>
      <c r="AT1572" s="3"/>
      <c r="AU1572" s="17"/>
      <c r="AV1572" s="19"/>
      <c r="AW1572" s="17"/>
      <c r="AX1572" s="17">
        <f t="shared" si="504"/>
        <v>1563</v>
      </c>
      <c r="AY1572" s="17">
        <f t="shared" si="511"/>
        <v>156.30000000000001</v>
      </c>
      <c r="AZ1572" s="17">
        <v>70.581929274917428</v>
      </c>
      <c r="BA1572" s="17"/>
      <c r="BB1572" s="17">
        <v>36</v>
      </c>
      <c r="BC1572" s="17"/>
      <c r="BD1572" s="17"/>
      <c r="BE1572" s="17"/>
      <c r="BF1572" s="17"/>
      <c r="BG1572" s="17"/>
      <c r="BH1572" s="17"/>
      <c r="BI1572" s="17"/>
      <c r="BJ1572" s="17"/>
      <c r="BK1572" s="17"/>
      <c r="BL1572" s="17"/>
      <c r="BM1572" s="17"/>
      <c r="BN1572" s="17"/>
      <c r="BO1572" s="17"/>
      <c r="BP1572" s="17"/>
      <c r="BQ1572" s="17"/>
      <c r="BR1572" s="17"/>
      <c r="BS1572" s="17"/>
      <c r="BT1572" s="17"/>
      <c r="BU1572" s="17"/>
      <c r="BV1572" s="17"/>
      <c r="BW1572" s="17"/>
      <c r="BX1572" s="17"/>
      <c r="BY1572" s="17"/>
      <c r="BZ1572" s="17"/>
      <c r="CA1572" s="17"/>
      <c r="CB1572" s="17"/>
      <c r="CC1572" s="17"/>
      <c r="CD1572" s="17"/>
      <c r="CE1572" s="17"/>
      <c r="CF1572" s="17"/>
      <c r="CG1572" s="17"/>
      <c r="CH1572" s="17"/>
    </row>
    <row r="1573" spans="35:86" x14ac:dyDescent="0.15">
      <c r="AI1573" s="3"/>
      <c r="AJ1573" s="3"/>
      <c r="AK1573" s="15">
        <f t="shared" si="506"/>
        <v>7</v>
      </c>
      <c r="AL1573" s="11">
        <f t="shared" si="512"/>
        <v>9384</v>
      </c>
      <c r="AM1573" s="11" t="b">
        <f t="shared" si="505"/>
        <v>0</v>
      </c>
      <c r="AN1573" s="11">
        <f t="shared" si="507"/>
        <v>36000</v>
      </c>
      <c r="AO1573" s="11">
        <f t="shared" si="508"/>
        <v>0</v>
      </c>
      <c r="AP1573" s="11">
        <f t="shared" si="509"/>
        <v>0.70692160756398903</v>
      </c>
      <c r="AQ1573" s="11">
        <f t="shared" si="510"/>
        <v>0</v>
      </c>
      <c r="AT1573" s="3"/>
      <c r="AU1573" s="17"/>
      <c r="AV1573" s="19"/>
      <c r="AW1573" s="17"/>
      <c r="AX1573" s="17">
        <f t="shared" si="504"/>
        <v>1564</v>
      </c>
      <c r="AY1573" s="17">
        <f t="shared" si="511"/>
        <v>156.4</v>
      </c>
      <c r="AZ1573" s="17">
        <v>70.692160756398906</v>
      </c>
      <c r="BA1573" s="17"/>
      <c r="BB1573" s="17">
        <v>36</v>
      </c>
      <c r="BC1573" s="17"/>
      <c r="BD1573" s="17"/>
      <c r="BE1573" s="17"/>
      <c r="BF1573" s="17"/>
      <c r="BG1573" s="17"/>
      <c r="BH1573" s="17"/>
      <c r="BI1573" s="17"/>
      <c r="BJ1573" s="17"/>
      <c r="BK1573" s="17"/>
      <c r="BL1573" s="17"/>
      <c r="BM1573" s="17"/>
      <c r="BN1573" s="17"/>
      <c r="BO1573" s="17"/>
      <c r="BP1573" s="17"/>
      <c r="BQ1573" s="17"/>
      <c r="BR1573" s="17"/>
      <c r="BS1573" s="17"/>
      <c r="BT1573" s="17"/>
      <c r="BU1573" s="17"/>
      <c r="BV1573" s="17"/>
      <c r="BW1573" s="17"/>
      <c r="BX1573" s="17"/>
      <c r="BY1573" s="17"/>
      <c r="BZ1573" s="17"/>
      <c r="CA1573" s="17"/>
      <c r="CB1573" s="17"/>
      <c r="CC1573" s="17"/>
      <c r="CD1573" s="17"/>
      <c r="CE1573" s="17"/>
      <c r="CF1573" s="17"/>
      <c r="CG1573" s="17"/>
      <c r="CH1573" s="17"/>
    </row>
    <row r="1574" spans="35:86" x14ac:dyDescent="0.15">
      <c r="AI1574" s="3"/>
      <c r="AJ1574" s="3"/>
      <c r="AK1574" s="15">
        <f t="shared" si="506"/>
        <v>7</v>
      </c>
      <c r="AL1574" s="11">
        <f t="shared" si="512"/>
        <v>9390</v>
      </c>
      <c r="AM1574" s="11" t="b">
        <f t="shared" si="505"/>
        <v>0</v>
      </c>
      <c r="AN1574" s="11">
        <f t="shared" si="507"/>
        <v>36000</v>
      </c>
      <c r="AO1574" s="11">
        <f t="shared" si="508"/>
        <v>0</v>
      </c>
      <c r="AP1574" s="11">
        <f t="shared" si="509"/>
        <v>0.70802392237880385</v>
      </c>
      <c r="AQ1574" s="11">
        <f t="shared" si="510"/>
        <v>0</v>
      </c>
      <c r="AT1574" s="3"/>
      <c r="AU1574" s="17"/>
      <c r="AV1574" s="19"/>
      <c r="AW1574" s="17"/>
      <c r="AX1574" s="17">
        <f t="shared" si="504"/>
        <v>1565</v>
      </c>
      <c r="AY1574" s="17">
        <f t="shared" si="511"/>
        <v>156.5</v>
      </c>
      <c r="AZ1574" s="17">
        <v>70.802392237880383</v>
      </c>
      <c r="BA1574" s="17"/>
      <c r="BB1574" s="17">
        <v>36</v>
      </c>
      <c r="BC1574" s="17"/>
      <c r="BD1574" s="17"/>
      <c r="BE1574" s="17"/>
      <c r="BF1574" s="17"/>
      <c r="BG1574" s="17"/>
      <c r="BH1574" s="17"/>
      <c r="BI1574" s="17"/>
      <c r="BJ1574" s="17"/>
      <c r="BK1574" s="17"/>
      <c r="BL1574" s="17"/>
      <c r="BM1574" s="17"/>
      <c r="BN1574" s="17"/>
      <c r="BO1574" s="17"/>
      <c r="BP1574" s="17"/>
      <c r="BQ1574" s="17"/>
      <c r="BR1574" s="17"/>
      <c r="BS1574" s="17"/>
      <c r="BT1574" s="17"/>
      <c r="BU1574" s="17"/>
      <c r="BV1574" s="17"/>
      <c r="BW1574" s="17"/>
      <c r="BX1574" s="17"/>
      <c r="BY1574" s="17"/>
      <c r="BZ1574" s="17"/>
      <c r="CA1574" s="17"/>
      <c r="CB1574" s="17"/>
      <c r="CC1574" s="17"/>
      <c r="CD1574" s="17"/>
      <c r="CE1574" s="17"/>
      <c r="CF1574" s="17"/>
      <c r="CG1574" s="17"/>
      <c r="CH1574" s="17"/>
    </row>
    <row r="1575" spans="35:86" x14ac:dyDescent="0.15">
      <c r="AI1575" s="3"/>
      <c r="AJ1575" s="3"/>
      <c r="AK1575" s="15">
        <f t="shared" si="506"/>
        <v>7</v>
      </c>
      <c r="AL1575" s="11">
        <f t="shared" si="512"/>
        <v>9396</v>
      </c>
      <c r="AM1575" s="11" t="b">
        <f t="shared" si="505"/>
        <v>0</v>
      </c>
      <c r="AN1575" s="11">
        <f t="shared" si="507"/>
        <v>36000</v>
      </c>
      <c r="AO1575" s="11">
        <f t="shared" si="508"/>
        <v>0</v>
      </c>
      <c r="AP1575" s="11">
        <f t="shared" si="509"/>
        <v>0.70912623719361867</v>
      </c>
      <c r="AQ1575" s="11">
        <f t="shared" si="510"/>
        <v>0</v>
      </c>
      <c r="AT1575" s="3"/>
      <c r="AU1575" s="17"/>
      <c r="AV1575" s="19"/>
      <c r="AW1575" s="17"/>
      <c r="AX1575" s="17">
        <f t="shared" si="504"/>
        <v>1566</v>
      </c>
      <c r="AY1575" s="17">
        <f t="shared" si="511"/>
        <v>156.6</v>
      </c>
      <c r="AZ1575" s="17">
        <v>70.912623719361861</v>
      </c>
      <c r="BA1575" s="17"/>
      <c r="BB1575" s="17">
        <v>36</v>
      </c>
      <c r="BC1575" s="17"/>
      <c r="BD1575" s="17"/>
      <c r="BE1575" s="17"/>
      <c r="BF1575" s="17"/>
      <c r="BG1575" s="17"/>
      <c r="BH1575" s="17"/>
      <c r="BI1575" s="17"/>
      <c r="BJ1575" s="17"/>
      <c r="BK1575" s="17"/>
      <c r="BL1575" s="17"/>
      <c r="BM1575" s="17"/>
      <c r="BN1575" s="17"/>
      <c r="BO1575" s="17"/>
      <c r="BP1575" s="17"/>
      <c r="BQ1575" s="17"/>
      <c r="BR1575" s="17"/>
      <c r="BS1575" s="17"/>
      <c r="BT1575" s="17"/>
      <c r="BU1575" s="17"/>
      <c r="BV1575" s="17"/>
      <c r="BW1575" s="17"/>
      <c r="BX1575" s="17"/>
      <c r="BY1575" s="17"/>
      <c r="BZ1575" s="17"/>
      <c r="CA1575" s="17"/>
      <c r="CB1575" s="17"/>
      <c r="CC1575" s="17"/>
      <c r="CD1575" s="17"/>
      <c r="CE1575" s="17"/>
      <c r="CF1575" s="17"/>
      <c r="CG1575" s="17"/>
      <c r="CH1575" s="17"/>
    </row>
    <row r="1576" spans="35:86" x14ac:dyDescent="0.15">
      <c r="AI1576" s="3"/>
      <c r="AJ1576" s="3"/>
      <c r="AK1576" s="15">
        <f t="shared" si="506"/>
        <v>7</v>
      </c>
      <c r="AL1576" s="11">
        <f t="shared" si="512"/>
        <v>9402</v>
      </c>
      <c r="AM1576" s="11" t="b">
        <f t="shared" si="505"/>
        <v>0</v>
      </c>
      <c r="AN1576" s="11">
        <f t="shared" si="507"/>
        <v>36000</v>
      </c>
      <c r="AO1576" s="11">
        <f t="shared" si="508"/>
        <v>0</v>
      </c>
      <c r="AP1576" s="11">
        <f t="shared" si="509"/>
        <v>0.71022855200843349</v>
      </c>
      <c r="AQ1576" s="11">
        <f t="shared" si="510"/>
        <v>0</v>
      </c>
      <c r="AT1576" s="3"/>
      <c r="AU1576" s="17"/>
      <c r="AV1576" s="19"/>
      <c r="AW1576" s="17"/>
      <c r="AX1576" s="17">
        <f t="shared" si="504"/>
        <v>1567</v>
      </c>
      <c r="AY1576" s="17">
        <f t="shared" si="511"/>
        <v>156.69999999999999</v>
      </c>
      <c r="AZ1576" s="17">
        <v>71.022855200843352</v>
      </c>
      <c r="BA1576" s="17"/>
      <c r="BB1576" s="17">
        <v>36</v>
      </c>
      <c r="BC1576" s="17"/>
      <c r="BD1576" s="17"/>
      <c r="BE1576" s="17"/>
      <c r="BF1576" s="17"/>
      <c r="BG1576" s="17"/>
      <c r="BH1576" s="17"/>
      <c r="BI1576" s="17"/>
      <c r="BJ1576" s="17"/>
      <c r="BK1576" s="17"/>
      <c r="BL1576" s="17"/>
      <c r="BM1576" s="17"/>
      <c r="BN1576" s="17"/>
      <c r="BO1576" s="17"/>
      <c r="BP1576" s="17"/>
      <c r="BQ1576" s="17"/>
      <c r="BR1576" s="17"/>
      <c r="BS1576" s="17"/>
      <c r="BT1576" s="17"/>
      <c r="BU1576" s="17"/>
      <c r="BV1576" s="17"/>
      <c r="BW1576" s="17"/>
      <c r="BX1576" s="17"/>
      <c r="BY1576" s="17"/>
      <c r="BZ1576" s="17"/>
      <c r="CA1576" s="17"/>
      <c r="CB1576" s="17"/>
      <c r="CC1576" s="17"/>
      <c r="CD1576" s="17"/>
      <c r="CE1576" s="17"/>
      <c r="CF1576" s="17"/>
      <c r="CG1576" s="17"/>
      <c r="CH1576" s="17"/>
    </row>
    <row r="1577" spans="35:86" x14ac:dyDescent="0.15">
      <c r="AI1577" s="3"/>
      <c r="AJ1577" s="3"/>
      <c r="AK1577" s="15">
        <f t="shared" si="506"/>
        <v>7</v>
      </c>
      <c r="AL1577" s="11">
        <f t="shared" si="512"/>
        <v>9408</v>
      </c>
      <c r="AM1577" s="11" t="b">
        <f t="shared" si="505"/>
        <v>0</v>
      </c>
      <c r="AN1577" s="11">
        <f t="shared" si="507"/>
        <v>36000</v>
      </c>
      <c r="AO1577" s="11">
        <f t="shared" si="508"/>
        <v>0</v>
      </c>
      <c r="AP1577" s="11">
        <f t="shared" si="509"/>
        <v>0.71133086682324842</v>
      </c>
      <c r="AQ1577" s="11">
        <f t="shared" si="510"/>
        <v>0</v>
      </c>
      <c r="AT1577" s="3"/>
      <c r="AU1577" s="17"/>
      <c r="AV1577" s="19"/>
      <c r="AW1577" s="17"/>
      <c r="AX1577" s="17">
        <f t="shared" si="504"/>
        <v>1568</v>
      </c>
      <c r="AY1577" s="17">
        <f t="shared" si="511"/>
        <v>156.80000000000001</v>
      </c>
      <c r="AZ1577" s="17">
        <v>71.133086682324844</v>
      </c>
      <c r="BA1577" s="17"/>
      <c r="BB1577" s="17">
        <v>36</v>
      </c>
      <c r="BC1577" s="17"/>
      <c r="BD1577" s="17"/>
      <c r="BE1577" s="17"/>
      <c r="BF1577" s="17"/>
      <c r="BG1577" s="17"/>
      <c r="BH1577" s="17"/>
      <c r="BI1577" s="17"/>
      <c r="BJ1577" s="17"/>
      <c r="BK1577" s="17"/>
      <c r="BL1577" s="17"/>
      <c r="BM1577" s="17"/>
      <c r="BN1577" s="17"/>
      <c r="BO1577" s="17"/>
      <c r="BP1577" s="17"/>
      <c r="BQ1577" s="17"/>
      <c r="BR1577" s="17"/>
      <c r="BS1577" s="17"/>
      <c r="BT1577" s="17"/>
      <c r="BU1577" s="17"/>
      <c r="BV1577" s="17"/>
      <c r="BW1577" s="17"/>
      <c r="BX1577" s="17"/>
      <c r="BY1577" s="17"/>
      <c r="BZ1577" s="17"/>
      <c r="CA1577" s="17"/>
      <c r="CB1577" s="17"/>
      <c r="CC1577" s="17"/>
      <c r="CD1577" s="17"/>
      <c r="CE1577" s="17"/>
      <c r="CF1577" s="17"/>
      <c r="CG1577" s="17"/>
      <c r="CH1577" s="17"/>
    </row>
    <row r="1578" spans="35:86" x14ac:dyDescent="0.15">
      <c r="AI1578" s="3"/>
      <c r="AJ1578" s="3"/>
      <c r="AK1578" s="15">
        <f t="shared" si="506"/>
        <v>7</v>
      </c>
      <c r="AL1578" s="11">
        <f t="shared" si="512"/>
        <v>9414</v>
      </c>
      <c r="AM1578" s="11" t="b">
        <f t="shared" si="505"/>
        <v>0</v>
      </c>
      <c r="AN1578" s="11">
        <f t="shared" si="507"/>
        <v>36000</v>
      </c>
      <c r="AO1578" s="11">
        <f t="shared" si="508"/>
        <v>0</v>
      </c>
      <c r="AP1578" s="11">
        <f t="shared" si="509"/>
        <v>0.71243318163806324</v>
      </c>
      <c r="AQ1578" s="11">
        <f t="shared" si="510"/>
        <v>0</v>
      </c>
      <c r="AT1578" s="3"/>
      <c r="AU1578" s="17"/>
      <c r="AV1578" s="19"/>
      <c r="AW1578" s="17"/>
      <c r="AX1578" s="17">
        <f t="shared" si="504"/>
        <v>1569</v>
      </c>
      <c r="AY1578" s="17">
        <f t="shared" si="511"/>
        <v>156.9</v>
      </c>
      <c r="AZ1578" s="17">
        <v>71.243318163806322</v>
      </c>
      <c r="BA1578" s="17"/>
      <c r="BB1578" s="17">
        <v>36</v>
      </c>
      <c r="BC1578" s="17"/>
      <c r="BD1578" s="17"/>
      <c r="BE1578" s="17"/>
      <c r="BF1578" s="17"/>
      <c r="BG1578" s="17"/>
      <c r="BH1578" s="17"/>
      <c r="BI1578" s="17"/>
      <c r="BJ1578" s="17"/>
      <c r="BK1578" s="17"/>
      <c r="BL1578" s="17"/>
      <c r="BM1578" s="17"/>
      <c r="BN1578" s="17"/>
      <c r="BO1578" s="17"/>
      <c r="BP1578" s="17"/>
      <c r="BQ1578" s="17"/>
      <c r="BR1578" s="17"/>
      <c r="BS1578" s="17"/>
      <c r="BT1578" s="17"/>
      <c r="BU1578" s="17"/>
      <c r="BV1578" s="17"/>
      <c r="BW1578" s="17"/>
      <c r="BX1578" s="17"/>
      <c r="BY1578" s="17"/>
      <c r="BZ1578" s="17"/>
      <c r="CA1578" s="17"/>
      <c r="CB1578" s="17"/>
      <c r="CC1578" s="17"/>
      <c r="CD1578" s="17"/>
      <c r="CE1578" s="17"/>
      <c r="CF1578" s="17"/>
      <c r="CG1578" s="17"/>
      <c r="CH1578" s="17"/>
    </row>
    <row r="1579" spans="35:86" x14ac:dyDescent="0.15">
      <c r="AI1579" s="3"/>
      <c r="AJ1579" s="3"/>
      <c r="AK1579" s="15">
        <f t="shared" si="506"/>
        <v>7</v>
      </c>
      <c r="AL1579" s="11">
        <f t="shared" si="512"/>
        <v>9420</v>
      </c>
      <c r="AM1579" s="11" t="b">
        <f t="shared" si="505"/>
        <v>0</v>
      </c>
      <c r="AN1579" s="11">
        <f t="shared" si="507"/>
        <v>36000</v>
      </c>
      <c r="AO1579" s="11">
        <f t="shared" si="508"/>
        <v>0</v>
      </c>
      <c r="AP1579" s="11">
        <f t="shared" si="509"/>
        <v>0.71353549645287806</v>
      </c>
      <c r="AQ1579" s="11">
        <f t="shared" si="510"/>
        <v>0</v>
      </c>
      <c r="AT1579" s="3"/>
      <c r="AU1579" s="17"/>
      <c r="AV1579" s="19"/>
      <c r="AW1579" s="17"/>
      <c r="AX1579" s="17">
        <f t="shared" si="504"/>
        <v>1570</v>
      </c>
      <c r="AY1579" s="17">
        <f t="shared" si="511"/>
        <v>157</v>
      </c>
      <c r="AZ1579" s="17">
        <v>71.353549645287799</v>
      </c>
      <c r="BA1579" s="17"/>
      <c r="BB1579" s="17">
        <v>36</v>
      </c>
      <c r="BC1579" s="17"/>
      <c r="BD1579" s="17"/>
      <c r="BE1579" s="17"/>
      <c r="BF1579" s="17"/>
      <c r="BG1579" s="17"/>
      <c r="BH1579" s="17"/>
      <c r="BI1579" s="17"/>
      <c r="BJ1579" s="17"/>
      <c r="BK1579" s="17"/>
      <c r="BL1579" s="17"/>
      <c r="BM1579" s="17"/>
      <c r="BN1579" s="17"/>
      <c r="BO1579" s="17"/>
      <c r="BP1579" s="17"/>
      <c r="BQ1579" s="17"/>
      <c r="BR1579" s="17"/>
      <c r="BS1579" s="17"/>
      <c r="BT1579" s="17"/>
      <c r="BU1579" s="17"/>
      <c r="BV1579" s="17"/>
      <c r="BW1579" s="17"/>
      <c r="BX1579" s="17"/>
      <c r="BY1579" s="17"/>
      <c r="BZ1579" s="17"/>
      <c r="CA1579" s="17"/>
      <c r="CB1579" s="17"/>
      <c r="CC1579" s="17"/>
      <c r="CD1579" s="17"/>
      <c r="CE1579" s="17"/>
      <c r="CF1579" s="17"/>
      <c r="CG1579" s="17"/>
      <c r="CH1579" s="17"/>
    </row>
    <row r="1580" spans="35:86" x14ac:dyDescent="0.15">
      <c r="AI1580" s="3"/>
      <c r="AJ1580" s="3"/>
      <c r="AK1580" s="15">
        <f t="shared" si="506"/>
        <v>7</v>
      </c>
      <c r="AL1580" s="11">
        <f t="shared" si="512"/>
        <v>9426</v>
      </c>
      <c r="AM1580" s="11" t="b">
        <f t="shared" si="505"/>
        <v>0</v>
      </c>
      <c r="AN1580" s="11">
        <f t="shared" si="507"/>
        <v>36000</v>
      </c>
      <c r="AO1580" s="11">
        <f t="shared" si="508"/>
        <v>0</v>
      </c>
      <c r="AP1580" s="11">
        <f t="shared" si="509"/>
        <v>0.71463781126769288</v>
      </c>
      <c r="AQ1580" s="11">
        <f t="shared" si="510"/>
        <v>0</v>
      </c>
      <c r="AT1580" s="3"/>
      <c r="AU1580" s="17"/>
      <c r="AV1580" s="19"/>
      <c r="AW1580" s="17"/>
      <c r="AX1580" s="17">
        <f t="shared" si="504"/>
        <v>1571</v>
      </c>
      <c r="AY1580" s="17">
        <f t="shared" si="511"/>
        <v>157.1</v>
      </c>
      <c r="AZ1580" s="17">
        <v>71.463781126769291</v>
      </c>
      <c r="BA1580" s="17"/>
      <c r="BB1580" s="17">
        <v>36</v>
      </c>
      <c r="BC1580" s="17"/>
      <c r="BD1580" s="17"/>
      <c r="BE1580" s="17"/>
      <c r="BF1580" s="17"/>
      <c r="BG1580" s="17"/>
      <c r="BH1580" s="17"/>
      <c r="BI1580" s="17"/>
      <c r="BJ1580" s="17"/>
      <c r="BK1580" s="17"/>
      <c r="BL1580" s="17"/>
      <c r="BM1580" s="17"/>
      <c r="BN1580" s="17"/>
      <c r="BO1580" s="17"/>
      <c r="BP1580" s="17"/>
      <c r="BQ1580" s="17"/>
      <c r="BR1580" s="17"/>
      <c r="BS1580" s="17"/>
      <c r="BT1580" s="17"/>
      <c r="BU1580" s="17"/>
      <c r="BV1580" s="17"/>
      <c r="BW1580" s="17"/>
      <c r="BX1580" s="17"/>
      <c r="BY1580" s="17"/>
      <c r="BZ1580" s="17"/>
      <c r="CA1580" s="17"/>
      <c r="CB1580" s="17"/>
      <c r="CC1580" s="17"/>
      <c r="CD1580" s="17"/>
      <c r="CE1580" s="17"/>
      <c r="CF1580" s="17"/>
      <c r="CG1580" s="17"/>
      <c r="CH1580" s="17"/>
    </row>
    <row r="1581" spans="35:86" x14ac:dyDescent="0.15">
      <c r="AI1581" s="3"/>
      <c r="AJ1581" s="3"/>
      <c r="AK1581" s="15">
        <f t="shared" si="506"/>
        <v>7</v>
      </c>
      <c r="AL1581" s="11">
        <f t="shared" si="512"/>
        <v>9432</v>
      </c>
      <c r="AM1581" s="11" t="b">
        <f t="shared" si="505"/>
        <v>0</v>
      </c>
      <c r="AN1581" s="11">
        <f t="shared" si="507"/>
        <v>36000</v>
      </c>
      <c r="AO1581" s="11">
        <f t="shared" si="508"/>
        <v>0</v>
      </c>
      <c r="AP1581" s="11">
        <f t="shared" si="509"/>
        <v>0.7157401260825077</v>
      </c>
      <c r="AQ1581" s="11">
        <f t="shared" si="510"/>
        <v>0</v>
      </c>
      <c r="AT1581" s="3"/>
      <c r="AU1581" s="17"/>
      <c r="AV1581" s="19"/>
      <c r="AW1581" s="17"/>
      <c r="AX1581" s="17">
        <f t="shared" si="504"/>
        <v>1572</v>
      </c>
      <c r="AY1581" s="17">
        <f t="shared" si="511"/>
        <v>157.19999999999999</v>
      </c>
      <c r="AZ1581" s="17">
        <v>71.574012608250769</v>
      </c>
      <c r="BA1581" s="17"/>
      <c r="BB1581" s="17">
        <v>36</v>
      </c>
      <c r="BC1581" s="17"/>
      <c r="BD1581" s="17"/>
      <c r="BE1581" s="17"/>
      <c r="BF1581" s="17"/>
      <c r="BG1581" s="17"/>
      <c r="BH1581" s="17"/>
      <c r="BI1581" s="17"/>
      <c r="BJ1581" s="17"/>
      <c r="BK1581" s="17"/>
      <c r="BL1581" s="17"/>
      <c r="BM1581" s="17"/>
      <c r="BN1581" s="17"/>
      <c r="BO1581" s="17"/>
      <c r="BP1581" s="17"/>
      <c r="BQ1581" s="17"/>
      <c r="BR1581" s="17"/>
      <c r="BS1581" s="17"/>
      <c r="BT1581" s="17"/>
      <c r="BU1581" s="17"/>
      <c r="BV1581" s="17"/>
      <c r="BW1581" s="17"/>
      <c r="BX1581" s="17"/>
      <c r="BY1581" s="17"/>
      <c r="BZ1581" s="17"/>
      <c r="CA1581" s="17"/>
      <c r="CB1581" s="17"/>
      <c r="CC1581" s="17"/>
      <c r="CD1581" s="17"/>
      <c r="CE1581" s="17"/>
      <c r="CF1581" s="17"/>
      <c r="CG1581" s="17"/>
      <c r="CH1581" s="17"/>
    </row>
    <row r="1582" spans="35:86" x14ac:dyDescent="0.15">
      <c r="AI1582" s="3"/>
      <c r="AJ1582" s="3"/>
      <c r="AK1582" s="15">
        <f t="shared" si="506"/>
        <v>7</v>
      </c>
      <c r="AL1582" s="11">
        <f t="shared" si="512"/>
        <v>9438</v>
      </c>
      <c r="AM1582" s="11" t="b">
        <f t="shared" si="505"/>
        <v>0</v>
      </c>
      <c r="AN1582" s="11">
        <f t="shared" si="507"/>
        <v>36000</v>
      </c>
      <c r="AO1582" s="11">
        <f t="shared" si="508"/>
        <v>0</v>
      </c>
      <c r="AP1582" s="11">
        <f t="shared" si="509"/>
        <v>0.71684244089732263</v>
      </c>
      <c r="AQ1582" s="11">
        <f t="shared" si="510"/>
        <v>0</v>
      </c>
      <c r="AT1582" s="3"/>
      <c r="AU1582" s="17"/>
      <c r="AV1582" s="19"/>
      <c r="AW1582" s="17"/>
      <c r="AX1582" s="17">
        <f t="shared" ref="AX1582:AX1645" si="513">IF(AX1581&gt;=$AG$14,$AG$14,AX1581+1)</f>
        <v>1573</v>
      </c>
      <c r="AY1582" s="17">
        <f t="shared" si="511"/>
        <v>157.30000000000001</v>
      </c>
      <c r="AZ1582" s="17">
        <v>71.68424408973226</v>
      </c>
      <c r="BA1582" s="17"/>
      <c r="BB1582" s="17">
        <v>36</v>
      </c>
      <c r="BC1582" s="17"/>
      <c r="BD1582" s="17"/>
      <c r="BE1582" s="17"/>
      <c r="BF1582" s="17"/>
      <c r="BG1582" s="17"/>
      <c r="BH1582" s="17"/>
      <c r="BI1582" s="17"/>
      <c r="BJ1582" s="17"/>
      <c r="BK1582" s="17"/>
      <c r="BL1582" s="17"/>
      <c r="BM1582" s="17"/>
      <c r="BN1582" s="17"/>
      <c r="BO1582" s="17"/>
      <c r="BP1582" s="17"/>
      <c r="BQ1582" s="17"/>
      <c r="BR1582" s="17"/>
      <c r="BS1582" s="17"/>
      <c r="BT1582" s="17"/>
      <c r="BU1582" s="17"/>
      <c r="BV1582" s="17"/>
      <c r="BW1582" s="17"/>
      <c r="BX1582" s="17"/>
      <c r="BY1582" s="17"/>
      <c r="BZ1582" s="17"/>
      <c r="CA1582" s="17"/>
      <c r="CB1582" s="17"/>
      <c r="CC1582" s="17"/>
      <c r="CD1582" s="17"/>
      <c r="CE1582" s="17"/>
      <c r="CF1582" s="17"/>
      <c r="CG1582" s="17"/>
      <c r="CH1582" s="17"/>
    </row>
    <row r="1583" spans="35:86" x14ac:dyDescent="0.15">
      <c r="AI1583" s="3"/>
      <c r="AJ1583" s="3"/>
      <c r="AK1583" s="15">
        <f t="shared" si="506"/>
        <v>7</v>
      </c>
      <c r="AL1583" s="11">
        <f t="shared" si="512"/>
        <v>9444</v>
      </c>
      <c r="AM1583" s="11" t="b">
        <f t="shared" si="505"/>
        <v>0</v>
      </c>
      <c r="AN1583" s="11">
        <f t="shared" si="507"/>
        <v>36000</v>
      </c>
      <c r="AO1583" s="11">
        <f t="shared" si="508"/>
        <v>0</v>
      </c>
      <c r="AP1583" s="11">
        <f t="shared" si="509"/>
        <v>0.71794475571213756</v>
      </c>
      <c r="AQ1583" s="11">
        <f t="shared" si="510"/>
        <v>0</v>
      </c>
      <c r="AT1583" s="3"/>
      <c r="AU1583" s="17"/>
      <c r="AV1583" s="19"/>
      <c r="AW1583" s="17"/>
      <c r="AX1583" s="17">
        <f t="shared" si="513"/>
        <v>1574</v>
      </c>
      <c r="AY1583" s="17">
        <f t="shared" si="511"/>
        <v>157.4</v>
      </c>
      <c r="AZ1583" s="17">
        <v>71.794475571213752</v>
      </c>
      <c r="BA1583" s="17"/>
      <c r="BB1583" s="17">
        <v>36</v>
      </c>
      <c r="BC1583" s="17"/>
      <c r="BD1583" s="17"/>
      <c r="BE1583" s="17"/>
      <c r="BF1583" s="17"/>
      <c r="BG1583" s="17"/>
      <c r="BH1583" s="17"/>
      <c r="BI1583" s="17"/>
      <c r="BJ1583" s="17"/>
      <c r="BK1583" s="17"/>
      <c r="BL1583" s="17"/>
      <c r="BM1583" s="17"/>
      <c r="BN1583" s="17"/>
      <c r="BO1583" s="17"/>
      <c r="BP1583" s="17"/>
      <c r="BQ1583" s="17"/>
      <c r="BR1583" s="17"/>
      <c r="BS1583" s="17"/>
      <c r="BT1583" s="17"/>
      <c r="BU1583" s="17"/>
      <c r="BV1583" s="17"/>
      <c r="BW1583" s="17"/>
      <c r="BX1583" s="17"/>
      <c r="BY1583" s="17"/>
      <c r="BZ1583" s="17"/>
      <c r="CA1583" s="17"/>
      <c r="CB1583" s="17"/>
      <c r="CC1583" s="17"/>
      <c r="CD1583" s="17"/>
      <c r="CE1583" s="17"/>
      <c r="CF1583" s="17"/>
      <c r="CG1583" s="17"/>
      <c r="CH1583" s="17"/>
    </row>
    <row r="1584" spans="35:86" x14ac:dyDescent="0.15">
      <c r="AI1584" s="3"/>
      <c r="AJ1584" s="3"/>
      <c r="AK1584" s="15">
        <f t="shared" si="506"/>
        <v>7</v>
      </c>
      <c r="AL1584" s="11">
        <f t="shared" si="512"/>
        <v>9450</v>
      </c>
      <c r="AM1584" s="11" t="b">
        <f t="shared" si="505"/>
        <v>0</v>
      </c>
      <c r="AN1584" s="11">
        <f t="shared" si="507"/>
        <v>36000</v>
      </c>
      <c r="AO1584" s="11">
        <f t="shared" si="508"/>
        <v>0</v>
      </c>
      <c r="AP1584" s="11">
        <f t="shared" si="509"/>
        <v>0.71904707052695238</v>
      </c>
      <c r="AQ1584" s="11">
        <f t="shared" si="510"/>
        <v>0</v>
      </c>
      <c r="AT1584" s="3"/>
      <c r="AU1584" s="17"/>
      <c r="AV1584" s="19"/>
      <c r="AW1584" s="17"/>
      <c r="AX1584" s="17">
        <f t="shared" si="513"/>
        <v>1575</v>
      </c>
      <c r="AY1584" s="17">
        <f t="shared" si="511"/>
        <v>157.5</v>
      </c>
      <c r="AZ1584" s="17">
        <v>71.904707052695244</v>
      </c>
      <c r="BA1584" s="17"/>
      <c r="BB1584" s="17">
        <v>36</v>
      </c>
      <c r="BC1584" s="17"/>
      <c r="BD1584" s="17"/>
      <c r="BE1584" s="17"/>
      <c r="BF1584" s="17"/>
      <c r="BG1584" s="17"/>
      <c r="BH1584" s="17"/>
      <c r="BI1584" s="17"/>
      <c r="BJ1584" s="17"/>
      <c r="BK1584" s="17"/>
      <c r="BL1584" s="17"/>
      <c r="BM1584" s="17"/>
      <c r="BN1584" s="17"/>
      <c r="BO1584" s="17"/>
      <c r="BP1584" s="17"/>
      <c r="BQ1584" s="17"/>
      <c r="BR1584" s="17"/>
      <c r="BS1584" s="17"/>
      <c r="BT1584" s="17"/>
      <c r="BU1584" s="17"/>
      <c r="BV1584" s="17"/>
      <c r="BW1584" s="17"/>
      <c r="BX1584" s="17"/>
      <c r="BY1584" s="17"/>
      <c r="BZ1584" s="17"/>
      <c r="CA1584" s="17"/>
      <c r="CB1584" s="17"/>
      <c r="CC1584" s="17"/>
      <c r="CD1584" s="17"/>
      <c r="CE1584" s="17"/>
      <c r="CF1584" s="17"/>
      <c r="CG1584" s="17"/>
      <c r="CH1584" s="17"/>
    </row>
    <row r="1585" spans="35:86" x14ac:dyDescent="0.15">
      <c r="AI1585" s="3"/>
      <c r="AJ1585" s="3"/>
      <c r="AK1585" s="15">
        <f t="shared" si="506"/>
        <v>7</v>
      </c>
      <c r="AL1585" s="11">
        <f t="shared" si="512"/>
        <v>9456</v>
      </c>
      <c r="AM1585" s="11" t="b">
        <f t="shared" si="505"/>
        <v>0</v>
      </c>
      <c r="AN1585" s="11">
        <f t="shared" si="507"/>
        <v>36000</v>
      </c>
      <c r="AO1585" s="11">
        <f t="shared" si="508"/>
        <v>0</v>
      </c>
      <c r="AP1585" s="11">
        <f t="shared" si="509"/>
        <v>0.7201493853417672</v>
      </c>
      <c r="AQ1585" s="11">
        <f t="shared" si="510"/>
        <v>0</v>
      </c>
      <c r="AT1585" s="3"/>
      <c r="AU1585" s="17"/>
      <c r="AV1585" s="19"/>
      <c r="AW1585" s="17"/>
      <c r="AX1585" s="17">
        <f t="shared" si="513"/>
        <v>1576</v>
      </c>
      <c r="AY1585" s="17">
        <f t="shared" si="511"/>
        <v>157.6</v>
      </c>
      <c r="AZ1585" s="17">
        <v>72.014938534176721</v>
      </c>
      <c r="BA1585" s="17"/>
      <c r="BB1585" s="17">
        <v>36</v>
      </c>
      <c r="BC1585" s="17"/>
      <c r="BD1585" s="17"/>
      <c r="BE1585" s="17"/>
      <c r="BF1585" s="17"/>
      <c r="BG1585" s="17"/>
      <c r="BH1585" s="17"/>
      <c r="BI1585" s="17"/>
      <c r="BJ1585" s="17"/>
      <c r="BK1585" s="17"/>
      <c r="BL1585" s="17"/>
      <c r="BM1585" s="17"/>
      <c r="BN1585" s="17"/>
      <c r="BO1585" s="17"/>
      <c r="BP1585" s="17"/>
      <c r="BQ1585" s="17"/>
      <c r="BR1585" s="17"/>
      <c r="BS1585" s="17"/>
      <c r="BT1585" s="17"/>
      <c r="BU1585" s="17"/>
      <c r="BV1585" s="17"/>
      <c r="BW1585" s="17"/>
      <c r="BX1585" s="17"/>
      <c r="BY1585" s="17"/>
      <c r="BZ1585" s="17"/>
      <c r="CA1585" s="17"/>
      <c r="CB1585" s="17"/>
      <c r="CC1585" s="17"/>
      <c r="CD1585" s="17"/>
      <c r="CE1585" s="17"/>
      <c r="CF1585" s="17"/>
      <c r="CG1585" s="17"/>
      <c r="CH1585" s="17"/>
    </row>
    <row r="1586" spans="35:86" x14ac:dyDescent="0.15">
      <c r="AI1586" s="3"/>
      <c r="AJ1586" s="3"/>
      <c r="AK1586" s="15">
        <f t="shared" si="506"/>
        <v>7</v>
      </c>
      <c r="AL1586" s="11">
        <f t="shared" si="512"/>
        <v>9462</v>
      </c>
      <c r="AM1586" s="11" t="b">
        <f t="shared" si="505"/>
        <v>0</v>
      </c>
      <c r="AN1586" s="11">
        <f t="shared" si="507"/>
        <v>36000</v>
      </c>
      <c r="AO1586" s="11">
        <f t="shared" si="508"/>
        <v>0</v>
      </c>
      <c r="AP1586" s="11">
        <f t="shared" si="509"/>
        <v>0.72125170015658202</v>
      </c>
      <c r="AQ1586" s="11">
        <f t="shared" si="510"/>
        <v>0</v>
      </c>
      <c r="AT1586" s="3"/>
      <c r="AU1586" s="17"/>
      <c r="AV1586" s="19"/>
      <c r="AW1586" s="17"/>
      <c r="AX1586" s="17">
        <f t="shared" si="513"/>
        <v>1577</v>
      </c>
      <c r="AY1586" s="17">
        <f t="shared" si="511"/>
        <v>157.69999999999999</v>
      </c>
      <c r="AZ1586" s="17">
        <v>72.125170015658199</v>
      </c>
      <c r="BA1586" s="17"/>
      <c r="BB1586" s="17">
        <v>36</v>
      </c>
      <c r="BC1586" s="17"/>
      <c r="BD1586" s="17"/>
      <c r="BE1586" s="17"/>
      <c r="BF1586" s="17"/>
      <c r="BG1586" s="17"/>
      <c r="BH1586" s="17"/>
      <c r="BI1586" s="17"/>
      <c r="BJ1586" s="17"/>
      <c r="BK1586" s="17"/>
      <c r="BL1586" s="17"/>
      <c r="BM1586" s="17"/>
      <c r="BN1586" s="17"/>
      <c r="BO1586" s="17"/>
      <c r="BP1586" s="17"/>
      <c r="BQ1586" s="17"/>
      <c r="BR1586" s="17"/>
      <c r="BS1586" s="17"/>
      <c r="BT1586" s="17"/>
      <c r="BU1586" s="17"/>
      <c r="BV1586" s="17"/>
      <c r="BW1586" s="17"/>
      <c r="BX1586" s="17"/>
      <c r="BY1586" s="17"/>
      <c r="BZ1586" s="17"/>
      <c r="CA1586" s="17"/>
      <c r="CB1586" s="17"/>
      <c r="CC1586" s="17"/>
      <c r="CD1586" s="17"/>
      <c r="CE1586" s="17"/>
      <c r="CF1586" s="17"/>
      <c r="CG1586" s="17"/>
      <c r="CH1586" s="17"/>
    </row>
    <row r="1587" spans="35:86" x14ac:dyDescent="0.15">
      <c r="AI1587" s="3"/>
      <c r="AJ1587" s="3"/>
      <c r="AK1587" s="15">
        <f t="shared" si="506"/>
        <v>7</v>
      </c>
      <c r="AL1587" s="11">
        <f>AL1586+$AB$15</f>
        <v>9468</v>
      </c>
      <c r="AM1587" s="11" t="b">
        <f t="shared" si="505"/>
        <v>0</v>
      </c>
      <c r="AN1587" s="11">
        <f t="shared" si="507"/>
        <v>36000</v>
      </c>
      <c r="AO1587" s="11">
        <f t="shared" si="508"/>
        <v>0</v>
      </c>
      <c r="AP1587" s="11">
        <f t="shared" si="509"/>
        <v>0.72235401497139684</v>
      </c>
      <c r="AQ1587" s="11">
        <f t="shared" si="510"/>
        <v>0</v>
      </c>
      <c r="AT1587" s="3"/>
      <c r="AU1587" s="17"/>
      <c r="AV1587" s="19"/>
      <c r="AW1587" s="17"/>
      <c r="AX1587" s="17">
        <f t="shared" si="513"/>
        <v>1578</v>
      </c>
      <c r="AY1587" s="17">
        <f t="shared" si="511"/>
        <v>157.80000000000001</v>
      </c>
      <c r="AZ1587" s="17">
        <v>72.235401497139691</v>
      </c>
      <c r="BA1587" s="17"/>
      <c r="BB1587" s="17">
        <v>36</v>
      </c>
      <c r="BC1587" s="17"/>
      <c r="BD1587" s="17"/>
      <c r="BE1587" s="17"/>
      <c r="BF1587" s="17"/>
      <c r="BG1587" s="17"/>
      <c r="BH1587" s="17"/>
      <c r="BI1587" s="17"/>
      <c r="BJ1587" s="17"/>
      <c r="BK1587" s="17"/>
      <c r="BL1587" s="17"/>
      <c r="BM1587" s="17"/>
      <c r="BN1587" s="17"/>
      <c r="BO1587" s="17"/>
      <c r="BP1587" s="17"/>
      <c r="BQ1587" s="17"/>
      <c r="BR1587" s="17"/>
      <c r="BS1587" s="17"/>
      <c r="BT1587" s="17"/>
      <c r="BU1587" s="17"/>
      <c r="BV1587" s="17"/>
      <c r="BW1587" s="17"/>
      <c r="BX1587" s="17"/>
      <c r="BY1587" s="17"/>
      <c r="BZ1587" s="17"/>
      <c r="CA1587" s="17"/>
      <c r="CB1587" s="17"/>
      <c r="CC1587" s="17"/>
      <c r="CD1587" s="17"/>
      <c r="CE1587" s="17"/>
      <c r="CF1587" s="17"/>
      <c r="CG1587" s="17"/>
      <c r="CH1587" s="17"/>
    </row>
    <row r="1588" spans="35:86" x14ac:dyDescent="0.15">
      <c r="AI1588" s="3"/>
      <c r="AJ1588" s="3"/>
      <c r="AK1588" s="15">
        <f t="shared" si="506"/>
        <v>7</v>
      </c>
      <c r="AL1588" s="11">
        <f t="shared" ref="AL1588:AL1612" si="514">AL1587+$AB$15</f>
        <v>9474</v>
      </c>
      <c r="AM1588" s="11" t="b">
        <f t="shared" si="505"/>
        <v>0</v>
      </c>
      <c r="AN1588" s="11">
        <f t="shared" si="507"/>
        <v>36000</v>
      </c>
      <c r="AO1588" s="11">
        <f t="shared" si="508"/>
        <v>0</v>
      </c>
      <c r="AP1588" s="11">
        <f t="shared" si="509"/>
        <v>0.72345632978621177</v>
      </c>
      <c r="AQ1588" s="11">
        <f t="shared" si="510"/>
        <v>0</v>
      </c>
      <c r="AT1588" s="3"/>
      <c r="AU1588" s="17"/>
      <c r="AV1588" s="19"/>
      <c r="AW1588" s="17"/>
      <c r="AX1588" s="17">
        <f t="shared" si="513"/>
        <v>1579</v>
      </c>
      <c r="AY1588" s="17">
        <f t="shared" si="511"/>
        <v>157.9</v>
      </c>
      <c r="AZ1588" s="17">
        <v>72.345632978621182</v>
      </c>
      <c r="BA1588" s="17"/>
      <c r="BB1588" s="17">
        <v>36</v>
      </c>
      <c r="BC1588" s="17"/>
      <c r="BD1588" s="17"/>
      <c r="BE1588" s="17"/>
      <c r="BF1588" s="17"/>
      <c r="BG1588" s="17"/>
      <c r="BH1588" s="17"/>
      <c r="BI1588" s="17"/>
      <c r="BJ1588" s="17"/>
      <c r="BK1588" s="17"/>
      <c r="BL1588" s="17"/>
      <c r="BM1588" s="17"/>
      <c r="BN1588" s="17"/>
      <c r="BO1588" s="17"/>
      <c r="BP1588" s="17"/>
      <c r="BQ1588" s="17"/>
      <c r="BR1588" s="17"/>
      <c r="BS1588" s="17"/>
      <c r="BT1588" s="17"/>
      <c r="BU1588" s="17"/>
      <c r="BV1588" s="17"/>
      <c r="BW1588" s="17"/>
      <c r="BX1588" s="17"/>
      <c r="BY1588" s="17"/>
      <c r="BZ1588" s="17"/>
      <c r="CA1588" s="17"/>
      <c r="CB1588" s="17"/>
      <c r="CC1588" s="17"/>
      <c r="CD1588" s="17"/>
      <c r="CE1588" s="17"/>
      <c r="CF1588" s="17"/>
      <c r="CG1588" s="17"/>
      <c r="CH1588" s="17"/>
    </row>
    <row r="1589" spans="35:86" x14ac:dyDescent="0.15">
      <c r="AI1589" s="3"/>
      <c r="AJ1589" s="3"/>
      <c r="AK1589" s="15">
        <f t="shared" si="506"/>
        <v>7</v>
      </c>
      <c r="AL1589" s="11">
        <f t="shared" si="514"/>
        <v>9480</v>
      </c>
      <c r="AM1589" s="11" t="b">
        <f t="shared" si="505"/>
        <v>0</v>
      </c>
      <c r="AN1589" s="11">
        <f t="shared" si="507"/>
        <v>36000</v>
      </c>
      <c r="AO1589" s="11">
        <f t="shared" si="508"/>
        <v>0</v>
      </c>
      <c r="AP1589" s="11">
        <f t="shared" si="509"/>
        <v>0.72455864460102659</v>
      </c>
      <c r="AQ1589" s="11">
        <f t="shared" si="510"/>
        <v>0</v>
      </c>
      <c r="AT1589" s="3"/>
      <c r="AU1589" s="17"/>
      <c r="AV1589" s="19"/>
      <c r="AW1589" s="17"/>
      <c r="AX1589" s="17">
        <f t="shared" si="513"/>
        <v>1580</v>
      </c>
      <c r="AY1589" s="17">
        <f t="shared" si="511"/>
        <v>158</v>
      </c>
      <c r="AZ1589" s="17">
        <v>72.45586446010266</v>
      </c>
      <c r="BA1589" s="17"/>
      <c r="BB1589" s="17">
        <v>36</v>
      </c>
      <c r="BC1589" s="17"/>
      <c r="BD1589" s="17"/>
      <c r="BE1589" s="17"/>
      <c r="BF1589" s="17"/>
      <c r="BG1589" s="17"/>
      <c r="BH1589" s="17"/>
      <c r="BI1589" s="17"/>
      <c r="BJ1589" s="17"/>
      <c r="BK1589" s="17"/>
      <c r="BL1589" s="17"/>
      <c r="BM1589" s="17"/>
      <c r="BN1589" s="17"/>
      <c r="BO1589" s="17"/>
      <c r="BP1589" s="17"/>
      <c r="BQ1589" s="17"/>
      <c r="BR1589" s="17"/>
      <c r="BS1589" s="17"/>
      <c r="BT1589" s="17"/>
      <c r="BU1589" s="17"/>
      <c r="BV1589" s="17"/>
      <c r="BW1589" s="17"/>
      <c r="BX1589" s="17"/>
      <c r="BY1589" s="17"/>
      <c r="BZ1589" s="17"/>
      <c r="CA1589" s="17"/>
      <c r="CB1589" s="17"/>
      <c r="CC1589" s="17"/>
      <c r="CD1589" s="17"/>
      <c r="CE1589" s="17"/>
      <c r="CF1589" s="17"/>
      <c r="CG1589" s="17"/>
      <c r="CH1589" s="17"/>
    </row>
    <row r="1590" spans="35:86" x14ac:dyDescent="0.15">
      <c r="AI1590" s="3"/>
      <c r="AJ1590" s="3"/>
      <c r="AK1590" s="15">
        <f t="shared" si="506"/>
        <v>7</v>
      </c>
      <c r="AL1590" s="11">
        <f t="shared" si="514"/>
        <v>9486</v>
      </c>
      <c r="AM1590" s="11" t="b">
        <f t="shared" si="505"/>
        <v>0</v>
      </c>
      <c r="AN1590" s="11">
        <f t="shared" si="507"/>
        <v>36000</v>
      </c>
      <c r="AO1590" s="11">
        <f t="shared" si="508"/>
        <v>0</v>
      </c>
      <c r="AP1590" s="11">
        <f t="shared" si="509"/>
        <v>0.72566095941584141</v>
      </c>
      <c r="AQ1590" s="11">
        <f t="shared" si="510"/>
        <v>0</v>
      </c>
      <c r="AT1590" s="3"/>
      <c r="AU1590" s="17"/>
      <c r="AV1590" s="19"/>
      <c r="AW1590" s="17"/>
      <c r="AX1590" s="17">
        <f t="shared" si="513"/>
        <v>1581</v>
      </c>
      <c r="AY1590" s="17">
        <f t="shared" si="511"/>
        <v>158.1</v>
      </c>
      <c r="AZ1590" s="17">
        <v>72.566095941584138</v>
      </c>
      <c r="BA1590" s="17"/>
      <c r="BB1590" s="17">
        <v>36</v>
      </c>
      <c r="BC1590" s="17"/>
      <c r="BD1590" s="17"/>
      <c r="BE1590" s="17"/>
      <c r="BF1590" s="17"/>
      <c r="BG1590" s="17"/>
      <c r="BH1590" s="17"/>
      <c r="BI1590" s="17"/>
      <c r="BJ1590" s="17"/>
      <c r="BK1590" s="17"/>
      <c r="BL1590" s="17"/>
      <c r="BM1590" s="17"/>
      <c r="BN1590" s="17"/>
      <c r="BO1590" s="17"/>
      <c r="BP1590" s="17"/>
      <c r="BQ1590" s="17"/>
      <c r="BR1590" s="17"/>
      <c r="BS1590" s="17"/>
      <c r="BT1590" s="17"/>
      <c r="BU1590" s="17"/>
      <c r="BV1590" s="17"/>
      <c r="BW1590" s="17"/>
      <c r="BX1590" s="17"/>
      <c r="BY1590" s="17"/>
      <c r="BZ1590" s="17"/>
      <c r="CA1590" s="17"/>
      <c r="CB1590" s="17"/>
      <c r="CC1590" s="17"/>
      <c r="CD1590" s="17"/>
      <c r="CE1590" s="17"/>
      <c r="CF1590" s="17"/>
      <c r="CG1590" s="17"/>
      <c r="CH1590" s="17"/>
    </row>
    <row r="1591" spans="35:86" x14ac:dyDescent="0.15">
      <c r="AI1591" s="3"/>
      <c r="AJ1591" s="3"/>
      <c r="AK1591" s="15">
        <f t="shared" si="506"/>
        <v>7</v>
      </c>
      <c r="AL1591" s="11">
        <f t="shared" si="514"/>
        <v>9492</v>
      </c>
      <c r="AM1591" s="11" t="b">
        <f t="shared" si="505"/>
        <v>0</v>
      </c>
      <c r="AN1591" s="11">
        <f t="shared" si="507"/>
        <v>36000</v>
      </c>
      <c r="AO1591" s="11">
        <f t="shared" si="508"/>
        <v>0</v>
      </c>
      <c r="AP1591" s="11">
        <f t="shared" si="509"/>
        <v>0.72676327423065623</v>
      </c>
      <c r="AQ1591" s="11">
        <f t="shared" si="510"/>
        <v>0</v>
      </c>
      <c r="AT1591" s="3"/>
      <c r="AU1591" s="17"/>
      <c r="AV1591" s="19"/>
      <c r="AW1591" s="17"/>
      <c r="AX1591" s="17">
        <f t="shared" si="513"/>
        <v>1582</v>
      </c>
      <c r="AY1591" s="17">
        <f t="shared" si="511"/>
        <v>158.19999999999999</v>
      </c>
      <c r="AZ1591" s="17">
        <v>72.676327423065629</v>
      </c>
      <c r="BA1591" s="17"/>
      <c r="BB1591" s="17">
        <v>36</v>
      </c>
      <c r="BC1591" s="17"/>
      <c r="BD1591" s="17"/>
      <c r="BE1591" s="17"/>
      <c r="BF1591" s="17"/>
      <c r="BG1591" s="17"/>
      <c r="BH1591" s="17"/>
      <c r="BI1591" s="17"/>
      <c r="BJ1591" s="17"/>
      <c r="BK1591" s="17"/>
      <c r="BL1591" s="17"/>
      <c r="BM1591" s="17"/>
      <c r="BN1591" s="17"/>
      <c r="BO1591" s="17"/>
      <c r="BP1591" s="17"/>
      <c r="BQ1591" s="17"/>
      <c r="BR1591" s="17"/>
      <c r="BS1591" s="17"/>
      <c r="BT1591" s="17"/>
      <c r="BU1591" s="17"/>
      <c r="BV1591" s="17"/>
      <c r="BW1591" s="17"/>
      <c r="BX1591" s="17"/>
      <c r="BY1591" s="17"/>
      <c r="BZ1591" s="17"/>
      <c r="CA1591" s="17"/>
      <c r="CB1591" s="17"/>
      <c r="CC1591" s="17"/>
      <c r="CD1591" s="17"/>
      <c r="CE1591" s="17"/>
      <c r="CF1591" s="17"/>
      <c r="CG1591" s="17"/>
      <c r="CH1591" s="17"/>
    </row>
    <row r="1592" spans="35:86" x14ac:dyDescent="0.15">
      <c r="AI1592" s="3"/>
      <c r="AJ1592" s="3"/>
      <c r="AK1592" s="15">
        <f t="shared" si="506"/>
        <v>7</v>
      </c>
      <c r="AL1592" s="11">
        <f t="shared" si="514"/>
        <v>9498</v>
      </c>
      <c r="AM1592" s="11" t="b">
        <f t="shared" si="505"/>
        <v>0</v>
      </c>
      <c r="AN1592" s="11">
        <f t="shared" si="507"/>
        <v>36000</v>
      </c>
      <c r="AO1592" s="11">
        <f t="shared" si="508"/>
        <v>0</v>
      </c>
      <c r="AP1592" s="11">
        <f t="shared" si="509"/>
        <v>0.72786558904547105</v>
      </c>
      <c r="AQ1592" s="11">
        <f t="shared" si="510"/>
        <v>0</v>
      </c>
      <c r="AT1592" s="3"/>
      <c r="AU1592" s="17"/>
      <c r="AV1592" s="19"/>
      <c r="AW1592" s="17"/>
      <c r="AX1592" s="17">
        <f t="shared" si="513"/>
        <v>1583</v>
      </c>
      <c r="AY1592" s="17">
        <f t="shared" si="511"/>
        <v>158.30000000000001</v>
      </c>
      <c r="AZ1592" s="17">
        <v>72.786558904547107</v>
      </c>
      <c r="BA1592" s="17"/>
      <c r="BB1592" s="17">
        <v>36</v>
      </c>
      <c r="BC1592" s="17"/>
      <c r="BD1592" s="17"/>
      <c r="BE1592" s="17"/>
      <c r="BF1592" s="17"/>
      <c r="BG1592" s="17"/>
      <c r="BH1592" s="17"/>
      <c r="BI1592" s="17"/>
      <c r="BJ1592" s="17"/>
      <c r="BK1592" s="17"/>
      <c r="BL1592" s="17"/>
      <c r="BM1592" s="17"/>
      <c r="BN1592" s="17"/>
      <c r="BO1592" s="17"/>
      <c r="BP1592" s="17"/>
      <c r="BQ1592" s="17"/>
      <c r="BR1592" s="17"/>
      <c r="BS1592" s="17"/>
      <c r="BT1592" s="17"/>
      <c r="BU1592" s="17"/>
      <c r="BV1592" s="17"/>
      <c r="BW1592" s="17"/>
      <c r="BX1592" s="17"/>
      <c r="BY1592" s="17"/>
      <c r="BZ1592" s="17"/>
      <c r="CA1592" s="17"/>
      <c r="CB1592" s="17"/>
      <c r="CC1592" s="17"/>
      <c r="CD1592" s="17"/>
      <c r="CE1592" s="17"/>
      <c r="CF1592" s="17"/>
      <c r="CG1592" s="17"/>
      <c r="CH1592" s="17"/>
    </row>
    <row r="1593" spans="35:86" x14ac:dyDescent="0.15">
      <c r="AI1593" s="3"/>
      <c r="AJ1593" s="3"/>
      <c r="AK1593" s="15">
        <f t="shared" si="506"/>
        <v>7</v>
      </c>
      <c r="AL1593" s="11">
        <f t="shared" si="514"/>
        <v>9504</v>
      </c>
      <c r="AM1593" s="11" t="b">
        <f t="shared" si="505"/>
        <v>0</v>
      </c>
      <c r="AN1593" s="11">
        <f t="shared" si="507"/>
        <v>36000</v>
      </c>
      <c r="AO1593" s="11">
        <f t="shared" si="508"/>
        <v>0</v>
      </c>
      <c r="AP1593" s="11">
        <f t="shared" si="509"/>
        <v>0.72896790386028598</v>
      </c>
      <c r="AQ1593" s="11">
        <f t="shared" si="510"/>
        <v>0</v>
      </c>
      <c r="AT1593" s="3"/>
      <c r="AU1593" s="17"/>
      <c r="AV1593" s="19"/>
      <c r="AW1593" s="17"/>
      <c r="AX1593" s="17">
        <f t="shared" si="513"/>
        <v>1584</v>
      </c>
      <c r="AY1593" s="17">
        <f t="shared" si="511"/>
        <v>158.4</v>
      </c>
      <c r="AZ1593" s="17">
        <v>72.896790386028599</v>
      </c>
      <c r="BA1593" s="17"/>
      <c r="BB1593" s="17">
        <v>36</v>
      </c>
      <c r="BC1593" s="17"/>
      <c r="BD1593" s="17"/>
      <c r="BE1593" s="17"/>
      <c r="BF1593" s="17"/>
      <c r="BG1593" s="17"/>
      <c r="BH1593" s="17"/>
      <c r="BI1593" s="17"/>
      <c r="BJ1593" s="17"/>
      <c r="BK1593" s="17"/>
      <c r="BL1593" s="17"/>
      <c r="BM1593" s="17"/>
      <c r="BN1593" s="17"/>
      <c r="BO1593" s="17"/>
      <c r="BP1593" s="17"/>
      <c r="BQ1593" s="17"/>
      <c r="BR1593" s="17"/>
      <c r="BS1593" s="17"/>
      <c r="BT1593" s="17"/>
      <c r="BU1593" s="17"/>
      <c r="BV1593" s="17"/>
      <c r="BW1593" s="17"/>
      <c r="BX1593" s="17"/>
      <c r="BY1593" s="17"/>
      <c r="BZ1593" s="17"/>
      <c r="CA1593" s="17"/>
      <c r="CB1593" s="17"/>
      <c r="CC1593" s="17"/>
      <c r="CD1593" s="17"/>
      <c r="CE1593" s="17"/>
      <c r="CF1593" s="17"/>
      <c r="CG1593" s="17"/>
      <c r="CH1593" s="17"/>
    </row>
    <row r="1594" spans="35:86" x14ac:dyDescent="0.15">
      <c r="AI1594" s="3"/>
      <c r="AJ1594" s="3"/>
      <c r="AK1594" s="15">
        <f t="shared" si="506"/>
        <v>7</v>
      </c>
      <c r="AL1594" s="11">
        <f t="shared" si="514"/>
        <v>9510</v>
      </c>
      <c r="AM1594" s="11" t="b">
        <f t="shared" si="505"/>
        <v>0</v>
      </c>
      <c r="AN1594" s="11">
        <f t="shared" si="507"/>
        <v>36000</v>
      </c>
      <c r="AO1594" s="11">
        <f t="shared" si="508"/>
        <v>0</v>
      </c>
      <c r="AP1594" s="11">
        <f t="shared" si="509"/>
        <v>0.7300702186751008</v>
      </c>
      <c r="AQ1594" s="11">
        <f t="shared" si="510"/>
        <v>0</v>
      </c>
      <c r="AT1594" s="3"/>
      <c r="AU1594" s="17"/>
      <c r="AV1594" s="19"/>
      <c r="AW1594" s="17"/>
      <c r="AX1594" s="17">
        <f t="shared" si="513"/>
        <v>1585</v>
      </c>
      <c r="AY1594" s="17">
        <f t="shared" si="511"/>
        <v>158.5</v>
      </c>
      <c r="AZ1594" s="17">
        <v>73.007021867510076</v>
      </c>
      <c r="BA1594" s="17"/>
      <c r="BB1594" s="17">
        <v>36</v>
      </c>
      <c r="BC1594" s="17"/>
      <c r="BD1594" s="17"/>
      <c r="BE1594" s="17"/>
      <c r="BF1594" s="17"/>
      <c r="BG1594" s="17"/>
      <c r="BH1594" s="17"/>
      <c r="BI1594" s="17"/>
      <c r="BJ1594" s="17"/>
      <c r="BK1594" s="17"/>
      <c r="BL1594" s="17"/>
      <c r="BM1594" s="17"/>
      <c r="BN1594" s="17"/>
      <c r="BO1594" s="17"/>
      <c r="BP1594" s="17"/>
      <c r="BQ1594" s="17"/>
      <c r="BR1594" s="17"/>
      <c r="BS1594" s="17"/>
      <c r="BT1594" s="17"/>
      <c r="BU1594" s="17"/>
      <c r="BV1594" s="17"/>
      <c r="BW1594" s="17"/>
      <c r="BX1594" s="17"/>
      <c r="BY1594" s="17"/>
      <c r="BZ1594" s="17"/>
      <c r="CA1594" s="17"/>
      <c r="CB1594" s="17"/>
      <c r="CC1594" s="17"/>
      <c r="CD1594" s="17"/>
      <c r="CE1594" s="17"/>
      <c r="CF1594" s="17"/>
      <c r="CG1594" s="17"/>
      <c r="CH1594" s="17"/>
    </row>
    <row r="1595" spans="35:86" x14ac:dyDescent="0.15">
      <c r="AI1595" s="3"/>
      <c r="AJ1595" s="3"/>
      <c r="AK1595" s="15">
        <f t="shared" si="506"/>
        <v>7</v>
      </c>
      <c r="AL1595" s="11">
        <f t="shared" si="514"/>
        <v>9516</v>
      </c>
      <c r="AM1595" s="11" t="b">
        <f t="shared" si="505"/>
        <v>0</v>
      </c>
      <c r="AN1595" s="11">
        <f t="shared" si="507"/>
        <v>36000</v>
      </c>
      <c r="AO1595" s="11">
        <f t="shared" si="508"/>
        <v>0</v>
      </c>
      <c r="AP1595" s="11">
        <f t="shared" si="509"/>
        <v>0.73117253348991562</v>
      </c>
      <c r="AQ1595" s="11">
        <f t="shared" si="510"/>
        <v>0</v>
      </c>
      <c r="AT1595" s="3"/>
      <c r="AU1595" s="17"/>
      <c r="AV1595" s="19"/>
      <c r="AW1595" s="17"/>
      <c r="AX1595" s="17">
        <f t="shared" si="513"/>
        <v>1586</v>
      </c>
      <c r="AY1595" s="17">
        <f t="shared" si="511"/>
        <v>158.6</v>
      </c>
      <c r="AZ1595" s="17">
        <v>73.117253348991568</v>
      </c>
      <c r="BA1595" s="17"/>
      <c r="BB1595" s="17">
        <v>36</v>
      </c>
      <c r="BC1595" s="17"/>
      <c r="BD1595" s="17"/>
      <c r="BE1595" s="17"/>
      <c r="BF1595" s="17"/>
      <c r="BG1595" s="17"/>
      <c r="BH1595" s="17"/>
      <c r="BI1595" s="17"/>
      <c r="BJ1595" s="17"/>
      <c r="BK1595" s="17"/>
      <c r="BL1595" s="17"/>
      <c r="BM1595" s="17"/>
      <c r="BN1595" s="17"/>
      <c r="BO1595" s="17"/>
      <c r="BP1595" s="17"/>
      <c r="BQ1595" s="17"/>
      <c r="BR1595" s="17"/>
      <c r="BS1595" s="17"/>
      <c r="BT1595" s="17"/>
      <c r="BU1595" s="17"/>
      <c r="BV1595" s="17"/>
      <c r="BW1595" s="17"/>
      <c r="BX1595" s="17"/>
      <c r="BY1595" s="17"/>
      <c r="BZ1595" s="17"/>
      <c r="CA1595" s="17"/>
      <c r="CB1595" s="17"/>
      <c r="CC1595" s="17"/>
      <c r="CD1595" s="17"/>
      <c r="CE1595" s="17"/>
      <c r="CF1595" s="17"/>
      <c r="CG1595" s="17"/>
      <c r="CH1595" s="17"/>
    </row>
    <row r="1596" spans="35:86" x14ac:dyDescent="0.15">
      <c r="AI1596" s="3"/>
      <c r="AJ1596" s="3"/>
      <c r="AK1596" s="15">
        <f t="shared" si="506"/>
        <v>7</v>
      </c>
      <c r="AL1596" s="11">
        <f t="shared" si="514"/>
        <v>9522</v>
      </c>
      <c r="AM1596" s="11" t="b">
        <f t="shared" si="505"/>
        <v>0</v>
      </c>
      <c r="AN1596" s="11">
        <f t="shared" si="507"/>
        <v>36000</v>
      </c>
      <c r="AO1596" s="11">
        <f t="shared" si="508"/>
        <v>0</v>
      </c>
      <c r="AP1596" s="11">
        <f t="shared" si="509"/>
        <v>0.73227484830473044</v>
      </c>
      <c r="AQ1596" s="11">
        <f t="shared" si="510"/>
        <v>0</v>
      </c>
      <c r="AT1596" s="3"/>
      <c r="AU1596" s="17"/>
      <c r="AV1596" s="19"/>
      <c r="AW1596" s="17"/>
      <c r="AX1596" s="17">
        <f t="shared" si="513"/>
        <v>1587</v>
      </c>
      <c r="AY1596" s="17">
        <f t="shared" si="511"/>
        <v>158.69999999999999</v>
      </c>
      <c r="AZ1596" s="17">
        <v>73.227484830473045</v>
      </c>
      <c r="BA1596" s="17"/>
      <c r="BB1596" s="17">
        <v>36</v>
      </c>
      <c r="BC1596" s="17"/>
      <c r="BD1596" s="17"/>
      <c r="BE1596" s="17"/>
      <c r="BF1596" s="17"/>
      <c r="BG1596" s="17"/>
      <c r="BH1596" s="17"/>
      <c r="BI1596" s="17"/>
      <c r="BJ1596" s="17"/>
      <c r="BK1596" s="17"/>
      <c r="BL1596" s="17"/>
      <c r="BM1596" s="17"/>
      <c r="BN1596" s="17"/>
      <c r="BO1596" s="17"/>
      <c r="BP1596" s="17"/>
      <c r="BQ1596" s="17"/>
      <c r="BR1596" s="17"/>
      <c r="BS1596" s="17"/>
      <c r="BT1596" s="17"/>
      <c r="BU1596" s="17"/>
      <c r="BV1596" s="17"/>
      <c r="BW1596" s="17"/>
      <c r="BX1596" s="17"/>
      <c r="BY1596" s="17"/>
      <c r="BZ1596" s="17"/>
      <c r="CA1596" s="17"/>
      <c r="CB1596" s="17"/>
      <c r="CC1596" s="17"/>
      <c r="CD1596" s="17"/>
      <c r="CE1596" s="17"/>
      <c r="CF1596" s="17"/>
      <c r="CG1596" s="17"/>
      <c r="CH1596" s="17"/>
    </row>
    <row r="1597" spans="35:86" x14ac:dyDescent="0.15">
      <c r="AI1597" s="3"/>
      <c r="AJ1597" s="3"/>
      <c r="AK1597" s="15">
        <f t="shared" si="506"/>
        <v>7</v>
      </c>
      <c r="AL1597" s="11">
        <f t="shared" si="514"/>
        <v>9528</v>
      </c>
      <c r="AM1597" s="11" t="b">
        <f t="shared" si="505"/>
        <v>0</v>
      </c>
      <c r="AN1597" s="11">
        <f t="shared" si="507"/>
        <v>36000</v>
      </c>
      <c r="AO1597" s="11">
        <f t="shared" si="508"/>
        <v>0</v>
      </c>
      <c r="AP1597" s="11">
        <f t="shared" si="509"/>
        <v>0.73337716311954526</v>
      </c>
      <c r="AQ1597" s="11">
        <f t="shared" si="510"/>
        <v>0</v>
      </c>
      <c r="AT1597" s="3"/>
      <c r="AU1597" s="17"/>
      <c r="AV1597" s="19"/>
      <c r="AW1597" s="17"/>
      <c r="AX1597" s="17">
        <f t="shared" si="513"/>
        <v>1588</v>
      </c>
      <c r="AY1597" s="17">
        <f t="shared" si="511"/>
        <v>158.80000000000001</v>
      </c>
      <c r="AZ1597" s="17">
        <v>73.337716311954523</v>
      </c>
      <c r="BA1597" s="17"/>
      <c r="BB1597" s="17">
        <v>36</v>
      </c>
      <c r="BC1597" s="17"/>
      <c r="BD1597" s="17"/>
      <c r="BE1597" s="17"/>
      <c r="BF1597" s="17"/>
      <c r="BG1597" s="17"/>
      <c r="BH1597" s="17"/>
      <c r="BI1597" s="17"/>
      <c r="BJ1597" s="17"/>
      <c r="BK1597" s="17"/>
      <c r="BL1597" s="17"/>
      <c r="BM1597" s="17"/>
      <c r="BN1597" s="17"/>
      <c r="BO1597" s="17"/>
      <c r="BP1597" s="17"/>
      <c r="BQ1597" s="17"/>
      <c r="BR1597" s="17"/>
      <c r="BS1597" s="17"/>
      <c r="BT1597" s="17"/>
      <c r="BU1597" s="17"/>
      <c r="BV1597" s="17"/>
      <c r="BW1597" s="17"/>
      <c r="BX1597" s="17"/>
      <c r="BY1597" s="17"/>
      <c r="BZ1597" s="17"/>
      <c r="CA1597" s="17"/>
      <c r="CB1597" s="17"/>
      <c r="CC1597" s="17"/>
      <c r="CD1597" s="17"/>
      <c r="CE1597" s="17"/>
      <c r="CF1597" s="17"/>
      <c r="CG1597" s="17"/>
      <c r="CH1597" s="17"/>
    </row>
    <row r="1598" spans="35:86" x14ac:dyDescent="0.15">
      <c r="AI1598" s="3"/>
      <c r="AJ1598" s="3"/>
      <c r="AK1598" s="15">
        <f t="shared" si="506"/>
        <v>7</v>
      </c>
      <c r="AL1598" s="11">
        <f t="shared" si="514"/>
        <v>9534</v>
      </c>
      <c r="AM1598" s="11" t="b">
        <f t="shared" si="505"/>
        <v>0</v>
      </c>
      <c r="AN1598" s="11">
        <f t="shared" si="507"/>
        <v>36000</v>
      </c>
      <c r="AO1598" s="11">
        <f t="shared" si="508"/>
        <v>0</v>
      </c>
      <c r="AP1598" s="11">
        <f t="shared" si="509"/>
        <v>0.73447947793436019</v>
      </c>
      <c r="AQ1598" s="11">
        <f t="shared" si="510"/>
        <v>0</v>
      </c>
      <c r="AT1598" s="3"/>
      <c r="AU1598" s="17"/>
      <c r="AV1598" s="19"/>
      <c r="AW1598" s="17"/>
      <c r="AX1598" s="17">
        <f t="shared" si="513"/>
        <v>1589</v>
      </c>
      <c r="AY1598" s="17">
        <f t="shared" si="511"/>
        <v>158.9</v>
      </c>
      <c r="AZ1598" s="17">
        <v>73.447947793436015</v>
      </c>
      <c r="BA1598" s="17"/>
      <c r="BB1598" s="17">
        <v>36</v>
      </c>
      <c r="BC1598" s="17"/>
      <c r="BD1598" s="17"/>
      <c r="BE1598" s="17"/>
      <c r="BF1598" s="17"/>
      <c r="BG1598" s="17"/>
      <c r="BH1598" s="17"/>
      <c r="BI1598" s="17"/>
      <c r="BJ1598" s="17"/>
      <c r="BK1598" s="17"/>
      <c r="BL1598" s="17"/>
      <c r="BM1598" s="17"/>
      <c r="BN1598" s="17"/>
      <c r="BO1598" s="17"/>
      <c r="BP1598" s="17"/>
      <c r="BQ1598" s="17"/>
      <c r="BR1598" s="17"/>
      <c r="BS1598" s="17"/>
      <c r="BT1598" s="17"/>
      <c r="BU1598" s="17"/>
      <c r="BV1598" s="17"/>
      <c r="BW1598" s="17"/>
      <c r="BX1598" s="17"/>
      <c r="BY1598" s="17"/>
      <c r="BZ1598" s="17"/>
      <c r="CA1598" s="17"/>
      <c r="CB1598" s="17"/>
      <c r="CC1598" s="17"/>
      <c r="CD1598" s="17"/>
      <c r="CE1598" s="17"/>
      <c r="CF1598" s="17"/>
      <c r="CG1598" s="17"/>
      <c r="CH1598" s="17"/>
    </row>
    <row r="1599" spans="35:86" x14ac:dyDescent="0.15">
      <c r="AI1599" s="3"/>
      <c r="AJ1599" s="3"/>
      <c r="AK1599" s="15">
        <f t="shared" si="506"/>
        <v>7</v>
      </c>
      <c r="AL1599" s="11">
        <f t="shared" si="514"/>
        <v>9540</v>
      </c>
      <c r="AM1599" s="11" t="b">
        <f t="shared" si="505"/>
        <v>0</v>
      </c>
      <c r="AN1599" s="11">
        <f t="shared" si="507"/>
        <v>36000</v>
      </c>
      <c r="AO1599" s="11">
        <f t="shared" si="508"/>
        <v>0</v>
      </c>
      <c r="AP1599" s="11">
        <f t="shared" si="509"/>
        <v>0.73558179274917501</v>
      </c>
      <c r="AQ1599" s="11">
        <f t="shared" si="510"/>
        <v>0</v>
      </c>
      <c r="AT1599" s="3"/>
      <c r="AU1599" s="17"/>
      <c r="AV1599" s="19"/>
      <c r="AW1599" s="17"/>
      <c r="AX1599" s="17">
        <f t="shared" si="513"/>
        <v>1590</v>
      </c>
      <c r="AY1599" s="17">
        <f t="shared" si="511"/>
        <v>159</v>
      </c>
      <c r="AZ1599" s="17">
        <v>73.558179274917507</v>
      </c>
      <c r="BA1599" s="17"/>
      <c r="BB1599" s="17">
        <v>36</v>
      </c>
      <c r="BC1599" s="17"/>
      <c r="BD1599" s="17"/>
      <c r="BE1599" s="17"/>
      <c r="BF1599" s="17"/>
      <c r="BG1599" s="17"/>
      <c r="BH1599" s="17"/>
      <c r="BI1599" s="17"/>
      <c r="BJ1599" s="17"/>
      <c r="BK1599" s="17"/>
      <c r="BL1599" s="17"/>
      <c r="BM1599" s="17"/>
      <c r="BN1599" s="17"/>
      <c r="BO1599" s="17"/>
      <c r="BP1599" s="17"/>
      <c r="BQ1599" s="17"/>
      <c r="BR1599" s="17"/>
      <c r="BS1599" s="17"/>
      <c r="BT1599" s="17"/>
      <c r="BU1599" s="17"/>
      <c r="BV1599" s="17"/>
      <c r="BW1599" s="17"/>
      <c r="BX1599" s="17"/>
      <c r="BY1599" s="17"/>
      <c r="BZ1599" s="17"/>
      <c r="CA1599" s="17"/>
      <c r="CB1599" s="17"/>
      <c r="CC1599" s="17"/>
      <c r="CD1599" s="17"/>
      <c r="CE1599" s="17"/>
      <c r="CF1599" s="17"/>
      <c r="CG1599" s="17"/>
      <c r="CH1599" s="17"/>
    </row>
    <row r="1600" spans="35:86" x14ac:dyDescent="0.15">
      <c r="AI1600" s="3"/>
      <c r="AJ1600" s="3"/>
      <c r="AK1600" s="15">
        <f t="shared" si="506"/>
        <v>7</v>
      </c>
      <c r="AL1600" s="11">
        <f t="shared" si="514"/>
        <v>9546</v>
      </c>
      <c r="AM1600" s="11" t="b">
        <f t="shared" si="505"/>
        <v>0</v>
      </c>
      <c r="AN1600" s="11">
        <f t="shared" si="507"/>
        <v>36000</v>
      </c>
      <c r="AO1600" s="11">
        <f t="shared" si="508"/>
        <v>0</v>
      </c>
      <c r="AP1600" s="11">
        <f t="shared" si="509"/>
        <v>0.73668410756398983</v>
      </c>
      <c r="AQ1600" s="11">
        <f t="shared" si="510"/>
        <v>0</v>
      </c>
      <c r="AT1600" s="3"/>
      <c r="AU1600" s="17"/>
      <c r="AV1600" s="19"/>
      <c r="AW1600" s="17"/>
      <c r="AX1600" s="17">
        <f t="shared" si="513"/>
        <v>1591</v>
      </c>
      <c r="AY1600" s="17">
        <f t="shared" si="511"/>
        <v>159.1</v>
      </c>
      <c r="AZ1600" s="17">
        <v>73.668410756398984</v>
      </c>
      <c r="BA1600" s="17"/>
      <c r="BB1600" s="17">
        <v>36</v>
      </c>
      <c r="BC1600" s="17"/>
      <c r="BD1600" s="17"/>
      <c r="BE1600" s="17"/>
      <c r="BF1600" s="17"/>
      <c r="BG1600" s="17"/>
      <c r="BH1600" s="17"/>
      <c r="BI1600" s="17"/>
      <c r="BJ1600" s="17"/>
      <c r="BK1600" s="17"/>
      <c r="BL1600" s="17"/>
      <c r="BM1600" s="17"/>
      <c r="BN1600" s="17"/>
      <c r="BO1600" s="17"/>
      <c r="BP1600" s="17"/>
      <c r="BQ1600" s="17"/>
      <c r="BR1600" s="17"/>
      <c r="BS1600" s="17"/>
      <c r="BT1600" s="17"/>
      <c r="BU1600" s="17"/>
      <c r="BV1600" s="17"/>
      <c r="BW1600" s="17"/>
      <c r="BX1600" s="17"/>
      <c r="BY1600" s="17"/>
      <c r="BZ1600" s="17"/>
      <c r="CA1600" s="17"/>
      <c r="CB1600" s="17"/>
      <c r="CC1600" s="17"/>
      <c r="CD1600" s="17"/>
      <c r="CE1600" s="17"/>
      <c r="CF1600" s="17"/>
      <c r="CG1600" s="17"/>
      <c r="CH1600" s="17"/>
    </row>
    <row r="1601" spans="35:86" x14ac:dyDescent="0.15">
      <c r="AI1601" s="3"/>
      <c r="AJ1601" s="3"/>
      <c r="AK1601" s="15">
        <f t="shared" si="506"/>
        <v>7</v>
      </c>
      <c r="AL1601" s="11">
        <f t="shared" si="514"/>
        <v>9552</v>
      </c>
      <c r="AM1601" s="11" t="b">
        <f t="shared" si="505"/>
        <v>0</v>
      </c>
      <c r="AN1601" s="11">
        <f t="shared" si="507"/>
        <v>36000</v>
      </c>
      <c r="AO1601" s="11">
        <f t="shared" si="508"/>
        <v>0</v>
      </c>
      <c r="AP1601" s="11">
        <f t="shared" si="509"/>
        <v>0.73778642237880465</v>
      </c>
      <c r="AQ1601" s="11">
        <f t="shared" si="510"/>
        <v>0</v>
      </c>
      <c r="AT1601" s="3"/>
      <c r="AU1601" s="17"/>
      <c r="AV1601" s="19"/>
      <c r="AW1601" s="17"/>
      <c r="AX1601" s="17">
        <f t="shared" si="513"/>
        <v>1592</v>
      </c>
      <c r="AY1601" s="17">
        <f t="shared" si="511"/>
        <v>159.19999999999999</v>
      </c>
      <c r="AZ1601" s="17">
        <v>73.778642237880462</v>
      </c>
      <c r="BA1601" s="17"/>
      <c r="BB1601" s="17">
        <v>36</v>
      </c>
      <c r="BC1601" s="17"/>
      <c r="BD1601" s="17"/>
      <c r="BE1601" s="17"/>
      <c r="BF1601" s="17"/>
      <c r="BG1601" s="17"/>
      <c r="BH1601" s="17"/>
      <c r="BI1601" s="17"/>
      <c r="BJ1601" s="17"/>
      <c r="BK1601" s="17"/>
      <c r="BL1601" s="17"/>
      <c r="BM1601" s="17"/>
      <c r="BN1601" s="17"/>
      <c r="BO1601" s="17"/>
      <c r="BP1601" s="17"/>
      <c r="BQ1601" s="17"/>
      <c r="BR1601" s="17"/>
      <c r="BS1601" s="17"/>
      <c r="BT1601" s="17"/>
      <c r="BU1601" s="17"/>
      <c r="BV1601" s="17"/>
      <c r="BW1601" s="17"/>
      <c r="BX1601" s="17"/>
      <c r="BY1601" s="17"/>
      <c r="BZ1601" s="17"/>
      <c r="CA1601" s="17"/>
      <c r="CB1601" s="17"/>
      <c r="CC1601" s="17"/>
      <c r="CD1601" s="17"/>
      <c r="CE1601" s="17"/>
      <c r="CF1601" s="17"/>
      <c r="CG1601" s="17"/>
      <c r="CH1601" s="17"/>
    </row>
    <row r="1602" spans="35:86" x14ac:dyDescent="0.15">
      <c r="AI1602" s="3"/>
      <c r="AJ1602" s="3"/>
      <c r="AK1602" s="15">
        <f t="shared" si="506"/>
        <v>7</v>
      </c>
      <c r="AL1602" s="11">
        <f t="shared" si="514"/>
        <v>9558</v>
      </c>
      <c r="AM1602" s="11" t="b">
        <f t="shared" si="505"/>
        <v>0</v>
      </c>
      <c r="AN1602" s="11">
        <f t="shared" si="507"/>
        <v>36000</v>
      </c>
      <c r="AO1602" s="11">
        <f t="shared" si="508"/>
        <v>0</v>
      </c>
      <c r="AP1602" s="11">
        <f t="shared" si="509"/>
        <v>0.73888873719361947</v>
      </c>
      <c r="AQ1602" s="11">
        <f t="shared" si="510"/>
        <v>0</v>
      </c>
      <c r="AT1602" s="3"/>
      <c r="AU1602" s="17"/>
      <c r="AV1602" s="19"/>
      <c r="AW1602" s="17"/>
      <c r="AX1602" s="17">
        <f t="shared" si="513"/>
        <v>1593</v>
      </c>
      <c r="AY1602" s="17">
        <f t="shared" si="511"/>
        <v>159.30000000000001</v>
      </c>
      <c r="AZ1602" s="17">
        <v>73.888873719361953</v>
      </c>
      <c r="BA1602" s="17"/>
      <c r="BB1602" s="17">
        <v>36</v>
      </c>
      <c r="BC1602" s="17"/>
      <c r="BD1602" s="17"/>
      <c r="BE1602" s="17"/>
      <c r="BF1602" s="17"/>
      <c r="BG1602" s="17"/>
      <c r="BH1602" s="17"/>
      <c r="BI1602" s="17"/>
      <c r="BJ1602" s="17"/>
      <c r="BK1602" s="17"/>
      <c r="BL1602" s="17"/>
      <c r="BM1602" s="17"/>
      <c r="BN1602" s="17"/>
      <c r="BO1602" s="17"/>
      <c r="BP1602" s="17"/>
      <c r="BQ1602" s="17"/>
      <c r="BR1602" s="17"/>
      <c r="BS1602" s="17"/>
      <c r="BT1602" s="17"/>
      <c r="BU1602" s="17"/>
      <c r="BV1602" s="17"/>
      <c r="BW1602" s="17"/>
      <c r="BX1602" s="17"/>
      <c r="BY1602" s="17"/>
      <c r="BZ1602" s="17"/>
      <c r="CA1602" s="17"/>
      <c r="CB1602" s="17"/>
      <c r="CC1602" s="17"/>
      <c r="CD1602" s="17"/>
      <c r="CE1602" s="17"/>
      <c r="CF1602" s="17"/>
      <c r="CG1602" s="17"/>
      <c r="CH1602" s="17"/>
    </row>
    <row r="1603" spans="35:86" x14ac:dyDescent="0.15">
      <c r="AI1603" s="3"/>
      <c r="AJ1603" s="3"/>
      <c r="AK1603" s="15">
        <f t="shared" si="506"/>
        <v>7</v>
      </c>
      <c r="AL1603" s="11">
        <f t="shared" si="514"/>
        <v>9564</v>
      </c>
      <c r="AM1603" s="11" t="b">
        <f t="shared" si="505"/>
        <v>0</v>
      </c>
      <c r="AN1603" s="11">
        <f t="shared" si="507"/>
        <v>36000</v>
      </c>
      <c r="AO1603" s="11">
        <f t="shared" si="508"/>
        <v>0</v>
      </c>
      <c r="AP1603" s="11">
        <f t="shared" si="509"/>
        <v>0.7399910520084344</v>
      </c>
      <c r="AQ1603" s="11">
        <f t="shared" si="510"/>
        <v>0</v>
      </c>
      <c r="AT1603" s="3"/>
      <c r="AU1603" s="17"/>
      <c r="AV1603" s="19"/>
      <c r="AW1603" s="17"/>
      <c r="AX1603" s="17">
        <f t="shared" si="513"/>
        <v>1594</v>
      </c>
      <c r="AY1603" s="17">
        <f t="shared" si="511"/>
        <v>159.4</v>
      </c>
      <c r="AZ1603" s="17">
        <v>73.999105200843445</v>
      </c>
      <c r="BA1603" s="17"/>
      <c r="BB1603" s="17">
        <v>36</v>
      </c>
      <c r="BC1603" s="17"/>
      <c r="BD1603" s="17"/>
      <c r="BE1603" s="17"/>
      <c r="BF1603" s="17"/>
      <c r="BG1603" s="17"/>
      <c r="BH1603" s="17"/>
      <c r="BI1603" s="17"/>
      <c r="BJ1603" s="17"/>
      <c r="BK1603" s="17"/>
      <c r="BL1603" s="17"/>
      <c r="BM1603" s="17"/>
      <c r="BN1603" s="17"/>
      <c r="BO1603" s="17"/>
      <c r="BP1603" s="17"/>
      <c r="BQ1603" s="17"/>
      <c r="BR1603" s="17"/>
      <c r="BS1603" s="17"/>
      <c r="BT1603" s="17"/>
      <c r="BU1603" s="17"/>
      <c r="BV1603" s="17"/>
      <c r="BW1603" s="17"/>
      <c r="BX1603" s="17"/>
      <c r="BY1603" s="17"/>
      <c r="BZ1603" s="17"/>
      <c r="CA1603" s="17"/>
      <c r="CB1603" s="17"/>
      <c r="CC1603" s="17"/>
      <c r="CD1603" s="17"/>
      <c r="CE1603" s="17"/>
      <c r="CF1603" s="17"/>
      <c r="CG1603" s="17"/>
      <c r="CH1603" s="17"/>
    </row>
    <row r="1604" spans="35:86" x14ac:dyDescent="0.15">
      <c r="AI1604" s="3"/>
      <c r="AJ1604" s="3"/>
      <c r="AK1604" s="15">
        <f t="shared" si="506"/>
        <v>7</v>
      </c>
      <c r="AL1604" s="11">
        <f t="shared" si="514"/>
        <v>9570</v>
      </c>
      <c r="AM1604" s="11" t="b">
        <f t="shared" si="505"/>
        <v>0</v>
      </c>
      <c r="AN1604" s="11">
        <f t="shared" si="507"/>
        <v>36000</v>
      </c>
      <c r="AO1604" s="11">
        <f t="shared" si="508"/>
        <v>0</v>
      </c>
      <c r="AP1604" s="11">
        <f t="shared" si="509"/>
        <v>0.74109336682324922</v>
      </c>
      <c r="AQ1604" s="11">
        <f t="shared" si="510"/>
        <v>0</v>
      </c>
      <c r="AT1604" s="3"/>
      <c r="AU1604" s="17"/>
      <c r="AV1604" s="19"/>
      <c r="AW1604" s="17"/>
      <c r="AX1604" s="17">
        <f t="shared" si="513"/>
        <v>1595</v>
      </c>
      <c r="AY1604" s="17">
        <f t="shared" si="511"/>
        <v>159.5</v>
      </c>
      <c r="AZ1604" s="17">
        <v>74.109336682324923</v>
      </c>
      <c r="BA1604" s="17"/>
      <c r="BB1604" s="17">
        <v>36</v>
      </c>
      <c r="BC1604" s="17"/>
      <c r="BD1604" s="17"/>
      <c r="BE1604" s="17"/>
      <c r="BF1604" s="17"/>
      <c r="BG1604" s="17"/>
      <c r="BH1604" s="17"/>
      <c r="BI1604" s="17"/>
      <c r="BJ1604" s="17"/>
      <c r="BK1604" s="17"/>
      <c r="BL1604" s="17"/>
      <c r="BM1604" s="17"/>
      <c r="BN1604" s="17"/>
      <c r="BO1604" s="17"/>
      <c r="BP1604" s="17"/>
      <c r="BQ1604" s="17"/>
      <c r="BR1604" s="17"/>
      <c r="BS1604" s="17"/>
      <c r="BT1604" s="17"/>
      <c r="BU1604" s="17"/>
      <c r="BV1604" s="17"/>
      <c r="BW1604" s="17"/>
      <c r="BX1604" s="17"/>
      <c r="BY1604" s="17"/>
      <c r="BZ1604" s="17"/>
      <c r="CA1604" s="17"/>
      <c r="CB1604" s="17"/>
      <c r="CC1604" s="17"/>
      <c r="CD1604" s="17"/>
      <c r="CE1604" s="17"/>
      <c r="CF1604" s="17"/>
      <c r="CG1604" s="17"/>
      <c r="CH1604" s="17"/>
    </row>
    <row r="1605" spans="35:86" x14ac:dyDescent="0.15">
      <c r="AI1605" s="3"/>
      <c r="AJ1605" s="3"/>
      <c r="AK1605" s="15">
        <f t="shared" si="506"/>
        <v>7</v>
      </c>
      <c r="AL1605" s="11">
        <f t="shared" si="514"/>
        <v>9576</v>
      </c>
      <c r="AM1605" s="11" t="b">
        <f t="shared" si="505"/>
        <v>0</v>
      </c>
      <c r="AN1605" s="11">
        <f t="shared" si="507"/>
        <v>36000</v>
      </c>
      <c r="AO1605" s="11">
        <f t="shared" si="508"/>
        <v>0</v>
      </c>
      <c r="AP1605" s="11">
        <f t="shared" si="509"/>
        <v>0.74219568163806404</v>
      </c>
      <c r="AQ1605" s="11">
        <f t="shared" si="510"/>
        <v>0</v>
      </c>
      <c r="AT1605" s="3"/>
      <c r="AU1605" s="17"/>
      <c r="AV1605" s="19"/>
      <c r="AW1605" s="17"/>
      <c r="AX1605" s="17">
        <f t="shared" si="513"/>
        <v>1596</v>
      </c>
      <c r="AY1605" s="17">
        <f t="shared" si="511"/>
        <v>159.6</v>
      </c>
      <c r="AZ1605" s="17">
        <v>74.2195681638064</v>
      </c>
      <c r="BA1605" s="17"/>
      <c r="BB1605" s="17">
        <v>36</v>
      </c>
      <c r="BC1605" s="17"/>
      <c r="BD1605" s="17"/>
      <c r="BE1605" s="17"/>
      <c r="BF1605" s="17"/>
      <c r="BG1605" s="17"/>
      <c r="BH1605" s="17"/>
      <c r="BI1605" s="17"/>
      <c r="BJ1605" s="17"/>
      <c r="BK1605" s="17"/>
      <c r="BL1605" s="17"/>
      <c r="BM1605" s="17"/>
      <c r="BN1605" s="17"/>
      <c r="BO1605" s="17"/>
      <c r="BP1605" s="17"/>
      <c r="BQ1605" s="17"/>
      <c r="BR1605" s="17"/>
      <c r="BS1605" s="17"/>
      <c r="BT1605" s="17"/>
      <c r="BU1605" s="17"/>
      <c r="BV1605" s="17"/>
      <c r="BW1605" s="17"/>
      <c r="BX1605" s="17"/>
      <c r="BY1605" s="17"/>
      <c r="BZ1605" s="17"/>
      <c r="CA1605" s="17"/>
      <c r="CB1605" s="17"/>
      <c r="CC1605" s="17"/>
      <c r="CD1605" s="17"/>
      <c r="CE1605" s="17"/>
      <c r="CF1605" s="17"/>
      <c r="CG1605" s="17"/>
      <c r="CH1605" s="17"/>
    </row>
    <row r="1606" spans="35:86" x14ac:dyDescent="0.15">
      <c r="AI1606" s="3"/>
      <c r="AJ1606" s="3"/>
      <c r="AK1606" s="15">
        <f t="shared" si="506"/>
        <v>7</v>
      </c>
      <c r="AL1606" s="11">
        <f t="shared" si="514"/>
        <v>9582</v>
      </c>
      <c r="AM1606" s="11" t="b">
        <f t="shared" si="505"/>
        <v>0</v>
      </c>
      <c r="AN1606" s="11">
        <f t="shared" si="507"/>
        <v>36000</v>
      </c>
      <c r="AO1606" s="11">
        <f t="shared" si="508"/>
        <v>0</v>
      </c>
      <c r="AP1606" s="11">
        <f t="shared" si="509"/>
        <v>0.74329799645287886</v>
      </c>
      <c r="AQ1606" s="11">
        <f t="shared" si="510"/>
        <v>0</v>
      </c>
      <c r="AT1606" s="3"/>
      <c r="AU1606" s="17"/>
      <c r="AV1606" s="19"/>
      <c r="AW1606" s="17"/>
      <c r="AX1606" s="17">
        <f t="shared" si="513"/>
        <v>1597</v>
      </c>
      <c r="AY1606" s="17">
        <f t="shared" si="511"/>
        <v>159.69999999999999</v>
      </c>
      <c r="AZ1606" s="17">
        <v>74.329799645287892</v>
      </c>
      <c r="BA1606" s="17"/>
      <c r="BB1606" s="17">
        <v>36</v>
      </c>
      <c r="BC1606" s="17"/>
      <c r="BD1606" s="17"/>
      <c r="BE1606" s="17"/>
      <c r="BF1606" s="17"/>
      <c r="BG1606" s="17"/>
      <c r="BH1606" s="17"/>
      <c r="BI1606" s="17"/>
      <c r="BJ1606" s="17"/>
      <c r="BK1606" s="17"/>
      <c r="BL1606" s="17"/>
      <c r="BM1606" s="17"/>
      <c r="BN1606" s="17"/>
      <c r="BO1606" s="17"/>
      <c r="BP1606" s="17"/>
      <c r="BQ1606" s="17"/>
      <c r="BR1606" s="17"/>
      <c r="BS1606" s="17"/>
      <c r="BT1606" s="17"/>
      <c r="BU1606" s="17"/>
      <c r="BV1606" s="17"/>
      <c r="BW1606" s="17"/>
      <c r="BX1606" s="17"/>
      <c r="BY1606" s="17"/>
      <c r="BZ1606" s="17"/>
      <c r="CA1606" s="17"/>
      <c r="CB1606" s="17"/>
      <c r="CC1606" s="17"/>
      <c r="CD1606" s="17"/>
      <c r="CE1606" s="17"/>
      <c r="CF1606" s="17"/>
      <c r="CG1606" s="17"/>
      <c r="CH1606" s="17"/>
    </row>
    <row r="1607" spans="35:86" x14ac:dyDescent="0.15">
      <c r="AI1607" s="3"/>
      <c r="AJ1607" s="3"/>
      <c r="AK1607" s="15">
        <f t="shared" si="506"/>
        <v>7</v>
      </c>
      <c r="AL1607" s="11">
        <f t="shared" si="514"/>
        <v>9588</v>
      </c>
      <c r="AM1607" s="11" t="b">
        <f t="shared" si="505"/>
        <v>0</v>
      </c>
      <c r="AN1607" s="11">
        <f t="shared" si="507"/>
        <v>36000</v>
      </c>
      <c r="AO1607" s="11">
        <f t="shared" si="508"/>
        <v>0</v>
      </c>
      <c r="AP1607" s="11">
        <f t="shared" si="509"/>
        <v>0.74440031126769368</v>
      </c>
      <c r="AQ1607" s="11">
        <f t="shared" si="510"/>
        <v>0</v>
      </c>
      <c r="AT1607" s="3"/>
      <c r="AU1607" s="17"/>
      <c r="AV1607" s="19"/>
      <c r="AW1607" s="17"/>
      <c r="AX1607" s="17">
        <f t="shared" si="513"/>
        <v>1598</v>
      </c>
      <c r="AY1607" s="17">
        <f t="shared" si="511"/>
        <v>159.80000000000001</v>
      </c>
      <c r="AZ1607" s="17">
        <v>74.44003112676937</v>
      </c>
      <c r="BA1607" s="17"/>
      <c r="BB1607" s="17">
        <v>36</v>
      </c>
      <c r="BC1607" s="17"/>
      <c r="BD1607" s="17"/>
      <c r="BE1607" s="17"/>
      <c r="BF1607" s="17"/>
      <c r="BG1607" s="17"/>
      <c r="BH1607" s="17"/>
      <c r="BI1607" s="17"/>
      <c r="BJ1607" s="17"/>
      <c r="BK1607" s="17"/>
      <c r="BL1607" s="17"/>
      <c r="BM1607" s="17"/>
      <c r="BN1607" s="17"/>
      <c r="BO1607" s="17"/>
      <c r="BP1607" s="17"/>
      <c r="BQ1607" s="17"/>
      <c r="BR1607" s="17"/>
      <c r="BS1607" s="17"/>
      <c r="BT1607" s="17"/>
      <c r="BU1607" s="17"/>
      <c r="BV1607" s="17"/>
      <c r="BW1607" s="17"/>
      <c r="BX1607" s="17"/>
      <c r="BY1607" s="17"/>
      <c r="BZ1607" s="17"/>
      <c r="CA1607" s="17"/>
      <c r="CB1607" s="17"/>
      <c r="CC1607" s="17"/>
      <c r="CD1607" s="17"/>
      <c r="CE1607" s="17"/>
      <c r="CF1607" s="17"/>
      <c r="CG1607" s="17"/>
      <c r="CH1607" s="17"/>
    </row>
    <row r="1608" spans="35:86" x14ac:dyDescent="0.15">
      <c r="AI1608" s="3"/>
      <c r="AJ1608" s="3"/>
      <c r="AK1608" s="15">
        <f t="shared" si="506"/>
        <v>7</v>
      </c>
      <c r="AL1608" s="11">
        <f t="shared" si="514"/>
        <v>9594</v>
      </c>
      <c r="AM1608" s="11" t="b">
        <f t="shared" si="505"/>
        <v>0</v>
      </c>
      <c r="AN1608" s="11">
        <f t="shared" si="507"/>
        <v>36000</v>
      </c>
      <c r="AO1608" s="11">
        <f t="shared" si="508"/>
        <v>0</v>
      </c>
      <c r="AP1608" s="11">
        <f t="shared" si="509"/>
        <v>0.74550262608250861</v>
      </c>
      <c r="AQ1608" s="11">
        <f t="shared" si="510"/>
        <v>0</v>
      </c>
      <c r="AT1608" s="3"/>
      <c r="AU1608" s="17"/>
      <c r="AV1608" s="19"/>
      <c r="AW1608" s="17"/>
      <c r="AX1608" s="17">
        <f t="shared" si="513"/>
        <v>1599</v>
      </c>
      <c r="AY1608" s="17">
        <f t="shared" si="511"/>
        <v>159.9</v>
      </c>
      <c r="AZ1608" s="17">
        <v>74.550262608250861</v>
      </c>
      <c r="BA1608" s="17"/>
      <c r="BB1608" s="17">
        <v>36</v>
      </c>
      <c r="BC1608" s="17"/>
      <c r="BD1608" s="17"/>
      <c r="BE1608" s="17"/>
      <c r="BF1608" s="17"/>
      <c r="BG1608" s="17"/>
      <c r="BH1608" s="17"/>
      <c r="BI1608" s="17"/>
      <c r="BJ1608" s="17"/>
      <c r="BK1608" s="17"/>
      <c r="BL1608" s="17"/>
      <c r="BM1608" s="17"/>
      <c r="BN1608" s="17"/>
      <c r="BO1608" s="17"/>
      <c r="BP1608" s="17"/>
      <c r="BQ1608" s="17"/>
      <c r="BR1608" s="17"/>
      <c r="BS1608" s="17"/>
      <c r="BT1608" s="17"/>
      <c r="BU1608" s="17"/>
      <c r="BV1608" s="17"/>
      <c r="BW1608" s="17"/>
      <c r="BX1608" s="17"/>
      <c r="BY1608" s="17"/>
      <c r="BZ1608" s="17"/>
      <c r="CA1608" s="17"/>
      <c r="CB1608" s="17"/>
      <c r="CC1608" s="17"/>
      <c r="CD1608" s="17"/>
      <c r="CE1608" s="17"/>
      <c r="CF1608" s="17"/>
      <c r="CG1608" s="17"/>
      <c r="CH1608" s="17"/>
    </row>
    <row r="1609" spans="35:86" x14ac:dyDescent="0.15">
      <c r="AI1609" s="3"/>
      <c r="AJ1609" s="3"/>
      <c r="AK1609" s="15">
        <f t="shared" si="506"/>
        <v>7</v>
      </c>
      <c r="AL1609" s="11">
        <f t="shared" si="514"/>
        <v>9600</v>
      </c>
      <c r="AM1609" s="11" t="b">
        <f t="shared" ref="AM1609:AM1672" si="515">OR(AND(AL1609&gt;=$AC$5,AL1609&lt;=$AD$5),AND(AL1609&gt;=$AC$6,AL1609&lt;=$AD$6),AND(AL1609&gt;=$AC$7,AL1609&lt;=$AD$7),AND(AL1609&gt;=$AC$8,AL1609&lt;=$AD$8),AND(AL1609&gt;=$AC$9,AL1609&lt;=$AD$9),AND(AL1609&gt;=$AC$10,AL1609&lt;=$AD$10),AND(AL1609&gt;=$AC$11,AL1609&lt;=$AD$11),AND($AD$11&lt;$AC$11,OR(AL1609&lt;$AD$11,AL1609&gt;$AC$11)))</f>
        <v>0</v>
      </c>
      <c r="AN1609" s="11">
        <f t="shared" si="507"/>
        <v>36000</v>
      </c>
      <c r="AO1609" s="11">
        <f t="shared" si="508"/>
        <v>0</v>
      </c>
      <c r="AP1609" s="11">
        <f t="shared" si="509"/>
        <v>0.74660494089732343</v>
      </c>
      <c r="AQ1609" s="11">
        <f t="shared" si="510"/>
        <v>0</v>
      </c>
      <c r="AT1609" s="3"/>
      <c r="AU1609" s="17"/>
      <c r="AV1609" s="19"/>
      <c r="AW1609" s="17"/>
      <c r="AX1609" s="17">
        <f t="shared" si="513"/>
        <v>1600</v>
      </c>
      <c r="AY1609" s="17">
        <f t="shared" si="511"/>
        <v>160</v>
      </c>
      <c r="AZ1609" s="17">
        <v>74.660494089732339</v>
      </c>
      <c r="BA1609" s="17"/>
      <c r="BB1609" s="17">
        <v>36</v>
      </c>
      <c r="BC1609" s="17"/>
      <c r="BD1609" s="17"/>
      <c r="BE1609" s="17"/>
      <c r="BF1609" s="17"/>
      <c r="BG1609" s="17"/>
      <c r="BH1609" s="17"/>
      <c r="BI1609" s="17"/>
      <c r="BJ1609" s="17"/>
      <c r="BK1609" s="17"/>
      <c r="BL1609" s="17"/>
      <c r="BM1609" s="17"/>
      <c r="BN1609" s="17"/>
      <c r="BO1609" s="17"/>
      <c r="BP1609" s="17"/>
      <c r="BQ1609" s="17"/>
      <c r="BR1609" s="17"/>
      <c r="BS1609" s="17"/>
      <c r="BT1609" s="17"/>
      <c r="BU1609" s="17"/>
      <c r="BV1609" s="17"/>
      <c r="BW1609" s="17"/>
      <c r="BX1609" s="17"/>
      <c r="BY1609" s="17"/>
      <c r="BZ1609" s="17"/>
      <c r="CA1609" s="17"/>
      <c r="CB1609" s="17"/>
      <c r="CC1609" s="17"/>
      <c r="CD1609" s="17"/>
      <c r="CE1609" s="17"/>
      <c r="CF1609" s="17"/>
      <c r="CG1609" s="17"/>
      <c r="CH1609" s="17"/>
    </row>
    <row r="1610" spans="35:86" x14ac:dyDescent="0.15">
      <c r="AI1610" s="3"/>
      <c r="AJ1610" s="3"/>
      <c r="AK1610" s="15">
        <f t="shared" ref="AK1610:AK1673" si="516">1+INT(MOD(AL1610/60/24-0.5,7))</f>
        <v>7</v>
      </c>
      <c r="AL1610" s="11">
        <f t="shared" si="514"/>
        <v>9606</v>
      </c>
      <c r="AM1610" s="11" t="b">
        <f t="shared" si="515"/>
        <v>0</v>
      </c>
      <c r="AN1610" s="11">
        <f t="shared" ref="AN1610:AN1673" si="517">IF(AND(AM1610,NOT(AM1611)),$AB$26,AN1609+($AB$28-IF(AND(AM1609,AM1610),CHOOSE(AK1610,$AG$5,$AG$6,$AG$7,$AG$8,$AG$9,$AG$10,$AG$11)*$AA$22/$AA$24,0))*$AB$15)</f>
        <v>36000</v>
      </c>
      <c r="AO1610" s="11">
        <f t="shared" ref="AO1610:AO1673" si="518">IF(AND(AM1610,NOT(AM1611)),$AB$27,AO1609+($AB$29-IF(AND(AM1609,AM1610),CHOOSE(AK1610,$AG$5,$AG$6,$AG$7,$AG$8,$AG$9,$AG$10,$AG$11)*$AA$23/$AA$24,0))*$AB$15)</f>
        <v>0</v>
      </c>
      <c r="AP1610" s="11">
        <f t="shared" ref="AP1610:AP1673" si="519">IF(AN1609&lt;=0,0,(AP1609*AN1609-(IF(AND(AM1609,AM1610),CHOOSE(AK1610,$AI$5,$AI$6,$AI$7,$AI$8,$AI$9,$AI$10,$AI$11),$AA$37))*AP1609*$AB$15+$AA$34*(AQ1609-AP1609)*$AB$15+$AA$33*$AB$15)/AN1609)</f>
        <v>0.74770725571213825</v>
      </c>
      <c r="AQ1610" s="11">
        <f t="shared" si="510"/>
        <v>0</v>
      </c>
      <c r="AT1610" s="3"/>
      <c r="AU1610" s="17"/>
      <c r="AV1610" s="19"/>
      <c r="AW1610" s="17"/>
      <c r="AX1610" s="17">
        <f t="shared" si="513"/>
        <v>1601</v>
      </c>
      <c r="AY1610" s="17">
        <f t="shared" si="511"/>
        <v>160.1</v>
      </c>
      <c r="AZ1610" s="17">
        <v>74.770725571213831</v>
      </c>
      <c r="BA1610" s="17"/>
      <c r="BB1610" s="17">
        <v>36</v>
      </c>
      <c r="BC1610" s="17"/>
      <c r="BD1610" s="17"/>
      <c r="BE1610" s="17"/>
      <c r="BF1610" s="17"/>
      <c r="BG1610" s="17"/>
      <c r="BH1610" s="17"/>
      <c r="BI1610" s="17"/>
      <c r="BJ1610" s="17"/>
      <c r="BK1610" s="17"/>
      <c r="BL1610" s="17"/>
      <c r="BM1610" s="17"/>
      <c r="BN1610" s="17"/>
      <c r="BO1610" s="17"/>
      <c r="BP1610" s="17"/>
      <c r="BQ1610" s="17"/>
      <c r="BR1610" s="17"/>
      <c r="BS1610" s="17"/>
      <c r="BT1610" s="17"/>
      <c r="BU1610" s="17"/>
      <c r="BV1610" s="17"/>
      <c r="BW1610" s="17"/>
      <c r="BX1610" s="17"/>
      <c r="BY1610" s="17"/>
      <c r="BZ1610" s="17"/>
      <c r="CA1610" s="17"/>
      <c r="CB1610" s="17"/>
      <c r="CC1610" s="17"/>
      <c r="CD1610" s="17"/>
      <c r="CE1610" s="17"/>
      <c r="CF1610" s="17"/>
      <c r="CG1610" s="17"/>
      <c r="CH1610" s="17"/>
    </row>
    <row r="1611" spans="35:86" x14ac:dyDescent="0.15">
      <c r="AI1611" s="3"/>
      <c r="AJ1611" s="3"/>
      <c r="AK1611" s="15">
        <f t="shared" si="516"/>
        <v>7</v>
      </c>
      <c r="AL1611" s="11">
        <f t="shared" si="514"/>
        <v>9612</v>
      </c>
      <c r="AM1611" s="11" t="b">
        <f t="shared" si="515"/>
        <v>0</v>
      </c>
      <c r="AN1611" s="11">
        <f t="shared" si="517"/>
        <v>36000</v>
      </c>
      <c r="AO1611" s="11">
        <f t="shared" si="518"/>
        <v>0</v>
      </c>
      <c r="AP1611" s="11">
        <f t="shared" si="519"/>
        <v>0.74880957052695307</v>
      </c>
      <c r="AQ1611" s="11">
        <f t="shared" ref="AQ1611:AQ1674" si="520">IF(AO1610&lt;=0,0,(AQ1610*AO1610-$AA$34*(AQ1610-AP1610)*$AB$15)/AO1610)</f>
        <v>0</v>
      </c>
      <c r="AT1611" s="3"/>
      <c r="AU1611" s="17"/>
      <c r="AV1611" s="19"/>
      <c r="AW1611" s="17"/>
      <c r="AX1611" s="17">
        <f t="shared" si="513"/>
        <v>1602</v>
      </c>
      <c r="AY1611" s="17">
        <f t="shared" si="511"/>
        <v>160.19999999999999</v>
      </c>
      <c r="AZ1611" s="17">
        <v>74.880957052695308</v>
      </c>
      <c r="BA1611" s="17"/>
      <c r="BB1611" s="17">
        <v>36</v>
      </c>
      <c r="BC1611" s="17"/>
      <c r="BD1611" s="17"/>
      <c r="BE1611" s="17"/>
      <c r="BF1611" s="17"/>
      <c r="BG1611" s="17"/>
      <c r="BH1611" s="17"/>
      <c r="BI1611" s="17"/>
      <c r="BJ1611" s="17"/>
      <c r="BK1611" s="17"/>
      <c r="BL1611" s="17"/>
      <c r="BM1611" s="17"/>
      <c r="BN1611" s="17"/>
      <c r="BO1611" s="17"/>
      <c r="BP1611" s="17"/>
      <c r="BQ1611" s="17"/>
      <c r="BR1611" s="17"/>
      <c r="BS1611" s="17"/>
      <c r="BT1611" s="17"/>
      <c r="BU1611" s="17"/>
      <c r="BV1611" s="17"/>
      <c r="BW1611" s="17"/>
      <c r="BX1611" s="17"/>
      <c r="BY1611" s="17"/>
      <c r="BZ1611" s="17"/>
      <c r="CA1611" s="17"/>
      <c r="CB1611" s="17"/>
      <c r="CC1611" s="17"/>
      <c r="CD1611" s="17"/>
      <c r="CE1611" s="17"/>
      <c r="CF1611" s="17"/>
      <c r="CG1611" s="17"/>
      <c r="CH1611" s="17"/>
    </row>
    <row r="1612" spans="35:86" x14ac:dyDescent="0.15">
      <c r="AI1612" s="3"/>
      <c r="AJ1612" s="3"/>
      <c r="AK1612" s="15">
        <f t="shared" si="516"/>
        <v>7</v>
      </c>
      <c r="AL1612" s="11">
        <f t="shared" si="514"/>
        <v>9618</v>
      </c>
      <c r="AM1612" s="11" t="b">
        <f t="shared" si="515"/>
        <v>0</v>
      </c>
      <c r="AN1612" s="11">
        <f t="shared" si="517"/>
        <v>36000</v>
      </c>
      <c r="AO1612" s="11">
        <f t="shared" si="518"/>
        <v>0</v>
      </c>
      <c r="AP1612" s="11">
        <f t="shared" si="519"/>
        <v>0.74991188534176789</v>
      </c>
      <c r="AQ1612" s="11">
        <f t="shared" si="520"/>
        <v>0</v>
      </c>
      <c r="AT1612" s="3"/>
      <c r="AU1612" s="17"/>
      <c r="AV1612" s="19"/>
      <c r="AW1612" s="17"/>
      <c r="AX1612" s="17">
        <f t="shared" si="513"/>
        <v>1603</v>
      </c>
      <c r="AY1612" s="17">
        <f t="shared" si="511"/>
        <v>160.30000000000001</v>
      </c>
      <c r="AZ1612" s="17">
        <v>74.991188534176786</v>
      </c>
      <c r="BA1612" s="17"/>
      <c r="BB1612" s="17">
        <v>36</v>
      </c>
      <c r="BC1612" s="17"/>
      <c r="BD1612" s="17"/>
      <c r="BE1612" s="17"/>
      <c r="BF1612" s="17"/>
      <c r="BG1612" s="17"/>
      <c r="BH1612" s="17"/>
      <c r="BI1612" s="17"/>
      <c r="BJ1612" s="17"/>
      <c r="BK1612" s="17"/>
      <c r="BL1612" s="17"/>
      <c r="BM1612" s="17"/>
      <c r="BN1612" s="17"/>
      <c r="BO1612" s="17"/>
      <c r="BP1612" s="17"/>
      <c r="BQ1612" s="17"/>
      <c r="BR1612" s="17"/>
      <c r="BS1612" s="17"/>
      <c r="BT1612" s="17"/>
      <c r="BU1612" s="17"/>
      <c r="BV1612" s="17"/>
      <c r="BW1612" s="17"/>
      <c r="BX1612" s="17"/>
      <c r="BY1612" s="17"/>
      <c r="BZ1612" s="17"/>
      <c r="CA1612" s="17"/>
      <c r="CB1612" s="17"/>
      <c r="CC1612" s="17"/>
      <c r="CD1612" s="17"/>
      <c r="CE1612" s="17"/>
      <c r="CF1612" s="17"/>
      <c r="CG1612" s="17"/>
      <c r="CH1612" s="17"/>
    </row>
    <row r="1613" spans="35:86" x14ac:dyDescent="0.15">
      <c r="AI1613" s="3"/>
      <c r="AJ1613" s="3"/>
      <c r="AK1613" s="15">
        <f t="shared" si="516"/>
        <v>7</v>
      </c>
      <c r="AL1613" s="11">
        <f>AL1612+$AB$15</f>
        <v>9624</v>
      </c>
      <c r="AM1613" s="11" t="b">
        <f t="shared" si="515"/>
        <v>0</v>
      </c>
      <c r="AN1613" s="11">
        <f t="shared" si="517"/>
        <v>36000</v>
      </c>
      <c r="AO1613" s="11">
        <f t="shared" si="518"/>
        <v>0</v>
      </c>
      <c r="AP1613" s="11">
        <f t="shared" si="519"/>
        <v>0.75101420015658282</v>
      </c>
      <c r="AQ1613" s="11">
        <f t="shared" si="520"/>
        <v>0</v>
      </c>
      <c r="AT1613" s="3"/>
      <c r="AU1613" s="17"/>
      <c r="AV1613" s="19"/>
      <c r="AW1613" s="17"/>
      <c r="AX1613" s="17">
        <f t="shared" si="513"/>
        <v>1604</v>
      </c>
      <c r="AY1613" s="17">
        <f t="shared" si="511"/>
        <v>160.4</v>
      </c>
      <c r="AZ1613" s="17">
        <v>75.101420015658277</v>
      </c>
      <c r="BA1613" s="17"/>
      <c r="BB1613" s="17">
        <v>36</v>
      </c>
      <c r="BC1613" s="17"/>
      <c r="BD1613" s="17"/>
      <c r="BE1613" s="17"/>
      <c r="BF1613" s="17"/>
      <c r="BG1613" s="17"/>
      <c r="BH1613" s="17"/>
      <c r="BI1613" s="17"/>
      <c r="BJ1613" s="17"/>
      <c r="BK1613" s="17"/>
      <c r="BL1613" s="17"/>
      <c r="BM1613" s="17"/>
      <c r="BN1613" s="17"/>
      <c r="BO1613" s="17"/>
      <c r="BP1613" s="17"/>
      <c r="BQ1613" s="17"/>
      <c r="BR1613" s="17"/>
      <c r="BS1613" s="17"/>
      <c r="BT1613" s="17"/>
      <c r="BU1613" s="17"/>
      <c r="BV1613" s="17"/>
      <c r="BW1613" s="17"/>
      <c r="BX1613" s="17"/>
      <c r="BY1613" s="17"/>
      <c r="BZ1613" s="17"/>
      <c r="CA1613" s="17"/>
      <c r="CB1613" s="17"/>
      <c r="CC1613" s="17"/>
      <c r="CD1613" s="17"/>
      <c r="CE1613" s="17"/>
      <c r="CF1613" s="17"/>
      <c r="CG1613" s="17"/>
      <c r="CH1613" s="17"/>
    </row>
    <row r="1614" spans="35:86" x14ac:dyDescent="0.15">
      <c r="AI1614" s="3"/>
      <c r="AJ1614" s="3"/>
      <c r="AK1614" s="15">
        <f t="shared" si="516"/>
        <v>7</v>
      </c>
      <c r="AL1614" s="11">
        <f t="shared" ref="AL1614:AL1677" si="521">AL1613+$AB$15</f>
        <v>9630</v>
      </c>
      <c r="AM1614" s="11" t="b">
        <f t="shared" si="515"/>
        <v>0</v>
      </c>
      <c r="AN1614" s="11">
        <f t="shared" si="517"/>
        <v>36000</v>
      </c>
      <c r="AO1614" s="11">
        <f t="shared" si="518"/>
        <v>0</v>
      </c>
      <c r="AP1614" s="11">
        <f t="shared" si="519"/>
        <v>0.75211651497139764</v>
      </c>
      <c r="AQ1614" s="11">
        <f t="shared" si="520"/>
        <v>0</v>
      </c>
      <c r="AT1614" s="3"/>
      <c r="AU1614" s="17"/>
      <c r="AV1614" s="19"/>
      <c r="AW1614" s="17"/>
      <c r="AX1614" s="17">
        <f t="shared" si="513"/>
        <v>1605</v>
      </c>
      <c r="AY1614" s="17">
        <f t="shared" si="511"/>
        <v>160.5</v>
      </c>
      <c r="AZ1614" s="17">
        <v>75.211651497139769</v>
      </c>
      <c r="BA1614" s="17"/>
      <c r="BB1614" s="17">
        <v>36</v>
      </c>
      <c r="BC1614" s="17"/>
      <c r="BD1614" s="17"/>
      <c r="BE1614" s="17"/>
      <c r="BF1614" s="17"/>
      <c r="BG1614" s="17"/>
      <c r="BH1614" s="17"/>
      <c r="BI1614" s="17"/>
      <c r="BJ1614" s="17"/>
      <c r="BK1614" s="17"/>
      <c r="BL1614" s="17"/>
      <c r="BM1614" s="17"/>
      <c r="BN1614" s="17"/>
      <c r="BO1614" s="17"/>
      <c r="BP1614" s="17"/>
      <c r="BQ1614" s="17"/>
      <c r="BR1614" s="17"/>
      <c r="BS1614" s="17"/>
      <c r="BT1614" s="17"/>
      <c r="BU1614" s="17"/>
      <c r="BV1614" s="17"/>
      <c r="BW1614" s="17"/>
      <c r="BX1614" s="17"/>
      <c r="BY1614" s="17"/>
      <c r="BZ1614" s="17"/>
      <c r="CA1614" s="17"/>
      <c r="CB1614" s="17"/>
      <c r="CC1614" s="17"/>
      <c r="CD1614" s="17"/>
      <c r="CE1614" s="17"/>
      <c r="CF1614" s="17"/>
      <c r="CG1614" s="17"/>
      <c r="CH1614" s="17"/>
    </row>
    <row r="1615" spans="35:86" x14ac:dyDescent="0.15">
      <c r="AI1615" s="3"/>
      <c r="AJ1615" s="3"/>
      <c r="AK1615" s="15">
        <f t="shared" si="516"/>
        <v>7</v>
      </c>
      <c r="AL1615" s="11">
        <f t="shared" si="521"/>
        <v>9636</v>
      </c>
      <c r="AM1615" s="11" t="b">
        <f t="shared" si="515"/>
        <v>0</v>
      </c>
      <c r="AN1615" s="11">
        <f t="shared" si="517"/>
        <v>36000</v>
      </c>
      <c r="AO1615" s="11">
        <f t="shared" si="518"/>
        <v>0</v>
      </c>
      <c r="AP1615" s="11">
        <f t="shared" si="519"/>
        <v>0.75321882978621246</v>
      </c>
      <c r="AQ1615" s="11">
        <f t="shared" si="520"/>
        <v>0</v>
      </c>
      <c r="AT1615" s="3"/>
      <c r="AU1615" s="17"/>
      <c r="AV1615" s="19"/>
      <c r="AW1615" s="17"/>
      <c r="AX1615" s="17">
        <f t="shared" si="513"/>
        <v>1606</v>
      </c>
      <c r="AY1615" s="17">
        <f t="shared" si="511"/>
        <v>160.6</v>
      </c>
      <c r="AZ1615" s="17">
        <v>75.321882978621247</v>
      </c>
      <c r="BA1615" s="17"/>
      <c r="BB1615" s="17">
        <v>36</v>
      </c>
      <c r="BC1615" s="17"/>
      <c r="BD1615" s="17"/>
      <c r="BE1615" s="17"/>
      <c r="BF1615" s="17"/>
      <c r="BG1615" s="17"/>
      <c r="BH1615" s="17"/>
      <c r="BI1615" s="17"/>
      <c r="BJ1615" s="17"/>
      <c r="BK1615" s="17"/>
      <c r="BL1615" s="17"/>
      <c r="BM1615" s="17"/>
      <c r="BN1615" s="17"/>
      <c r="BO1615" s="17"/>
      <c r="BP1615" s="17"/>
      <c r="BQ1615" s="17"/>
      <c r="BR1615" s="17"/>
      <c r="BS1615" s="17"/>
      <c r="BT1615" s="17"/>
      <c r="BU1615" s="17"/>
      <c r="BV1615" s="17"/>
      <c r="BW1615" s="17"/>
      <c r="BX1615" s="17"/>
      <c r="BY1615" s="17"/>
      <c r="BZ1615" s="17"/>
      <c r="CA1615" s="17"/>
      <c r="CB1615" s="17"/>
      <c r="CC1615" s="17"/>
      <c r="CD1615" s="17"/>
      <c r="CE1615" s="17"/>
      <c r="CF1615" s="17"/>
      <c r="CG1615" s="17"/>
      <c r="CH1615" s="17"/>
    </row>
    <row r="1616" spans="35:86" x14ac:dyDescent="0.15">
      <c r="AI1616" s="3"/>
      <c r="AJ1616" s="3"/>
      <c r="AK1616" s="15">
        <f t="shared" si="516"/>
        <v>7</v>
      </c>
      <c r="AL1616" s="11">
        <f t="shared" si="521"/>
        <v>9642</v>
      </c>
      <c r="AM1616" s="11" t="b">
        <f t="shared" si="515"/>
        <v>0</v>
      </c>
      <c r="AN1616" s="11">
        <f t="shared" si="517"/>
        <v>36000</v>
      </c>
      <c r="AO1616" s="11">
        <f t="shared" si="518"/>
        <v>0</v>
      </c>
      <c r="AP1616" s="11">
        <f t="shared" si="519"/>
        <v>0.75432114460102728</v>
      </c>
      <c r="AQ1616" s="11">
        <f t="shared" si="520"/>
        <v>0</v>
      </c>
      <c r="AT1616" s="3"/>
      <c r="AU1616" s="17"/>
      <c r="AV1616" s="19"/>
      <c r="AW1616" s="17"/>
      <c r="AX1616" s="17">
        <f t="shared" si="513"/>
        <v>1607</v>
      </c>
      <c r="AY1616" s="17">
        <f t="shared" si="511"/>
        <v>160.69999999999999</v>
      </c>
      <c r="AZ1616" s="17">
        <v>75.432114460102724</v>
      </c>
      <c r="BA1616" s="17"/>
      <c r="BB1616" s="17">
        <v>36</v>
      </c>
      <c r="BC1616" s="17"/>
      <c r="BD1616" s="17"/>
      <c r="BE1616" s="17"/>
      <c r="BF1616" s="17"/>
      <c r="BG1616" s="17"/>
      <c r="BH1616" s="17"/>
      <c r="BI1616" s="17"/>
      <c r="BJ1616" s="17"/>
      <c r="BK1616" s="17"/>
      <c r="BL1616" s="17"/>
      <c r="BM1616" s="17"/>
      <c r="BN1616" s="17"/>
      <c r="BO1616" s="17"/>
      <c r="BP1616" s="17"/>
      <c r="BQ1616" s="17"/>
      <c r="BR1616" s="17"/>
      <c r="BS1616" s="17"/>
      <c r="BT1616" s="17"/>
      <c r="BU1616" s="17"/>
      <c r="BV1616" s="17"/>
      <c r="BW1616" s="17"/>
      <c r="BX1616" s="17"/>
      <c r="BY1616" s="17"/>
      <c r="BZ1616" s="17"/>
      <c r="CA1616" s="17"/>
      <c r="CB1616" s="17"/>
      <c r="CC1616" s="17"/>
      <c r="CD1616" s="17"/>
      <c r="CE1616" s="17"/>
      <c r="CF1616" s="17"/>
      <c r="CG1616" s="17"/>
      <c r="CH1616" s="17"/>
    </row>
    <row r="1617" spans="35:86" x14ac:dyDescent="0.15">
      <c r="AI1617" s="3"/>
      <c r="AJ1617" s="3"/>
      <c r="AK1617" s="15">
        <f t="shared" si="516"/>
        <v>7</v>
      </c>
      <c r="AL1617" s="11">
        <f t="shared" si="521"/>
        <v>9648</v>
      </c>
      <c r="AM1617" s="11" t="b">
        <f t="shared" si="515"/>
        <v>0</v>
      </c>
      <c r="AN1617" s="11">
        <f t="shared" si="517"/>
        <v>36000</v>
      </c>
      <c r="AO1617" s="11">
        <f t="shared" si="518"/>
        <v>0</v>
      </c>
      <c r="AP1617" s="11">
        <f t="shared" si="519"/>
        <v>0.7554234594158421</v>
      </c>
      <c r="AQ1617" s="11">
        <f t="shared" si="520"/>
        <v>0</v>
      </c>
      <c r="AT1617" s="3"/>
      <c r="AU1617" s="17"/>
      <c r="AV1617" s="19"/>
      <c r="AW1617" s="17"/>
      <c r="AX1617" s="17">
        <f t="shared" si="513"/>
        <v>1608</v>
      </c>
      <c r="AY1617" s="17">
        <f t="shared" si="511"/>
        <v>160.80000000000001</v>
      </c>
      <c r="AZ1617" s="17">
        <v>75.542345941584216</v>
      </c>
      <c r="BA1617" s="17"/>
      <c r="BB1617" s="17">
        <v>36</v>
      </c>
      <c r="BC1617" s="17"/>
      <c r="BD1617" s="17"/>
      <c r="BE1617" s="17"/>
      <c r="BF1617" s="17"/>
      <c r="BG1617" s="17"/>
      <c r="BH1617" s="17"/>
      <c r="BI1617" s="17"/>
      <c r="BJ1617" s="17"/>
      <c r="BK1617" s="17"/>
      <c r="BL1617" s="17"/>
      <c r="BM1617" s="17"/>
      <c r="BN1617" s="17"/>
      <c r="BO1617" s="17"/>
      <c r="BP1617" s="17"/>
      <c r="BQ1617" s="17"/>
      <c r="BR1617" s="17"/>
      <c r="BS1617" s="17"/>
      <c r="BT1617" s="17"/>
      <c r="BU1617" s="17"/>
      <c r="BV1617" s="17"/>
      <c r="BW1617" s="17"/>
      <c r="BX1617" s="17"/>
      <c r="BY1617" s="17"/>
      <c r="BZ1617" s="17"/>
      <c r="CA1617" s="17"/>
      <c r="CB1617" s="17"/>
      <c r="CC1617" s="17"/>
      <c r="CD1617" s="17"/>
      <c r="CE1617" s="17"/>
      <c r="CF1617" s="17"/>
      <c r="CG1617" s="17"/>
      <c r="CH1617" s="17"/>
    </row>
    <row r="1618" spans="35:86" x14ac:dyDescent="0.15">
      <c r="AI1618" s="3"/>
      <c r="AJ1618" s="3"/>
      <c r="AK1618" s="15">
        <f t="shared" si="516"/>
        <v>7</v>
      </c>
      <c r="AL1618" s="11">
        <f t="shared" si="521"/>
        <v>9654</v>
      </c>
      <c r="AM1618" s="11" t="b">
        <f t="shared" si="515"/>
        <v>0</v>
      </c>
      <c r="AN1618" s="11">
        <f t="shared" si="517"/>
        <v>36000</v>
      </c>
      <c r="AO1618" s="11">
        <f t="shared" si="518"/>
        <v>0</v>
      </c>
      <c r="AP1618" s="11">
        <f t="shared" si="519"/>
        <v>0.75652577423065703</v>
      </c>
      <c r="AQ1618" s="11">
        <f t="shared" si="520"/>
        <v>0</v>
      </c>
      <c r="AT1618" s="3"/>
      <c r="AU1618" s="17"/>
      <c r="AV1618" s="19"/>
      <c r="AW1618" s="17"/>
      <c r="AX1618" s="17">
        <f t="shared" si="513"/>
        <v>1609</v>
      </c>
      <c r="AY1618" s="17">
        <f t="shared" si="511"/>
        <v>160.9</v>
      </c>
      <c r="AZ1618" s="17">
        <v>75.652577423065708</v>
      </c>
      <c r="BA1618" s="17"/>
      <c r="BB1618" s="17">
        <v>36</v>
      </c>
      <c r="BC1618" s="17"/>
      <c r="BD1618" s="17"/>
      <c r="BE1618" s="17"/>
      <c r="BF1618" s="17"/>
      <c r="BG1618" s="17"/>
      <c r="BH1618" s="17"/>
      <c r="BI1618" s="17"/>
      <c r="BJ1618" s="17"/>
      <c r="BK1618" s="17"/>
      <c r="BL1618" s="17"/>
      <c r="BM1618" s="17"/>
      <c r="BN1618" s="17"/>
      <c r="BO1618" s="17"/>
      <c r="BP1618" s="17"/>
      <c r="BQ1618" s="17"/>
      <c r="BR1618" s="17"/>
      <c r="BS1618" s="17"/>
      <c r="BT1618" s="17"/>
      <c r="BU1618" s="17"/>
      <c r="BV1618" s="17"/>
      <c r="BW1618" s="17"/>
      <c r="BX1618" s="17"/>
      <c r="BY1618" s="17"/>
      <c r="BZ1618" s="17"/>
      <c r="CA1618" s="17"/>
      <c r="CB1618" s="17"/>
      <c r="CC1618" s="17"/>
      <c r="CD1618" s="17"/>
      <c r="CE1618" s="17"/>
      <c r="CF1618" s="17"/>
      <c r="CG1618" s="17"/>
      <c r="CH1618" s="17"/>
    </row>
    <row r="1619" spans="35:86" x14ac:dyDescent="0.15">
      <c r="AI1619" s="3"/>
      <c r="AJ1619" s="3"/>
      <c r="AK1619" s="15">
        <f t="shared" si="516"/>
        <v>7</v>
      </c>
      <c r="AL1619" s="11">
        <f t="shared" si="521"/>
        <v>9660</v>
      </c>
      <c r="AM1619" s="11" t="b">
        <f t="shared" si="515"/>
        <v>0</v>
      </c>
      <c r="AN1619" s="11">
        <f t="shared" si="517"/>
        <v>36000</v>
      </c>
      <c r="AO1619" s="11">
        <f t="shared" si="518"/>
        <v>0</v>
      </c>
      <c r="AP1619" s="11">
        <f t="shared" si="519"/>
        <v>0.75762808904547185</v>
      </c>
      <c r="AQ1619" s="11">
        <f t="shared" si="520"/>
        <v>0</v>
      </c>
      <c r="AT1619" s="3"/>
      <c r="AU1619" s="17"/>
      <c r="AV1619" s="19"/>
      <c r="AW1619" s="17"/>
      <c r="AX1619" s="17">
        <f t="shared" si="513"/>
        <v>1610</v>
      </c>
      <c r="AY1619" s="17">
        <f t="shared" si="511"/>
        <v>161</v>
      </c>
      <c r="AZ1619" s="17">
        <v>75.762808904547185</v>
      </c>
      <c r="BA1619" s="17"/>
      <c r="BB1619" s="17">
        <v>36</v>
      </c>
      <c r="BC1619" s="17"/>
      <c r="BD1619" s="17"/>
      <c r="BE1619" s="17"/>
      <c r="BF1619" s="17"/>
      <c r="BG1619" s="17"/>
      <c r="BH1619" s="17"/>
      <c r="BI1619" s="17"/>
      <c r="BJ1619" s="17"/>
      <c r="BK1619" s="17"/>
      <c r="BL1619" s="17"/>
      <c r="BM1619" s="17"/>
      <c r="BN1619" s="17"/>
      <c r="BO1619" s="17"/>
      <c r="BP1619" s="17"/>
      <c r="BQ1619" s="17"/>
      <c r="BR1619" s="17"/>
      <c r="BS1619" s="17"/>
      <c r="BT1619" s="17"/>
      <c r="BU1619" s="17"/>
      <c r="BV1619" s="17"/>
      <c r="BW1619" s="17"/>
      <c r="BX1619" s="17"/>
      <c r="BY1619" s="17"/>
      <c r="BZ1619" s="17"/>
      <c r="CA1619" s="17"/>
      <c r="CB1619" s="17"/>
      <c r="CC1619" s="17"/>
      <c r="CD1619" s="17"/>
      <c r="CE1619" s="17"/>
      <c r="CF1619" s="17"/>
      <c r="CG1619" s="17"/>
      <c r="CH1619" s="17"/>
    </row>
    <row r="1620" spans="35:86" x14ac:dyDescent="0.15">
      <c r="AI1620" s="3"/>
      <c r="AJ1620" s="3"/>
      <c r="AK1620" s="15">
        <f t="shared" si="516"/>
        <v>7</v>
      </c>
      <c r="AL1620" s="11">
        <f t="shared" si="521"/>
        <v>9666</v>
      </c>
      <c r="AM1620" s="11" t="b">
        <f t="shared" si="515"/>
        <v>0</v>
      </c>
      <c r="AN1620" s="11">
        <f t="shared" si="517"/>
        <v>36000</v>
      </c>
      <c r="AO1620" s="11">
        <f t="shared" si="518"/>
        <v>0</v>
      </c>
      <c r="AP1620" s="11">
        <f t="shared" si="519"/>
        <v>0.75873040386028667</v>
      </c>
      <c r="AQ1620" s="11">
        <f t="shared" si="520"/>
        <v>0</v>
      </c>
      <c r="AT1620" s="3"/>
      <c r="AU1620" s="17"/>
      <c r="AV1620" s="19"/>
      <c r="AW1620" s="17"/>
      <c r="AX1620" s="17">
        <f t="shared" si="513"/>
        <v>1611</v>
      </c>
      <c r="AY1620" s="17">
        <f t="shared" ref="AY1620:AY1683" si="522">IF(ISNUMBER(AX1620),IF(ROUND((AX1620)*$AG$15*$AB$15,0) &lt;= 10080, ROUND((AX1620)*$AG$15,0)*$AB$15/60, 168),168)</f>
        <v>161.1</v>
      </c>
      <c r="AZ1620" s="17">
        <v>75.873040386028663</v>
      </c>
      <c r="BA1620" s="17"/>
      <c r="BB1620" s="17">
        <v>36</v>
      </c>
      <c r="BC1620" s="17"/>
      <c r="BD1620" s="17"/>
      <c r="BE1620" s="17"/>
      <c r="BF1620" s="17"/>
      <c r="BG1620" s="17"/>
      <c r="BH1620" s="17"/>
      <c r="BI1620" s="17"/>
      <c r="BJ1620" s="17"/>
      <c r="BK1620" s="17"/>
      <c r="BL1620" s="17"/>
      <c r="BM1620" s="17"/>
      <c r="BN1620" s="17"/>
      <c r="BO1620" s="17"/>
      <c r="BP1620" s="17"/>
      <c r="BQ1620" s="17"/>
      <c r="BR1620" s="17"/>
      <c r="BS1620" s="17"/>
      <c r="BT1620" s="17"/>
      <c r="BU1620" s="17"/>
      <c r="BV1620" s="17"/>
      <c r="BW1620" s="17"/>
      <c r="BX1620" s="17"/>
      <c r="BY1620" s="17"/>
      <c r="BZ1620" s="17"/>
      <c r="CA1620" s="17"/>
      <c r="CB1620" s="17"/>
      <c r="CC1620" s="17"/>
      <c r="CD1620" s="17"/>
      <c r="CE1620" s="17"/>
      <c r="CF1620" s="17"/>
      <c r="CG1620" s="17"/>
      <c r="CH1620" s="17"/>
    </row>
    <row r="1621" spans="35:86" x14ac:dyDescent="0.15">
      <c r="AI1621" s="3"/>
      <c r="AJ1621" s="3"/>
      <c r="AK1621" s="15">
        <f t="shared" si="516"/>
        <v>7</v>
      </c>
      <c r="AL1621" s="11">
        <f t="shared" si="521"/>
        <v>9672</v>
      </c>
      <c r="AM1621" s="11" t="b">
        <f t="shared" si="515"/>
        <v>0</v>
      </c>
      <c r="AN1621" s="11">
        <f t="shared" si="517"/>
        <v>36000</v>
      </c>
      <c r="AO1621" s="11">
        <f t="shared" si="518"/>
        <v>0</v>
      </c>
      <c r="AP1621" s="11">
        <f t="shared" si="519"/>
        <v>0.75983271867510149</v>
      </c>
      <c r="AQ1621" s="11">
        <f t="shared" si="520"/>
        <v>0</v>
      </c>
      <c r="AT1621" s="3"/>
      <c r="AU1621" s="17"/>
      <c r="AV1621" s="19"/>
      <c r="AW1621" s="17"/>
      <c r="AX1621" s="17">
        <f t="shared" si="513"/>
        <v>1612</v>
      </c>
      <c r="AY1621" s="17">
        <f t="shared" si="522"/>
        <v>161.19999999999999</v>
      </c>
      <c r="AZ1621" s="17">
        <v>75.983271867510155</v>
      </c>
      <c r="BA1621" s="17"/>
      <c r="BB1621" s="17">
        <v>36</v>
      </c>
      <c r="BC1621" s="17"/>
      <c r="BD1621" s="17"/>
      <c r="BE1621" s="17"/>
      <c r="BF1621" s="17"/>
      <c r="BG1621" s="17"/>
      <c r="BH1621" s="17"/>
      <c r="BI1621" s="17"/>
      <c r="BJ1621" s="17"/>
      <c r="BK1621" s="17"/>
      <c r="BL1621" s="17"/>
      <c r="BM1621" s="17"/>
      <c r="BN1621" s="17"/>
      <c r="BO1621" s="17"/>
      <c r="BP1621" s="17"/>
      <c r="BQ1621" s="17"/>
      <c r="BR1621" s="17"/>
      <c r="BS1621" s="17"/>
      <c r="BT1621" s="17"/>
      <c r="BU1621" s="17"/>
      <c r="BV1621" s="17"/>
      <c r="BW1621" s="17"/>
      <c r="BX1621" s="17"/>
      <c r="BY1621" s="17"/>
      <c r="BZ1621" s="17"/>
      <c r="CA1621" s="17"/>
      <c r="CB1621" s="17"/>
      <c r="CC1621" s="17"/>
      <c r="CD1621" s="17"/>
      <c r="CE1621" s="17"/>
      <c r="CF1621" s="17"/>
      <c r="CG1621" s="17"/>
      <c r="CH1621" s="17"/>
    </row>
    <row r="1622" spans="35:86" x14ac:dyDescent="0.15">
      <c r="AI1622" s="3"/>
      <c r="AJ1622" s="3"/>
      <c r="AK1622" s="15">
        <f t="shared" si="516"/>
        <v>7</v>
      </c>
      <c r="AL1622" s="11">
        <f t="shared" si="521"/>
        <v>9678</v>
      </c>
      <c r="AM1622" s="11" t="b">
        <f t="shared" si="515"/>
        <v>0</v>
      </c>
      <c r="AN1622" s="11">
        <f t="shared" si="517"/>
        <v>36000</v>
      </c>
      <c r="AO1622" s="11">
        <f t="shared" si="518"/>
        <v>0</v>
      </c>
      <c r="AP1622" s="11">
        <f t="shared" si="519"/>
        <v>0.76093503348991631</v>
      </c>
      <c r="AQ1622" s="11">
        <f t="shared" si="520"/>
        <v>0</v>
      </c>
      <c r="AT1622" s="3"/>
      <c r="AU1622" s="17"/>
      <c r="AV1622" s="19"/>
      <c r="AW1622" s="17"/>
      <c r="AX1622" s="17">
        <f t="shared" si="513"/>
        <v>1613</v>
      </c>
      <c r="AY1622" s="17">
        <f t="shared" si="522"/>
        <v>161.30000000000001</v>
      </c>
      <c r="AZ1622" s="17">
        <v>76.093503348991632</v>
      </c>
      <c r="BA1622" s="17"/>
      <c r="BB1622" s="17">
        <v>36</v>
      </c>
      <c r="BC1622" s="17"/>
      <c r="BD1622" s="17"/>
      <c r="BE1622" s="17"/>
      <c r="BF1622" s="17"/>
      <c r="BG1622" s="17"/>
      <c r="BH1622" s="17"/>
      <c r="BI1622" s="17"/>
      <c r="BJ1622" s="17"/>
      <c r="BK1622" s="17"/>
      <c r="BL1622" s="17"/>
      <c r="BM1622" s="17"/>
      <c r="BN1622" s="17"/>
      <c r="BO1622" s="17"/>
      <c r="BP1622" s="17"/>
      <c r="BQ1622" s="17"/>
      <c r="BR1622" s="17"/>
      <c r="BS1622" s="17"/>
      <c r="BT1622" s="17"/>
      <c r="BU1622" s="17"/>
      <c r="BV1622" s="17"/>
      <c r="BW1622" s="17"/>
      <c r="BX1622" s="17"/>
      <c r="BY1622" s="17"/>
      <c r="BZ1622" s="17"/>
      <c r="CA1622" s="17"/>
      <c r="CB1622" s="17"/>
      <c r="CC1622" s="17"/>
      <c r="CD1622" s="17"/>
      <c r="CE1622" s="17"/>
      <c r="CF1622" s="17"/>
      <c r="CG1622" s="17"/>
      <c r="CH1622" s="17"/>
    </row>
    <row r="1623" spans="35:86" x14ac:dyDescent="0.15">
      <c r="AI1623" s="3"/>
      <c r="AJ1623" s="3"/>
      <c r="AK1623" s="15">
        <f t="shared" si="516"/>
        <v>7</v>
      </c>
      <c r="AL1623" s="11">
        <f t="shared" si="521"/>
        <v>9684</v>
      </c>
      <c r="AM1623" s="11" t="b">
        <f t="shared" si="515"/>
        <v>0</v>
      </c>
      <c r="AN1623" s="11">
        <f t="shared" si="517"/>
        <v>36000</v>
      </c>
      <c r="AO1623" s="11">
        <f t="shared" si="518"/>
        <v>0</v>
      </c>
      <c r="AP1623" s="11">
        <f t="shared" si="519"/>
        <v>0.76203734830473124</v>
      </c>
      <c r="AQ1623" s="11">
        <f t="shared" si="520"/>
        <v>0</v>
      </c>
      <c r="AT1623" s="3"/>
      <c r="AU1623" s="17"/>
      <c r="AV1623" s="19"/>
      <c r="AW1623" s="17"/>
      <c r="AX1623" s="17">
        <f t="shared" si="513"/>
        <v>1614</v>
      </c>
      <c r="AY1623" s="17">
        <f t="shared" si="522"/>
        <v>161.4</v>
      </c>
      <c r="AZ1623" s="17">
        <v>76.203734830473124</v>
      </c>
      <c r="BA1623" s="17"/>
      <c r="BB1623" s="17">
        <v>36</v>
      </c>
      <c r="BC1623" s="17"/>
      <c r="BD1623" s="17"/>
      <c r="BE1623" s="17"/>
      <c r="BF1623" s="17"/>
      <c r="BG1623" s="17"/>
      <c r="BH1623" s="17"/>
      <c r="BI1623" s="17"/>
      <c r="BJ1623" s="17"/>
      <c r="BK1623" s="17"/>
      <c r="BL1623" s="17"/>
      <c r="BM1623" s="17"/>
      <c r="BN1623" s="17"/>
      <c r="BO1623" s="17"/>
      <c r="BP1623" s="17"/>
      <c r="BQ1623" s="17"/>
      <c r="BR1623" s="17"/>
      <c r="BS1623" s="17"/>
      <c r="BT1623" s="17"/>
      <c r="BU1623" s="17"/>
      <c r="BV1623" s="17"/>
      <c r="BW1623" s="17"/>
      <c r="BX1623" s="17"/>
      <c r="BY1623" s="17"/>
      <c r="BZ1623" s="17"/>
      <c r="CA1623" s="17"/>
      <c r="CB1623" s="17"/>
      <c r="CC1623" s="17"/>
      <c r="CD1623" s="17"/>
      <c r="CE1623" s="17"/>
      <c r="CF1623" s="17"/>
      <c r="CG1623" s="17"/>
      <c r="CH1623" s="17"/>
    </row>
    <row r="1624" spans="35:86" x14ac:dyDescent="0.15">
      <c r="AI1624" s="3"/>
      <c r="AJ1624" s="3"/>
      <c r="AK1624" s="15">
        <f t="shared" si="516"/>
        <v>7</v>
      </c>
      <c r="AL1624" s="11">
        <f t="shared" si="521"/>
        <v>9690</v>
      </c>
      <c r="AM1624" s="11" t="b">
        <f t="shared" si="515"/>
        <v>0</v>
      </c>
      <c r="AN1624" s="11">
        <f t="shared" si="517"/>
        <v>36000</v>
      </c>
      <c r="AO1624" s="11">
        <f t="shared" si="518"/>
        <v>0</v>
      </c>
      <c r="AP1624" s="11">
        <f t="shared" si="519"/>
        <v>0.76313966311954617</v>
      </c>
      <c r="AQ1624" s="11">
        <f t="shared" si="520"/>
        <v>0</v>
      </c>
      <c r="AT1624" s="3"/>
      <c r="AU1624" s="17"/>
      <c r="AV1624" s="19"/>
      <c r="AW1624" s="17"/>
      <c r="AX1624" s="17">
        <f t="shared" si="513"/>
        <v>1615</v>
      </c>
      <c r="AY1624" s="17">
        <f t="shared" si="522"/>
        <v>161.5</v>
      </c>
      <c r="AZ1624" s="17">
        <v>76.313966311954616</v>
      </c>
      <c r="BA1624" s="17"/>
      <c r="BB1624" s="17">
        <v>36</v>
      </c>
      <c r="BC1624" s="17"/>
      <c r="BD1624" s="17"/>
      <c r="BE1624" s="17"/>
      <c r="BF1624" s="17"/>
      <c r="BG1624" s="17"/>
      <c r="BH1624" s="17"/>
      <c r="BI1624" s="17"/>
      <c r="BJ1624" s="17"/>
      <c r="BK1624" s="17"/>
      <c r="BL1624" s="17"/>
      <c r="BM1624" s="17"/>
      <c r="BN1624" s="17"/>
      <c r="BO1624" s="17"/>
      <c r="BP1624" s="17"/>
      <c r="BQ1624" s="17"/>
      <c r="BR1624" s="17"/>
      <c r="BS1624" s="17"/>
      <c r="BT1624" s="17"/>
      <c r="BU1624" s="17"/>
      <c r="BV1624" s="17"/>
      <c r="BW1624" s="17"/>
      <c r="BX1624" s="17"/>
      <c r="BY1624" s="17"/>
      <c r="BZ1624" s="17"/>
      <c r="CA1624" s="17"/>
      <c r="CB1624" s="17"/>
      <c r="CC1624" s="17"/>
      <c r="CD1624" s="17"/>
      <c r="CE1624" s="17"/>
      <c r="CF1624" s="17"/>
      <c r="CG1624" s="17"/>
      <c r="CH1624" s="17"/>
    </row>
    <row r="1625" spans="35:86" x14ac:dyDescent="0.15">
      <c r="AI1625" s="3"/>
      <c r="AJ1625" s="3"/>
      <c r="AK1625" s="15">
        <f t="shared" si="516"/>
        <v>7</v>
      </c>
      <c r="AL1625" s="11">
        <f t="shared" si="521"/>
        <v>9696</v>
      </c>
      <c r="AM1625" s="11" t="b">
        <f t="shared" si="515"/>
        <v>0</v>
      </c>
      <c r="AN1625" s="11">
        <f t="shared" si="517"/>
        <v>36000</v>
      </c>
      <c r="AO1625" s="11">
        <f t="shared" si="518"/>
        <v>0</v>
      </c>
      <c r="AP1625" s="11">
        <f t="shared" si="519"/>
        <v>0.76424197793436099</v>
      </c>
      <c r="AQ1625" s="11">
        <f t="shared" si="520"/>
        <v>0</v>
      </c>
      <c r="AT1625" s="3"/>
      <c r="AU1625" s="17"/>
      <c r="AV1625" s="19"/>
      <c r="AW1625" s="17"/>
      <c r="AX1625" s="17">
        <f t="shared" si="513"/>
        <v>1616</v>
      </c>
      <c r="AY1625" s="17">
        <f t="shared" si="522"/>
        <v>161.6</v>
      </c>
      <c r="AZ1625" s="17">
        <v>76.424197793436093</v>
      </c>
      <c r="BA1625" s="17"/>
      <c r="BB1625" s="17">
        <v>36</v>
      </c>
      <c r="BC1625" s="17"/>
      <c r="BD1625" s="17"/>
      <c r="BE1625" s="17"/>
      <c r="BF1625" s="17"/>
      <c r="BG1625" s="17"/>
      <c r="BH1625" s="17"/>
      <c r="BI1625" s="17"/>
      <c r="BJ1625" s="17"/>
      <c r="BK1625" s="17"/>
      <c r="BL1625" s="17"/>
      <c r="BM1625" s="17"/>
      <c r="BN1625" s="17"/>
      <c r="BO1625" s="17"/>
      <c r="BP1625" s="17"/>
      <c r="BQ1625" s="17"/>
      <c r="BR1625" s="17"/>
      <c r="BS1625" s="17"/>
      <c r="BT1625" s="17"/>
      <c r="BU1625" s="17"/>
      <c r="BV1625" s="17"/>
      <c r="BW1625" s="17"/>
      <c r="BX1625" s="17"/>
      <c r="BY1625" s="17"/>
      <c r="BZ1625" s="17"/>
      <c r="CA1625" s="17"/>
      <c r="CB1625" s="17"/>
      <c r="CC1625" s="17"/>
      <c r="CD1625" s="17"/>
      <c r="CE1625" s="17"/>
      <c r="CF1625" s="17"/>
      <c r="CG1625" s="17"/>
      <c r="CH1625" s="17"/>
    </row>
    <row r="1626" spans="35:86" x14ac:dyDescent="0.15">
      <c r="AI1626" s="3"/>
      <c r="AJ1626" s="3"/>
      <c r="AK1626" s="15">
        <f t="shared" si="516"/>
        <v>7</v>
      </c>
      <c r="AL1626" s="11">
        <f t="shared" si="521"/>
        <v>9702</v>
      </c>
      <c r="AM1626" s="11" t="b">
        <f t="shared" si="515"/>
        <v>0</v>
      </c>
      <c r="AN1626" s="11">
        <f t="shared" si="517"/>
        <v>36000</v>
      </c>
      <c r="AO1626" s="11">
        <f t="shared" si="518"/>
        <v>0</v>
      </c>
      <c r="AP1626" s="11">
        <f t="shared" si="519"/>
        <v>0.76534429274917581</v>
      </c>
      <c r="AQ1626" s="11">
        <f t="shared" si="520"/>
        <v>0</v>
      </c>
      <c r="AT1626" s="3"/>
      <c r="AU1626" s="17"/>
      <c r="AV1626" s="19"/>
      <c r="AW1626" s="17"/>
      <c r="AX1626" s="17">
        <f t="shared" si="513"/>
        <v>1617</v>
      </c>
      <c r="AY1626" s="17">
        <f t="shared" si="522"/>
        <v>161.69999999999999</v>
      </c>
      <c r="AZ1626" s="17">
        <v>76.534429274917585</v>
      </c>
      <c r="BA1626" s="17"/>
      <c r="BB1626" s="17">
        <v>36</v>
      </c>
      <c r="BC1626" s="17"/>
      <c r="BD1626" s="17"/>
      <c r="BE1626" s="17"/>
      <c r="BF1626" s="17"/>
      <c r="BG1626" s="17"/>
      <c r="BH1626" s="17"/>
      <c r="BI1626" s="17"/>
      <c r="BJ1626" s="17"/>
      <c r="BK1626" s="17"/>
      <c r="BL1626" s="17"/>
      <c r="BM1626" s="17"/>
      <c r="BN1626" s="17"/>
      <c r="BO1626" s="17"/>
      <c r="BP1626" s="17"/>
      <c r="BQ1626" s="17"/>
      <c r="BR1626" s="17"/>
      <c r="BS1626" s="17"/>
      <c r="BT1626" s="17"/>
      <c r="BU1626" s="17"/>
      <c r="BV1626" s="17"/>
      <c r="BW1626" s="17"/>
      <c r="BX1626" s="17"/>
      <c r="BY1626" s="17"/>
      <c r="BZ1626" s="17"/>
      <c r="CA1626" s="17"/>
      <c r="CB1626" s="17"/>
      <c r="CC1626" s="17"/>
      <c r="CD1626" s="17"/>
      <c r="CE1626" s="17"/>
      <c r="CF1626" s="17"/>
      <c r="CG1626" s="17"/>
      <c r="CH1626" s="17"/>
    </row>
    <row r="1627" spans="35:86" x14ac:dyDescent="0.15">
      <c r="AI1627" s="3"/>
      <c r="AJ1627" s="3"/>
      <c r="AK1627" s="15">
        <f t="shared" si="516"/>
        <v>7</v>
      </c>
      <c r="AL1627" s="11">
        <f t="shared" si="521"/>
        <v>9708</v>
      </c>
      <c r="AM1627" s="11" t="b">
        <f t="shared" si="515"/>
        <v>0</v>
      </c>
      <c r="AN1627" s="11">
        <f t="shared" si="517"/>
        <v>36000</v>
      </c>
      <c r="AO1627" s="11">
        <f t="shared" si="518"/>
        <v>0</v>
      </c>
      <c r="AP1627" s="11">
        <f t="shared" si="519"/>
        <v>0.76644660756399063</v>
      </c>
      <c r="AQ1627" s="11">
        <f t="shared" si="520"/>
        <v>0</v>
      </c>
      <c r="AT1627" s="3"/>
      <c r="AU1627" s="17"/>
      <c r="AV1627" s="19"/>
      <c r="AW1627" s="17"/>
      <c r="AX1627" s="17">
        <f t="shared" si="513"/>
        <v>1618</v>
      </c>
      <c r="AY1627" s="17">
        <f t="shared" si="522"/>
        <v>161.80000000000001</v>
      </c>
      <c r="AZ1627" s="17">
        <v>76.644660756399063</v>
      </c>
      <c r="BA1627" s="17"/>
      <c r="BB1627" s="17">
        <v>36</v>
      </c>
      <c r="BC1627" s="17"/>
      <c r="BD1627" s="17"/>
      <c r="BE1627" s="17"/>
      <c r="BF1627" s="17"/>
      <c r="BG1627" s="17"/>
      <c r="BH1627" s="17"/>
      <c r="BI1627" s="17"/>
      <c r="BJ1627" s="17"/>
      <c r="BK1627" s="17"/>
      <c r="BL1627" s="17"/>
      <c r="BM1627" s="17"/>
      <c r="BN1627" s="17"/>
      <c r="BO1627" s="17"/>
      <c r="BP1627" s="17"/>
      <c r="BQ1627" s="17"/>
      <c r="BR1627" s="17"/>
      <c r="BS1627" s="17"/>
      <c r="BT1627" s="17"/>
      <c r="BU1627" s="17"/>
      <c r="BV1627" s="17"/>
      <c r="BW1627" s="17"/>
      <c r="BX1627" s="17"/>
      <c r="BY1627" s="17"/>
      <c r="BZ1627" s="17"/>
      <c r="CA1627" s="17"/>
      <c r="CB1627" s="17"/>
      <c r="CC1627" s="17"/>
      <c r="CD1627" s="17"/>
      <c r="CE1627" s="17"/>
      <c r="CF1627" s="17"/>
      <c r="CG1627" s="17"/>
      <c r="CH1627" s="17"/>
    </row>
    <row r="1628" spans="35:86" x14ac:dyDescent="0.15">
      <c r="AI1628" s="3"/>
      <c r="AJ1628" s="3"/>
      <c r="AK1628" s="15">
        <f t="shared" si="516"/>
        <v>7</v>
      </c>
      <c r="AL1628" s="11">
        <f t="shared" si="521"/>
        <v>9714</v>
      </c>
      <c r="AM1628" s="11" t="b">
        <f t="shared" si="515"/>
        <v>0</v>
      </c>
      <c r="AN1628" s="11">
        <f t="shared" si="517"/>
        <v>36000</v>
      </c>
      <c r="AO1628" s="11">
        <f t="shared" si="518"/>
        <v>0</v>
      </c>
      <c r="AP1628" s="11">
        <f t="shared" si="519"/>
        <v>0.76754892237880545</v>
      </c>
      <c r="AQ1628" s="11">
        <f t="shared" si="520"/>
        <v>0</v>
      </c>
      <c r="AT1628" s="3"/>
      <c r="AU1628" s="17"/>
      <c r="AV1628" s="19"/>
      <c r="AW1628" s="17"/>
      <c r="AX1628" s="17">
        <f t="shared" si="513"/>
        <v>1619</v>
      </c>
      <c r="AY1628" s="17">
        <f t="shared" si="522"/>
        <v>161.9</v>
      </c>
      <c r="AZ1628" s="17">
        <v>76.75489223788054</v>
      </c>
      <c r="BA1628" s="17"/>
      <c r="BB1628" s="17">
        <v>36</v>
      </c>
      <c r="BC1628" s="17"/>
      <c r="BD1628" s="17"/>
      <c r="BE1628" s="17"/>
      <c r="BF1628" s="17"/>
      <c r="BG1628" s="17"/>
      <c r="BH1628" s="17"/>
      <c r="BI1628" s="17"/>
      <c r="BJ1628" s="17"/>
      <c r="BK1628" s="17"/>
      <c r="BL1628" s="17"/>
      <c r="BM1628" s="17"/>
      <c r="BN1628" s="17"/>
      <c r="BO1628" s="17"/>
      <c r="BP1628" s="17"/>
      <c r="BQ1628" s="17"/>
      <c r="BR1628" s="17"/>
      <c r="BS1628" s="17"/>
      <c r="BT1628" s="17"/>
      <c r="BU1628" s="17"/>
      <c r="BV1628" s="17"/>
      <c r="BW1628" s="17"/>
      <c r="BX1628" s="17"/>
      <c r="BY1628" s="17"/>
      <c r="BZ1628" s="17"/>
      <c r="CA1628" s="17"/>
      <c r="CB1628" s="17"/>
      <c r="CC1628" s="17"/>
      <c r="CD1628" s="17"/>
      <c r="CE1628" s="17"/>
      <c r="CF1628" s="17"/>
      <c r="CG1628" s="17"/>
      <c r="CH1628" s="17"/>
    </row>
    <row r="1629" spans="35:86" x14ac:dyDescent="0.15">
      <c r="AI1629" s="3"/>
      <c r="AJ1629" s="3"/>
      <c r="AK1629" s="15">
        <f t="shared" si="516"/>
        <v>7</v>
      </c>
      <c r="AL1629" s="11">
        <f t="shared" si="521"/>
        <v>9720</v>
      </c>
      <c r="AM1629" s="11" t="b">
        <f t="shared" si="515"/>
        <v>0</v>
      </c>
      <c r="AN1629" s="11">
        <f t="shared" si="517"/>
        <v>36000</v>
      </c>
      <c r="AO1629" s="11">
        <f t="shared" si="518"/>
        <v>0</v>
      </c>
      <c r="AP1629" s="11">
        <f t="shared" si="519"/>
        <v>0.76865123719362038</v>
      </c>
      <c r="AQ1629" s="11">
        <f t="shared" si="520"/>
        <v>0</v>
      </c>
      <c r="AT1629" s="3"/>
      <c r="AU1629" s="17"/>
      <c r="AV1629" s="19"/>
      <c r="AW1629" s="17"/>
      <c r="AX1629" s="17">
        <f t="shared" si="513"/>
        <v>1620</v>
      </c>
      <c r="AY1629" s="17">
        <f t="shared" si="522"/>
        <v>162</v>
      </c>
      <c r="AZ1629" s="17">
        <v>76.865123719362032</v>
      </c>
      <c r="BA1629" s="17"/>
      <c r="BB1629" s="17">
        <v>36</v>
      </c>
      <c r="BC1629" s="17"/>
      <c r="BD1629" s="17"/>
      <c r="BE1629" s="17"/>
      <c r="BF1629" s="17"/>
      <c r="BG1629" s="17"/>
      <c r="BH1629" s="17"/>
      <c r="BI1629" s="17"/>
      <c r="BJ1629" s="17"/>
      <c r="BK1629" s="17"/>
      <c r="BL1629" s="17"/>
      <c r="BM1629" s="17"/>
      <c r="BN1629" s="17"/>
      <c r="BO1629" s="17"/>
      <c r="BP1629" s="17"/>
      <c r="BQ1629" s="17"/>
      <c r="BR1629" s="17"/>
      <c r="BS1629" s="17"/>
      <c r="BT1629" s="17"/>
      <c r="BU1629" s="17"/>
      <c r="BV1629" s="17"/>
      <c r="BW1629" s="17"/>
      <c r="BX1629" s="17"/>
      <c r="BY1629" s="17"/>
      <c r="BZ1629" s="17"/>
      <c r="CA1629" s="17"/>
      <c r="CB1629" s="17"/>
      <c r="CC1629" s="17"/>
      <c r="CD1629" s="17"/>
      <c r="CE1629" s="17"/>
      <c r="CF1629" s="17"/>
      <c r="CG1629" s="17"/>
      <c r="CH1629" s="17"/>
    </row>
    <row r="1630" spans="35:86" x14ac:dyDescent="0.15">
      <c r="AI1630" s="3"/>
      <c r="AJ1630" s="3"/>
      <c r="AK1630" s="15">
        <f t="shared" si="516"/>
        <v>7</v>
      </c>
      <c r="AL1630" s="11">
        <f t="shared" si="521"/>
        <v>9726</v>
      </c>
      <c r="AM1630" s="11" t="b">
        <f t="shared" si="515"/>
        <v>0</v>
      </c>
      <c r="AN1630" s="11">
        <f t="shared" si="517"/>
        <v>36000</v>
      </c>
      <c r="AO1630" s="11">
        <f t="shared" si="518"/>
        <v>0</v>
      </c>
      <c r="AP1630" s="11">
        <f t="shared" si="519"/>
        <v>0.7697535520084352</v>
      </c>
      <c r="AQ1630" s="11">
        <f t="shared" si="520"/>
        <v>0</v>
      </c>
      <c r="AT1630" s="3"/>
      <c r="AU1630" s="17"/>
      <c r="AV1630" s="19"/>
      <c r="AW1630" s="17"/>
      <c r="AX1630" s="17">
        <f t="shared" si="513"/>
        <v>1621</v>
      </c>
      <c r="AY1630" s="17">
        <f t="shared" si="522"/>
        <v>162.1</v>
      </c>
      <c r="AZ1630" s="17">
        <v>76.975355200843524</v>
      </c>
      <c r="BA1630" s="17"/>
      <c r="BB1630" s="17">
        <v>36</v>
      </c>
      <c r="BC1630" s="17"/>
      <c r="BD1630" s="17"/>
      <c r="BE1630" s="17"/>
      <c r="BF1630" s="17"/>
      <c r="BG1630" s="17"/>
      <c r="BH1630" s="17"/>
      <c r="BI1630" s="17"/>
      <c r="BJ1630" s="17"/>
      <c r="BK1630" s="17"/>
      <c r="BL1630" s="17"/>
      <c r="BM1630" s="17"/>
      <c r="BN1630" s="17"/>
      <c r="BO1630" s="17"/>
      <c r="BP1630" s="17"/>
      <c r="BQ1630" s="17"/>
      <c r="BR1630" s="17"/>
      <c r="BS1630" s="17"/>
      <c r="BT1630" s="17"/>
      <c r="BU1630" s="17"/>
      <c r="BV1630" s="17"/>
      <c r="BW1630" s="17"/>
      <c r="BX1630" s="17"/>
      <c r="BY1630" s="17"/>
      <c r="BZ1630" s="17"/>
      <c r="CA1630" s="17"/>
      <c r="CB1630" s="17"/>
      <c r="CC1630" s="17"/>
      <c r="CD1630" s="17"/>
      <c r="CE1630" s="17"/>
      <c r="CF1630" s="17"/>
      <c r="CG1630" s="17"/>
      <c r="CH1630" s="17"/>
    </row>
    <row r="1631" spans="35:86" x14ac:dyDescent="0.15">
      <c r="AI1631" s="3"/>
      <c r="AJ1631" s="3"/>
      <c r="AK1631" s="15">
        <f t="shared" si="516"/>
        <v>7</v>
      </c>
      <c r="AL1631" s="11">
        <f t="shared" si="521"/>
        <v>9732</v>
      </c>
      <c r="AM1631" s="11" t="b">
        <f t="shared" si="515"/>
        <v>0</v>
      </c>
      <c r="AN1631" s="11">
        <f t="shared" si="517"/>
        <v>36000</v>
      </c>
      <c r="AO1631" s="11">
        <f t="shared" si="518"/>
        <v>0</v>
      </c>
      <c r="AP1631" s="11">
        <f t="shared" si="519"/>
        <v>0.77085586682325002</v>
      </c>
      <c r="AQ1631" s="11">
        <f t="shared" si="520"/>
        <v>0</v>
      </c>
      <c r="AT1631" s="3"/>
      <c r="AU1631" s="17"/>
      <c r="AV1631" s="19"/>
      <c r="AW1631" s="17"/>
      <c r="AX1631" s="17">
        <f t="shared" si="513"/>
        <v>1622</v>
      </c>
      <c r="AY1631" s="17">
        <f t="shared" si="522"/>
        <v>162.19999999999999</v>
      </c>
      <c r="AZ1631" s="17">
        <v>77.085586682325001</v>
      </c>
      <c r="BA1631" s="17"/>
      <c r="BB1631" s="17">
        <v>36</v>
      </c>
      <c r="BC1631" s="17"/>
      <c r="BD1631" s="17"/>
      <c r="BE1631" s="17"/>
      <c r="BF1631" s="17"/>
      <c r="BG1631" s="17"/>
      <c r="BH1631" s="17"/>
      <c r="BI1631" s="17"/>
      <c r="BJ1631" s="17"/>
      <c r="BK1631" s="17"/>
      <c r="BL1631" s="17"/>
      <c r="BM1631" s="17"/>
      <c r="BN1631" s="17"/>
      <c r="BO1631" s="17"/>
      <c r="BP1631" s="17"/>
      <c r="BQ1631" s="17"/>
      <c r="BR1631" s="17"/>
      <c r="BS1631" s="17"/>
      <c r="BT1631" s="17"/>
      <c r="BU1631" s="17"/>
      <c r="BV1631" s="17"/>
      <c r="BW1631" s="17"/>
      <c r="BX1631" s="17"/>
      <c r="BY1631" s="17"/>
      <c r="BZ1631" s="17"/>
      <c r="CA1631" s="17"/>
      <c r="CB1631" s="17"/>
      <c r="CC1631" s="17"/>
      <c r="CD1631" s="17"/>
      <c r="CE1631" s="17"/>
      <c r="CF1631" s="17"/>
      <c r="CG1631" s="17"/>
      <c r="CH1631" s="17"/>
    </row>
    <row r="1632" spans="35:86" x14ac:dyDescent="0.15">
      <c r="AI1632" s="3"/>
      <c r="AJ1632" s="3"/>
      <c r="AK1632" s="15">
        <f t="shared" si="516"/>
        <v>7</v>
      </c>
      <c r="AL1632" s="11">
        <f t="shared" si="521"/>
        <v>9738</v>
      </c>
      <c r="AM1632" s="11" t="b">
        <f t="shared" si="515"/>
        <v>0</v>
      </c>
      <c r="AN1632" s="11">
        <f t="shared" si="517"/>
        <v>36000</v>
      </c>
      <c r="AO1632" s="11">
        <f t="shared" si="518"/>
        <v>0</v>
      </c>
      <c r="AP1632" s="11">
        <f t="shared" si="519"/>
        <v>0.77195818163806484</v>
      </c>
      <c r="AQ1632" s="11">
        <f t="shared" si="520"/>
        <v>0</v>
      </c>
      <c r="AT1632" s="3"/>
      <c r="AU1632" s="17"/>
      <c r="AV1632" s="19"/>
      <c r="AW1632" s="17"/>
      <c r="AX1632" s="17">
        <f t="shared" si="513"/>
        <v>1623</v>
      </c>
      <c r="AY1632" s="17">
        <f t="shared" si="522"/>
        <v>162.30000000000001</v>
      </c>
      <c r="AZ1632" s="17">
        <v>77.195818163806479</v>
      </c>
      <c r="BA1632" s="17"/>
      <c r="BB1632" s="17">
        <v>36</v>
      </c>
      <c r="BC1632" s="17"/>
      <c r="BD1632" s="17"/>
      <c r="BE1632" s="17"/>
      <c r="BF1632" s="17"/>
      <c r="BG1632" s="17"/>
      <c r="BH1632" s="17"/>
      <c r="BI1632" s="17"/>
      <c r="BJ1632" s="17"/>
      <c r="BK1632" s="17"/>
      <c r="BL1632" s="17"/>
      <c r="BM1632" s="17"/>
      <c r="BN1632" s="17"/>
      <c r="BO1632" s="17"/>
      <c r="BP1632" s="17"/>
      <c r="BQ1632" s="17"/>
      <c r="BR1632" s="17"/>
      <c r="BS1632" s="17"/>
      <c r="BT1632" s="17"/>
      <c r="BU1632" s="17"/>
      <c r="BV1632" s="17"/>
      <c r="BW1632" s="17"/>
      <c r="BX1632" s="17"/>
      <c r="BY1632" s="17"/>
      <c r="BZ1632" s="17"/>
      <c r="CA1632" s="17"/>
      <c r="CB1632" s="17"/>
      <c r="CC1632" s="17"/>
      <c r="CD1632" s="17"/>
      <c r="CE1632" s="17"/>
      <c r="CF1632" s="17"/>
      <c r="CG1632" s="17"/>
      <c r="CH1632" s="17"/>
    </row>
    <row r="1633" spans="35:86" x14ac:dyDescent="0.15">
      <c r="AI1633" s="3"/>
      <c r="AJ1633" s="3"/>
      <c r="AK1633" s="15">
        <f t="shared" si="516"/>
        <v>7</v>
      </c>
      <c r="AL1633" s="11">
        <f t="shared" si="521"/>
        <v>9744</v>
      </c>
      <c r="AM1633" s="11" t="b">
        <f t="shared" si="515"/>
        <v>0</v>
      </c>
      <c r="AN1633" s="11">
        <f t="shared" si="517"/>
        <v>36000</v>
      </c>
      <c r="AO1633" s="11">
        <f t="shared" si="518"/>
        <v>0</v>
      </c>
      <c r="AP1633" s="11">
        <f t="shared" si="519"/>
        <v>0.77306049645287966</v>
      </c>
      <c r="AQ1633" s="11">
        <f t="shared" si="520"/>
        <v>0</v>
      </c>
      <c r="AT1633" s="3"/>
      <c r="AU1633" s="17"/>
      <c r="AV1633" s="19"/>
      <c r="AW1633" s="17"/>
      <c r="AX1633" s="17">
        <f t="shared" si="513"/>
        <v>1624</v>
      </c>
      <c r="AY1633" s="17">
        <f t="shared" si="522"/>
        <v>162.4</v>
      </c>
      <c r="AZ1633" s="17">
        <v>77.30604964528797</v>
      </c>
      <c r="BA1633" s="17"/>
      <c r="BB1633" s="17">
        <v>36</v>
      </c>
      <c r="BC1633" s="17"/>
      <c r="BD1633" s="17"/>
      <c r="BE1633" s="17"/>
      <c r="BF1633" s="17"/>
      <c r="BG1633" s="17"/>
      <c r="BH1633" s="17"/>
      <c r="BI1633" s="17"/>
      <c r="BJ1633" s="17"/>
      <c r="BK1633" s="17"/>
      <c r="BL1633" s="17"/>
      <c r="BM1633" s="17"/>
      <c r="BN1633" s="17"/>
      <c r="BO1633" s="17"/>
      <c r="BP1633" s="17"/>
      <c r="BQ1633" s="17"/>
      <c r="BR1633" s="17"/>
      <c r="BS1633" s="17"/>
      <c r="BT1633" s="17"/>
      <c r="BU1633" s="17"/>
      <c r="BV1633" s="17"/>
      <c r="BW1633" s="17"/>
      <c r="BX1633" s="17"/>
      <c r="BY1633" s="17"/>
      <c r="BZ1633" s="17"/>
      <c r="CA1633" s="17"/>
      <c r="CB1633" s="17"/>
      <c r="CC1633" s="17"/>
      <c r="CD1633" s="17"/>
      <c r="CE1633" s="17"/>
      <c r="CF1633" s="17"/>
      <c r="CG1633" s="17"/>
      <c r="CH1633" s="17"/>
    </row>
    <row r="1634" spans="35:86" x14ac:dyDescent="0.15">
      <c r="AI1634" s="3"/>
      <c r="AJ1634" s="3"/>
      <c r="AK1634" s="15">
        <f t="shared" si="516"/>
        <v>7</v>
      </c>
      <c r="AL1634" s="11">
        <f t="shared" si="521"/>
        <v>9750</v>
      </c>
      <c r="AM1634" s="11" t="b">
        <f t="shared" si="515"/>
        <v>0</v>
      </c>
      <c r="AN1634" s="11">
        <f t="shared" si="517"/>
        <v>36000</v>
      </c>
      <c r="AO1634" s="11">
        <f t="shared" si="518"/>
        <v>0</v>
      </c>
      <c r="AP1634" s="11">
        <f t="shared" si="519"/>
        <v>0.77416281126769459</v>
      </c>
      <c r="AQ1634" s="11">
        <f t="shared" si="520"/>
        <v>0</v>
      </c>
      <c r="AT1634" s="3"/>
      <c r="AU1634" s="17"/>
      <c r="AV1634" s="19"/>
      <c r="AW1634" s="17"/>
      <c r="AX1634" s="17">
        <f t="shared" si="513"/>
        <v>1625</v>
      </c>
      <c r="AY1634" s="17">
        <f t="shared" si="522"/>
        <v>162.5</v>
      </c>
      <c r="AZ1634" s="17">
        <v>77.416281126769462</v>
      </c>
      <c r="BA1634" s="17"/>
      <c r="BB1634" s="17">
        <v>36</v>
      </c>
      <c r="BC1634" s="17"/>
      <c r="BD1634" s="17"/>
      <c r="BE1634" s="17"/>
      <c r="BF1634" s="17"/>
      <c r="BG1634" s="17"/>
      <c r="BH1634" s="17"/>
      <c r="BI1634" s="17"/>
      <c r="BJ1634" s="17"/>
      <c r="BK1634" s="17"/>
      <c r="BL1634" s="17"/>
      <c r="BM1634" s="17"/>
      <c r="BN1634" s="17"/>
      <c r="BO1634" s="17"/>
      <c r="BP1634" s="17"/>
      <c r="BQ1634" s="17"/>
      <c r="BR1634" s="17"/>
      <c r="BS1634" s="17"/>
      <c r="BT1634" s="17"/>
      <c r="BU1634" s="17"/>
      <c r="BV1634" s="17"/>
      <c r="BW1634" s="17"/>
      <c r="BX1634" s="17"/>
      <c r="BY1634" s="17"/>
      <c r="BZ1634" s="17"/>
      <c r="CA1634" s="17"/>
      <c r="CB1634" s="17"/>
      <c r="CC1634" s="17"/>
      <c r="CD1634" s="17"/>
      <c r="CE1634" s="17"/>
      <c r="CF1634" s="17"/>
      <c r="CG1634" s="17"/>
      <c r="CH1634" s="17"/>
    </row>
    <row r="1635" spans="35:86" x14ac:dyDescent="0.15">
      <c r="AI1635" s="3"/>
      <c r="AJ1635" s="3"/>
      <c r="AK1635" s="15">
        <f t="shared" si="516"/>
        <v>7</v>
      </c>
      <c r="AL1635" s="11">
        <f t="shared" si="521"/>
        <v>9756</v>
      </c>
      <c r="AM1635" s="11" t="b">
        <f t="shared" si="515"/>
        <v>0</v>
      </c>
      <c r="AN1635" s="11">
        <f t="shared" si="517"/>
        <v>36000</v>
      </c>
      <c r="AO1635" s="11">
        <f t="shared" si="518"/>
        <v>0</v>
      </c>
      <c r="AP1635" s="11">
        <f t="shared" si="519"/>
        <v>0.77526512608250941</v>
      </c>
      <c r="AQ1635" s="11">
        <f t="shared" si="520"/>
        <v>0</v>
      </c>
      <c r="AT1635" s="3"/>
      <c r="AU1635" s="17"/>
      <c r="AV1635" s="19"/>
      <c r="AW1635" s="17"/>
      <c r="AX1635" s="17">
        <f t="shared" si="513"/>
        <v>1626</v>
      </c>
      <c r="AY1635" s="17">
        <f t="shared" si="522"/>
        <v>162.6</v>
      </c>
      <c r="AZ1635" s="17">
        <v>77.52651260825094</v>
      </c>
      <c r="BA1635" s="17"/>
      <c r="BB1635" s="17">
        <v>36</v>
      </c>
      <c r="BC1635" s="17"/>
      <c r="BD1635" s="17"/>
      <c r="BE1635" s="17"/>
      <c r="BF1635" s="17"/>
      <c r="BG1635" s="17"/>
      <c r="BH1635" s="17"/>
      <c r="BI1635" s="17"/>
      <c r="BJ1635" s="17"/>
      <c r="BK1635" s="17"/>
      <c r="BL1635" s="17"/>
      <c r="BM1635" s="17"/>
      <c r="BN1635" s="17"/>
      <c r="BO1635" s="17"/>
      <c r="BP1635" s="17"/>
      <c r="BQ1635" s="17"/>
      <c r="BR1635" s="17"/>
      <c r="BS1635" s="17"/>
      <c r="BT1635" s="17"/>
      <c r="BU1635" s="17"/>
      <c r="BV1635" s="17"/>
      <c r="BW1635" s="17"/>
      <c r="BX1635" s="17"/>
      <c r="BY1635" s="17"/>
      <c r="BZ1635" s="17"/>
      <c r="CA1635" s="17"/>
      <c r="CB1635" s="17"/>
      <c r="CC1635" s="17"/>
      <c r="CD1635" s="17"/>
      <c r="CE1635" s="17"/>
      <c r="CF1635" s="17"/>
      <c r="CG1635" s="17"/>
      <c r="CH1635" s="17"/>
    </row>
    <row r="1636" spans="35:86" x14ac:dyDescent="0.15">
      <c r="AI1636" s="3"/>
      <c r="AJ1636" s="3"/>
      <c r="AK1636" s="15">
        <f t="shared" si="516"/>
        <v>7</v>
      </c>
      <c r="AL1636" s="11">
        <f t="shared" si="521"/>
        <v>9762</v>
      </c>
      <c r="AM1636" s="11" t="b">
        <f t="shared" si="515"/>
        <v>0</v>
      </c>
      <c r="AN1636" s="11">
        <f t="shared" si="517"/>
        <v>36000</v>
      </c>
      <c r="AO1636" s="11">
        <f t="shared" si="518"/>
        <v>0</v>
      </c>
      <c r="AP1636" s="11">
        <f t="shared" si="519"/>
        <v>0.77636744089732423</v>
      </c>
      <c r="AQ1636" s="11">
        <f t="shared" si="520"/>
        <v>0</v>
      </c>
      <c r="AT1636" s="3"/>
      <c r="AU1636" s="17"/>
      <c r="AV1636" s="19"/>
      <c r="AW1636" s="17"/>
      <c r="AX1636" s="17">
        <f t="shared" si="513"/>
        <v>1627</v>
      </c>
      <c r="AY1636" s="17">
        <f t="shared" si="522"/>
        <v>162.69999999999999</v>
      </c>
      <c r="AZ1636" s="17">
        <v>77.636744089732417</v>
      </c>
      <c r="BA1636" s="17"/>
      <c r="BB1636" s="17">
        <v>36</v>
      </c>
      <c r="BC1636" s="17"/>
      <c r="BD1636" s="17"/>
      <c r="BE1636" s="17"/>
      <c r="BF1636" s="17"/>
      <c r="BG1636" s="17"/>
      <c r="BH1636" s="17"/>
      <c r="BI1636" s="17"/>
      <c r="BJ1636" s="17"/>
      <c r="BK1636" s="17"/>
      <c r="BL1636" s="17"/>
      <c r="BM1636" s="17"/>
      <c r="BN1636" s="17"/>
      <c r="BO1636" s="17"/>
      <c r="BP1636" s="17"/>
      <c r="BQ1636" s="17"/>
      <c r="BR1636" s="17"/>
      <c r="BS1636" s="17"/>
      <c r="BT1636" s="17"/>
      <c r="BU1636" s="17"/>
      <c r="BV1636" s="17"/>
      <c r="BW1636" s="17"/>
      <c r="BX1636" s="17"/>
      <c r="BY1636" s="17"/>
      <c r="BZ1636" s="17"/>
      <c r="CA1636" s="17"/>
      <c r="CB1636" s="17"/>
      <c r="CC1636" s="17"/>
      <c r="CD1636" s="17"/>
      <c r="CE1636" s="17"/>
      <c r="CF1636" s="17"/>
      <c r="CG1636" s="17"/>
      <c r="CH1636" s="17"/>
    </row>
    <row r="1637" spans="35:86" x14ac:dyDescent="0.15">
      <c r="AI1637" s="3"/>
      <c r="AJ1637" s="3"/>
      <c r="AK1637" s="15">
        <f t="shared" si="516"/>
        <v>7</v>
      </c>
      <c r="AL1637" s="11">
        <f t="shared" si="521"/>
        <v>9768</v>
      </c>
      <c r="AM1637" s="11" t="b">
        <f t="shared" si="515"/>
        <v>0</v>
      </c>
      <c r="AN1637" s="11">
        <f t="shared" si="517"/>
        <v>36000</v>
      </c>
      <c r="AO1637" s="11">
        <f t="shared" si="518"/>
        <v>0</v>
      </c>
      <c r="AP1637" s="11">
        <f t="shared" si="519"/>
        <v>0.77746975571213905</v>
      </c>
      <c r="AQ1637" s="11">
        <f t="shared" si="520"/>
        <v>0</v>
      </c>
      <c r="AT1637" s="3"/>
      <c r="AU1637" s="17"/>
      <c r="AV1637" s="19"/>
      <c r="AW1637" s="17"/>
      <c r="AX1637" s="17">
        <f t="shared" si="513"/>
        <v>1628</v>
      </c>
      <c r="AY1637" s="17">
        <f t="shared" si="522"/>
        <v>162.80000000000001</v>
      </c>
      <c r="AZ1637" s="17">
        <v>77.746975571213909</v>
      </c>
      <c r="BA1637" s="17"/>
      <c r="BB1637" s="17">
        <v>36</v>
      </c>
      <c r="BC1637" s="17"/>
      <c r="BD1637" s="17"/>
      <c r="BE1637" s="17"/>
      <c r="BF1637" s="17"/>
      <c r="BG1637" s="17"/>
      <c r="BH1637" s="17"/>
      <c r="BI1637" s="17"/>
      <c r="BJ1637" s="17"/>
      <c r="BK1637" s="17"/>
      <c r="BL1637" s="17"/>
      <c r="BM1637" s="17"/>
      <c r="BN1637" s="17"/>
      <c r="BO1637" s="17"/>
      <c r="BP1637" s="17"/>
      <c r="BQ1637" s="17"/>
      <c r="BR1637" s="17"/>
      <c r="BS1637" s="17"/>
      <c r="BT1637" s="17"/>
      <c r="BU1637" s="17"/>
      <c r="BV1637" s="17"/>
      <c r="BW1637" s="17"/>
      <c r="BX1637" s="17"/>
      <c r="BY1637" s="17"/>
      <c r="BZ1637" s="17"/>
      <c r="CA1637" s="17"/>
      <c r="CB1637" s="17"/>
      <c r="CC1637" s="17"/>
      <c r="CD1637" s="17"/>
      <c r="CE1637" s="17"/>
      <c r="CF1637" s="17"/>
      <c r="CG1637" s="17"/>
      <c r="CH1637" s="17"/>
    </row>
    <row r="1638" spans="35:86" x14ac:dyDescent="0.15">
      <c r="AI1638" s="3"/>
      <c r="AJ1638" s="3"/>
      <c r="AK1638" s="15">
        <f t="shared" si="516"/>
        <v>7</v>
      </c>
      <c r="AL1638" s="11">
        <f t="shared" si="521"/>
        <v>9774</v>
      </c>
      <c r="AM1638" s="11" t="b">
        <f t="shared" si="515"/>
        <v>0</v>
      </c>
      <c r="AN1638" s="11">
        <f t="shared" si="517"/>
        <v>36000</v>
      </c>
      <c r="AO1638" s="11">
        <f t="shared" si="518"/>
        <v>0</v>
      </c>
      <c r="AP1638" s="11">
        <f t="shared" si="519"/>
        <v>0.77857207052695387</v>
      </c>
      <c r="AQ1638" s="11">
        <f t="shared" si="520"/>
        <v>0</v>
      </c>
      <c r="AT1638" s="3"/>
      <c r="AU1638" s="17"/>
      <c r="AV1638" s="19"/>
      <c r="AW1638" s="17"/>
      <c r="AX1638" s="17">
        <f t="shared" si="513"/>
        <v>1629</v>
      </c>
      <c r="AY1638" s="17">
        <f t="shared" si="522"/>
        <v>162.9</v>
      </c>
      <c r="AZ1638" s="17">
        <v>77.857207052695387</v>
      </c>
      <c r="BA1638" s="17"/>
      <c r="BB1638" s="17">
        <v>36</v>
      </c>
      <c r="BC1638" s="17"/>
      <c r="BD1638" s="17"/>
      <c r="BE1638" s="17"/>
      <c r="BF1638" s="17"/>
      <c r="BG1638" s="17"/>
      <c r="BH1638" s="17"/>
      <c r="BI1638" s="17"/>
      <c r="BJ1638" s="17"/>
      <c r="BK1638" s="17"/>
      <c r="BL1638" s="17"/>
      <c r="BM1638" s="17"/>
      <c r="BN1638" s="17"/>
      <c r="BO1638" s="17"/>
      <c r="BP1638" s="17"/>
      <c r="BQ1638" s="17"/>
      <c r="BR1638" s="17"/>
      <c r="BS1638" s="17"/>
      <c r="BT1638" s="17"/>
      <c r="BU1638" s="17"/>
      <c r="BV1638" s="17"/>
      <c r="BW1638" s="17"/>
      <c r="BX1638" s="17"/>
      <c r="BY1638" s="17"/>
      <c r="BZ1638" s="17"/>
      <c r="CA1638" s="17"/>
      <c r="CB1638" s="17"/>
      <c r="CC1638" s="17"/>
      <c r="CD1638" s="17"/>
      <c r="CE1638" s="17"/>
      <c r="CF1638" s="17"/>
      <c r="CG1638" s="17"/>
      <c r="CH1638" s="17"/>
    </row>
    <row r="1639" spans="35:86" x14ac:dyDescent="0.15">
      <c r="AI1639" s="3"/>
      <c r="AJ1639" s="3"/>
      <c r="AK1639" s="15">
        <f t="shared" si="516"/>
        <v>7</v>
      </c>
      <c r="AL1639" s="11">
        <f t="shared" si="521"/>
        <v>9780</v>
      </c>
      <c r="AM1639" s="11" t="b">
        <f t="shared" si="515"/>
        <v>0</v>
      </c>
      <c r="AN1639" s="11">
        <f t="shared" si="517"/>
        <v>36000</v>
      </c>
      <c r="AO1639" s="11">
        <f t="shared" si="518"/>
        <v>0</v>
      </c>
      <c r="AP1639" s="11">
        <f t="shared" si="519"/>
        <v>0.77967438534176881</v>
      </c>
      <c r="AQ1639" s="11">
        <f t="shared" si="520"/>
        <v>0</v>
      </c>
      <c r="AT1639" s="3"/>
      <c r="AU1639" s="17"/>
      <c r="AV1639" s="19"/>
      <c r="AW1639" s="17"/>
      <c r="AX1639" s="17">
        <f t="shared" si="513"/>
        <v>1630</v>
      </c>
      <c r="AY1639" s="17">
        <f t="shared" si="522"/>
        <v>163</v>
      </c>
      <c r="AZ1639" s="17">
        <v>77.967438534176878</v>
      </c>
      <c r="BA1639" s="17"/>
      <c r="BB1639" s="17">
        <v>36</v>
      </c>
      <c r="BC1639" s="17"/>
      <c r="BD1639" s="17"/>
      <c r="BE1639" s="17"/>
      <c r="BF1639" s="17"/>
      <c r="BG1639" s="17"/>
      <c r="BH1639" s="17"/>
      <c r="BI1639" s="17"/>
      <c r="BJ1639" s="17"/>
      <c r="BK1639" s="17"/>
      <c r="BL1639" s="17"/>
      <c r="BM1639" s="17"/>
      <c r="BN1639" s="17"/>
      <c r="BO1639" s="17"/>
      <c r="BP1639" s="17"/>
      <c r="BQ1639" s="17"/>
      <c r="BR1639" s="17"/>
      <c r="BS1639" s="17"/>
      <c r="BT1639" s="17"/>
      <c r="BU1639" s="17"/>
      <c r="BV1639" s="17"/>
      <c r="BW1639" s="17"/>
      <c r="BX1639" s="17"/>
      <c r="BY1639" s="17"/>
      <c r="BZ1639" s="17"/>
      <c r="CA1639" s="17"/>
      <c r="CB1639" s="17"/>
      <c r="CC1639" s="17"/>
      <c r="CD1639" s="17"/>
      <c r="CE1639" s="17"/>
      <c r="CF1639" s="17"/>
      <c r="CG1639" s="17"/>
      <c r="CH1639" s="17"/>
    </row>
    <row r="1640" spans="35:86" x14ac:dyDescent="0.15">
      <c r="AI1640" s="3"/>
      <c r="AJ1640" s="3"/>
      <c r="AK1640" s="15">
        <f t="shared" si="516"/>
        <v>7</v>
      </c>
      <c r="AL1640" s="11">
        <f t="shared" si="521"/>
        <v>9786</v>
      </c>
      <c r="AM1640" s="11" t="b">
        <f t="shared" si="515"/>
        <v>0</v>
      </c>
      <c r="AN1640" s="11">
        <f t="shared" si="517"/>
        <v>36000</v>
      </c>
      <c r="AO1640" s="11">
        <f t="shared" si="518"/>
        <v>0</v>
      </c>
      <c r="AP1640" s="11">
        <f t="shared" si="519"/>
        <v>0.78077670015658363</v>
      </c>
      <c r="AQ1640" s="11">
        <f t="shared" si="520"/>
        <v>0</v>
      </c>
      <c r="AT1640" s="3"/>
      <c r="AU1640" s="17"/>
      <c r="AV1640" s="19"/>
      <c r="AW1640" s="17"/>
      <c r="AX1640" s="17">
        <f t="shared" si="513"/>
        <v>1631</v>
      </c>
      <c r="AY1640" s="17">
        <f t="shared" si="522"/>
        <v>163.1</v>
      </c>
      <c r="AZ1640" s="17">
        <v>78.077670015658356</v>
      </c>
      <c r="BA1640" s="17"/>
      <c r="BB1640" s="17">
        <v>36</v>
      </c>
      <c r="BC1640" s="17"/>
      <c r="BD1640" s="17"/>
      <c r="BE1640" s="17"/>
      <c r="BF1640" s="17"/>
      <c r="BG1640" s="17"/>
      <c r="BH1640" s="17"/>
      <c r="BI1640" s="17"/>
      <c r="BJ1640" s="17"/>
      <c r="BK1640" s="17"/>
      <c r="BL1640" s="17"/>
      <c r="BM1640" s="17"/>
      <c r="BN1640" s="17"/>
      <c r="BO1640" s="17"/>
      <c r="BP1640" s="17"/>
      <c r="BQ1640" s="17"/>
      <c r="BR1640" s="17"/>
      <c r="BS1640" s="17"/>
      <c r="BT1640" s="17"/>
      <c r="BU1640" s="17"/>
      <c r="BV1640" s="17"/>
      <c r="BW1640" s="17"/>
      <c r="BX1640" s="17"/>
      <c r="BY1640" s="17"/>
      <c r="BZ1640" s="17"/>
      <c r="CA1640" s="17"/>
      <c r="CB1640" s="17"/>
      <c r="CC1640" s="17"/>
      <c r="CD1640" s="17"/>
      <c r="CE1640" s="17"/>
      <c r="CF1640" s="17"/>
      <c r="CG1640" s="17"/>
      <c r="CH1640" s="17"/>
    </row>
    <row r="1641" spans="35:86" x14ac:dyDescent="0.15">
      <c r="AI1641" s="3"/>
      <c r="AJ1641" s="3"/>
      <c r="AK1641" s="15">
        <f t="shared" si="516"/>
        <v>7</v>
      </c>
      <c r="AL1641" s="11">
        <f t="shared" si="521"/>
        <v>9792</v>
      </c>
      <c r="AM1641" s="11" t="b">
        <f t="shared" si="515"/>
        <v>0</v>
      </c>
      <c r="AN1641" s="11">
        <f t="shared" si="517"/>
        <v>36000</v>
      </c>
      <c r="AO1641" s="11">
        <f t="shared" si="518"/>
        <v>0</v>
      </c>
      <c r="AP1641" s="11">
        <f t="shared" si="519"/>
        <v>0.78187901497139844</v>
      </c>
      <c r="AQ1641" s="11">
        <f t="shared" si="520"/>
        <v>0</v>
      </c>
      <c r="AT1641" s="3"/>
      <c r="AU1641" s="17"/>
      <c r="AV1641" s="19"/>
      <c r="AW1641" s="17"/>
      <c r="AX1641" s="17">
        <f t="shared" si="513"/>
        <v>1632</v>
      </c>
      <c r="AY1641" s="17">
        <f t="shared" si="522"/>
        <v>163.19999999999999</v>
      </c>
      <c r="AZ1641" s="17">
        <v>78.187901497139848</v>
      </c>
      <c r="BA1641" s="17"/>
      <c r="BB1641" s="17">
        <v>36</v>
      </c>
      <c r="BC1641" s="17"/>
      <c r="BD1641" s="17"/>
      <c r="BE1641" s="17"/>
      <c r="BF1641" s="17"/>
      <c r="BG1641" s="17"/>
      <c r="BH1641" s="17"/>
      <c r="BI1641" s="17"/>
      <c r="BJ1641" s="17"/>
      <c r="BK1641" s="17"/>
      <c r="BL1641" s="17"/>
      <c r="BM1641" s="17"/>
      <c r="BN1641" s="17"/>
      <c r="BO1641" s="17"/>
      <c r="BP1641" s="17"/>
      <c r="BQ1641" s="17"/>
      <c r="BR1641" s="17"/>
      <c r="BS1641" s="17"/>
      <c r="BT1641" s="17"/>
      <c r="BU1641" s="17"/>
      <c r="BV1641" s="17"/>
      <c r="BW1641" s="17"/>
      <c r="BX1641" s="17"/>
      <c r="BY1641" s="17"/>
      <c r="BZ1641" s="17"/>
      <c r="CA1641" s="17"/>
      <c r="CB1641" s="17"/>
      <c r="CC1641" s="17"/>
      <c r="CD1641" s="17"/>
      <c r="CE1641" s="17"/>
      <c r="CF1641" s="17"/>
      <c r="CG1641" s="17"/>
      <c r="CH1641" s="17"/>
    </row>
    <row r="1642" spans="35:86" x14ac:dyDescent="0.15">
      <c r="AI1642" s="3"/>
      <c r="AJ1642" s="3"/>
      <c r="AK1642" s="15">
        <f t="shared" si="516"/>
        <v>7</v>
      </c>
      <c r="AL1642" s="11">
        <f t="shared" si="521"/>
        <v>9798</v>
      </c>
      <c r="AM1642" s="11" t="b">
        <f t="shared" si="515"/>
        <v>0</v>
      </c>
      <c r="AN1642" s="11">
        <f t="shared" si="517"/>
        <v>36000</v>
      </c>
      <c r="AO1642" s="11">
        <f t="shared" si="518"/>
        <v>0</v>
      </c>
      <c r="AP1642" s="11">
        <f t="shared" si="519"/>
        <v>0.78298132978621326</v>
      </c>
      <c r="AQ1642" s="11">
        <f t="shared" si="520"/>
        <v>0</v>
      </c>
      <c r="AT1642" s="3"/>
      <c r="AU1642" s="17"/>
      <c r="AV1642" s="19"/>
      <c r="AW1642" s="17"/>
      <c r="AX1642" s="17">
        <f t="shared" si="513"/>
        <v>1633</v>
      </c>
      <c r="AY1642" s="17">
        <f t="shared" si="522"/>
        <v>163.30000000000001</v>
      </c>
      <c r="AZ1642" s="17">
        <v>78.298132978621325</v>
      </c>
      <c r="BA1642" s="17"/>
      <c r="BB1642" s="17">
        <v>36</v>
      </c>
      <c r="BC1642" s="17"/>
      <c r="BD1642" s="17"/>
      <c r="BE1642" s="17"/>
      <c r="BF1642" s="17"/>
      <c r="BG1642" s="17"/>
      <c r="BH1642" s="17"/>
      <c r="BI1642" s="17"/>
      <c r="BJ1642" s="17"/>
      <c r="BK1642" s="17"/>
      <c r="BL1642" s="17"/>
      <c r="BM1642" s="17"/>
      <c r="BN1642" s="17"/>
      <c r="BO1642" s="17"/>
      <c r="BP1642" s="17"/>
      <c r="BQ1642" s="17"/>
      <c r="BR1642" s="17"/>
      <c r="BS1642" s="17"/>
      <c r="BT1642" s="17"/>
      <c r="BU1642" s="17"/>
      <c r="BV1642" s="17"/>
      <c r="BW1642" s="17"/>
      <c r="BX1642" s="17"/>
      <c r="BY1642" s="17"/>
      <c r="BZ1642" s="17"/>
      <c r="CA1642" s="17"/>
      <c r="CB1642" s="17"/>
      <c r="CC1642" s="17"/>
      <c r="CD1642" s="17"/>
      <c r="CE1642" s="17"/>
      <c r="CF1642" s="17"/>
      <c r="CG1642" s="17"/>
      <c r="CH1642" s="17"/>
    </row>
    <row r="1643" spans="35:86" x14ac:dyDescent="0.15">
      <c r="AI1643" s="3"/>
      <c r="AJ1643" s="3"/>
      <c r="AK1643" s="15">
        <f t="shared" si="516"/>
        <v>7</v>
      </c>
      <c r="AL1643" s="11">
        <f t="shared" si="521"/>
        <v>9804</v>
      </c>
      <c r="AM1643" s="11" t="b">
        <f t="shared" si="515"/>
        <v>0</v>
      </c>
      <c r="AN1643" s="11">
        <f t="shared" si="517"/>
        <v>36000</v>
      </c>
      <c r="AO1643" s="11">
        <f t="shared" si="518"/>
        <v>0</v>
      </c>
      <c r="AP1643" s="11">
        <f t="shared" si="519"/>
        <v>0.78408364460102808</v>
      </c>
      <c r="AQ1643" s="11">
        <f t="shared" si="520"/>
        <v>0</v>
      </c>
      <c r="AT1643" s="3"/>
      <c r="AU1643" s="17"/>
      <c r="AV1643" s="19"/>
      <c r="AW1643" s="17"/>
      <c r="AX1643" s="17">
        <f t="shared" si="513"/>
        <v>1634</v>
      </c>
      <c r="AY1643" s="17">
        <f t="shared" si="522"/>
        <v>163.4</v>
      </c>
      <c r="AZ1643" s="17">
        <v>78.408364460102803</v>
      </c>
      <c r="BA1643" s="17"/>
      <c r="BB1643" s="17">
        <v>36</v>
      </c>
      <c r="BC1643" s="17"/>
      <c r="BD1643" s="17"/>
      <c r="BE1643" s="17"/>
      <c r="BF1643" s="17"/>
      <c r="BG1643" s="17"/>
      <c r="BH1643" s="17"/>
      <c r="BI1643" s="17"/>
      <c r="BJ1643" s="17"/>
      <c r="BK1643" s="17"/>
      <c r="BL1643" s="17"/>
      <c r="BM1643" s="17"/>
      <c r="BN1643" s="17"/>
      <c r="BO1643" s="17"/>
      <c r="BP1643" s="17"/>
      <c r="BQ1643" s="17"/>
      <c r="BR1643" s="17"/>
      <c r="BS1643" s="17"/>
      <c r="BT1643" s="17"/>
      <c r="BU1643" s="17"/>
      <c r="BV1643" s="17"/>
      <c r="BW1643" s="17"/>
      <c r="BX1643" s="17"/>
      <c r="BY1643" s="17"/>
      <c r="BZ1643" s="17"/>
      <c r="CA1643" s="17"/>
      <c r="CB1643" s="17"/>
      <c r="CC1643" s="17"/>
      <c r="CD1643" s="17"/>
      <c r="CE1643" s="17"/>
      <c r="CF1643" s="17"/>
      <c r="CG1643" s="17"/>
      <c r="CH1643" s="17"/>
    </row>
    <row r="1644" spans="35:86" x14ac:dyDescent="0.15">
      <c r="AI1644" s="3"/>
      <c r="AJ1644" s="3"/>
      <c r="AK1644" s="15">
        <f t="shared" si="516"/>
        <v>7</v>
      </c>
      <c r="AL1644" s="11">
        <f t="shared" si="521"/>
        <v>9810</v>
      </c>
      <c r="AM1644" s="11" t="b">
        <f t="shared" si="515"/>
        <v>0</v>
      </c>
      <c r="AN1644" s="11">
        <f t="shared" si="517"/>
        <v>36000</v>
      </c>
      <c r="AO1644" s="11">
        <f t="shared" si="518"/>
        <v>0</v>
      </c>
      <c r="AP1644" s="11">
        <f t="shared" si="519"/>
        <v>0.78518595941584302</v>
      </c>
      <c r="AQ1644" s="11">
        <f t="shared" si="520"/>
        <v>0</v>
      </c>
      <c r="AT1644" s="3"/>
      <c r="AU1644" s="17"/>
      <c r="AV1644" s="19"/>
      <c r="AW1644" s="17"/>
      <c r="AX1644" s="17">
        <f t="shared" si="513"/>
        <v>1635</v>
      </c>
      <c r="AY1644" s="17">
        <f t="shared" si="522"/>
        <v>163.5</v>
      </c>
      <c r="AZ1644" s="17">
        <v>78.518595941584294</v>
      </c>
      <c r="BA1644" s="17"/>
      <c r="BB1644" s="17">
        <v>36</v>
      </c>
      <c r="BC1644" s="17"/>
      <c r="BD1644" s="17"/>
      <c r="BE1644" s="17"/>
      <c r="BF1644" s="17"/>
      <c r="BG1644" s="17"/>
      <c r="BH1644" s="17"/>
      <c r="BI1644" s="17"/>
      <c r="BJ1644" s="17"/>
      <c r="BK1644" s="17"/>
      <c r="BL1644" s="17"/>
      <c r="BM1644" s="17"/>
      <c r="BN1644" s="17"/>
      <c r="BO1644" s="17"/>
      <c r="BP1644" s="17"/>
      <c r="BQ1644" s="17"/>
      <c r="BR1644" s="17"/>
      <c r="BS1644" s="17"/>
      <c r="BT1644" s="17"/>
      <c r="BU1644" s="17"/>
      <c r="BV1644" s="17"/>
      <c r="BW1644" s="17"/>
      <c r="BX1644" s="17"/>
      <c r="BY1644" s="17"/>
      <c r="BZ1644" s="17"/>
      <c r="CA1644" s="17"/>
      <c r="CB1644" s="17"/>
      <c r="CC1644" s="17"/>
      <c r="CD1644" s="17"/>
      <c r="CE1644" s="17"/>
      <c r="CF1644" s="17"/>
      <c r="CG1644" s="17"/>
      <c r="CH1644" s="17"/>
    </row>
    <row r="1645" spans="35:86" x14ac:dyDescent="0.15">
      <c r="AI1645" s="3"/>
      <c r="AJ1645" s="3"/>
      <c r="AK1645" s="15">
        <f t="shared" si="516"/>
        <v>7</v>
      </c>
      <c r="AL1645" s="11">
        <f t="shared" si="521"/>
        <v>9816</v>
      </c>
      <c r="AM1645" s="11" t="b">
        <f t="shared" si="515"/>
        <v>0</v>
      </c>
      <c r="AN1645" s="11">
        <f t="shared" si="517"/>
        <v>36000</v>
      </c>
      <c r="AO1645" s="11">
        <f t="shared" si="518"/>
        <v>0</v>
      </c>
      <c r="AP1645" s="11">
        <f t="shared" si="519"/>
        <v>0.78628827423065784</v>
      </c>
      <c r="AQ1645" s="11">
        <f t="shared" si="520"/>
        <v>0</v>
      </c>
      <c r="AT1645" s="3"/>
      <c r="AU1645" s="17"/>
      <c r="AV1645" s="19"/>
      <c r="AW1645" s="17"/>
      <c r="AX1645" s="17">
        <f t="shared" si="513"/>
        <v>1636</v>
      </c>
      <c r="AY1645" s="17">
        <f t="shared" si="522"/>
        <v>163.6</v>
      </c>
      <c r="AZ1645" s="17">
        <v>78.628827423065786</v>
      </c>
      <c r="BA1645" s="17"/>
      <c r="BB1645" s="17">
        <v>36</v>
      </c>
      <c r="BC1645" s="17"/>
      <c r="BD1645" s="17"/>
      <c r="BE1645" s="17"/>
      <c r="BF1645" s="17"/>
      <c r="BG1645" s="17"/>
      <c r="BH1645" s="17"/>
      <c r="BI1645" s="17"/>
      <c r="BJ1645" s="17"/>
      <c r="BK1645" s="17"/>
      <c r="BL1645" s="17"/>
      <c r="BM1645" s="17"/>
      <c r="BN1645" s="17"/>
      <c r="BO1645" s="17"/>
      <c r="BP1645" s="17"/>
      <c r="BQ1645" s="17"/>
      <c r="BR1645" s="17"/>
      <c r="BS1645" s="17"/>
      <c r="BT1645" s="17"/>
      <c r="BU1645" s="17"/>
      <c r="BV1645" s="17"/>
      <c r="BW1645" s="17"/>
      <c r="BX1645" s="17"/>
      <c r="BY1645" s="17"/>
      <c r="BZ1645" s="17"/>
      <c r="CA1645" s="17"/>
      <c r="CB1645" s="17"/>
      <c r="CC1645" s="17"/>
      <c r="CD1645" s="17"/>
      <c r="CE1645" s="17"/>
      <c r="CF1645" s="17"/>
      <c r="CG1645" s="17"/>
      <c r="CH1645" s="17"/>
    </row>
    <row r="1646" spans="35:86" x14ac:dyDescent="0.15">
      <c r="AI1646" s="3"/>
      <c r="AJ1646" s="3"/>
      <c r="AK1646" s="15">
        <f t="shared" si="516"/>
        <v>7</v>
      </c>
      <c r="AL1646" s="11">
        <f t="shared" si="521"/>
        <v>9822</v>
      </c>
      <c r="AM1646" s="11" t="b">
        <f t="shared" si="515"/>
        <v>0</v>
      </c>
      <c r="AN1646" s="11">
        <f t="shared" si="517"/>
        <v>36000</v>
      </c>
      <c r="AO1646" s="11">
        <f t="shared" si="518"/>
        <v>0</v>
      </c>
      <c r="AP1646" s="11">
        <f t="shared" si="519"/>
        <v>0.78739058904547266</v>
      </c>
      <c r="AQ1646" s="11">
        <f t="shared" si="520"/>
        <v>0</v>
      </c>
      <c r="AT1646" s="3"/>
      <c r="AU1646" s="17"/>
      <c r="AV1646" s="19"/>
      <c r="AW1646" s="17"/>
      <c r="AX1646" s="17">
        <f t="shared" ref="AX1646:AX1689" si="523">IF(AX1645&gt;=$AG$14,$AG$14,AX1645+1)</f>
        <v>1637</v>
      </c>
      <c r="AY1646" s="17">
        <f t="shared" si="522"/>
        <v>163.69999999999999</v>
      </c>
      <c r="AZ1646" s="17">
        <v>78.739058904547264</v>
      </c>
      <c r="BA1646" s="17"/>
      <c r="BB1646" s="17">
        <v>36</v>
      </c>
      <c r="BC1646" s="17"/>
      <c r="BD1646" s="17"/>
      <c r="BE1646" s="17"/>
      <c r="BF1646" s="17"/>
      <c r="BG1646" s="17"/>
      <c r="BH1646" s="17"/>
      <c r="BI1646" s="17"/>
      <c r="BJ1646" s="17"/>
      <c r="BK1646" s="17"/>
      <c r="BL1646" s="17"/>
      <c r="BM1646" s="17"/>
      <c r="BN1646" s="17"/>
      <c r="BO1646" s="17"/>
      <c r="BP1646" s="17"/>
      <c r="BQ1646" s="17"/>
      <c r="BR1646" s="17"/>
      <c r="BS1646" s="17"/>
      <c r="BT1646" s="17"/>
      <c r="BU1646" s="17"/>
      <c r="BV1646" s="17"/>
      <c r="BW1646" s="17"/>
      <c r="BX1646" s="17"/>
      <c r="BY1646" s="17"/>
      <c r="BZ1646" s="17"/>
      <c r="CA1646" s="17"/>
      <c r="CB1646" s="17"/>
      <c r="CC1646" s="17"/>
      <c r="CD1646" s="17"/>
      <c r="CE1646" s="17"/>
      <c r="CF1646" s="17"/>
      <c r="CG1646" s="17"/>
      <c r="CH1646" s="17"/>
    </row>
    <row r="1647" spans="35:86" x14ac:dyDescent="0.15">
      <c r="AI1647" s="3"/>
      <c r="AJ1647" s="3"/>
      <c r="AK1647" s="15">
        <f t="shared" si="516"/>
        <v>7</v>
      </c>
      <c r="AL1647" s="11">
        <f t="shared" si="521"/>
        <v>9828</v>
      </c>
      <c r="AM1647" s="11" t="b">
        <f t="shared" si="515"/>
        <v>0</v>
      </c>
      <c r="AN1647" s="11">
        <f t="shared" si="517"/>
        <v>36000</v>
      </c>
      <c r="AO1647" s="11">
        <f t="shared" si="518"/>
        <v>0</v>
      </c>
      <c r="AP1647" s="11">
        <f t="shared" si="519"/>
        <v>0.78849290386028748</v>
      </c>
      <c r="AQ1647" s="11">
        <f t="shared" si="520"/>
        <v>0</v>
      </c>
      <c r="AT1647" s="3"/>
      <c r="AU1647" s="17"/>
      <c r="AV1647" s="19"/>
      <c r="AW1647" s="17"/>
      <c r="AX1647" s="17">
        <f t="shared" si="523"/>
        <v>1638</v>
      </c>
      <c r="AY1647" s="17">
        <f t="shared" si="522"/>
        <v>163.80000000000001</v>
      </c>
      <c r="AZ1647" s="17">
        <v>78.849290386028741</v>
      </c>
      <c r="BA1647" s="17"/>
      <c r="BB1647" s="17">
        <v>36</v>
      </c>
      <c r="BC1647" s="17"/>
      <c r="BD1647" s="17"/>
      <c r="BE1647" s="17"/>
      <c r="BF1647" s="17"/>
      <c r="BG1647" s="17"/>
      <c r="BH1647" s="17"/>
      <c r="BI1647" s="17"/>
      <c r="BJ1647" s="17"/>
      <c r="BK1647" s="17"/>
      <c r="BL1647" s="17"/>
      <c r="BM1647" s="17"/>
      <c r="BN1647" s="17"/>
      <c r="BO1647" s="17"/>
      <c r="BP1647" s="17"/>
      <c r="BQ1647" s="17"/>
      <c r="BR1647" s="17"/>
      <c r="BS1647" s="17"/>
      <c r="BT1647" s="17"/>
      <c r="BU1647" s="17"/>
      <c r="BV1647" s="17"/>
      <c r="BW1647" s="17"/>
      <c r="BX1647" s="17"/>
      <c r="BY1647" s="17"/>
      <c r="BZ1647" s="17"/>
      <c r="CA1647" s="17"/>
      <c r="CB1647" s="17"/>
      <c r="CC1647" s="17"/>
      <c r="CD1647" s="17"/>
      <c r="CE1647" s="17"/>
      <c r="CF1647" s="17"/>
      <c r="CG1647" s="17"/>
      <c r="CH1647" s="17"/>
    </row>
    <row r="1648" spans="35:86" x14ac:dyDescent="0.15">
      <c r="AI1648" s="3"/>
      <c r="AJ1648" s="3"/>
      <c r="AK1648" s="15">
        <f t="shared" si="516"/>
        <v>7</v>
      </c>
      <c r="AL1648" s="11">
        <f t="shared" si="521"/>
        <v>9834</v>
      </c>
      <c r="AM1648" s="11" t="b">
        <f t="shared" si="515"/>
        <v>0</v>
      </c>
      <c r="AN1648" s="11">
        <f t="shared" si="517"/>
        <v>36000</v>
      </c>
      <c r="AO1648" s="11">
        <f t="shared" si="518"/>
        <v>0</v>
      </c>
      <c r="AP1648" s="11">
        <f t="shared" si="519"/>
        <v>0.78959521867510229</v>
      </c>
      <c r="AQ1648" s="11">
        <f t="shared" si="520"/>
        <v>0</v>
      </c>
      <c r="AT1648" s="3"/>
      <c r="AU1648" s="17"/>
      <c r="AV1648" s="19"/>
      <c r="AW1648" s="17"/>
      <c r="AX1648" s="17">
        <f t="shared" si="523"/>
        <v>1639</v>
      </c>
      <c r="AY1648" s="17">
        <f t="shared" si="522"/>
        <v>163.9</v>
      </c>
      <c r="AZ1648" s="17">
        <v>78.959521867510233</v>
      </c>
      <c r="BA1648" s="17"/>
      <c r="BB1648" s="17">
        <v>36</v>
      </c>
      <c r="BC1648" s="17"/>
      <c r="BD1648" s="17"/>
      <c r="BE1648" s="17"/>
      <c r="BF1648" s="17"/>
      <c r="BG1648" s="17"/>
      <c r="BH1648" s="17"/>
      <c r="BI1648" s="17"/>
      <c r="BJ1648" s="17"/>
      <c r="BK1648" s="17"/>
      <c r="BL1648" s="17"/>
      <c r="BM1648" s="17"/>
      <c r="BN1648" s="17"/>
      <c r="BO1648" s="17"/>
      <c r="BP1648" s="17"/>
      <c r="BQ1648" s="17"/>
      <c r="BR1648" s="17"/>
      <c r="BS1648" s="17"/>
      <c r="BT1648" s="17"/>
      <c r="BU1648" s="17"/>
      <c r="BV1648" s="17"/>
      <c r="BW1648" s="17"/>
      <c r="BX1648" s="17"/>
      <c r="BY1648" s="17"/>
      <c r="BZ1648" s="17"/>
      <c r="CA1648" s="17"/>
      <c r="CB1648" s="17"/>
      <c r="CC1648" s="17"/>
      <c r="CD1648" s="17"/>
      <c r="CE1648" s="17"/>
      <c r="CF1648" s="17"/>
      <c r="CG1648" s="17"/>
      <c r="CH1648" s="17"/>
    </row>
    <row r="1649" spans="35:86" x14ac:dyDescent="0.15">
      <c r="AI1649" s="3"/>
      <c r="AJ1649" s="3"/>
      <c r="AK1649" s="15">
        <f t="shared" si="516"/>
        <v>7</v>
      </c>
      <c r="AL1649" s="11">
        <f t="shared" si="521"/>
        <v>9840</v>
      </c>
      <c r="AM1649" s="11" t="b">
        <f t="shared" si="515"/>
        <v>0</v>
      </c>
      <c r="AN1649" s="11">
        <f t="shared" si="517"/>
        <v>36000</v>
      </c>
      <c r="AO1649" s="11">
        <f t="shared" si="518"/>
        <v>0</v>
      </c>
      <c r="AP1649" s="11">
        <f t="shared" si="519"/>
        <v>0.79069753348991723</v>
      </c>
      <c r="AQ1649" s="11">
        <f t="shared" si="520"/>
        <v>0</v>
      </c>
      <c r="AT1649" s="3"/>
      <c r="AU1649" s="17"/>
      <c r="AV1649" s="19"/>
      <c r="AW1649" s="17"/>
      <c r="AX1649" s="17">
        <f t="shared" si="523"/>
        <v>1640</v>
      </c>
      <c r="AY1649" s="17">
        <f t="shared" si="522"/>
        <v>164</v>
      </c>
      <c r="AZ1649" s="17">
        <v>79.069753348991725</v>
      </c>
      <c r="BA1649" s="17"/>
      <c r="BB1649" s="17">
        <v>36</v>
      </c>
      <c r="BC1649" s="17"/>
      <c r="BD1649" s="17"/>
      <c r="BE1649" s="17"/>
      <c r="BF1649" s="17"/>
      <c r="BG1649" s="17"/>
      <c r="BH1649" s="17"/>
      <c r="BI1649" s="17"/>
      <c r="BJ1649" s="17"/>
      <c r="BK1649" s="17"/>
      <c r="BL1649" s="17"/>
      <c r="BM1649" s="17"/>
      <c r="BN1649" s="17"/>
      <c r="BO1649" s="17"/>
      <c r="BP1649" s="17"/>
      <c r="BQ1649" s="17"/>
      <c r="BR1649" s="17"/>
      <c r="BS1649" s="17"/>
      <c r="BT1649" s="17"/>
      <c r="BU1649" s="17"/>
      <c r="BV1649" s="17"/>
      <c r="BW1649" s="17"/>
      <c r="BX1649" s="17"/>
      <c r="BY1649" s="17"/>
      <c r="BZ1649" s="17"/>
      <c r="CA1649" s="17"/>
      <c r="CB1649" s="17"/>
      <c r="CC1649" s="17"/>
      <c r="CD1649" s="17"/>
      <c r="CE1649" s="17"/>
      <c r="CF1649" s="17"/>
      <c r="CG1649" s="17"/>
      <c r="CH1649" s="17"/>
    </row>
    <row r="1650" spans="35:86" x14ac:dyDescent="0.15">
      <c r="AI1650" s="3"/>
      <c r="AJ1650" s="3"/>
      <c r="AK1650" s="15">
        <f t="shared" si="516"/>
        <v>7</v>
      </c>
      <c r="AL1650" s="11">
        <f t="shared" si="521"/>
        <v>9846</v>
      </c>
      <c r="AM1650" s="11" t="b">
        <f t="shared" si="515"/>
        <v>0</v>
      </c>
      <c r="AN1650" s="11">
        <f t="shared" si="517"/>
        <v>36000</v>
      </c>
      <c r="AO1650" s="11">
        <f t="shared" si="518"/>
        <v>0</v>
      </c>
      <c r="AP1650" s="11">
        <f t="shared" si="519"/>
        <v>0.79179984830473205</v>
      </c>
      <c r="AQ1650" s="11">
        <f t="shared" si="520"/>
        <v>0</v>
      </c>
      <c r="AT1650" s="3"/>
      <c r="AU1650" s="17"/>
      <c r="AV1650" s="19"/>
      <c r="AW1650" s="17"/>
      <c r="AX1650" s="17">
        <f t="shared" si="523"/>
        <v>1641</v>
      </c>
      <c r="AY1650" s="17">
        <f t="shared" si="522"/>
        <v>164.1</v>
      </c>
      <c r="AZ1650" s="17">
        <v>79.179984830473202</v>
      </c>
      <c r="BA1650" s="17"/>
      <c r="BB1650" s="17">
        <v>36</v>
      </c>
      <c r="BC1650" s="17"/>
      <c r="BD1650" s="17"/>
      <c r="BE1650" s="17"/>
      <c r="BF1650" s="17"/>
      <c r="BG1650" s="17"/>
      <c r="BH1650" s="17"/>
      <c r="BI1650" s="17"/>
      <c r="BJ1650" s="17"/>
      <c r="BK1650" s="17"/>
      <c r="BL1650" s="17"/>
      <c r="BM1650" s="17"/>
      <c r="BN1650" s="17"/>
      <c r="BO1650" s="17"/>
      <c r="BP1650" s="17"/>
      <c r="BQ1650" s="17"/>
      <c r="BR1650" s="17"/>
      <c r="BS1650" s="17"/>
      <c r="BT1650" s="17"/>
      <c r="BU1650" s="17"/>
      <c r="BV1650" s="17"/>
      <c r="BW1650" s="17"/>
      <c r="BX1650" s="17"/>
      <c r="BY1650" s="17"/>
      <c r="BZ1650" s="17"/>
      <c r="CA1650" s="17"/>
      <c r="CB1650" s="17"/>
      <c r="CC1650" s="17"/>
      <c r="CD1650" s="17"/>
      <c r="CE1650" s="17"/>
      <c r="CF1650" s="17"/>
      <c r="CG1650" s="17"/>
      <c r="CH1650" s="17"/>
    </row>
    <row r="1651" spans="35:86" x14ac:dyDescent="0.15">
      <c r="AI1651" s="3"/>
      <c r="AJ1651" s="3"/>
      <c r="AK1651" s="15">
        <f t="shared" si="516"/>
        <v>7</v>
      </c>
      <c r="AL1651" s="11">
        <f t="shared" si="521"/>
        <v>9852</v>
      </c>
      <c r="AM1651" s="11" t="b">
        <f t="shared" si="515"/>
        <v>0</v>
      </c>
      <c r="AN1651" s="11">
        <f t="shared" si="517"/>
        <v>36000</v>
      </c>
      <c r="AO1651" s="11">
        <f t="shared" si="518"/>
        <v>0</v>
      </c>
      <c r="AP1651" s="11">
        <f t="shared" si="519"/>
        <v>0.79290216311954687</v>
      </c>
      <c r="AQ1651" s="11">
        <f t="shared" si="520"/>
        <v>0</v>
      </c>
      <c r="AT1651" s="3"/>
      <c r="AU1651" s="17"/>
      <c r="AV1651" s="19"/>
      <c r="AW1651" s="17"/>
      <c r="AX1651" s="17">
        <f t="shared" si="523"/>
        <v>1642</v>
      </c>
      <c r="AY1651" s="17">
        <f t="shared" si="522"/>
        <v>164.2</v>
      </c>
      <c r="AZ1651" s="17">
        <v>79.29021631195468</v>
      </c>
      <c r="BA1651" s="17"/>
      <c r="BB1651" s="17">
        <v>36</v>
      </c>
      <c r="BC1651" s="17"/>
      <c r="BD1651" s="17"/>
      <c r="BE1651" s="17"/>
      <c r="BF1651" s="17"/>
      <c r="BG1651" s="17"/>
      <c r="BH1651" s="17"/>
      <c r="BI1651" s="17"/>
      <c r="BJ1651" s="17"/>
      <c r="BK1651" s="17"/>
      <c r="BL1651" s="17"/>
      <c r="BM1651" s="17"/>
      <c r="BN1651" s="17"/>
      <c r="BO1651" s="17"/>
      <c r="BP1651" s="17"/>
      <c r="BQ1651" s="17"/>
      <c r="BR1651" s="17"/>
      <c r="BS1651" s="17"/>
      <c r="BT1651" s="17"/>
      <c r="BU1651" s="17"/>
      <c r="BV1651" s="17"/>
      <c r="BW1651" s="17"/>
      <c r="BX1651" s="17"/>
      <c r="BY1651" s="17"/>
      <c r="BZ1651" s="17"/>
      <c r="CA1651" s="17"/>
      <c r="CB1651" s="17"/>
      <c r="CC1651" s="17"/>
      <c r="CD1651" s="17"/>
      <c r="CE1651" s="17"/>
      <c r="CF1651" s="17"/>
      <c r="CG1651" s="17"/>
      <c r="CH1651" s="17"/>
    </row>
    <row r="1652" spans="35:86" x14ac:dyDescent="0.15">
      <c r="AI1652" s="3"/>
      <c r="AJ1652" s="3"/>
      <c r="AK1652" s="15">
        <f t="shared" si="516"/>
        <v>7</v>
      </c>
      <c r="AL1652" s="11">
        <f t="shared" si="521"/>
        <v>9858</v>
      </c>
      <c r="AM1652" s="11" t="b">
        <f t="shared" si="515"/>
        <v>0</v>
      </c>
      <c r="AN1652" s="11">
        <f t="shared" si="517"/>
        <v>36000</v>
      </c>
      <c r="AO1652" s="11">
        <f t="shared" si="518"/>
        <v>0</v>
      </c>
      <c r="AP1652" s="11">
        <f t="shared" si="519"/>
        <v>0.79400447793436169</v>
      </c>
      <c r="AQ1652" s="11">
        <f t="shared" si="520"/>
        <v>0</v>
      </c>
      <c r="AT1652" s="3"/>
      <c r="AU1652" s="17"/>
      <c r="AV1652" s="19"/>
      <c r="AW1652" s="17"/>
      <c r="AX1652" s="17">
        <f t="shared" si="523"/>
        <v>1643</v>
      </c>
      <c r="AY1652" s="17">
        <f t="shared" si="522"/>
        <v>164.3</v>
      </c>
      <c r="AZ1652" s="17">
        <v>79.400447793436172</v>
      </c>
      <c r="BA1652" s="17"/>
      <c r="BB1652" s="17">
        <v>36</v>
      </c>
      <c r="BC1652" s="17"/>
      <c r="BD1652" s="17"/>
      <c r="BE1652" s="17"/>
      <c r="BF1652" s="17"/>
      <c r="BG1652" s="17"/>
      <c r="BH1652" s="17"/>
      <c r="BI1652" s="17"/>
      <c r="BJ1652" s="17"/>
      <c r="BK1652" s="17"/>
      <c r="BL1652" s="17"/>
      <c r="BM1652" s="17"/>
      <c r="BN1652" s="17"/>
      <c r="BO1652" s="17"/>
      <c r="BP1652" s="17"/>
      <c r="BQ1652" s="17"/>
      <c r="BR1652" s="17"/>
      <c r="BS1652" s="17"/>
      <c r="BT1652" s="17"/>
      <c r="BU1652" s="17"/>
      <c r="BV1652" s="17"/>
      <c r="BW1652" s="17"/>
      <c r="BX1652" s="17"/>
      <c r="BY1652" s="17"/>
      <c r="BZ1652" s="17"/>
      <c r="CA1652" s="17"/>
      <c r="CB1652" s="17"/>
      <c r="CC1652" s="17"/>
      <c r="CD1652" s="17"/>
      <c r="CE1652" s="17"/>
      <c r="CF1652" s="17"/>
      <c r="CG1652" s="17"/>
      <c r="CH1652" s="17"/>
    </row>
    <row r="1653" spans="35:86" x14ac:dyDescent="0.15">
      <c r="AI1653" s="3"/>
      <c r="AJ1653" s="3"/>
      <c r="AK1653" s="15">
        <f t="shared" si="516"/>
        <v>7</v>
      </c>
      <c r="AL1653" s="11">
        <f t="shared" si="521"/>
        <v>9864</v>
      </c>
      <c r="AM1653" s="11" t="b">
        <f t="shared" si="515"/>
        <v>0</v>
      </c>
      <c r="AN1653" s="11">
        <f t="shared" si="517"/>
        <v>36000</v>
      </c>
      <c r="AO1653" s="11">
        <f t="shared" si="518"/>
        <v>0</v>
      </c>
      <c r="AP1653" s="11">
        <f t="shared" si="519"/>
        <v>0.79510679274917651</v>
      </c>
      <c r="AQ1653" s="11">
        <f t="shared" si="520"/>
        <v>0</v>
      </c>
      <c r="AT1653" s="3"/>
      <c r="AU1653" s="17"/>
      <c r="AV1653" s="19"/>
      <c r="AW1653" s="17"/>
      <c r="AX1653" s="17">
        <f t="shared" si="523"/>
        <v>1644</v>
      </c>
      <c r="AY1653" s="17">
        <f t="shared" si="522"/>
        <v>164.4</v>
      </c>
      <c r="AZ1653" s="17">
        <v>79.510679274917649</v>
      </c>
      <c r="BA1653" s="17"/>
      <c r="BB1653" s="17">
        <v>36</v>
      </c>
      <c r="BC1653" s="17"/>
      <c r="BD1653" s="17"/>
      <c r="BE1653" s="17"/>
      <c r="BF1653" s="17"/>
      <c r="BG1653" s="17"/>
      <c r="BH1653" s="17"/>
      <c r="BI1653" s="17"/>
      <c r="BJ1653" s="17"/>
      <c r="BK1653" s="17"/>
      <c r="BL1653" s="17"/>
      <c r="BM1653" s="17"/>
      <c r="BN1653" s="17"/>
      <c r="BO1653" s="17"/>
      <c r="BP1653" s="17"/>
      <c r="BQ1653" s="17"/>
      <c r="BR1653" s="17"/>
      <c r="BS1653" s="17"/>
      <c r="BT1653" s="17"/>
      <c r="BU1653" s="17"/>
      <c r="BV1653" s="17"/>
      <c r="BW1653" s="17"/>
      <c r="BX1653" s="17"/>
      <c r="BY1653" s="17"/>
      <c r="BZ1653" s="17"/>
      <c r="CA1653" s="17"/>
      <c r="CB1653" s="17"/>
      <c r="CC1653" s="17"/>
      <c r="CD1653" s="17"/>
      <c r="CE1653" s="17"/>
      <c r="CF1653" s="17"/>
      <c r="CG1653" s="17"/>
      <c r="CH1653" s="17"/>
    </row>
    <row r="1654" spans="35:86" x14ac:dyDescent="0.15">
      <c r="AI1654" s="3"/>
      <c r="AJ1654" s="3"/>
      <c r="AK1654" s="15">
        <f t="shared" si="516"/>
        <v>7</v>
      </c>
      <c r="AL1654" s="11">
        <f t="shared" si="521"/>
        <v>9870</v>
      </c>
      <c r="AM1654" s="11" t="b">
        <f t="shared" si="515"/>
        <v>0</v>
      </c>
      <c r="AN1654" s="11">
        <f t="shared" si="517"/>
        <v>36000</v>
      </c>
      <c r="AO1654" s="11">
        <f t="shared" si="518"/>
        <v>0</v>
      </c>
      <c r="AP1654" s="11">
        <f t="shared" si="519"/>
        <v>0.79620910756399144</v>
      </c>
      <c r="AQ1654" s="11">
        <f t="shared" si="520"/>
        <v>0</v>
      </c>
      <c r="AT1654" s="3"/>
      <c r="AU1654" s="17"/>
      <c r="AV1654" s="19"/>
      <c r="AW1654" s="17"/>
      <c r="AX1654" s="17">
        <f t="shared" si="523"/>
        <v>1645</v>
      </c>
      <c r="AY1654" s="17">
        <f t="shared" si="522"/>
        <v>164.5</v>
      </c>
      <c r="AZ1654" s="17">
        <v>79.620910756399141</v>
      </c>
      <c r="BA1654" s="17"/>
      <c r="BB1654" s="17">
        <v>36</v>
      </c>
      <c r="BC1654" s="17"/>
      <c r="BD1654" s="17"/>
      <c r="BE1654" s="17"/>
      <c r="BF1654" s="17"/>
      <c r="BG1654" s="17"/>
      <c r="BH1654" s="17"/>
      <c r="BI1654" s="17"/>
      <c r="BJ1654" s="17"/>
      <c r="BK1654" s="17"/>
      <c r="BL1654" s="17"/>
      <c r="BM1654" s="17"/>
      <c r="BN1654" s="17"/>
      <c r="BO1654" s="17"/>
      <c r="BP1654" s="17"/>
      <c r="BQ1654" s="17"/>
      <c r="BR1654" s="17"/>
      <c r="BS1654" s="17"/>
      <c r="BT1654" s="17"/>
      <c r="BU1654" s="17"/>
      <c r="BV1654" s="17"/>
      <c r="BW1654" s="17"/>
      <c r="BX1654" s="17"/>
      <c r="BY1654" s="17"/>
      <c r="BZ1654" s="17"/>
      <c r="CA1654" s="17"/>
      <c r="CB1654" s="17"/>
      <c r="CC1654" s="17"/>
      <c r="CD1654" s="17"/>
      <c r="CE1654" s="17"/>
      <c r="CF1654" s="17"/>
      <c r="CG1654" s="17"/>
      <c r="CH1654" s="17"/>
    </row>
    <row r="1655" spans="35:86" x14ac:dyDescent="0.15">
      <c r="AI1655" s="3"/>
      <c r="AJ1655" s="3"/>
      <c r="AK1655" s="15">
        <f t="shared" si="516"/>
        <v>7</v>
      </c>
      <c r="AL1655" s="11">
        <f t="shared" si="521"/>
        <v>9876</v>
      </c>
      <c r="AM1655" s="11" t="b">
        <f t="shared" si="515"/>
        <v>0</v>
      </c>
      <c r="AN1655" s="11">
        <f t="shared" si="517"/>
        <v>36000</v>
      </c>
      <c r="AO1655" s="11">
        <f t="shared" si="518"/>
        <v>0</v>
      </c>
      <c r="AP1655" s="11">
        <f t="shared" si="519"/>
        <v>0.79731142237880626</v>
      </c>
      <c r="AQ1655" s="11">
        <f t="shared" si="520"/>
        <v>0</v>
      </c>
      <c r="AT1655" s="3"/>
      <c r="AU1655" s="17"/>
      <c r="AV1655" s="19"/>
      <c r="AW1655" s="17"/>
      <c r="AX1655" s="17">
        <f t="shared" si="523"/>
        <v>1646</v>
      </c>
      <c r="AY1655" s="17">
        <f t="shared" si="522"/>
        <v>164.6</v>
      </c>
      <c r="AZ1655" s="17">
        <v>79.731142237880618</v>
      </c>
      <c r="BA1655" s="17"/>
      <c r="BB1655" s="17">
        <v>36</v>
      </c>
      <c r="BC1655" s="17"/>
      <c r="BD1655" s="17"/>
      <c r="BE1655" s="17"/>
      <c r="BF1655" s="17"/>
      <c r="BG1655" s="17"/>
      <c r="BH1655" s="17"/>
      <c r="BI1655" s="17"/>
      <c r="BJ1655" s="17"/>
      <c r="BK1655" s="17"/>
      <c r="BL1655" s="17"/>
      <c r="BM1655" s="17"/>
      <c r="BN1655" s="17"/>
      <c r="BO1655" s="17"/>
      <c r="BP1655" s="17"/>
      <c r="BQ1655" s="17"/>
      <c r="BR1655" s="17"/>
      <c r="BS1655" s="17"/>
      <c r="BT1655" s="17"/>
      <c r="BU1655" s="17"/>
      <c r="BV1655" s="17"/>
      <c r="BW1655" s="17"/>
      <c r="BX1655" s="17"/>
      <c r="BY1655" s="17"/>
      <c r="BZ1655" s="17"/>
      <c r="CA1655" s="17"/>
      <c r="CB1655" s="17"/>
      <c r="CC1655" s="17"/>
      <c r="CD1655" s="17"/>
      <c r="CE1655" s="17"/>
      <c r="CF1655" s="17"/>
      <c r="CG1655" s="17"/>
      <c r="CH1655" s="17"/>
    </row>
    <row r="1656" spans="35:86" x14ac:dyDescent="0.15">
      <c r="AI1656" s="3"/>
      <c r="AJ1656" s="3"/>
      <c r="AK1656" s="15">
        <f t="shared" si="516"/>
        <v>7</v>
      </c>
      <c r="AL1656" s="11">
        <f t="shared" si="521"/>
        <v>9882</v>
      </c>
      <c r="AM1656" s="11" t="b">
        <f t="shared" si="515"/>
        <v>0</v>
      </c>
      <c r="AN1656" s="11">
        <f t="shared" si="517"/>
        <v>36000</v>
      </c>
      <c r="AO1656" s="11">
        <f t="shared" si="518"/>
        <v>0</v>
      </c>
      <c r="AP1656" s="11">
        <f t="shared" si="519"/>
        <v>0.79841373719362108</v>
      </c>
      <c r="AQ1656" s="11">
        <f t="shared" si="520"/>
        <v>0</v>
      </c>
      <c r="AT1656" s="3"/>
      <c r="AU1656" s="17"/>
      <c r="AV1656" s="19"/>
      <c r="AW1656" s="17"/>
      <c r="AX1656" s="17">
        <f t="shared" si="523"/>
        <v>1647</v>
      </c>
      <c r="AY1656" s="17">
        <f t="shared" si="522"/>
        <v>164.7</v>
      </c>
      <c r="AZ1656" s="17">
        <v>79.84137371936211</v>
      </c>
      <c r="BA1656" s="17"/>
      <c r="BB1656" s="17">
        <v>36</v>
      </c>
      <c r="BC1656" s="17"/>
      <c r="BD1656" s="17"/>
      <c r="BE1656" s="17"/>
      <c r="BF1656" s="17"/>
      <c r="BG1656" s="17"/>
      <c r="BH1656" s="17"/>
      <c r="BI1656" s="17"/>
      <c r="BJ1656" s="17"/>
      <c r="BK1656" s="17"/>
      <c r="BL1656" s="17"/>
      <c r="BM1656" s="17"/>
      <c r="BN1656" s="17"/>
      <c r="BO1656" s="17"/>
      <c r="BP1656" s="17"/>
      <c r="BQ1656" s="17"/>
      <c r="BR1656" s="17"/>
      <c r="BS1656" s="17"/>
      <c r="BT1656" s="17"/>
      <c r="BU1656" s="17"/>
      <c r="BV1656" s="17"/>
      <c r="BW1656" s="17"/>
      <c r="BX1656" s="17"/>
      <c r="BY1656" s="17"/>
      <c r="BZ1656" s="17"/>
      <c r="CA1656" s="17"/>
      <c r="CB1656" s="17"/>
      <c r="CC1656" s="17"/>
      <c r="CD1656" s="17"/>
      <c r="CE1656" s="17"/>
      <c r="CF1656" s="17"/>
      <c r="CG1656" s="17"/>
      <c r="CH1656" s="17"/>
    </row>
    <row r="1657" spans="35:86" x14ac:dyDescent="0.15">
      <c r="AI1657" s="3"/>
      <c r="AJ1657" s="3"/>
      <c r="AK1657" s="15">
        <f t="shared" si="516"/>
        <v>7</v>
      </c>
      <c r="AL1657" s="11">
        <f t="shared" si="521"/>
        <v>9888</v>
      </c>
      <c r="AM1657" s="11" t="b">
        <f t="shared" si="515"/>
        <v>0</v>
      </c>
      <c r="AN1657" s="11">
        <f t="shared" si="517"/>
        <v>36000</v>
      </c>
      <c r="AO1657" s="11">
        <f t="shared" si="518"/>
        <v>0</v>
      </c>
      <c r="AP1657" s="11">
        <f t="shared" si="519"/>
        <v>0.7995160520084359</v>
      </c>
      <c r="AQ1657" s="11">
        <f t="shared" si="520"/>
        <v>0</v>
      </c>
      <c r="AT1657" s="3"/>
      <c r="AU1657" s="17"/>
      <c r="AV1657" s="19"/>
      <c r="AW1657" s="17"/>
      <c r="AX1657" s="17">
        <f t="shared" si="523"/>
        <v>1648</v>
      </c>
      <c r="AY1657" s="17">
        <f t="shared" si="522"/>
        <v>164.8</v>
      </c>
      <c r="AZ1657" s="17">
        <v>79.951605200843588</v>
      </c>
      <c r="BA1657" s="17"/>
      <c r="BB1657" s="17">
        <v>36</v>
      </c>
      <c r="BC1657" s="17"/>
      <c r="BD1657" s="17"/>
      <c r="BE1657" s="17"/>
      <c r="BF1657" s="17"/>
      <c r="BG1657" s="17"/>
      <c r="BH1657" s="17"/>
      <c r="BI1657" s="17"/>
      <c r="BJ1657" s="17"/>
      <c r="BK1657" s="17"/>
      <c r="BL1657" s="17"/>
      <c r="BM1657" s="17"/>
      <c r="BN1657" s="17"/>
      <c r="BO1657" s="17"/>
      <c r="BP1657" s="17"/>
      <c r="BQ1657" s="17"/>
      <c r="BR1657" s="17"/>
      <c r="BS1657" s="17"/>
      <c r="BT1657" s="17"/>
      <c r="BU1657" s="17"/>
      <c r="BV1657" s="17"/>
      <c r="BW1657" s="17"/>
      <c r="BX1657" s="17"/>
      <c r="BY1657" s="17"/>
      <c r="BZ1657" s="17"/>
      <c r="CA1657" s="17"/>
      <c r="CB1657" s="17"/>
      <c r="CC1657" s="17"/>
      <c r="CD1657" s="17"/>
      <c r="CE1657" s="17"/>
      <c r="CF1657" s="17"/>
      <c r="CG1657" s="17"/>
      <c r="CH1657" s="17"/>
    </row>
    <row r="1658" spans="35:86" x14ac:dyDescent="0.15">
      <c r="AI1658" s="3"/>
      <c r="AJ1658" s="3"/>
      <c r="AK1658" s="15">
        <f t="shared" si="516"/>
        <v>7</v>
      </c>
      <c r="AL1658" s="11">
        <f t="shared" si="521"/>
        <v>9894</v>
      </c>
      <c r="AM1658" s="11" t="b">
        <f t="shared" si="515"/>
        <v>0</v>
      </c>
      <c r="AN1658" s="11">
        <f t="shared" si="517"/>
        <v>36000</v>
      </c>
      <c r="AO1658" s="11">
        <f t="shared" si="518"/>
        <v>0</v>
      </c>
      <c r="AP1658" s="11">
        <f t="shared" si="519"/>
        <v>0.80061836682325072</v>
      </c>
      <c r="AQ1658" s="11">
        <f t="shared" si="520"/>
        <v>0</v>
      </c>
      <c r="AT1658" s="3"/>
      <c r="AU1658" s="17"/>
      <c r="AV1658" s="19"/>
      <c r="AW1658" s="17"/>
      <c r="AX1658" s="17">
        <f t="shared" si="523"/>
        <v>1649</v>
      </c>
      <c r="AY1658" s="17">
        <f t="shared" si="522"/>
        <v>164.9</v>
      </c>
      <c r="AZ1658" s="17">
        <v>80.061836682325065</v>
      </c>
      <c r="BA1658" s="17"/>
      <c r="BB1658" s="17">
        <v>36</v>
      </c>
      <c r="BC1658" s="17"/>
      <c r="BD1658" s="17"/>
      <c r="BE1658" s="17"/>
      <c r="BF1658" s="17"/>
      <c r="BG1658" s="17"/>
      <c r="BH1658" s="17"/>
      <c r="BI1658" s="17"/>
      <c r="BJ1658" s="17"/>
      <c r="BK1658" s="17"/>
      <c r="BL1658" s="17"/>
      <c r="BM1658" s="17"/>
      <c r="BN1658" s="17"/>
      <c r="BO1658" s="17"/>
      <c r="BP1658" s="17"/>
      <c r="BQ1658" s="17"/>
      <c r="BR1658" s="17"/>
      <c r="BS1658" s="17"/>
      <c r="BT1658" s="17"/>
      <c r="BU1658" s="17"/>
      <c r="BV1658" s="17"/>
      <c r="BW1658" s="17"/>
      <c r="BX1658" s="17"/>
      <c r="BY1658" s="17"/>
      <c r="BZ1658" s="17"/>
      <c r="CA1658" s="17"/>
      <c r="CB1658" s="17"/>
      <c r="CC1658" s="17"/>
      <c r="CD1658" s="17"/>
      <c r="CE1658" s="17"/>
      <c r="CF1658" s="17"/>
      <c r="CG1658" s="17"/>
      <c r="CH1658" s="17"/>
    </row>
    <row r="1659" spans="35:86" x14ac:dyDescent="0.15">
      <c r="AI1659" s="3"/>
      <c r="AJ1659" s="3"/>
      <c r="AK1659" s="15">
        <f t="shared" si="516"/>
        <v>7</v>
      </c>
      <c r="AL1659" s="11">
        <f t="shared" si="521"/>
        <v>9900</v>
      </c>
      <c r="AM1659" s="11" t="b">
        <f t="shared" si="515"/>
        <v>0</v>
      </c>
      <c r="AN1659" s="11">
        <f t="shared" si="517"/>
        <v>36000</v>
      </c>
      <c r="AO1659" s="11">
        <f t="shared" si="518"/>
        <v>0</v>
      </c>
      <c r="AP1659" s="11">
        <f t="shared" si="519"/>
        <v>0.80172068163806565</v>
      </c>
      <c r="AQ1659" s="11">
        <f t="shared" si="520"/>
        <v>0</v>
      </c>
      <c r="AT1659" s="3"/>
      <c r="AU1659" s="17"/>
      <c r="AV1659" s="19"/>
      <c r="AW1659" s="17"/>
      <c r="AX1659" s="17">
        <f t="shared" si="523"/>
        <v>1650</v>
      </c>
      <c r="AY1659" s="17">
        <f t="shared" si="522"/>
        <v>165</v>
      </c>
      <c r="AZ1659" s="17">
        <v>80.172068163806571</v>
      </c>
      <c r="BA1659" s="17"/>
      <c r="BB1659" s="17">
        <v>36</v>
      </c>
      <c r="BC1659" s="17"/>
      <c r="BD1659" s="17"/>
      <c r="BE1659" s="17"/>
      <c r="BF1659" s="17"/>
      <c r="BG1659" s="17"/>
      <c r="BH1659" s="17"/>
      <c r="BI1659" s="17"/>
      <c r="BJ1659" s="17"/>
      <c r="BK1659" s="17"/>
      <c r="BL1659" s="17"/>
      <c r="BM1659" s="17"/>
      <c r="BN1659" s="17"/>
      <c r="BO1659" s="17"/>
      <c r="BP1659" s="17"/>
      <c r="BQ1659" s="17"/>
      <c r="BR1659" s="17"/>
      <c r="BS1659" s="17"/>
      <c r="BT1659" s="17"/>
      <c r="BU1659" s="17"/>
      <c r="BV1659" s="17"/>
      <c r="BW1659" s="17"/>
      <c r="BX1659" s="17"/>
      <c r="BY1659" s="17"/>
      <c r="BZ1659" s="17"/>
      <c r="CA1659" s="17"/>
      <c r="CB1659" s="17"/>
      <c r="CC1659" s="17"/>
      <c r="CD1659" s="17"/>
      <c r="CE1659" s="17"/>
      <c r="CF1659" s="17"/>
      <c r="CG1659" s="17"/>
      <c r="CH1659" s="17"/>
    </row>
    <row r="1660" spans="35:86" x14ac:dyDescent="0.15">
      <c r="AI1660" s="3"/>
      <c r="AJ1660" s="3"/>
      <c r="AK1660" s="15">
        <f t="shared" si="516"/>
        <v>7</v>
      </c>
      <c r="AL1660" s="11">
        <f t="shared" si="521"/>
        <v>9906</v>
      </c>
      <c r="AM1660" s="11" t="b">
        <f t="shared" si="515"/>
        <v>0</v>
      </c>
      <c r="AN1660" s="11">
        <f t="shared" si="517"/>
        <v>36000</v>
      </c>
      <c r="AO1660" s="11">
        <f t="shared" si="518"/>
        <v>0</v>
      </c>
      <c r="AP1660" s="11">
        <f t="shared" si="519"/>
        <v>0.80282299645288047</v>
      </c>
      <c r="AQ1660" s="11">
        <f t="shared" si="520"/>
        <v>0</v>
      </c>
      <c r="AT1660" s="3"/>
      <c r="AU1660" s="17"/>
      <c r="AV1660" s="19"/>
      <c r="AW1660" s="17"/>
      <c r="AX1660" s="17">
        <f t="shared" si="523"/>
        <v>1651</v>
      </c>
      <c r="AY1660" s="17">
        <f t="shared" si="522"/>
        <v>165.1</v>
      </c>
      <c r="AZ1660" s="17">
        <v>80.282299645288049</v>
      </c>
      <c r="BA1660" s="17"/>
      <c r="BB1660" s="17">
        <v>36</v>
      </c>
      <c r="BC1660" s="17"/>
      <c r="BD1660" s="17"/>
      <c r="BE1660" s="17"/>
      <c r="BF1660" s="17"/>
      <c r="BG1660" s="17"/>
      <c r="BH1660" s="17"/>
      <c r="BI1660" s="17"/>
      <c r="BJ1660" s="17"/>
      <c r="BK1660" s="17"/>
      <c r="BL1660" s="17"/>
      <c r="BM1660" s="17"/>
      <c r="BN1660" s="17"/>
      <c r="BO1660" s="17"/>
      <c r="BP1660" s="17"/>
      <c r="BQ1660" s="17"/>
      <c r="BR1660" s="17"/>
      <c r="BS1660" s="17"/>
      <c r="BT1660" s="17"/>
      <c r="BU1660" s="17"/>
      <c r="BV1660" s="17"/>
      <c r="BW1660" s="17"/>
      <c r="BX1660" s="17"/>
      <c r="BY1660" s="17"/>
      <c r="BZ1660" s="17"/>
      <c r="CA1660" s="17"/>
      <c r="CB1660" s="17"/>
      <c r="CC1660" s="17"/>
      <c r="CD1660" s="17"/>
      <c r="CE1660" s="17"/>
      <c r="CF1660" s="17"/>
      <c r="CG1660" s="17"/>
      <c r="CH1660" s="17"/>
    </row>
    <row r="1661" spans="35:86" x14ac:dyDescent="0.15">
      <c r="AI1661" s="3"/>
      <c r="AJ1661" s="3"/>
      <c r="AK1661" s="15">
        <f t="shared" si="516"/>
        <v>7</v>
      </c>
      <c r="AL1661" s="11">
        <f t="shared" si="521"/>
        <v>9912</v>
      </c>
      <c r="AM1661" s="11" t="b">
        <f t="shared" si="515"/>
        <v>0</v>
      </c>
      <c r="AN1661" s="11">
        <f t="shared" si="517"/>
        <v>36000</v>
      </c>
      <c r="AO1661" s="11">
        <f t="shared" si="518"/>
        <v>0</v>
      </c>
      <c r="AP1661" s="11">
        <f t="shared" si="519"/>
        <v>0.80392531126769529</v>
      </c>
      <c r="AQ1661" s="11">
        <f t="shared" si="520"/>
        <v>0</v>
      </c>
      <c r="AT1661" s="3"/>
      <c r="AU1661" s="17"/>
      <c r="AV1661" s="19"/>
      <c r="AW1661" s="17"/>
      <c r="AX1661" s="17">
        <f t="shared" si="523"/>
        <v>1652</v>
      </c>
      <c r="AY1661" s="17">
        <f t="shared" si="522"/>
        <v>165.2</v>
      </c>
      <c r="AZ1661" s="17">
        <v>80.392531126769526</v>
      </c>
      <c r="BA1661" s="17"/>
      <c r="BB1661" s="17">
        <v>36</v>
      </c>
      <c r="BC1661" s="17"/>
      <c r="BD1661" s="17"/>
      <c r="BE1661" s="17"/>
      <c r="BF1661" s="17"/>
      <c r="BG1661" s="17"/>
      <c r="BH1661" s="17"/>
      <c r="BI1661" s="17"/>
      <c r="BJ1661" s="17"/>
      <c r="BK1661" s="17"/>
      <c r="BL1661" s="17"/>
      <c r="BM1661" s="17"/>
      <c r="BN1661" s="17"/>
      <c r="BO1661" s="17"/>
      <c r="BP1661" s="17"/>
      <c r="BQ1661" s="17"/>
      <c r="BR1661" s="17"/>
      <c r="BS1661" s="17"/>
      <c r="BT1661" s="17"/>
      <c r="BU1661" s="17"/>
      <c r="BV1661" s="17"/>
      <c r="BW1661" s="17"/>
      <c r="BX1661" s="17"/>
      <c r="BY1661" s="17"/>
      <c r="BZ1661" s="17"/>
      <c r="CA1661" s="17"/>
      <c r="CB1661" s="17"/>
      <c r="CC1661" s="17"/>
      <c r="CD1661" s="17"/>
      <c r="CE1661" s="17"/>
      <c r="CF1661" s="17"/>
      <c r="CG1661" s="17"/>
      <c r="CH1661" s="17"/>
    </row>
    <row r="1662" spans="35:86" x14ac:dyDescent="0.15">
      <c r="AI1662" s="3"/>
      <c r="AJ1662" s="3"/>
      <c r="AK1662" s="15">
        <f t="shared" si="516"/>
        <v>7</v>
      </c>
      <c r="AL1662" s="11">
        <f t="shared" si="521"/>
        <v>9918</v>
      </c>
      <c r="AM1662" s="11" t="b">
        <f t="shared" si="515"/>
        <v>0</v>
      </c>
      <c r="AN1662" s="11">
        <f t="shared" si="517"/>
        <v>36000</v>
      </c>
      <c r="AO1662" s="11">
        <f t="shared" si="518"/>
        <v>0</v>
      </c>
      <c r="AP1662" s="11">
        <f t="shared" si="519"/>
        <v>0.80502762608251011</v>
      </c>
      <c r="AQ1662" s="11">
        <f t="shared" si="520"/>
        <v>0</v>
      </c>
      <c r="AT1662" s="3"/>
      <c r="AU1662" s="17"/>
      <c r="AV1662" s="19"/>
      <c r="AW1662" s="17"/>
      <c r="AX1662" s="17">
        <f t="shared" si="523"/>
        <v>1653</v>
      </c>
      <c r="AY1662" s="17">
        <f t="shared" si="522"/>
        <v>165.3</v>
      </c>
      <c r="AZ1662" s="17">
        <v>80.502762608251004</v>
      </c>
      <c r="BA1662" s="17"/>
      <c r="BB1662" s="17">
        <v>36</v>
      </c>
      <c r="BC1662" s="17"/>
      <c r="BD1662" s="17"/>
      <c r="BE1662" s="17"/>
      <c r="BF1662" s="17"/>
      <c r="BG1662" s="17"/>
      <c r="BH1662" s="17"/>
      <c r="BI1662" s="17"/>
      <c r="BJ1662" s="17"/>
      <c r="BK1662" s="17"/>
      <c r="BL1662" s="17"/>
      <c r="BM1662" s="17"/>
      <c r="BN1662" s="17"/>
      <c r="BO1662" s="17"/>
      <c r="BP1662" s="17"/>
      <c r="BQ1662" s="17"/>
      <c r="BR1662" s="17"/>
      <c r="BS1662" s="17"/>
      <c r="BT1662" s="17"/>
      <c r="BU1662" s="17"/>
      <c r="BV1662" s="17"/>
      <c r="BW1662" s="17"/>
      <c r="BX1662" s="17"/>
      <c r="BY1662" s="17"/>
      <c r="BZ1662" s="17"/>
      <c r="CA1662" s="17"/>
      <c r="CB1662" s="17"/>
      <c r="CC1662" s="17"/>
      <c r="CD1662" s="17"/>
      <c r="CE1662" s="17"/>
      <c r="CF1662" s="17"/>
      <c r="CG1662" s="17"/>
      <c r="CH1662" s="17"/>
    </row>
    <row r="1663" spans="35:86" x14ac:dyDescent="0.15">
      <c r="AI1663" s="3"/>
      <c r="AJ1663" s="3"/>
      <c r="AK1663" s="15">
        <f t="shared" si="516"/>
        <v>7</v>
      </c>
      <c r="AL1663" s="11">
        <f t="shared" si="521"/>
        <v>9924</v>
      </c>
      <c r="AM1663" s="11" t="b">
        <f t="shared" si="515"/>
        <v>0</v>
      </c>
      <c r="AN1663" s="11">
        <f t="shared" si="517"/>
        <v>36000</v>
      </c>
      <c r="AO1663" s="11">
        <f t="shared" si="518"/>
        <v>0</v>
      </c>
      <c r="AP1663" s="11">
        <f t="shared" si="519"/>
        <v>0.80612994089732493</v>
      </c>
      <c r="AQ1663" s="11">
        <f t="shared" si="520"/>
        <v>0</v>
      </c>
      <c r="AT1663" s="3"/>
      <c r="AU1663" s="17"/>
      <c r="AV1663" s="19"/>
      <c r="AW1663" s="17"/>
      <c r="AX1663" s="17">
        <f t="shared" si="523"/>
        <v>1654</v>
      </c>
      <c r="AY1663" s="17">
        <f t="shared" si="522"/>
        <v>165.4</v>
      </c>
      <c r="AZ1663" s="17">
        <v>80.612994089732496</v>
      </c>
      <c r="BA1663" s="17"/>
      <c r="BB1663" s="17">
        <v>36</v>
      </c>
      <c r="BC1663" s="17"/>
      <c r="BD1663" s="17"/>
      <c r="BE1663" s="17"/>
      <c r="BF1663" s="17"/>
      <c r="BG1663" s="17"/>
      <c r="BH1663" s="17"/>
      <c r="BI1663" s="17"/>
      <c r="BJ1663" s="17"/>
      <c r="BK1663" s="17"/>
      <c r="BL1663" s="17"/>
      <c r="BM1663" s="17"/>
      <c r="BN1663" s="17"/>
      <c r="BO1663" s="17"/>
      <c r="BP1663" s="17"/>
      <c r="BQ1663" s="17"/>
      <c r="BR1663" s="17"/>
      <c r="BS1663" s="17"/>
      <c r="BT1663" s="17"/>
      <c r="BU1663" s="17"/>
      <c r="BV1663" s="17"/>
      <c r="BW1663" s="17"/>
      <c r="BX1663" s="17"/>
      <c r="BY1663" s="17"/>
      <c r="BZ1663" s="17"/>
      <c r="CA1663" s="17"/>
      <c r="CB1663" s="17"/>
      <c r="CC1663" s="17"/>
      <c r="CD1663" s="17"/>
      <c r="CE1663" s="17"/>
      <c r="CF1663" s="17"/>
      <c r="CG1663" s="17"/>
      <c r="CH1663" s="17"/>
    </row>
    <row r="1664" spans="35:86" x14ac:dyDescent="0.15">
      <c r="AI1664" s="3"/>
      <c r="AJ1664" s="3"/>
      <c r="AK1664" s="15">
        <f t="shared" si="516"/>
        <v>7</v>
      </c>
      <c r="AL1664" s="11">
        <f t="shared" si="521"/>
        <v>9930</v>
      </c>
      <c r="AM1664" s="11" t="b">
        <f t="shared" si="515"/>
        <v>0</v>
      </c>
      <c r="AN1664" s="11">
        <f t="shared" si="517"/>
        <v>36000</v>
      </c>
      <c r="AO1664" s="11">
        <f t="shared" si="518"/>
        <v>0</v>
      </c>
      <c r="AP1664" s="11">
        <f t="shared" si="519"/>
        <v>0.80723225571213986</v>
      </c>
      <c r="AQ1664" s="11">
        <f t="shared" si="520"/>
        <v>0</v>
      </c>
      <c r="AT1664" s="3"/>
      <c r="AU1664" s="17"/>
      <c r="AV1664" s="19"/>
      <c r="AW1664" s="17"/>
      <c r="AX1664" s="17">
        <f t="shared" si="523"/>
        <v>1655</v>
      </c>
      <c r="AY1664" s="17">
        <f t="shared" si="522"/>
        <v>165.5</v>
      </c>
      <c r="AZ1664" s="17">
        <v>80.723225571213987</v>
      </c>
      <c r="BA1664" s="17"/>
      <c r="BB1664" s="17">
        <v>36</v>
      </c>
      <c r="BC1664" s="17"/>
      <c r="BD1664" s="17"/>
      <c r="BE1664" s="17"/>
      <c r="BF1664" s="17"/>
      <c r="BG1664" s="17"/>
      <c r="BH1664" s="17"/>
      <c r="BI1664" s="17"/>
      <c r="BJ1664" s="17"/>
      <c r="BK1664" s="17"/>
      <c r="BL1664" s="17"/>
      <c r="BM1664" s="17"/>
      <c r="BN1664" s="17"/>
      <c r="BO1664" s="17"/>
      <c r="BP1664" s="17"/>
      <c r="BQ1664" s="17"/>
      <c r="BR1664" s="17"/>
      <c r="BS1664" s="17"/>
      <c r="BT1664" s="17"/>
      <c r="BU1664" s="17"/>
      <c r="BV1664" s="17"/>
      <c r="BW1664" s="17"/>
      <c r="BX1664" s="17"/>
      <c r="BY1664" s="17"/>
      <c r="BZ1664" s="17"/>
      <c r="CA1664" s="17"/>
      <c r="CB1664" s="17"/>
      <c r="CC1664" s="17"/>
      <c r="CD1664" s="17"/>
      <c r="CE1664" s="17"/>
      <c r="CF1664" s="17"/>
      <c r="CG1664" s="17"/>
      <c r="CH1664" s="17"/>
    </row>
    <row r="1665" spans="35:86" x14ac:dyDescent="0.15">
      <c r="AI1665" s="3"/>
      <c r="AJ1665" s="3"/>
      <c r="AK1665" s="15">
        <f t="shared" si="516"/>
        <v>7</v>
      </c>
      <c r="AL1665" s="11">
        <f t="shared" si="521"/>
        <v>9936</v>
      </c>
      <c r="AM1665" s="11" t="b">
        <f t="shared" si="515"/>
        <v>0</v>
      </c>
      <c r="AN1665" s="11">
        <f t="shared" si="517"/>
        <v>36000</v>
      </c>
      <c r="AO1665" s="11">
        <f t="shared" si="518"/>
        <v>0</v>
      </c>
      <c r="AP1665" s="11">
        <f t="shared" si="519"/>
        <v>0.80833457052695479</v>
      </c>
      <c r="AQ1665" s="11">
        <f t="shared" si="520"/>
        <v>0</v>
      </c>
      <c r="AT1665" s="3"/>
      <c r="AU1665" s="17"/>
      <c r="AV1665" s="19"/>
      <c r="AW1665" s="17"/>
      <c r="AX1665" s="17">
        <f t="shared" si="523"/>
        <v>1656</v>
      </c>
      <c r="AY1665" s="17">
        <f t="shared" si="522"/>
        <v>165.6</v>
      </c>
      <c r="AZ1665" s="17">
        <v>80.833457052695479</v>
      </c>
      <c r="BA1665" s="17"/>
      <c r="BB1665" s="17">
        <v>36</v>
      </c>
      <c r="BC1665" s="17"/>
      <c r="BD1665" s="17"/>
      <c r="BE1665" s="17"/>
      <c r="BF1665" s="17"/>
      <c r="BG1665" s="17"/>
      <c r="BH1665" s="17"/>
      <c r="BI1665" s="17"/>
      <c r="BJ1665" s="17"/>
      <c r="BK1665" s="17"/>
      <c r="BL1665" s="17"/>
      <c r="BM1665" s="17"/>
      <c r="BN1665" s="17"/>
      <c r="BO1665" s="17"/>
      <c r="BP1665" s="17"/>
      <c r="BQ1665" s="17"/>
      <c r="BR1665" s="17"/>
      <c r="BS1665" s="17"/>
      <c r="BT1665" s="17"/>
      <c r="BU1665" s="17"/>
      <c r="BV1665" s="17"/>
      <c r="BW1665" s="17"/>
      <c r="BX1665" s="17"/>
      <c r="BY1665" s="17"/>
      <c r="BZ1665" s="17"/>
      <c r="CA1665" s="17"/>
      <c r="CB1665" s="17"/>
      <c r="CC1665" s="17"/>
      <c r="CD1665" s="17"/>
      <c r="CE1665" s="17"/>
      <c r="CF1665" s="17"/>
      <c r="CG1665" s="17"/>
      <c r="CH1665" s="17"/>
    </row>
    <row r="1666" spans="35:86" x14ac:dyDescent="0.15">
      <c r="AI1666" s="3"/>
      <c r="AJ1666" s="3"/>
      <c r="AK1666" s="15">
        <f t="shared" si="516"/>
        <v>7</v>
      </c>
      <c r="AL1666" s="11">
        <f t="shared" si="521"/>
        <v>9942</v>
      </c>
      <c r="AM1666" s="11" t="b">
        <f t="shared" si="515"/>
        <v>0</v>
      </c>
      <c r="AN1666" s="11">
        <f t="shared" si="517"/>
        <v>36000</v>
      </c>
      <c r="AO1666" s="11">
        <f t="shared" si="518"/>
        <v>0</v>
      </c>
      <c r="AP1666" s="11">
        <f t="shared" si="519"/>
        <v>0.80943688534176961</v>
      </c>
      <c r="AQ1666" s="11">
        <f t="shared" si="520"/>
        <v>0</v>
      </c>
      <c r="AT1666" s="3"/>
      <c r="AU1666" s="17"/>
      <c r="AV1666" s="19"/>
      <c r="AW1666" s="17"/>
      <c r="AX1666" s="17">
        <f t="shared" si="523"/>
        <v>1657</v>
      </c>
      <c r="AY1666" s="17">
        <f t="shared" si="522"/>
        <v>165.7</v>
      </c>
      <c r="AZ1666" s="17">
        <v>80.943688534176957</v>
      </c>
      <c r="BA1666" s="17"/>
      <c r="BB1666" s="17">
        <v>36</v>
      </c>
      <c r="BC1666" s="17"/>
      <c r="BD1666" s="17"/>
      <c r="BE1666" s="17"/>
      <c r="BF1666" s="17"/>
      <c r="BG1666" s="17"/>
      <c r="BH1666" s="17"/>
      <c r="BI1666" s="17"/>
      <c r="BJ1666" s="17"/>
      <c r="BK1666" s="17"/>
      <c r="BL1666" s="17"/>
      <c r="BM1666" s="17"/>
      <c r="BN1666" s="17"/>
      <c r="BO1666" s="17"/>
      <c r="BP1666" s="17"/>
      <c r="BQ1666" s="17"/>
      <c r="BR1666" s="17"/>
      <c r="BS1666" s="17"/>
      <c r="BT1666" s="17"/>
      <c r="BU1666" s="17"/>
      <c r="BV1666" s="17"/>
      <c r="BW1666" s="17"/>
      <c r="BX1666" s="17"/>
      <c r="BY1666" s="17"/>
      <c r="BZ1666" s="17"/>
      <c r="CA1666" s="17"/>
      <c r="CB1666" s="17"/>
      <c r="CC1666" s="17"/>
      <c r="CD1666" s="17"/>
      <c r="CE1666" s="17"/>
      <c r="CF1666" s="17"/>
      <c r="CG1666" s="17"/>
      <c r="CH1666" s="17"/>
    </row>
    <row r="1667" spans="35:86" x14ac:dyDescent="0.15">
      <c r="AI1667" s="3"/>
      <c r="AJ1667" s="3"/>
      <c r="AK1667" s="15">
        <f t="shared" si="516"/>
        <v>7</v>
      </c>
      <c r="AL1667" s="11">
        <f t="shared" si="521"/>
        <v>9948</v>
      </c>
      <c r="AM1667" s="11" t="b">
        <f t="shared" si="515"/>
        <v>0</v>
      </c>
      <c r="AN1667" s="11">
        <f t="shared" si="517"/>
        <v>36000</v>
      </c>
      <c r="AO1667" s="11">
        <f t="shared" si="518"/>
        <v>0</v>
      </c>
      <c r="AP1667" s="11">
        <f t="shared" si="519"/>
        <v>0.81053920015658443</v>
      </c>
      <c r="AQ1667" s="11">
        <f t="shared" si="520"/>
        <v>0</v>
      </c>
      <c r="AT1667" s="3"/>
      <c r="AU1667" s="17"/>
      <c r="AV1667" s="19"/>
      <c r="AW1667" s="17"/>
      <c r="AX1667" s="17">
        <f t="shared" si="523"/>
        <v>1658</v>
      </c>
      <c r="AY1667" s="17">
        <f t="shared" si="522"/>
        <v>165.8</v>
      </c>
      <c r="AZ1667" s="17">
        <v>81.053920015658449</v>
      </c>
      <c r="BA1667" s="17"/>
      <c r="BB1667" s="17">
        <v>36</v>
      </c>
      <c r="BC1667" s="17"/>
      <c r="BD1667" s="17"/>
      <c r="BE1667" s="17"/>
      <c r="BF1667" s="17"/>
      <c r="BG1667" s="17"/>
      <c r="BH1667" s="17"/>
      <c r="BI1667" s="17"/>
      <c r="BJ1667" s="17"/>
      <c r="BK1667" s="17"/>
      <c r="BL1667" s="17"/>
      <c r="BM1667" s="17"/>
      <c r="BN1667" s="17"/>
      <c r="BO1667" s="17"/>
      <c r="BP1667" s="17"/>
      <c r="BQ1667" s="17"/>
      <c r="BR1667" s="17"/>
      <c r="BS1667" s="17"/>
      <c r="BT1667" s="17"/>
      <c r="BU1667" s="17"/>
      <c r="BV1667" s="17"/>
      <c r="BW1667" s="17"/>
      <c r="BX1667" s="17"/>
      <c r="BY1667" s="17"/>
      <c r="BZ1667" s="17"/>
      <c r="CA1667" s="17"/>
      <c r="CB1667" s="17"/>
      <c r="CC1667" s="17"/>
      <c r="CD1667" s="17"/>
      <c r="CE1667" s="17"/>
      <c r="CF1667" s="17"/>
      <c r="CG1667" s="17"/>
      <c r="CH1667" s="17"/>
    </row>
    <row r="1668" spans="35:86" x14ac:dyDescent="0.15">
      <c r="AI1668" s="3"/>
      <c r="AJ1668" s="3"/>
      <c r="AK1668" s="15">
        <f t="shared" si="516"/>
        <v>7</v>
      </c>
      <c r="AL1668" s="11">
        <f t="shared" si="521"/>
        <v>9954</v>
      </c>
      <c r="AM1668" s="11" t="b">
        <f t="shared" si="515"/>
        <v>0</v>
      </c>
      <c r="AN1668" s="11">
        <f t="shared" si="517"/>
        <v>36000</v>
      </c>
      <c r="AO1668" s="11">
        <f t="shared" si="518"/>
        <v>0</v>
      </c>
      <c r="AP1668" s="11">
        <f t="shared" si="519"/>
        <v>0.81164151497139925</v>
      </c>
      <c r="AQ1668" s="11">
        <f t="shared" si="520"/>
        <v>0</v>
      </c>
      <c r="AT1668" s="3"/>
      <c r="AU1668" s="17"/>
      <c r="AV1668" s="19"/>
      <c r="AW1668" s="17"/>
      <c r="AX1668" s="17">
        <f t="shared" si="523"/>
        <v>1659</v>
      </c>
      <c r="AY1668" s="17">
        <f t="shared" si="522"/>
        <v>165.9</v>
      </c>
      <c r="AZ1668" s="17">
        <v>81.164151497139926</v>
      </c>
      <c r="BA1668" s="17"/>
      <c r="BB1668" s="17">
        <v>36</v>
      </c>
      <c r="BC1668" s="17"/>
      <c r="BD1668" s="17"/>
      <c r="BE1668" s="17"/>
      <c r="BF1668" s="17"/>
      <c r="BG1668" s="17"/>
      <c r="BH1668" s="17"/>
      <c r="BI1668" s="17"/>
      <c r="BJ1668" s="17"/>
      <c r="BK1668" s="17"/>
      <c r="BL1668" s="17"/>
      <c r="BM1668" s="17"/>
      <c r="BN1668" s="17"/>
      <c r="BO1668" s="17"/>
      <c r="BP1668" s="17"/>
      <c r="BQ1668" s="17"/>
      <c r="BR1668" s="17"/>
      <c r="BS1668" s="17"/>
      <c r="BT1668" s="17"/>
      <c r="BU1668" s="17"/>
      <c r="BV1668" s="17"/>
      <c r="BW1668" s="17"/>
      <c r="BX1668" s="17"/>
      <c r="BY1668" s="17"/>
      <c r="BZ1668" s="17"/>
      <c r="CA1668" s="17"/>
      <c r="CB1668" s="17"/>
      <c r="CC1668" s="17"/>
      <c r="CD1668" s="17"/>
      <c r="CE1668" s="17"/>
      <c r="CF1668" s="17"/>
      <c r="CG1668" s="17"/>
      <c r="CH1668" s="17"/>
    </row>
    <row r="1669" spans="35:86" x14ac:dyDescent="0.15">
      <c r="AI1669" s="3"/>
      <c r="AJ1669" s="3"/>
      <c r="AK1669" s="15">
        <f t="shared" si="516"/>
        <v>7</v>
      </c>
      <c r="AL1669" s="11">
        <f t="shared" si="521"/>
        <v>9960</v>
      </c>
      <c r="AM1669" s="11" t="b">
        <f t="shared" si="515"/>
        <v>0</v>
      </c>
      <c r="AN1669" s="11">
        <f t="shared" si="517"/>
        <v>36000</v>
      </c>
      <c r="AO1669" s="11">
        <f t="shared" si="518"/>
        <v>0</v>
      </c>
      <c r="AP1669" s="11">
        <f t="shared" si="519"/>
        <v>0.81274382978621407</v>
      </c>
      <c r="AQ1669" s="11">
        <f t="shared" si="520"/>
        <v>0</v>
      </c>
      <c r="AT1669" s="3"/>
      <c r="AU1669" s="17"/>
      <c r="AV1669" s="19"/>
      <c r="AW1669" s="17"/>
      <c r="AX1669" s="17">
        <f t="shared" si="523"/>
        <v>1660</v>
      </c>
      <c r="AY1669" s="17">
        <f t="shared" si="522"/>
        <v>166</v>
      </c>
      <c r="AZ1669" s="17">
        <v>81.274382978621404</v>
      </c>
      <c r="BA1669" s="17"/>
      <c r="BB1669" s="17">
        <v>36</v>
      </c>
      <c r="BC1669" s="17"/>
      <c r="BD1669" s="17"/>
      <c r="BE1669" s="17"/>
      <c r="BF1669" s="17"/>
      <c r="BG1669" s="17"/>
      <c r="BH1669" s="17"/>
      <c r="BI1669" s="17"/>
      <c r="BJ1669" s="17"/>
      <c r="BK1669" s="17"/>
      <c r="BL1669" s="17"/>
      <c r="BM1669" s="17"/>
      <c r="BN1669" s="17"/>
      <c r="BO1669" s="17"/>
      <c r="BP1669" s="17"/>
      <c r="BQ1669" s="17"/>
      <c r="BR1669" s="17"/>
      <c r="BS1669" s="17"/>
      <c r="BT1669" s="17"/>
      <c r="BU1669" s="17"/>
      <c r="BV1669" s="17"/>
      <c r="BW1669" s="17"/>
      <c r="BX1669" s="17"/>
      <c r="BY1669" s="17"/>
      <c r="BZ1669" s="17"/>
      <c r="CA1669" s="17"/>
      <c r="CB1669" s="17"/>
      <c r="CC1669" s="17"/>
      <c r="CD1669" s="17"/>
      <c r="CE1669" s="17"/>
      <c r="CF1669" s="17"/>
      <c r="CG1669" s="17"/>
      <c r="CH1669" s="17"/>
    </row>
    <row r="1670" spans="35:86" x14ac:dyDescent="0.15">
      <c r="AI1670" s="3"/>
      <c r="AJ1670" s="3"/>
      <c r="AK1670" s="15">
        <f t="shared" si="516"/>
        <v>7</v>
      </c>
      <c r="AL1670" s="11">
        <f t="shared" si="521"/>
        <v>9966</v>
      </c>
      <c r="AM1670" s="11" t="b">
        <f t="shared" si="515"/>
        <v>0</v>
      </c>
      <c r="AN1670" s="11">
        <f t="shared" si="517"/>
        <v>36000</v>
      </c>
      <c r="AO1670" s="11">
        <f t="shared" si="518"/>
        <v>0</v>
      </c>
      <c r="AP1670" s="11">
        <f t="shared" si="519"/>
        <v>0.813846144601029</v>
      </c>
      <c r="AQ1670" s="11">
        <f t="shared" si="520"/>
        <v>0</v>
      </c>
      <c r="AT1670" s="3"/>
      <c r="AU1670" s="17"/>
      <c r="AV1670" s="19"/>
      <c r="AW1670" s="17"/>
      <c r="AX1670" s="17">
        <f t="shared" si="523"/>
        <v>1661</v>
      </c>
      <c r="AY1670" s="17">
        <f t="shared" si="522"/>
        <v>166.1</v>
      </c>
      <c r="AZ1670" s="17">
        <v>81.384614460102895</v>
      </c>
      <c r="BA1670" s="17"/>
      <c r="BB1670" s="17">
        <v>36</v>
      </c>
      <c r="BC1670" s="17"/>
      <c r="BD1670" s="17"/>
      <c r="BE1670" s="17"/>
      <c r="BF1670" s="17"/>
      <c r="BG1670" s="17"/>
      <c r="BH1670" s="17"/>
      <c r="BI1670" s="17"/>
      <c r="BJ1670" s="17"/>
      <c r="BK1670" s="17"/>
      <c r="BL1670" s="17"/>
      <c r="BM1670" s="17"/>
      <c r="BN1670" s="17"/>
      <c r="BO1670" s="17"/>
      <c r="BP1670" s="17"/>
      <c r="BQ1670" s="17"/>
      <c r="BR1670" s="17"/>
      <c r="BS1670" s="17"/>
      <c r="BT1670" s="17"/>
      <c r="BU1670" s="17"/>
      <c r="BV1670" s="17"/>
      <c r="BW1670" s="17"/>
      <c r="BX1670" s="17"/>
      <c r="BY1670" s="17"/>
      <c r="BZ1670" s="17"/>
      <c r="CA1670" s="17"/>
      <c r="CB1670" s="17"/>
      <c r="CC1670" s="17"/>
      <c r="CD1670" s="17"/>
      <c r="CE1670" s="17"/>
      <c r="CF1670" s="17"/>
      <c r="CG1670" s="17"/>
      <c r="CH1670" s="17"/>
    </row>
    <row r="1671" spans="35:86" x14ac:dyDescent="0.15">
      <c r="AI1671" s="3"/>
      <c r="AJ1671" s="3"/>
      <c r="AK1671" s="15">
        <f t="shared" si="516"/>
        <v>7</v>
      </c>
      <c r="AL1671" s="11">
        <f t="shared" si="521"/>
        <v>9972</v>
      </c>
      <c r="AM1671" s="11" t="b">
        <f t="shared" si="515"/>
        <v>0</v>
      </c>
      <c r="AN1671" s="11">
        <f t="shared" si="517"/>
        <v>36000</v>
      </c>
      <c r="AO1671" s="11">
        <f t="shared" si="518"/>
        <v>0</v>
      </c>
      <c r="AP1671" s="11">
        <f t="shared" si="519"/>
        <v>0.81494845941584382</v>
      </c>
      <c r="AQ1671" s="11">
        <f t="shared" si="520"/>
        <v>0</v>
      </c>
      <c r="AT1671" s="3"/>
      <c r="AU1671" s="17"/>
      <c r="AV1671" s="19"/>
      <c r="AW1671" s="17"/>
      <c r="AX1671" s="17">
        <f t="shared" si="523"/>
        <v>1662</v>
      </c>
      <c r="AY1671" s="17">
        <f t="shared" si="522"/>
        <v>166.2</v>
      </c>
      <c r="AZ1671" s="17">
        <v>81.494845941584387</v>
      </c>
      <c r="BA1671" s="17"/>
      <c r="BB1671" s="17">
        <v>36</v>
      </c>
      <c r="BC1671" s="17"/>
      <c r="BD1671" s="17"/>
      <c r="BE1671" s="17"/>
      <c r="BF1671" s="17"/>
      <c r="BG1671" s="17"/>
      <c r="BH1671" s="17"/>
      <c r="BI1671" s="17"/>
      <c r="BJ1671" s="17"/>
      <c r="BK1671" s="17"/>
      <c r="BL1671" s="17"/>
      <c r="BM1671" s="17"/>
      <c r="BN1671" s="17"/>
      <c r="BO1671" s="17"/>
      <c r="BP1671" s="17"/>
      <c r="BQ1671" s="17"/>
      <c r="BR1671" s="17"/>
      <c r="BS1671" s="17"/>
      <c r="BT1671" s="17"/>
      <c r="BU1671" s="17"/>
      <c r="BV1671" s="17"/>
      <c r="BW1671" s="17"/>
      <c r="BX1671" s="17"/>
      <c r="BY1671" s="17"/>
      <c r="BZ1671" s="17"/>
      <c r="CA1671" s="17"/>
      <c r="CB1671" s="17"/>
      <c r="CC1671" s="17"/>
      <c r="CD1671" s="17"/>
      <c r="CE1671" s="17"/>
      <c r="CF1671" s="17"/>
      <c r="CG1671" s="17"/>
      <c r="CH1671" s="17"/>
    </row>
    <row r="1672" spans="35:86" x14ac:dyDescent="0.15">
      <c r="AI1672" s="3"/>
      <c r="AJ1672" s="3"/>
      <c r="AK1672" s="15">
        <f t="shared" si="516"/>
        <v>7</v>
      </c>
      <c r="AL1672" s="11">
        <f t="shared" si="521"/>
        <v>9978</v>
      </c>
      <c r="AM1672" s="11" t="b">
        <f t="shared" si="515"/>
        <v>0</v>
      </c>
      <c r="AN1672" s="11">
        <f t="shared" si="517"/>
        <v>36000</v>
      </c>
      <c r="AO1672" s="11">
        <f t="shared" si="518"/>
        <v>0</v>
      </c>
      <c r="AP1672" s="11">
        <f t="shared" si="519"/>
        <v>0.81605077423065864</v>
      </c>
      <c r="AQ1672" s="11">
        <f t="shared" si="520"/>
        <v>0</v>
      </c>
      <c r="AT1672" s="3"/>
      <c r="AU1672" s="17"/>
      <c r="AV1672" s="19"/>
      <c r="AW1672" s="17"/>
      <c r="AX1672" s="17">
        <f t="shared" si="523"/>
        <v>1663</v>
      </c>
      <c r="AY1672" s="17">
        <f t="shared" si="522"/>
        <v>166.3</v>
      </c>
      <c r="AZ1672" s="17">
        <v>81.605077423065865</v>
      </c>
      <c r="BA1672" s="17"/>
      <c r="BB1672" s="17">
        <v>36</v>
      </c>
      <c r="BC1672" s="17"/>
      <c r="BD1672" s="17"/>
      <c r="BE1672" s="17"/>
      <c r="BF1672" s="17"/>
      <c r="BG1672" s="17"/>
      <c r="BH1672" s="17"/>
      <c r="BI1672" s="17"/>
      <c r="BJ1672" s="17"/>
      <c r="BK1672" s="17"/>
      <c r="BL1672" s="17"/>
      <c r="BM1672" s="17"/>
      <c r="BN1672" s="17"/>
      <c r="BO1672" s="17"/>
      <c r="BP1672" s="17"/>
      <c r="BQ1672" s="17"/>
      <c r="BR1672" s="17"/>
      <c r="BS1672" s="17"/>
      <c r="BT1672" s="17"/>
      <c r="BU1672" s="17"/>
      <c r="BV1672" s="17"/>
      <c r="BW1672" s="17"/>
      <c r="BX1672" s="17"/>
      <c r="BY1672" s="17"/>
      <c r="BZ1672" s="17"/>
      <c r="CA1672" s="17"/>
      <c r="CB1672" s="17"/>
      <c r="CC1672" s="17"/>
      <c r="CD1672" s="17"/>
      <c r="CE1672" s="17"/>
      <c r="CF1672" s="17"/>
      <c r="CG1672" s="17"/>
      <c r="CH1672" s="17"/>
    </row>
    <row r="1673" spans="35:86" x14ac:dyDescent="0.15">
      <c r="AI1673" s="3"/>
      <c r="AJ1673" s="3"/>
      <c r="AK1673" s="15">
        <f t="shared" si="516"/>
        <v>7</v>
      </c>
      <c r="AL1673" s="11">
        <f t="shared" si="521"/>
        <v>9984</v>
      </c>
      <c r="AM1673" s="11" t="b">
        <f t="shared" ref="AM1673:AM1689" si="524">OR(AND(AL1673&gt;=$AC$5,AL1673&lt;=$AD$5),AND(AL1673&gt;=$AC$6,AL1673&lt;=$AD$6),AND(AL1673&gt;=$AC$7,AL1673&lt;=$AD$7),AND(AL1673&gt;=$AC$8,AL1673&lt;=$AD$8),AND(AL1673&gt;=$AC$9,AL1673&lt;=$AD$9),AND(AL1673&gt;=$AC$10,AL1673&lt;=$AD$10),AND(AL1673&gt;=$AC$11,AL1673&lt;=$AD$11),AND($AD$11&lt;$AC$11,OR(AL1673&lt;$AD$11,AL1673&gt;$AC$11)))</f>
        <v>0</v>
      </c>
      <c r="AN1673" s="11">
        <f t="shared" si="517"/>
        <v>36000</v>
      </c>
      <c r="AO1673" s="11">
        <f t="shared" si="518"/>
        <v>0</v>
      </c>
      <c r="AP1673" s="11">
        <f t="shared" si="519"/>
        <v>0.81715308904547346</v>
      </c>
      <c r="AQ1673" s="11">
        <f t="shared" si="520"/>
        <v>0</v>
      </c>
      <c r="AT1673" s="3"/>
      <c r="AU1673" s="17"/>
      <c r="AV1673" s="19"/>
      <c r="AW1673" s="17"/>
      <c r="AX1673" s="17">
        <f t="shared" si="523"/>
        <v>1664</v>
      </c>
      <c r="AY1673" s="17">
        <f t="shared" si="522"/>
        <v>166.4</v>
      </c>
      <c r="AZ1673" s="17">
        <v>81.715308904547342</v>
      </c>
      <c r="BA1673" s="17"/>
      <c r="BB1673" s="17">
        <v>36</v>
      </c>
      <c r="BC1673" s="17"/>
      <c r="BD1673" s="17"/>
      <c r="BE1673" s="17"/>
      <c r="BF1673" s="17"/>
      <c r="BG1673" s="17"/>
      <c r="BH1673" s="17"/>
      <c r="BI1673" s="17"/>
      <c r="BJ1673" s="17"/>
      <c r="BK1673" s="17"/>
      <c r="BL1673" s="17"/>
      <c r="BM1673" s="17"/>
      <c r="BN1673" s="17"/>
      <c r="BO1673" s="17"/>
      <c r="BP1673" s="17"/>
      <c r="BQ1673" s="17"/>
      <c r="BR1673" s="17"/>
      <c r="BS1673" s="17"/>
      <c r="BT1673" s="17"/>
      <c r="BU1673" s="17"/>
      <c r="BV1673" s="17"/>
      <c r="BW1673" s="17"/>
      <c r="BX1673" s="17"/>
      <c r="BY1673" s="17"/>
      <c r="BZ1673" s="17"/>
      <c r="CA1673" s="17"/>
      <c r="CB1673" s="17"/>
      <c r="CC1673" s="17"/>
      <c r="CD1673" s="17"/>
      <c r="CE1673" s="17"/>
      <c r="CF1673" s="17"/>
      <c r="CG1673" s="17"/>
      <c r="CH1673" s="17"/>
    </row>
    <row r="1674" spans="35:86" x14ac:dyDescent="0.15">
      <c r="AI1674" s="3"/>
      <c r="AJ1674" s="3"/>
      <c r="AK1674" s="15">
        <f t="shared" ref="AK1674:AK1689" si="525">1+INT(MOD(AL1674/60/24-0.5,7))</f>
        <v>7</v>
      </c>
      <c r="AL1674" s="11">
        <f t="shared" si="521"/>
        <v>9990</v>
      </c>
      <c r="AM1674" s="11" t="b">
        <f t="shared" si="524"/>
        <v>0</v>
      </c>
      <c r="AN1674" s="11">
        <f t="shared" ref="AN1674:AN1689" si="526">IF(AND(AM1674,NOT(AM1675)),$AB$26,AN1673+($AB$28-IF(AND(AM1673,AM1674),CHOOSE(AK1674,$AG$5,$AG$6,$AG$7,$AG$8,$AG$9,$AG$10,$AG$11)*$AA$22/$AA$24,0))*$AB$15)</f>
        <v>36000</v>
      </c>
      <c r="AO1674" s="11">
        <f t="shared" ref="AO1674:AO1689" si="527">IF(AND(AM1674,NOT(AM1675)),$AB$27,AO1673+($AB$29-IF(AND(AM1673,AM1674),CHOOSE(AK1674,$AG$5,$AG$6,$AG$7,$AG$8,$AG$9,$AG$10,$AG$11)*$AA$23/$AA$24,0))*$AB$15)</f>
        <v>0</v>
      </c>
      <c r="AP1674" s="11">
        <f t="shared" ref="AP1674:AP1689" si="528">IF(AN1673&lt;=0,0,(AP1673*AN1673-(IF(AND(AM1673,AM1674),CHOOSE(AK1674,$AI$5,$AI$6,$AI$7,$AI$8,$AI$9,$AI$10,$AI$11),$AA$37))*AP1673*$AB$15+$AA$34*(AQ1673-AP1673)*$AB$15+$AA$33*$AB$15)/AN1673)</f>
        <v>0.81825540386028828</v>
      </c>
      <c r="AQ1674" s="11">
        <f t="shared" si="520"/>
        <v>0</v>
      </c>
      <c r="AT1674" s="3"/>
      <c r="AU1674" s="17"/>
      <c r="AV1674" s="19"/>
      <c r="AW1674" s="17"/>
      <c r="AX1674" s="17">
        <f t="shared" si="523"/>
        <v>1665</v>
      </c>
      <c r="AY1674" s="17">
        <f t="shared" si="522"/>
        <v>166.5</v>
      </c>
      <c r="AZ1674" s="17">
        <v>81.825540386028834</v>
      </c>
      <c r="BA1674" s="17"/>
      <c r="BB1674" s="17">
        <v>36</v>
      </c>
      <c r="BC1674" s="17"/>
      <c r="BD1674" s="17"/>
      <c r="BE1674" s="17"/>
      <c r="BF1674" s="17"/>
      <c r="BG1674" s="17"/>
      <c r="BH1674" s="17"/>
      <c r="BI1674" s="17"/>
      <c r="BJ1674" s="17"/>
      <c r="BK1674" s="17"/>
      <c r="BL1674" s="17"/>
      <c r="BM1674" s="17"/>
      <c r="BN1674" s="17"/>
      <c r="BO1674" s="17"/>
      <c r="BP1674" s="17"/>
      <c r="BQ1674" s="17"/>
      <c r="BR1674" s="17"/>
      <c r="BS1674" s="17"/>
      <c r="BT1674" s="17"/>
      <c r="BU1674" s="17"/>
      <c r="BV1674" s="17"/>
      <c r="BW1674" s="17"/>
      <c r="BX1674" s="17"/>
      <c r="BY1674" s="17"/>
      <c r="BZ1674" s="17"/>
      <c r="CA1674" s="17"/>
      <c r="CB1674" s="17"/>
      <c r="CC1674" s="17"/>
      <c r="CD1674" s="17"/>
      <c r="CE1674" s="17"/>
      <c r="CF1674" s="17"/>
      <c r="CG1674" s="17"/>
      <c r="CH1674" s="17"/>
    </row>
    <row r="1675" spans="35:86" x14ac:dyDescent="0.15">
      <c r="AI1675" s="3"/>
      <c r="AJ1675" s="3"/>
      <c r="AK1675" s="15">
        <f t="shared" si="525"/>
        <v>7</v>
      </c>
      <c r="AL1675" s="11">
        <f t="shared" si="521"/>
        <v>9996</v>
      </c>
      <c r="AM1675" s="11" t="b">
        <f t="shared" si="524"/>
        <v>0</v>
      </c>
      <c r="AN1675" s="11">
        <f t="shared" si="526"/>
        <v>36000</v>
      </c>
      <c r="AO1675" s="11">
        <f t="shared" si="527"/>
        <v>0</v>
      </c>
      <c r="AP1675" s="11">
        <f t="shared" si="528"/>
        <v>0.81935771867510321</v>
      </c>
      <c r="AQ1675" s="11">
        <f t="shared" ref="AQ1675:AQ1689" si="529">IF(AO1674&lt;=0,0,(AQ1674*AO1674-$AA$34*(AQ1674-AP1674)*$AB$15)/AO1674)</f>
        <v>0</v>
      </c>
      <c r="AT1675" s="3"/>
      <c r="AU1675" s="17"/>
      <c r="AV1675" s="19"/>
      <c r="AW1675" s="17"/>
      <c r="AX1675" s="17">
        <f t="shared" si="523"/>
        <v>1666</v>
      </c>
      <c r="AY1675" s="17">
        <f t="shared" si="522"/>
        <v>166.6</v>
      </c>
      <c r="AZ1675" s="17">
        <v>81.935771867510326</v>
      </c>
      <c r="BA1675" s="17"/>
      <c r="BB1675" s="17">
        <v>36</v>
      </c>
      <c r="BC1675" s="17"/>
      <c r="BD1675" s="17"/>
      <c r="BE1675" s="17"/>
      <c r="BF1675" s="17"/>
      <c r="BG1675" s="17"/>
      <c r="BH1675" s="17"/>
      <c r="BI1675" s="17"/>
      <c r="BJ1675" s="17"/>
      <c r="BK1675" s="17"/>
      <c r="BL1675" s="17"/>
      <c r="BM1675" s="17"/>
      <c r="BN1675" s="17"/>
      <c r="BO1675" s="17"/>
      <c r="BP1675" s="17"/>
      <c r="BQ1675" s="17"/>
      <c r="BR1675" s="17"/>
      <c r="BS1675" s="17"/>
      <c r="BT1675" s="17"/>
      <c r="BU1675" s="17"/>
      <c r="BV1675" s="17"/>
      <c r="BW1675" s="17"/>
      <c r="BX1675" s="17"/>
      <c r="BY1675" s="17"/>
      <c r="BZ1675" s="17"/>
      <c r="CA1675" s="17"/>
      <c r="CB1675" s="17"/>
      <c r="CC1675" s="17"/>
      <c r="CD1675" s="17"/>
      <c r="CE1675" s="17"/>
      <c r="CF1675" s="17"/>
      <c r="CG1675" s="17"/>
      <c r="CH1675" s="17"/>
    </row>
    <row r="1676" spans="35:86" x14ac:dyDescent="0.15">
      <c r="AI1676" s="3"/>
      <c r="AJ1676" s="3"/>
      <c r="AK1676" s="15">
        <f t="shared" si="525"/>
        <v>7</v>
      </c>
      <c r="AL1676" s="11">
        <f t="shared" si="521"/>
        <v>10002</v>
      </c>
      <c r="AM1676" s="11" t="b">
        <f t="shared" si="524"/>
        <v>0</v>
      </c>
      <c r="AN1676" s="11">
        <f t="shared" si="526"/>
        <v>36000</v>
      </c>
      <c r="AO1676" s="11">
        <f t="shared" si="527"/>
        <v>0</v>
      </c>
      <c r="AP1676" s="11">
        <f t="shared" si="528"/>
        <v>0.82046003348991803</v>
      </c>
      <c r="AQ1676" s="11">
        <f t="shared" si="529"/>
        <v>0</v>
      </c>
      <c r="AT1676" s="3"/>
      <c r="AU1676" s="17"/>
      <c r="AV1676" s="19"/>
      <c r="AW1676" s="17"/>
      <c r="AX1676" s="17">
        <f t="shared" si="523"/>
        <v>1667</v>
      </c>
      <c r="AY1676" s="17">
        <f t="shared" si="522"/>
        <v>166.7</v>
      </c>
      <c r="AZ1676" s="17">
        <v>82.046003348991803</v>
      </c>
      <c r="BA1676" s="17"/>
      <c r="BB1676" s="17">
        <v>36</v>
      </c>
      <c r="BC1676" s="17"/>
      <c r="BD1676" s="17"/>
      <c r="BE1676" s="17"/>
      <c r="BF1676" s="17"/>
      <c r="BG1676" s="17"/>
      <c r="BH1676" s="17"/>
      <c r="BI1676" s="17"/>
      <c r="BJ1676" s="17"/>
      <c r="BK1676" s="17"/>
      <c r="BL1676" s="17"/>
      <c r="BM1676" s="17"/>
      <c r="BN1676" s="17"/>
      <c r="BO1676" s="17"/>
      <c r="BP1676" s="17"/>
      <c r="BQ1676" s="17"/>
      <c r="BR1676" s="17"/>
      <c r="BS1676" s="17"/>
      <c r="BT1676" s="17"/>
      <c r="BU1676" s="17"/>
      <c r="BV1676" s="17"/>
      <c r="BW1676" s="17"/>
      <c r="BX1676" s="17"/>
      <c r="BY1676" s="17"/>
      <c r="BZ1676" s="17"/>
      <c r="CA1676" s="17"/>
      <c r="CB1676" s="17"/>
      <c r="CC1676" s="17"/>
      <c r="CD1676" s="17"/>
      <c r="CE1676" s="17"/>
      <c r="CF1676" s="17"/>
      <c r="CG1676" s="17"/>
      <c r="CH1676" s="17"/>
    </row>
    <row r="1677" spans="35:86" x14ac:dyDescent="0.15">
      <c r="AI1677" s="3"/>
      <c r="AJ1677" s="3"/>
      <c r="AK1677" s="15">
        <f t="shared" si="525"/>
        <v>7</v>
      </c>
      <c r="AL1677" s="11">
        <f t="shared" si="521"/>
        <v>10008</v>
      </c>
      <c r="AM1677" s="11" t="b">
        <f t="shared" si="524"/>
        <v>0</v>
      </c>
      <c r="AN1677" s="11">
        <f t="shared" si="526"/>
        <v>36000</v>
      </c>
      <c r="AO1677" s="11">
        <f t="shared" si="527"/>
        <v>0</v>
      </c>
      <c r="AP1677" s="11">
        <f t="shared" si="528"/>
        <v>0.82156234830473285</v>
      </c>
      <c r="AQ1677" s="11">
        <f t="shared" si="529"/>
        <v>0</v>
      </c>
      <c r="AT1677" s="3"/>
      <c r="AU1677" s="17"/>
      <c r="AV1677" s="19"/>
      <c r="AW1677" s="17"/>
      <c r="AX1677" s="17">
        <f t="shared" si="523"/>
        <v>1668</v>
      </c>
      <c r="AY1677" s="17">
        <f t="shared" si="522"/>
        <v>166.8</v>
      </c>
      <c r="AZ1677" s="17">
        <v>82.156234830473281</v>
      </c>
      <c r="BA1677" s="17"/>
      <c r="BB1677" s="17">
        <v>36</v>
      </c>
      <c r="BC1677" s="17"/>
      <c r="BD1677" s="17"/>
      <c r="BE1677" s="17"/>
      <c r="BF1677" s="17"/>
      <c r="BG1677" s="17"/>
      <c r="BH1677" s="17"/>
      <c r="BI1677" s="17"/>
      <c r="BJ1677" s="17"/>
      <c r="BK1677" s="17"/>
      <c r="BL1677" s="17"/>
      <c r="BM1677" s="17"/>
      <c r="BN1677" s="17"/>
      <c r="BO1677" s="17"/>
      <c r="BP1677" s="17"/>
      <c r="BQ1677" s="17"/>
      <c r="BR1677" s="17"/>
      <c r="BS1677" s="17"/>
      <c r="BT1677" s="17"/>
      <c r="BU1677" s="17"/>
      <c r="BV1677" s="17"/>
      <c r="BW1677" s="17"/>
      <c r="BX1677" s="17"/>
      <c r="BY1677" s="17"/>
      <c r="BZ1677" s="17"/>
      <c r="CA1677" s="17"/>
      <c r="CB1677" s="17"/>
      <c r="CC1677" s="17"/>
      <c r="CD1677" s="17"/>
      <c r="CE1677" s="17"/>
      <c r="CF1677" s="17"/>
      <c r="CG1677" s="17"/>
      <c r="CH1677" s="17"/>
    </row>
    <row r="1678" spans="35:86" x14ac:dyDescent="0.15">
      <c r="AI1678" s="3"/>
      <c r="AJ1678" s="3"/>
      <c r="AK1678" s="15">
        <f t="shared" si="525"/>
        <v>7</v>
      </c>
      <c r="AL1678" s="11">
        <f t="shared" ref="AL1678:AL1689" si="530">AL1677+$AB$15</f>
        <v>10014</v>
      </c>
      <c r="AM1678" s="11" t="b">
        <f t="shared" si="524"/>
        <v>0</v>
      </c>
      <c r="AN1678" s="11">
        <f t="shared" si="526"/>
        <v>36000</v>
      </c>
      <c r="AO1678" s="11">
        <f t="shared" si="527"/>
        <v>0</v>
      </c>
      <c r="AP1678" s="11">
        <f t="shared" si="528"/>
        <v>0.82266466311954767</v>
      </c>
      <c r="AQ1678" s="11">
        <f t="shared" si="529"/>
        <v>0</v>
      </c>
      <c r="AT1678" s="3"/>
      <c r="AU1678" s="17"/>
      <c r="AV1678" s="19"/>
      <c r="AW1678" s="17"/>
      <c r="AX1678" s="17">
        <f t="shared" si="523"/>
        <v>1669</v>
      </c>
      <c r="AY1678" s="17">
        <f t="shared" si="522"/>
        <v>166.9</v>
      </c>
      <c r="AZ1678" s="17">
        <v>82.266466311954773</v>
      </c>
      <c r="BA1678" s="17"/>
      <c r="BB1678" s="17">
        <v>36</v>
      </c>
      <c r="BC1678" s="17"/>
      <c r="BD1678" s="17"/>
      <c r="BE1678" s="17"/>
      <c r="BF1678" s="17"/>
      <c r="BG1678" s="17"/>
      <c r="BH1678" s="17"/>
      <c r="BI1678" s="17"/>
      <c r="BJ1678" s="17"/>
      <c r="BK1678" s="17"/>
      <c r="BL1678" s="17"/>
      <c r="BM1678" s="17"/>
      <c r="BN1678" s="17"/>
      <c r="BO1678" s="17"/>
      <c r="BP1678" s="17"/>
      <c r="BQ1678" s="17"/>
      <c r="BR1678" s="17"/>
      <c r="BS1678" s="17"/>
      <c r="BT1678" s="17"/>
      <c r="BU1678" s="17"/>
      <c r="BV1678" s="17"/>
      <c r="BW1678" s="17"/>
      <c r="BX1678" s="17"/>
      <c r="BY1678" s="17"/>
      <c r="BZ1678" s="17"/>
      <c r="CA1678" s="17"/>
      <c r="CB1678" s="17"/>
      <c r="CC1678" s="17"/>
      <c r="CD1678" s="17"/>
      <c r="CE1678" s="17"/>
      <c r="CF1678" s="17"/>
      <c r="CG1678" s="17"/>
      <c r="CH1678" s="17"/>
    </row>
    <row r="1679" spans="35:86" x14ac:dyDescent="0.15">
      <c r="AI1679" s="3"/>
      <c r="AJ1679" s="3"/>
      <c r="AK1679" s="15">
        <f t="shared" si="525"/>
        <v>7</v>
      </c>
      <c r="AL1679" s="11">
        <f t="shared" si="530"/>
        <v>10020</v>
      </c>
      <c r="AM1679" s="11" t="b">
        <f t="shared" si="524"/>
        <v>0</v>
      </c>
      <c r="AN1679" s="11">
        <f t="shared" si="526"/>
        <v>36000</v>
      </c>
      <c r="AO1679" s="11">
        <f t="shared" si="527"/>
        <v>0</v>
      </c>
      <c r="AP1679" s="11">
        <f t="shared" si="528"/>
        <v>0.82376697793436249</v>
      </c>
      <c r="AQ1679" s="11">
        <f t="shared" si="529"/>
        <v>0</v>
      </c>
      <c r="AT1679" s="3"/>
      <c r="AU1679" s="17"/>
      <c r="AV1679" s="19"/>
      <c r="AW1679" s="17"/>
      <c r="AX1679" s="17">
        <f t="shared" si="523"/>
        <v>1670</v>
      </c>
      <c r="AY1679" s="17">
        <f t="shared" si="522"/>
        <v>167</v>
      </c>
      <c r="AZ1679" s="17">
        <v>82.37669779343625</v>
      </c>
      <c r="BA1679" s="17"/>
      <c r="BB1679" s="17">
        <v>36</v>
      </c>
      <c r="BC1679" s="17"/>
      <c r="BD1679" s="17"/>
      <c r="BE1679" s="17"/>
      <c r="BF1679" s="17"/>
      <c r="BG1679" s="17"/>
      <c r="BH1679" s="17"/>
      <c r="BI1679" s="17"/>
      <c r="BJ1679" s="17"/>
      <c r="BK1679" s="17"/>
      <c r="BL1679" s="17"/>
      <c r="BM1679" s="17"/>
      <c r="BN1679" s="17"/>
      <c r="BO1679" s="17"/>
      <c r="BP1679" s="17"/>
      <c r="BQ1679" s="17"/>
      <c r="BR1679" s="17"/>
      <c r="BS1679" s="17"/>
      <c r="BT1679" s="17"/>
      <c r="BU1679" s="17"/>
      <c r="BV1679" s="17"/>
      <c r="BW1679" s="17"/>
      <c r="BX1679" s="17"/>
      <c r="BY1679" s="17"/>
      <c r="BZ1679" s="17"/>
      <c r="CA1679" s="17"/>
      <c r="CB1679" s="17"/>
      <c r="CC1679" s="17"/>
      <c r="CD1679" s="17"/>
      <c r="CE1679" s="17"/>
      <c r="CF1679" s="17"/>
      <c r="CG1679" s="17"/>
      <c r="CH1679" s="17"/>
    </row>
    <row r="1680" spans="35:86" x14ac:dyDescent="0.15">
      <c r="AI1680" s="3"/>
      <c r="AJ1680" s="3"/>
      <c r="AK1680" s="15">
        <f t="shared" si="525"/>
        <v>7</v>
      </c>
      <c r="AL1680" s="11">
        <f t="shared" si="530"/>
        <v>10026</v>
      </c>
      <c r="AM1680" s="11" t="b">
        <f t="shared" si="524"/>
        <v>0</v>
      </c>
      <c r="AN1680" s="11">
        <f t="shared" si="526"/>
        <v>36000</v>
      </c>
      <c r="AO1680" s="11">
        <f t="shared" si="527"/>
        <v>0</v>
      </c>
      <c r="AP1680" s="11">
        <f t="shared" si="528"/>
        <v>0.82486929274917742</v>
      </c>
      <c r="AQ1680" s="11">
        <f t="shared" si="529"/>
        <v>0</v>
      </c>
      <c r="AT1680" s="3"/>
      <c r="AU1680" s="17"/>
      <c r="AV1680" s="19"/>
      <c r="AW1680" s="17"/>
      <c r="AX1680" s="17">
        <f t="shared" si="523"/>
        <v>1671</v>
      </c>
      <c r="AY1680" s="17">
        <f t="shared" si="522"/>
        <v>167.1</v>
      </c>
      <c r="AZ1680" s="17">
        <v>82.486929274917742</v>
      </c>
      <c r="BA1680" s="17"/>
      <c r="BB1680" s="17">
        <v>36</v>
      </c>
      <c r="BC1680" s="17"/>
      <c r="BD1680" s="17"/>
      <c r="BE1680" s="17"/>
      <c r="BF1680" s="17"/>
      <c r="BG1680" s="17"/>
      <c r="BH1680" s="17"/>
      <c r="BI1680" s="17"/>
      <c r="BJ1680" s="17"/>
      <c r="BK1680" s="17"/>
      <c r="BL1680" s="17"/>
      <c r="BM1680" s="17"/>
      <c r="BN1680" s="17"/>
      <c r="BO1680" s="17"/>
      <c r="BP1680" s="17"/>
      <c r="BQ1680" s="17"/>
      <c r="BR1680" s="17"/>
      <c r="BS1680" s="17"/>
      <c r="BT1680" s="17"/>
      <c r="BU1680" s="17"/>
      <c r="BV1680" s="17"/>
      <c r="BW1680" s="17"/>
      <c r="BX1680" s="17"/>
      <c r="BY1680" s="17"/>
      <c r="BZ1680" s="17"/>
      <c r="CA1680" s="17"/>
      <c r="CB1680" s="17"/>
      <c r="CC1680" s="17"/>
      <c r="CD1680" s="17"/>
      <c r="CE1680" s="17"/>
      <c r="CF1680" s="17"/>
      <c r="CG1680" s="17"/>
      <c r="CH1680" s="17"/>
    </row>
    <row r="1681" spans="35:86" x14ac:dyDescent="0.15">
      <c r="AI1681" s="3"/>
      <c r="AJ1681" s="3"/>
      <c r="AK1681" s="15">
        <f t="shared" si="525"/>
        <v>7</v>
      </c>
      <c r="AL1681" s="11">
        <f t="shared" si="530"/>
        <v>10032</v>
      </c>
      <c r="AM1681" s="11" t="b">
        <f t="shared" si="524"/>
        <v>0</v>
      </c>
      <c r="AN1681" s="11">
        <f t="shared" si="526"/>
        <v>36000</v>
      </c>
      <c r="AO1681" s="11">
        <f t="shared" si="527"/>
        <v>0</v>
      </c>
      <c r="AP1681" s="11">
        <f t="shared" si="528"/>
        <v>0.82597160756399224</v>
      </c>
      <c r="AQ1681" s="11">
        <f t="shared" si="529"/>
        <v>0</v>
      </c>
      <c r="AT1681" s="3"/>
      <c r="AU1681" s="17"/>
      <c r="AV1681" s="19"/>
      <c r="AW1681" s="17"/>
      <c r="AX1681" s="17">
        <f t="shared" si="523"/>
        <v>1672</v>
      </c>
      <c r="AY1681" s="17">
        <f t="shared" si="522"/>
        <v>167.2</v>
      </c>
      <c r="AZ1681" s="17">
        <v>82.597160756399219</v>
      </c>
      <c r="BA1681" s="17"/>
      <c r="BB1681" s="17">
        <v>36</v>
      </c>
      <c r="BC1681" s="17"/>
      <c r="BD1681" s="17"/>
      <c r="BE1681" s="17"/>
      <c r="BF1681" s="17"/>
      <c r="BG1681" s="17"/>
      <c r="BH1681" s="17"/>
      <c r="BI1681" s="17"/>
      <c r="BJ1681" s="17"/>
      <c r="BK1681" s="17"/>
      <c r="BL1681" s="17"/>
      <c r="BM1681" s="17"/>
      <c r="BN1681" s="17"/>
      <c r="BO1681" s="17"/>
      <c r="BP1681" s="17"/>
      <c r="BQ1681" s="17"/>
      <c r="BR1681" s="17"/>
      <c r="BS1681" s="17"/>
      <c r="BT1681" s="17"/>
      <c r="BU1681" s="17"/>
      <c r="BV1681" s="17"/>
      <c r="BW1681" s="17"/>
      <c r="BX1681" s="17"/>
      <c r="BY1681" s="17"/>
      <c r="BZ1681" s="17"/>
      <c r="CA1681" s="17"/>
      <c r="CB1681" s="17"/>
      <c r="CC1681" s="17"/>
      <c r="CD1681" s="17"/>
      <c r="CE1681" s="17"/>
      <c r="CF1681" s="17"/>
      <c r="CG1681" s="17"/>
      <c r="CH1681" s="17"/>
    </row>
    <row r="1682" spans="35:86" x14ac:dyDescent="0.15">
      <c r="AI1682" s="3"/>
      <c r="AJ1682" s="3"/>
      <c r="AK1682" s="15">
        <f t="shared" si="525"/>
        <v>7</v>
      </c>
      <c r="AL1682" s="11">
        <f t="shared" si="530"/>
        <v>10038</v>
      </c>
      <c r="AM1682" s="11" t="b">
        <f t="shared" si="524"/>
        <v>0</v>
      </c>
      <c r="AN1682" s="11">
        <f t="shared" si="526"/>
        <v>36000</v>
      </c>
      <c r="AO1682" s="11">
        <f t="shared" si="527"/>
        <v>0</v>
      </c>
      <c r="AP1682" s="11">
        <f t="shared" si="528"/>
        <v>0.82707392237880706</v>
      </c>
      <c r="AQ1682" s="11">
        <f t="shared" si="529"/>
        <v>0</v>
      </c>
      <c r="AT1682" s="3"/>
      <c r="AU1682" s="17"/>
      <c r="AV1682" s="19"/>
      <c r="AW1682" s="17"/>
      <c r="AX1682" s="17">
        <f t="shared" si="523"/>
        <v>1673</v>
      </c>
      <c r="AY1682" s="17">
        <f t="shared" si="522"/>
        <v>167.3</v>
      </c>
      <c r="AZ1682" s="17">
        <v>82.707392237880711</v>
      </c>
      <c r="BA1682" s="17"/>
      <c r="BB1682" s="17">
        <v>36</v>
      </c>
      <c r="BC1682" s="17"/>
      <c r="BD1682" s="17"/>
      <c r="BE1682" s="17"/>
      <c r="BF1682" s="17"/>
      <c r="BG1682" s="17"/>
      <c r="BH1682" s="17"/>
      <c r="BI1682" s="17"/>
      <c r="BJ1682" s="17"/>
      <c r="BK1682" s="17"/>
      <c r="BL1682" s="17"/>
      <c r="BM1682" s="17"/>
      <c r="BN1682" s="17"/>
      <c r="BO1682" s="17"/>
      <c r="BP1682" s="17"/>
      <c r="BQ1682" s="17"/>
      <c r="BR1682" s="17"/>
      <c r="BS1682" s="17"/>
      <c r="BT1682" s="17"/>
      <c r="BU1682" s="17"/>
      <c r="BV1682" s="17"/>
      <c r="BW1682" s="17"/>
      <c r="BX1682" s="17"/>
      <c r="BY1682" s="17"/>
      <c r="BZ1682" s="17"/>
      <c r="CA1682" s="17"/>
      <c r="CB1682" s="17"/>
      <c r="CC1682" s="17"/>
      <c r="CD1682" s="17"/>
      <c r="CE1682" s="17"/>
      <c r="CF1682" s="17"/>
      <c r="CG1682" s="17"/>
      <c r="CH1682" s="17"/>
    </row>
    <row r="1683" spans="35:86" x14ac:dyDescent="0.15">
      <c r="AI1683" s="3"/>
      <c r="AJ1683" s="3"/>
      <c r="AK1683" s="15">
        <f t="shared" si="525"/>
        <v>7</v>
      </c>
      <c r="AL1683" s="11">
        <f t="shared" si="530"/>
        <v>10044</v>
      </c>
      <c r="AM1683" s="11" t="b">
        <f t="shared" si="524"/>
        <v>0</v>
      </c>
      <c r="AN1683" s="11">
        <f t="shared" si="526"/>
        <v>36000</v>
      </c>
      <c r="AO1683" s="11">
        <f t="shared" si="527"/>
        <v>0</v>
      </c>
      <c r="AP1683" s="11">
        <f t="shared" si="528"/>
        <v>0.82817623719362188</v>
      </c>
      <c r="AQ1683" s="11">
        <f t="shared" si="529"/>
        <v>0</v>
      </c>
      <c r="AT1683" s="3"/>
      <c r="AU1683" s="17"/>
      <c r="AV1683" s="19"/>
      <c r="AW1683" s="17"/>
      <c r="AX1683" s="17">
        <f t="shared" si="523"/>
        <v>1674</v>
      </c>
      <c r="AY1683" s="17">
        <f t="shared" si="522"/>
        <v>167.4</v>
      </c>
      <c r="AZ1683" s="17">
        <v>82.817623719362189</v>
      </c>
      <c r="BA1683" s="17"/>
      <c r="BB1683" s="17">
        <v>36</v>
      </c>
      <c r="BC1683" s="17"/>
      <c r="BD1683" s="17"/>
      <c r="BE1683" s="17"/>
      <c r="BF1683" s="17"/>
      <c r="BG1683" s="17"/>
      <c r="BH1683" s="17"/>
      <c r="BI1683" s="17"/>
      <c r="BJ1683" s="17"/>
      <c r="BK1683" s="17"/>
      <c r="BL1683" s="17"/>
      <c r="BM1683" s="17"/>
      <c r="BN1683" s="17"/>
      <c r="BO1683" s="17"/>
      <c r="BP1683" s="17"/>
      <c r="BQ1683" s="17"/>
      <c r="BR1683" s="17"/>
      <c r="BS1683" s="17"/>
      <c r="BT1683" s="17"/>
      <c r="BU1683" s="17"/>
      <c r="BV1683" s="17"/>
      <c r="BW1683" s="17"/>
      <c r="BX1683" s="17"/>
      <c r="BY1683" s="17"/>
      <c r="BZ1683" s="17"/>
      <c r="CA1683" s="17"/>
      <c r="CB1683" s="17"/>
      <c r="CC1683" s="17"/>
      <c r="CD1683" s="17"/>
      <c r="CE1683" s="17"/>
      <c r="CF1683" s="17"/>
      <c r="CG1683" s="17"/>
      <c r="CH1683" s="17"/>
    </row>
    <row r="1684" spans="35:86" x14ac:dyDescent="0.15">
      <c r="AI1684" s="3"/>
      <c r="AJ1684" s="3"/>
      <c r="AK1684" s="15">
        <f t="shared" si="525"/>
        <v>7</v>
      </c>
      <c r="AL1684" s="11">
        <f t="shared" si="530"/>
        <v>10050</v>
      </c>
      <c r="AM1684" s="11" t="b">
        <f t="shared" si="524"/>
        <v>0</v>
      </c>
      <c r="AN1684" s="11">
        <f t="shared" si="526"/>
        <v>36000</v>
      </c>
      <c r="AO1684" s="11">
        <f t="shared" si="527"/>
        <v>0</v>
      </c>
      <c r="AP1684" s="11">
        <f t="shared" si="528"/>
        <v>0.8292785520084367</v>
      </c>
      <c r="AQ1684" s="11">
        <f t="shared" si="529"/>
        <v>0</v>
      </c>
      <c r="AT1684" s="3"/>
      <c r="AU1684" s="17"/>
      <c r="AV1684" s="19"/>
      <c r="AW1684" s="17"/>
      <c r="AX1684" s="17">
        <f t="shared" si="523"/>
        <v>1675</v>
      </c>
      <c r="AY1684" s="17">
        <f t="shared" ref="AY1684:AY1689" si="531">IF(ISNUMBER(AX1684),IF(ROUND((AX1684)*$AG$15*$AB$15,0) &lt;= 10080, ROUND((AX1684)*$AG$15,0)*$AB$15/60, 168),168)</f>
        <v>167.5</v>
      </c>
      <c r="AZ1684" s="17">
        <v>82.927855200843666</v>
      </c>
      <c r="BA1684" s="17"/>
      <c r="BB1684" s="17">
        <v>36</v>
      </c>
      <c r="BC1684" s="17"/>
      <c r="BD1684" s="17"/>
      <c r="BE1684" s="17"/>
      <c r="BF1684" s="17"/>
      <c r="BG1684" s="17"/>
      <c r="BH1684" s="17"/>
      <c r="BI1684" s="17"/>
      <c r="BJ1684" s="17"/>
      <c r="BK1684" s="17"/>
      <c r="BL1684" s="17"/>
      <c r="BM1684" s="17"/>
      <c r="BN1684" s="17"/>
      <c r="BO1684" s="17"/>
      <c r="BP1684" s="17"/>
      <c r="BQ1684" s="17"/>
      <c r="BR1684" s="17"/>
      <c r="BS1684" s="17"/>
      <c r="BT1684" s="17"/>
      <c r="BU1684" s="17"/>
      <c r="BV1684" s="17"/>
      <c r="BW1684" s="17"/>
      <c r="BX1684" s="17"/>
      <c r="BY1684" s="17"/>
      <c r="BZ1684" s="17"/>
      <c r="CA1684" s="17"/>
      <c r="CB1684" s="17"/>
      <c r="CC1684" s="17"/>
      <c r="CD1684" s="17"/>
      <c r="CE1684" s="17"/>
      <c r="CF1684" s="17"/>
      <c r="CG1684" s="17"/>
      <c r="CH1684" s="17"/>
    </row>
    <row r="1685" spans="35:86" x14ac:dyDescent="0.15">
      <c r="AI1685" s="3"/>
      <c r="AJ1685" s="3"/>
      <c r="AK1685" s="15">
        <f t="shared" si="525"/>
        <v>7</v>
      </c>
      <c r="AL1685" s="11">
        <f t="shared" si="530"/>
        <v>10056</v>
      </c>
      <c r="AM1685" s="11" t="b">
        <f t="shared" si="524"/>
        <v>0</v>
      </c>
      <c r="AN1685" s="11">
        <f t="shared" si="526"/>
        <v>36000</v>
      </c>
      <c r="AO1685" s="11">
        <f t="shared" si="527"/>
        <v>0</v>
      </c>
      <c r="AP1685" s="11">
        <f t="shared" si="528"/>
        <v>0.83038086682325163</v>
      </c>
      <c r="AQ1685" s="11">
        <f t="shared" si="529"/>
        <v>0</v>
      </c>
      <c r="AT1685" s="3"/>
      <c r="AU1685" s="17"/>
      <c r="AV1685" s="19"/>
      <c r="AW1685" s="17"/>
      <c r="AX1685" s="17">
        <f t="shared" si="523"/>
        <v>1676</v>
      </c>
      <c r="AY1685" s="17">
        <f t="shared" si="531"/>
        <v>167.6</v>
      </c>
      <c r="AZ1685" s="17">
        <v>83.038086682325158</v>
      </c>
      <c r="BA1685" s="17"/>
      <c r="BB1685" s="17">
        <v>36</v>
      </c>
      <c r="BC1685" s="17"/>
      <c r="BD1685" s="17"/>
      <c r="BE1685" s="17"/>
      <c r="BF1685" s="17"/>
      <c r="BG1685" s="17"/>
      <c r="BH1685" s="17"/>
      <c r="BI1685" s="17"/>
      <c r="BJ1685" s="17"/>
      <c r="BK1685" s="17"/>
      <c r="BL1685" s="17"/>
      <c r="BM1685" s="17"/>
      <c r="BN1685" s="17"/>
      <c r="BO1685" s="17"/>
      <c r="BP1685" s="17"/>
      <c r="BQ1685" s="17"/>
      <c r="BR1685" s="17"/>
      <c r="BS1685" s="17"/>
      <c r="BT1685" s="17"/>
      <c r="BU1685" s="17"/>
      <c r="BV1685" s="17"/>
      <c r="BW1685" s="17"/>
      <c r="BX1685" s="17"/>
      <c r="BY1685" s="17"/>
      <c r="BZ1685" s="17"/>
      <c r="CA1685" s="17"/>
      <c r="CB1685" s="17"/>
      <c r="CC1685" s="17"/>
      <c r="CD1685" s="17"/>
      <c r="CE1685" s="17"/>
      <c r="CF1685" s="17"/>
      <c r="CG1685" s="17"/>
      <c r="CH1685" s="17"/>
    </row>
    <row r="1686" spans="35:86" x14ac:dyDescent="0.15">
      <c r="AI1686" s="3"/>
      <c r="AJ1686" s="3"/>
      <c r="AK1686" s="15">
        <f t="shared" si="525"/>
        <v>7</v>
      </c>
      <c r="AL1686" s="11">
        <f t="shared" si="530"/>
        <v>10062</v>
      </c>
      <c r="AM1686" s="11" t="b">
        <f t="shared" si="524"/>
        <v>0</v>
      </c>
      <c r="AN1686" s="11">
        <f t="shared" si="526"/>
        <v>36000</v>
      </c>
      <c r="AO1686" s="11">
        <f t="shared" si="527"/>
        <v>0</v>
      </c>
      <c r="AP1686" s="11">
        <f t="shared" si="528"/>
        <v>0.83148318163806645</v>
      </c>
      <c r="AQ1686" s="11">
        <f t="shared" si="529"/>
        <v>0</v>
      </c>
      <c r="AT1686" s="3"/>
      <c r="AU1686" s="17"/>
      <c r="AV1686" s="19"/>
      <c r="AW1686" s="17"/>
      <c r="AX1686" s="17">
        <f t="shared" si="523"/>
        <v>1677</v>
      </c>
      <c r="AY1686" s="17">
        <f t="shared" si="531"/>
        <v>167.7</v>
      </c>
      <c r="AZ1686" s="17">
        <v>83.14831816380665</v>
      </c>
      <c r="BA1686" s="17"/>
      <c r="BB1686" s="17">
        <v>36</v>
      </c>
      <c r="BC1686" s="17"/>
      <c r="BD1686" s="17"/>
      <c r="BE1686" s="17"/>
      <c r="BF1686" s="17"/>
      <c r="BG1686" s="17"/>
      <c r="BH1686" s="17"/>
      <c r="BI1686" s="17"/>
      <c r="BJ1686" s="17"/>
      <c r="BK1686" s="17"/>
      <c r="BL1686" s="17"/>
      <c r="BM1686" s="17"/>
      <c r="BN1686" s="17"/>
      <c r="BO1686" s="17"/>
      <c r="BP1686" s="17"/>
      <c r="BQ1686" s="17"/>
      <c r="BR1686" s="17"/>
      <c r="BS1686" s="17"/>
      <c r="BT1686" s="17"/>
      <c r="BU1686" s="17"/>
      <c r="BV1686" s="17"/>
      <c r="BW1686" s="17"/>
      <c r="BX1686" s="17"/>
      <c r="BY1686" s="17"/>
      <c r="BZ1686" s="17"/>
      <c r="CA1686" s="17"/>
      <c r="CB1686" s="17"/>
      <c r="CC1686" s="17"/>
      <c r="CD1686" s="17"/>
      <c r="CE1686" s="17"/>
      <c r="CF1686" s="17"/>
      <c r="CG1686" s="17"/>
      <c r="CH1686" s="17"/>
    </row>
    <row r="1687" spans="35:86" x14ac:dyDescent="0.15">
      <c r="AI1687" s="3"/>
      <c r="AJ1687" s="3"/>
      <c r="AK1687" s="15">
        <f t="shared" si="525"/>
        <v>7</v>
      </c>
      <c r="AL1687" s="11">
        <f t="shared" si="530"/>
        <v>10068</v>
      </c>
      <c r="AM1687" s="11" t="b">
        <f t="shared" si="524"/>
        <v>0</v>
      </c>
      <c r="AN1687" s="11">
        <f t="shared" si="526"/>
        <v>36000</v>
      </c>
      <c r="AO1687" s="11">
        <f t="shared" si="527"/>
        <v>0</v>
      </c>
      <c r="AP1687" s="11">
        <f t="shared" si="528"/>
        <v>0.83258549645288127</v>
      </c>
      <c r="AQ1687" s="11">
        <f t="shared" si="529"/>
        <v>0</v>
      </c>
      <c r="AT1687" s="3"/>
      <c r="AU1687" s="17"/>
      <c r="AV1687" s="19"/>
      <c r="AW1687" s="17"/>
      <c r="AX1687" s="17">
        <f t="shared" si="523"/>
        <v>1678</v>
      </c>
      <c r="AY1687" s="17">
        <f t="shared" si="531"/>
        <v>167.8</v>
      </c>
      <c r="AZ1687" s="17">
        <v>83.258549645288127</v>
      </c>
      <c r="BA1687" s="17"/>
      <c r="BB1687" s="17">
        <v>36</v>
      </c>
      <c r="BC1687" s="17"/>
      <c r="BD1687" s="17"/>
      <c r="BE1687" s="17"/>
      <c r="BF1687" s="17"/>
      <c r="BG1687" s="17"/>
      <c r="BH1687" s="17"/>
      <c r="BI1687" s="17"/>
      <c r="BJ1687" s="17"/>
      <c r="BK1687" s="17"/>
      <c r="BL1687" s="17"/>
      <c r="BM1687" s="17"/>
      <c r="BN1687" s="17"/>
      <c r="BO1687" s="17"/>
      <c r="BP1687" s="17"/>
      <c r="BQ1687" s="17"/>
      <c r="BR1687" s="17"/>
      <c r="BS1687" s="17"/>
      <c r="BT1687" s="17"/>
      <c r="BU1687" s="17"/>
      <c r="BV1687" s="17"/>
      <c r="BW1687" s="17"/>
      <c r="BX1687" s="17"/>
      <c r="BY1687" s="17"/>
      <c r="BZ1687" s="17"/>
      <c r="CA1687" s="17"/>
      <c r="CB1687" s="17"/>
      <c r="CC1687" s="17"/>
      <c r="CD1687" s="17"/>
      <c r="CE1687" s="17"/>
      <c r="CF1687" s="17"/>
      <c r="CG1687" s="17"/>
      <c r="CH1687" s="17"/>
    </row>
    <row r="1688" spans="35:86" x14ac:dyDescent="0.15">
      <c r="AI1688" s="3"/>
      <c r="AJ1688" s="3"/>
      <c r="AK1688" s="15">
        <f t="shared" si="525"/>
        <v>7</v>
      </c>
      <c r="AL1688" s="11">
        <f t="shared" si="530"/>
        <v>10074</v>
      </c>
      <c r="AM1688" s="11" t="b">
        <f t="shared" si="524"/>
        <v>0</v>
      </c>
      <c r="AN1688" s="11">
        <f t="shared" si="526"/>
        <v>36000</v>
      </c>
      <c r="AO1688" s="11">
        <f t="shared" si="527"/>
        <v>0</v>
      </c>
      <c r="AP1688" s="11">
        <f t="shared" si="528"/>
        <v>0.83368781126769609</v>
      </c>
      <c r="AQ1688" s="11">
        <f t="shared" si="529"/>
        <v>0</v>
      </c>
      <c r="AT1688" s="3"/>
      <c r="AU1688" s="17"/>
      <c r="AV1688" s="19"/>
      <c r="AW1688" s="17"/>
      <c r="AX1688" s="17">
        <f t="shared" si="523"/>
        <v>1679</v>
      </c>
      <c r="AY1688" s="17">
        <f t="shared" si="531"/>
        <v>167.9</v>
      </c>
      <c r="AZ1688" s="17">
        <v>83.368781126769605</v>
      </c>
      <c r="BA1688" s="17"/>
      <c r="BB1688" s="17">
        <v>36</v>
      </c>
      <c r="BC1688" s="17"/>
      <c r="BD1688" s="17"/>
      <c r="BE1688" s="17"/>
      <c r="BF1688" s="17"/>
      <c r="BG1688" s="17"/>
      <c r="BH1688" s="17"/>
      <c r="BI1688" s="17"/>
      <c r="BJ1688" s="17"/>
      <c r="BK1688" s="17"/>
      <c r="BL1688" s="17"/>
      <c r="BM1688" s="17"/>
      <c r="BN1688" s="17"/>
      <c r="BO1688" s="17"/>
      <c r="BP1688" s="17"/>
      <c r="BQ1688" s="17"/>
      <c r="BR1688" s="17"/>
      <c r="BS1688" s="17"/>
      <c r="BT1688" s="17"/>
      <c r="BU1688" s="17"/>
      <c r="BV1688" s="17"/>
      <c r="BW1688" s="17"/>
      <c r="BX1688" s="17"/>
      <c r="BY1688" s="17"/>
      <c r="BZ1688" s="17"/>
      <c r="CA1688" s="17"/>
      <c r="CB1688" s="17"/>
      <c r="CC1688" s="17"/>
      <c r="CD1688" s="17"/>
      <c r="CE1688" s="17"/>
      <c r="CF1688" s="17"/>
      <c r="CG1688" s="17"/>
      <c r="CH1688" s="17"/>
    </row>
    <row r="1689" spans="35:86" x14ac:dyDescent="0.15">
      <c r="AI1689" s="3"/>
      <c r="AJ1689" s="3"/>
      <c r="AK1689" s="15">
        <f t="shared" si="525"/>
        <v>7</v>
      </c>
      <c r="AL1689" s="11">
        <f t="shared" si="530"/>
        <v>10080</v>
      </c>
      <c r="AM1689" s="11" t="b">
        <f t="shared" si="524"/>
        <v>0</v>
      </c>
      <c r="AN1689" s="11">
        <f t="shared" si="526"/>
        <v>36000</v>
      </c>
      <c r="AO1689" s="11">
        <f t="shared" si="527"/>
        <v>0</v>
      </c>
      <c r="AP1689" s="11">
        <f t="shared" si="528"/>
        <v>0.83479012608251091</v>
      </c>
      <c r="AQ1689" s="11">
        <f t="shared" si="529"/>
        <v>0</v>
      </c>
      <c r="AT1689" s="3"/>
      <c r="AU1689" s="17"/>
      <c r="AV1689" s="19"/>
      <c r="AW1689" s="17"/>
      <c r="AX1689" s="17">
        <f t="shared" si="523"/>
        <v>1680</v>
      </c>
      <c r="AY1689" s="17">
        <f t="shared" si="531"/>
        <v>168</v>
      </c>
      <c r="AZ1689" s="17">
        <v>83.479012608251097</v>
      </c>
      <c r="BA1689" s="17"/>
      <c r="BB1689" s="17">
        <v>36</v>
      </c>
      <c r="BC1689" s="17"/>
      <c r="BD1689" s="17"/>
      <c r="BE1689" s="17"/>
      <c r="BF1689" s="17"/>
      <c r="BG1689" s="17"/>
      <c r="BH1689" s="17"/>
      <c r="BI1689" s="17"/>
      <c r="BJ1689" s="17"/>
      <c r="BK1689" s="17"/>
      <c r="BL1689" s="17"/>
      <c r="BM1689" s="17"/>
      <c r="BN1689" s="17"/>
      <c r="BO1689" s="17"/>
      <c r="BP1689" s="17"/>
      <c r="BQ1689" s="17"/>
      <c r="BR1689" s="17"/>
      <c r="BS1689" s="17"/>
      <c r="BT1689" s="17"/>
      <c r="BU1689" s="17"/>
      <c r="BV1689" s="17"/>
      <c r="BW1689" s="17"/>
      <c r="BX1689" s="17"/>
      <c r="BY1689" s="17"/>
      <c r="BZ1689" s="17"/>
      <c r="CA1689" s="17"/>
      <c r="CB1689" s="17"/>
      <c r="CC1689" s="17"/>
      <c r="CD1689" s="17"/>
      <c r="CE1689" s="17"/>
      <c r="CF1689" s="17"/>
      <c r="CG1689" s="17"/>
      <c r="CH1689" s="17"/>
    </row>
    <row r="1690" spans="35:86" x14ac:dyDescent="0.15">
      <c r="AI1690" s="3"/>
      <c r="AJ1690" s="3"/>
      <c r="AP1690" s="11"/>
      <c r="AQ1690" s="11"/>
      <c r="AT1690" s="3"/>
      <c r="AV1690" s="11"/>
      <c r="AY1690" s="17"/>
      <c r="AZ1690" s="17"/>
    </row>
    <row r="1691" spans="35:86" x14ac:dyDescent="0.15">
      <c r="AI1691" s="3"/>
      <c r="AJ1691" s="3"/>
      <c r="AP1691" s="11"/>
      <c r="AQ1691" s="11"/>
      <c r="AT1691" s="3"/>
      <c r="AV1691" s="11"/>
      <c r="AY1691" s="17"/>
      <c r="AZ1691" s="17"/>
    </row>
    <row r="1692" spans="35:86" x14ac:dyDescent="0.15">
      <c r="AI1692" s="3"/>
      <c r="AJ1692" s="3"/>
      <c r="AP1692" s="11"/>
      <c r="AQ1692" s="11"/>
      <c r="AT1692" s="3"/>
      <c r="AV1692" s="11"/>
      <c r="AY1692" s="17"/>
      <c r="AZ1692" s="17"/>
    </row>
    <row r="1693" spans="35:86" x14ac:dyDescent="0.15">
      <c r="AI1693" s="3"/>
      <c r="AJ1693" s="3"/>
      <c r="AP1693" s="11"/>
      <c r="AQ1693" s="11"/>
      <c r="AT1693" s="3"/>
      <c r="AV1693" s="11"/>
      <c r="AY1693" s="17"/>
      <c r="AZ1693" s="17"/>
    </row>
    <row r="1694" spans="35:86" x14ac:dyDescent="0.15">
      <c r="AW1694" s="17"/>
      <c r="AX1694" s="17"/>
    </row>
    <row r="1695" spans="35:86" x14ac:dyDescent="0.15">
      <c r="AW1695" s="17"/>
      <c r="AX1695" s="17"/>
    </row>
    <row r="1696" spans="35:86" x14ac:dyDescent="0.15">
      <c r="AW1696" s="17"/>
      <c r="AX1696" s="17"/>
    </row>
    <row r="1697" spans="49:50" x14ac:dyDescent="0.15">
      <c r="AW1697" s="17"/>
      <c r="AX1697" s="17"/>
    </row>
    <row r="1698" spans="49:50" x14ac:dyDescent="0.15">
      <c r="AW1698" s="17"/>
      <c r="AX1698" s="17"/>
    </row>
    <row r="1699" spans="49:50" x14ac:dyDescent="0.15">
      <c r="AW1699" s="17"/>
      <c r="AX1699" s="17"/>
    </row>
    <row r="1700" spans="49:50" x14ac:dyDescent="0.15">
      <c r="AW1700" s="17"/>
      <c r="AX1700" s="17"/>
    </row>
    <row r="1701" spans="49:50" x14ac:dyDescent="0.15">
      <c r="AW1701" s="17"/>
      <c r="AX1701" s="17"/>
    </row>
    <row r="1702" spans="49:50" x14ac:dyDescent="0.15">
      <c r="AW1702" s="17"/>
      <c r="AX1702" s="17"/>
    </row>
    <row r="1703" spans="49:50" x14ac:dyDescent="0.15">
      <c r="AW1703" s="17"/>
      <c r="AX1703" s="17"/>
    </row>
    <row r="1704" spans="49:50" x14ac:dyDescent="0.15">
      <c r="AW1704" s="17"/>
      <c r="AX1704" s="17"/>
    </row>
    <row r="1705" spans="49:50" x14ac:dyDescent="0.15">
      <c r="AW1705" s="17"/>
      <c r="AX1705" s="17"/>
    </row>
    <row r="1706" spans="49:50" x14ac:dyDescent="0.15">
      <c r="AW1706" s="17"/>
      <c r="AX1706" s="17"/>
    </row>
    <row r="1707" spans="49:50" x14ac:dyDescent="0.15">
      <c r="AW1707" s="17"/>
      <c r="AX1707" s="17"/>
    </row>
    <row r="1708" spans="49:50" x14ac:dyDescent="0.15">
      <c r="AW1708" s="17"/>
      <c r="AX1708" s="17"/>
    </row>
    <row r="1709" spans="49:50" x14ac:dyDescent="0.15">
      <c r="AW1709" s="17"/>
      <c r="AX1709" s="17"/>
    </row>
    <row r="1710" spans="49:50" x14ac:dyDescent="0.15">
      <c r="AW1710" s="17"/>
      <c r="AX1710" s="17"/>
    </row>
    <row r="1711" spans="49:50" x14ac:dyDescent="0.15">
      <c r="AW1711" s="17"/>
      <c r="AX1711" s="17"/>
    </row>
    <row r="1712" spans="49:50" x14ac:dyDescent="0.15">
      <c r="AW1712" s="17"/>
      <c r="AX1712" s="17"/>
    </row>
    <row r="1713" spans="49:50" x14ac:dyDescent="0.15">
      <c r="AW1713" s="17"/>
      <c r="AX1713" s="17"/>
    </row>
    <row r="1714" spans="49:50" x14ac:dyDescent="0.15">
      <c r="AW1714" s="17"/>
      <c r="AX1714" s="17"/>
    </row>
    <row r="1715" spans="49:50" x14ac:dyDescent="0.15">
      <c r="AW1715" s="17"/>
      <c r="AX1715" s="17"/>
    </row>
    <row r="1716" spans="49:50" x14ac:dyDescent="0.15">
      <c r="AW1716" s="17"/>
      <c r="AX1716" s="17"/>
    </row>
    <row r="1717" spans="49:50" x14ac:dyDescent="0.15">
      <c r="AW1717" s="17"/>
      <c r="AX1717" s="17"/>
    </row>
    <row r="1718" spans="49:50" x14ac:dyDescent="0.15">
      <c r="AW1718" s="17"/>
      <c r="AX1718" s="17"/>
    </row>
    <row r="1719" spans="49:50" x14ac:dyDescent="0.15">
      <c r="AW1719" s="17"/>
      <c r="AX1719" s="17"/>
    </row>
    <row r="1720" spans="49:50" x14ac:dyDescent="0.15">
      <c r="AW1720" s="17"/>
      <c r="AX1720" s="17"/>
    </row>
    <row r="1721" spans="49:50" x14ac:dyDescent="0.15">
      <c r="AW1721" s="17"/>
      <c r="AX1721" s="17"/>
    </row>
    <row r="1722" spans="49:50" x14ac:dyDescent="0.15">
      <c r="AW1722" s="17"/>
      <c r="AX1722" s="17"/>
    </row>
    <row r="1723" spans="49:50" x14ac:dyDescent="0.15">
      <c r="AW1723" s="17"/>
      <c r="AX1723" s="17"/>
    </row>
    <row r="1724" spans="49:50" x14ac:dyDescent="0.15">
      <c r="AW1724" s="17"/>
      <c r="AX1724" s="17"/>
    </row>
    <row r="1725" spans="49:50" x14ac:dyDescent="0.15">
      <c r="AW1725" s="17"/>
      <c r="AX1725" s="17"/>
    </row>
    <row r="1726" spans="49:50" x14ac:dyDescent="0.15">
      <c r="AW1726" s="17"/>
      <c r="AX1726" s="17"/>
    </row>
    <row r="1727" spans="49:50" x14ac:dyDescent="0.15">
      <c r="AW1727" s="17"/>
      <c r="AX1727" s="17"/>
    </row>
    <row r="1728" spans="49:50" x14ac:dyDescent="0.15">
      <c r="AW1728" s="17"/>
      <c r="AX1728" s="17"/>
    </row>
    <row r="1729" spans="49:50" x14ac:dyDescent="0.15">
      <c r="AW1729" s="17"/>
      <c r="AX1729" s="17"/>
    </row>
    <row r="1730" spans="49:50" x14ac:dyDescent="0.15">
      <c r="AW1730" s="17"/>
      <c r="AX1730" s="17"/>
    </row>
    <row r="1731" spans="49:50" x14ac:dyDescent="0.15">
      <c r="AW1731" s="17"/>
      <c r="AX1731" s="17"/>
    </row>
    <row r="1732" spans="49:50" x14ac:dyDescent="0.15">
      <c r="AW1732" s="17"/>
      <c r="AX1732" s="17"/>
    </row>
    <row r="1733" spans="49:50" x14ac:dyDescent="0.15">
      <c r="AW1733" s="17"/>
      <c r="AX1733" s="17"/>
    </row>
    <row r="1734" spans="49:50" x14ac:dyDescent="0.15">
      <c r="AW1734" s="17"/>
      <c r="AX1734" s="17"/>
    </row>
    <row r="1735" spans="49:50" x14ac:dyDescent="0.15">
      <c r="AW1735" s="17"/>
      <c r="AX1735" s="17"/>
    </row>
    <row r="1736" spans="49:50" x14ac:dyDescent="0.15">
      <c r="AW1736" s="17"/>
      <c r="AX1736" s="17"/>
    </row>
    <row r="1737" spans="49:50" x14ac:dyDescent="0.15">
      <c r="AW1737" s="17"/>
      <c r="AX1737" s="17"/>
    </row>
    <row r="1738" spans="49:50" x14ac:dyDescent="0.15">
      <c r="AW1738" s="17"/>
      <c r="AX1738" s="17"/>
    </row>
    <row r="1739" spans="49:50" x14ac:dyDescent="0.15">
      <c r="AW1739" s="17"/>
      <c r="AX1739" s="17"/>
    </row>
    <row r="1740" spans="49:50" x14ac:dyDescent="0.15">
      <c r="AW1740" s="17"/>
      <c r="AX1740" s="17"/>
    </row>
    <row r="1741" spans="49:50" x14ac:dyDescent="0.15">
      <c r="AW1741" s="17"/>
      <c r="AX1741" s="17"/>
    </row>
    <row r="1742" spans="49:50" x14ac:dyDescent="0.15">
      <c r="AW1742" s="17"/>
      <c r="AX1742" s="17"/>
    </row>
    <row r="1743" spans="49:50" x14ac:dyDescent="0.15">
      <c r="AW1743" s="17"/>
      <c r="AX1743" s="17"/>
    </row>
    <row r="1744" spans="49:50" x14ac:dyDescent="0.15">
      <c r="AW1744" s="17"/>
      <c r="AX1744" s="17"/>
    </row>
    <row r="1745" spans="49:50" x14ac:dyDescent="0.15">
      <c r="AW1745" s="17"/>
      <c r="AX1745" s="17"/>
    </row>
    <row r="1746" spans="49:50" x14ac:dyDescent="0.15">
      <c r="AW1746" s="17"/>
      <c r="AX1746" s="17"/>
    </row>
    <row r="1747" spans="49:50" x14ac:dyDescent="0.15">
      <c r="AW1747" s="17"/>
      <c r="AX1747" s="17"/>
    </row>
    <row r="1748" spans="49:50" x14ac:dyDescent="0.15">
      <c r="AW1748" s="17"/>
      <c r="AX1748" s="17"/>
    </row>
    <row r="1749" spans="49:50" x14ac:dyDescent="0.15">
      <c r="AW1749" s="17"/>
      <c r="AX1749" s="17"/>
    </row>
    <row r="1750" spans="49:50" x14ac:dyDescent="0.15">
      <c r="AW1750" s="17"/>
      <c r="AX1750" s="17"/>
    </row>
    <row r="1751" spans="49:50" x14ac:dyDescent="0.15">
      <c r="AW1751" s="17"/>
      <c r="AX1751" s="17"/>
    </row>
    <row r="1752" spans="49:50" x14ac:dyDescent="0.15">
      <c r="AW1752" s="17"/>
      <c r="AX1752" s="17"/>
    </row>
    <row r="1753" spans="49:50" x14ac:dyDescent="0.15">
      <c r="AW1753" s="17"/>
      <c r="AX1753" s="17"/>
    </row>
    <row r="1754" spans="49:50" x14ac:dyDescent="0.15">
      <c r="AW1754" s="17"/>
      <c r="AX1754" s="17"/>
    </row>
    <row r="1755" spans="49:50" x14ac:dyDescent="0.15">
      <c r="AW1755" s="17"/>
      <c r="AX1755" s="17"/>
    </row>
    <row r="1756" spans="49:50" x14ac:dyDescent="0.15">
      <c r="AW1756" s="17"/>
      <c r="AX1756" s="17"/>
    </row>
    <row r="1757" spans="49:50" x14ac:dyDescent="0.15">
      <c r="AW1757" s="17"/>
      <c r="AX1757" s="17"/>
    </row>
    <row r="1758" spans="49:50" x14ac:dyDescent="0.15">
      <c r="AW1758" s="17"/>
      <c r="AX1758" s="17"/>
    </row>
    <row r="1759" spans="49:50" x14ac:dyDescent="0.15">
      <c r="AW1759" s="17"/>
      <c r="AX1759" s="17"/>
    </row>
    <row r="1760" spans="49:50" x14ac:dyDescent="0.15">
      <c r="AW1760" s="17"/>
      <c r="AX1760" s="17"/>
    </row>
    <row r="1761" spans="49:50" x14ac:dyDescent="0.15">
      <c r="AW1761" s="17"/>
      <c r="AX1761" s="17"/>
    </row>
    <row r="1762" spans="49:50" x14ac:dyDescent="0.15">
      <c r="AW1762" s="17"/>
      <c r="AX1762" s="17"/>
    </row>
    <row r="1763" spans="49:50" x14ac:dyDescent="0.15">
      <c r="AW1763" s="17"/>
      <c r="AX1763" s="17"/>
    </row>
    <row r="1764" spans="49:50" x14ac:dyDescent="0.15">
      <c r="AW1764" s="17"/>
      <c r="AX1764" s="17"/>
    </row>
    <row r="1765" spans="49:50" x14ac:dyDescent="0.15">
      <c r="AW1765" s="17"/>
      <c r="AX1765" s="17"/>
    </row>
    <row r="1766" spans="49:50" x14ac:dyDescent="0.15">
      <c r="AW1766" s="17"/>
      <c r="AX1766" s="17"/>
    </row>
    <row r="1767" spans="49:50" x14ac:dyDescent="0.15">
      <c r="AW1767" s="17"/>
      <c r="AX1767" s="17"/>
    </row>
    <row r="1768" spans="49:50" x14ac:dyDescent="0.15">
      <c r="AW1768" s="17"/>
      <c r="AX1768" s="17"/>
    </row>
    <row r="1769" spans="49:50" x14ac:dyDescent="0.15">
      <c r="AW1769" s="17"/>
      <c r="AX1769" s="17"/>
    </row>
    <row r="1770" spans="49:50" x14ac:dyDescent="0.15">
      <c r="AW1770" s="17"/>
      <c r="AX1770" s="17"/>
    </row>
    <row r="1771" spans="49:50" x14ac:dyDescent="0.15">
      <c r="AW1771" s="17"/>
      <c r="AX1771" s="17"/>
    </row>
    <row r="1772" spans="49:50" x14ac:dyDescent="0.15">
      <c r="AW1772" s="17"/>
      <c r="AX1772" s="17"/>
    </row>
    <row r="1773" spans="49:50" x14ac:dyDescent="0.15">
      <c r="AW1773" s="17"/>
      <c r="AX1773" s="17"/>
    </row>
    <row r="1774" spans="49:50" x14ac:dyDescent="0.15">
      <c r="AW1774" s="17"/>
      <c r="AX1774" s="17"/>
    </row>
    <row r="1775" spans="49:50" x14ac:dyDescent="0.15">
      <c r="AW1775" s="17"/>
      <c r="AX1775" s="17"/>
    </row>
    <row r="1776" spans="49:50" x14ac:dyDescent="0.15">
      <c r="AW1776" s="17"/>
      <c r="AX1776" s="17"/>
    </row>
    <row r="1777" spans="49:50" x14ac:dyDescent="0.15">
      <c r="AW1777" s="17"/>
      <c r="AX1777" s="17"/>
    </row>
    <row r="1778" spans="49:50" x14ac:dyDescent="0.15">
      <c r="AW1778" s="17"/>
      <c r="AX1778" s="17"/>
    </row>
    <row r="1779" spans="49:50" x14ac:dyDescent="0.15">
      <c r="AW1779" s="17"/>
      <c r="AX1779" s="17"/>
    </row>
    <row r="1780" spans="49:50" x14ac:dyDescent="0.15">
      <c r="AW1780" s="17"/>
      <c r="AX1780" s="17"/>
    </row>
    <row r="1781" spans="49:50" x14ac:dyDescent="0.15">
      <c r="AW1781" s="17"/>
      <c r="AX1781" s="17"/>
    </row>
    <row r="1782" spans="49:50" x14ac:dyDescent="0.15">
      <c r="AW1782" s="17"/>
      <c r="AX1782" s="17"/>
    </row>
    <row r="1783" spans="49:50" x14ac:dyDescent="0.15">
      <c r="AW1783" s="17"/>
      <c r="AX1783" s="17"/>
    </row>
    <row r="1784" spans="49:50" x14ac:dyDescent="0.15">
      <c r="AW1784" s="17"/>
      <c r="AX1784" s="17"/>
    </row>
    <row r="1785" spans="49:50" x14ac:dyDescent="0.15">
      <c r="AW1785" s="17"/>
      <c r="AX1785" s="17"/>
    </row>
    <row r="1786" spans="49:50" x14ac:dyDescent="0.15">
      <c r="AW1786" s="17"/>
      <c r="AX1786" s="17"/>
    </row>
    <row r="1787" spans="49:50" x14ac:dyDescent="0.15">
      <c r="AW1787" s="17"/>
      <c r="AX1787" s="17"/>
    </row>
    <row r="1788" spans="49:50" x14ac:dyDescent="0.15">
      <c r="AW1788" s="17"/>
      <c r="AX1788" s="17"/>
    </row>
    <row r="1789" spans="49:50" x14ac:dyDescent="0.15">
      <c r="AW1789" s="17"/>
      <c r="AX1789" s="17"/>
    </row>
    <row r="1790" spans="49:50" x14ac:dyDescent="0.15">
      <c r="AW1790" s="17"/>
      <c r="AX1790" s="17"/>
    </row>
    <row r="1791" spans="49:50" x14ac:dyDescent="0.15">
      <c r="AW1791" s="17"/>
      <c r="AX1791" s="17"/>
    </row>
    <row r="1792" spans="49:50" x14ac:dyDescent="0.15">
      <c r="AW1792" s="17"/>
      <c r="AX1792" s="17"/>
    </row>
    <row r="1793" spans="49:50" x14ac:dyDescent="0.15">
      <c r="AW1793" s="17"/>
      <c r="AX1793" s="17"/>
    </row>
    <row r="1794" spans="49:50" x14ac:dyDescent="0.15">
      <c r="AW1794" s="17"/>
      <c r="AX1794" s="17"/>
    </row>
    <row r="1795" spans="49:50" x14ac:dyDescent="0.15">
      <c r="AW1795" s="17"/>
      <c r="AX1795" s="17"/>
    </row>
    <row r="1796" spans="49:50" x14ac:dyDescent="0.15">
      <c r="AW1796" s="17"/>
      <c r="AX1796" s="17"/>
    </row>
    <row r="1797" spans="49:50" x14ac:dyDescent="0.15">
      <c r="AW1797" s="17"/>
      <c r="AX1797" s="17"/>
    </row>
    <row r="1798" spans="49:50" x14ac:dyDescent="0.15">
      <c r="AW1798" s="17"/>
      <c r="AX1798" s="17"/>
    </row>
    <row r="1799" spans="49:50" x14ac:dyDescent="0.15">
      <c r="AW1799" s="17"/>
      <c r="AX1799" s="17"/>
    </row>
    <row r="1800" spans="49:50" x14ac:dyDescent="0.15">
      <c r="AW1800" s="17"/>
      <c r="AX1800" s="17"/>
    </row>
    <row r="1801" spans="49:50" x14ac:dyDescent="0.15">
      <c r="AW1801" s="17"/>
      <c r="AX1801" s="17"/>
    </row>
    <row r="1802" spans="49:50" x14ac:dyDescent="0.15">
      <c r="AW1802" s="17"/>
      <c r="AX1802" s="17"/>
    </row>
    <row r="1803" spans="49:50" x14ac:dyDescent="0.15">
      <c r="AW1803" s="17"/>
      <c r="AX1803" s="17"/>
    </row>
    <row r="1804" spans="49:50" x14ac:dyDescent="0.15">
      <c r="AW1804" s="17"/>
      <c r="AX1804" s="17"/>
    </row>
    <row r="1805" spans="49:50" x14ac:dyDescent="0.15">
      <c r="AW1805" s="17"/>
      <c r="AX1805" s="17"/>
    </row>
    <row r="1806" spans="49:50" x14ac:dyDescent="0.15">
      <c r="AW1806" s="17"/>
      <c r="AX1806" s="17"/>
    </row>
    <row r="1807" spans="49:50" x14ac:dyDescent="0.15">
      <c r="AW1807" s="17"/>
      <c r="AX1807" s="17"/>
    </row>
    <row r="1808" spans="49:50" x14ac:dyDescent="0.15">
      <c r="AW1808" s="17"/>
      <c r="AX1808" s="17"/>
    </row>
    <row r="1809" spans="49:50" x14ac:dyDescent="0.15">
      <c r="AW1809" s="17"/>
      <c r="AX1809" s="17"/>
    </row>
    <row r="1810" spans="49:50" x14ac:dyDescent="0.15">
      <c r="AW1810" s="17"/>
      <c r="AX1810" s="17"/>
    </row>
    <row r="1811" spans="49:50" x14ac:dyDescent="0.15">
      <c r="AW1811" s="17"/>
      <c r="AX1811" s="17"/>
    </row>
    <row r="1812" spans="49:50" x14ac:dyDescent="0.15">
      <c r="AW1812" s="17"/>
      <c r="AX1812" s="17"/>
    </row>
    <row r="1813" spans="49:50" x14ac:dyDescent="0.15">
      <c r="AW1813" s="17"/>
      <c r="AX1813" s="17"/>
    </row>
    <row r="1814" spans="49:50" x14ac:dyDescent="0.15">
      <c r="AW1814" s="17"/>
      <c r="AX1814" s="17"/>
    </row>
    <row r="1815" spans="49:50" x14ac:dyDescent="0.15">
      <c r="AW1815" s="17"/>
      <c r="AX1815" s="17"/>
    </row>
    <row r="1816" spans="49:50" x14ac:dyDescent="0.15">
      <c r="AW1816" s="17"/>
      <c r="AX1816" s="17"/>
    </row>
    <row r="1817" spans="49:50" x14ac:dyDescent="0.15">
      <c r="AW1817" s="17"/>
      <c r="AX1817" s="17"/>
    </row>
    <row r="1818" spans="49:50" x14ac:dyDescent="0.15">
      <c r="AW1818" s="17"/>
      <c r="AX1818" s="17"/>
    </row>
    <row r="1819" spans="49:50" x14ac:dyDescent="0.15">
      <c r="AW1819" s="17"/>
      <c r="AX1819" s="17"/>
    </row>
    <row r="1820" spans="49:50" x14ac:dyDescent="0.15">
      <c r="AW1820" s="17"/>
      <c r="AX1820" s="17"/>
    </row>
    <row r="1821" spans="49:50" x14ac:dyDescent="0.15">
      <c r="AW1821" s="17"/>
      <c r="AX1821" s="17"/>
    </row>
    <row r="1822" spans="49:50" x14ac:dyDescent="0.15">
      <c r="AW1822" s="17"/>
      <c r="AX1822" s="17"/>
    </row>
    <row r="1823" spans="49:50" x14ac:dyDescent="0.15">
      <c r="AW1823" s="17"/>
      <c r="AX1823" s="17"/>
    </row>
    <row r="1824" spans="49:50" x14ac:dyDescent="0.15">
      <c r="AW1824" s="17"/>
      <c r="AX1824" s="17"/>
    </row>
    <row r="1825" spans="49:50" x14ac:dyDescent="0.15">
      <c r="AW1825" s="17"/>
      <c r="AX1825" s="17"/>
    </row>
    <row r="1826" spans="49:50" x14ac:dyDescent="0.15">
      <c r="AW1826" s="17"/>
      <c r="AX1826" s="17"/>
    </row>
    <row r="1827" spans="49:50" x14ac:dyDescent="0.15">
      <c r="AW1827" s="17"/>
      <c r="AX1827" s="17"/>
    </row>
    <row r="1828" spans="49:50" x14ac:dyDescent="0.15">
      <c r="AW1828" s="17"/>
      <c r="AX1828" s="17"/>
    </row>
    <row r="1829" spans="49:50" x14ac:dyDescent="0.15">
      <c r="AW1829" s="17"/>
      <c r="AX1829" s="17"/>
    </row>
    <row r="1830" spans="49:50" x14ac:dyDescent="0.15">
      <c r="AW1830" s="17"/>
      <c r="AX1830" s="17"/>
    </row>
    <row r="1831" spans="49:50" x14ac:dyDescent="0.15">
      <c r="AW1831" s="17"/>
      <c r="AX1831" s="17"/>
    </row>
    <row r="1832" spans="49:50" x14ac:dyDescent="0.15">
      <c r="AW1832" s="17"/>
      <c r="AX1832" s="17"/>
    </row>
    <row r="1833" spans="49:50" x14ac:dyDescent="0.15">
      <c r="AW1833" s="17"/>
      <c r="AX1833" s="17"/>
    </row>
    <row r="1834" spans="49:50" x14ac:dyDescent="0.15">
      <c r="AW1834" s="17"/>
      <c r="AX1834" s="17"/>
    </row>
    <row r="1835" spans="49:50" x14ac:dyDescent="0.15">
      <c r="AW1835" s="17"/>
      <c r="AX1835" s="17"/>
    </row>
    <row r="1836" spans="49:50" x14ac:dyDescent="0.15">
      <c r="AW1836" s="17"/>
      <c r="AX1836" s="17"/>
    </row>
    <row r="1837" spans="49:50" x14ac:dyDescent="0.15">
      <c r="AW1837" s="17"/>
      <c r="AX1837" s="17"/>
    </row>
    <row r="1838" spans="49:50" x14ac:dyDescent="0.15">
      <c r="AW1838" s="17"/>
      <c r="AX1838" s="17"/>
    </row>
    <row r="1839" spans="49:50" x14ac:dyDescent="0.15">
      <c r="AW1839" s="17"/>
      <c r="AX1839" s="17"/>
    </row>
    <row r="1840" spans="49:50" x14ac:dyDescent="0.15">
      <c r="AW1840" s="17"/>
      <c r="AX1840" s="17"/>
    </row>
    <row r="1841" spans="49:50" x14ac:dyDescent="0.15">
      <c r="AW1841" s="17"/>
      <c r="AX1841" s="17"/>
    </row>
    <row r="1842" spans="49:50" x14ac:dyDescent="0.15">
      <c r="AW1842" s="17"/>
      <c r="AX1842" s="17"/>
    </row>
    <row r="1843" spans="49:50" x14ac:dyDescent="0.15">
      <c r="AW1843" s="17"/>
      <c r="AX1843" s="17"/>
    </row>
    <row r="1844" spans="49:50" x14ac:dyDescent="0.15">
      <c r="AW1844" s="17"/>
      <c r="AX1844" s="17"/>
    </row>
    <row r="1845" spans="49:50" x14ac:dyDescent="0.15">
      <c r="AW1845" s="17"/>
      <c r="AX1845" s="17"/>
    </row>
    <row r="1846" spans="49:50" x14ac:dyDescent="0.15">
      <c r="AW1846" s="17"/>
      <c r="AX1846" s="17"/>
    </row>
    <row r="1847" spans="49:50" x14ac:dyDescent="0.15">
      <c r="AW1847" s="17"/>
      <c r="AX1847" s="17"/>
    </row>
    <row r="1848" spans="49:50" x14ac:dyDescent="0.15">
      <c r="AW1848" s="17"/>
      <c r="AX1848" s="17"/>
    </row>
    <row r="1849" spans="49:50" x14ac:dyDescent="0.15">
      <c r="AW1849" s="17"/>
      <c r="AX1849" s="17"/>
    </row>
    <row r="1850" spans="49:50" x14ac:dyDescent="0.15">
      <c r="AW1850" s="17"/>
      <c r="AX1850" s="17"/>
    </row>
    <row r="1851" spans="49:50" x14ac:dyDescent="0.15">
      <c r="AW1851" s="17"/>
      <c r="AX1851" s="17"/>
    </row>
    <row r="1852" spans="49:50" x14ac:dyDescent="0.15">
      <c r="AW1852" s="17"/>
      <c r="AX1852" s="17"/>
    </row>
    <row r="1853" spans="49:50" x14ac:dyDescent="0.15">
      <c r="AW1853" s="17"/>
      <c r="AX1853" s="17"/>
    </row>
    <row r="1854" spans="49:50" x14ac:dyDescent="0.15">
      <c r="AW1854" s="17"/>
      <c r="AX1854" s="17"/>
    </row>
    <row r="1855" spans="49:50" x14ac:dyDescent="0.15">
      <c r="AW1855" s="17"/>
      <c r="AX1855" s="17"/>
    </row>
    <row r="1856" spans="49:50" x14ac:dyDescent="0.15">
      <c r="AW1856" s="17"/>
      <c r="AX1856" s="17"/>
    </row>
    <row r="1857" spans="49:50" x14ac:dyDescent="0.15">
      <c r="AW1857" s="17"/>
      <c r="AX1857" s="17"/>
    </row>
    <row r="1858" spans="49:50" x14ac:dyDescent="0.15">
      <c r="AW1858" s="17"/>
      <c r="AX1858" s="17"/>
    </row>
    <row r="1859" spans="49:50" x14ac:dyDescent="0.15">
      <c r="AW1859" s="17"/>
      <c r="AX1859" s="17"/>
    </row>
    <row r="1860" spans="49:50" x14ac:dyDescent="0.15">
      <c r="AW1860" s="17"/>
      <c r="AX1860" s="17"/>
    </row>
    <row r="1861" spans="49:50" x14ac:dyDescent="0.15">
      <c r="AW1861" s="17"/>
      <c r="AX1861" s="17"/>
    </row>
    <row r="1862" spans="49:50" x14ac:dyDescent="0.15">
      <c r="AW1862" s="17"/>
      <c r="AX1862" s="17"/>
    </row>
    <row r="1863" spans="49:50" x14ac:dyDescent="0.15">
      <c r="AW1863" s="17"/>
      <c r="AX1863" s="17"/>
    </row>
    <row r="1864" spans="49:50" x14ac:dyDescent="0.15">
      <c r="AW1864" s="17"/>
      <c r="AX1864" s="17"/>
    </row>
    <row r="1865" spans="49:50" x14ac:dyDescent="0.15">
      <c r="AW1865" s="17"/>
      <c r="AX1865" s="17"/>
    </row>
    <row r="1866" spans="49:50" x14ac:dyDescent="0.15">
      <c r="AW1866" s="17"/>
      <c r="AX1866" s="17"/>
    </row>
    <row r="1867" spans="49:50" x14ac:dyDescent="0.15">
      <c r="AW1867" s="17"/>
      <c r="AX1867" s="17"/>
    </row>
    <row r="1868" spans="49:50" x14ac:dyDescent="0.15">
      <c r="AW1868" s="17"/>
      <c r="AX1868" s="17"/>
    </row>
    <row r="1869" spans="49:50" x14ac:dyDescent="0.15">
      <c r="AW1869" s="17"/>
      <c r="AX1869" s="17"/>
    </row>
    <row r="1870" spans="49:50" x14ac:dyDescent="0.15">
      <c r="AW1870" s="17"/>
      <c r="AX1870" s="17"/>
    </row>
    <row r="1871" spans="49:50" x14ac:dyDescent="0.15">
      <c r="AW1871" s="17"/>
      <c r="AX1871" s="17"/>
    </row>
    <row r="1872" spans="49:50" x14ac:dyDescent="0.15">
      <c r="AW1872" s="17"/>
      <c r="AX1872" s="17"/>
    </row>
    <row r="1873" spans="49:50" x14ac:dyDescent="0.15">
      <c r="AW1873" s="17"/>
      <c r="AX1873" s="17"/>
    </row>
    <row r="1874" spans="49:50" x14ac:dyDescent="0.15">
      <c r="AW1874" s="17"/>
      <c r="AX1874" s="17"/>
    </row>
    <row r="1875" spans="49:50" x14ac:dyDescent="0.15">
      <c r="AW1875" s="17"/>
      <c r="AX1875" s="17"/>
    </row>
    <row r="1876" spans="49:50" x14ac:dyDescent="0.15">
      <c r="AW1876" s="17"/>
      <c r="AX1876" s="17"/>
    </row>
    <row r="1877" spans="49:50" x14ac:dyDescent="0.15">
      <c r="AW1877" s="17"/>
      <c r="AX1877" s="17"/>
    </row>
    <row r="1878" spans="49:50" x14ac:dyDescent="0.15">
      <c r="AW1878" s="17"/>
      <c r="AX1878" s="17"/>
    </row>
    <row r="1879" spans="49:50" x14ac:dyDescent="0.15">
      <c r="AW1879" s="17"/>
      <c r="AX1879" s="17"/>
    </row>
    <row r="1880" spans="49:50" x14ac:dyDescent="0.15">
      <c r="AW1880" s="17"/>
      <c r="AX1880" s="17"/>
    </row>
    <row r="1881" spans="49:50" x14ac:dyDescent="0.15">
      <c r="AW1881" s="17"/>
      <c r="AX1881" s="17"/>
    </row>
    <row r="1882" spans="49:50" x14ac:dyDescent="0.15">
      <c r="AW1882" s="17"/>
      <c r="AX1882" s="17"/>
    </row>
    <row r="1883" spans="49:50" x14ac:dyDescent="0.15">
      <c r="AW1883" s="17"/>
      <c r="AX1883" s="17"/>
    </row>
    <row r="1884" spans="49:50" x14ac:dyDescent="0.15">
      <c r="AW1884" s="17"/>
      <c r="AX1884" s="17"/>
    </row>
    <row r="1885" spans="49:50" x14ac:dyDescent="0.15">
      <c r="AW1885" s="17"/>
      <c r="AX1885" s="17"/>
    </row>
    <row r="1886" spans="49:50" x14ac:dyDescent="0.15">
      <c r="AW1886" s="17"/>
      <c r="AX1886" s="17"/>
    </row>
    <row r="1887" spans="49:50" x14ac:dyDescent="0.15">
      <c r="AW1887" s="17"/>
      <c r="AX1887" s="17"/>
    </row>
    <row r="1888" spans="49:50" x14ac:dyDescent="0.15">
      <c r="AW1888" s="17"/>
      <c r="AX1888" s="17"/>
    </row>
    <row r="1889" spans="49:50" x14ac:dyDescent="0.15">
      <c r="AW1889" s="17"/>
      <c r="AX1889" s="17"/>
    </row>
    <row r="1890" spans="49:50" x14ac:dyDescent="0.15">
      <c r="AW1890" s="17"/>
      <c r="AX1890" s="17"/>
    </row>
    <row r="1891" spans="49:50" x14ac:dyDescent="0.15">
      <c r="AW1891" s="17"/>
      <c r="AX1891" s="17"/>
    </row>
    <row r="1892" spans="49:50" x14ac:dyDescent="0.15">
      <c r="AW1892" s="17"/>
      <c r="AX1892" s="17"/>
    </row>
    <row r="1893" spans="49:50" x14ac:dyDescent="0.15">
      <c r="AW1893" s="17"/>
      <c r="AX1893" s="17"/>
    </row>
    <row r="1894" spans="49:50" x14ac:dyDescent="0.15">
      <c r="AW1894" s="17"/>
      <c r="AX1894" s="17"/>
    </row>
    <row r="1895" spans="49:50" x14ac:dyDescent="0.15">
      <c r="AW1895" s="17"/>
      <c r="AX1895" s="17"/>
    </row>
    <row r="1896" spans="49:50" x14ac:dyDescent="0.15">
      <c r="AW1896" s="17"/>
      <c r="AX1896" s="17"/>
    </row>
    <row r="1897" spans="49:50" x14ac:dyDescent="0.15">
      <c r="AW1897" s="17"/>
      <c r="AX1897" s="17"/>
    </row>
    <row r="1898" spans="49:50" x14ac:dyDescent="0.15">
      <c r="AW1898" s="17"/>
      <c r="AX1898" s="17"/>
    </row>
    <row r="1899" spans="49:50" x14ac:dyDescent="0.15">
      <c r="AW1899" s="17"/>
      <c r="AX1899" s="17"/>
    </row>
    <row r="1900" spans="49:50" x14ac:dyDescent="0.15">
      <c r="AW1900" s="17"/>
      <c r="AX1900" s="17"/>
    </row>
    <row r="1901" spans="49:50" x14ac:dyDescent="0.15">
      <c r="AW1901" s="17"/>
      <c r="AX1901" s="17"/>
    </row>
    <row r="1902" spans="49:50" x14ac:dyDescent="0.15">
      <c r="AW1902" s="17"/>
      <c r="AX1902" s="17"/>
    </row>
    <row r="1903" spans="49:50" x14ac:dyDescent="0.15">
      <c r="AW1903" s="17"/>
      <c r="AX1903" s="17"/>
    </row>
    <row r="1904" spans="49:50" x14ac:dyDescent="0.15">
      <c r="AW1904" s="17"/>
      <c r="AX1904" s="17"/>
    </row>
    <row r="1905" spans="49:50" x14ac:dyDescent="0.15">
      <c r="AW1905" s="17"/>
      <c r="AX1905" s="17"/>
    </row>
    <row r="1906" spans="49:50" x14ac:dyDescent="0.15">
      <c r="AW1906" s="17"/>
      <c r="AX1906" s="17"/>
    </row>
    <row r="1907" spans="49:50" x14ac:dyDescent="0.15">
      <c r="AW1907" s="17"/>
      <c r="AX1907" s="17"/>
    </row>
    <row r="1908" spans="49:50" x14ac:dyDescent="0.15">
      <c r="AW1908" s="17"/>
      <c r="AX1908" s="17"/>
    </row>
    <row r="1909" spans="49:50" x14ac:dyDescent="0.15">
      <c r="AW1909" s="17"/>
      <c r="AX1909" s="17"/>
    </row>
    <row r="1910" spans="49:50" x14ac:dyDescent="0.15">
      <c r="AW1910" s="17"/>
      <c r="AX1910" s="17"/>
    </row>
    <row r="1911" spans="49:50" x14ac:dyDescent="0.15">
      <c r="AW1911" s="17"/>
      <c r="AX1911" s="17"/>
    </row>
    <row r="1912" spans="49:50" x14ac:dyDescent="0.15">
      <c r="AW1912" s="17"/>
      <c r="AX1912" s="17"/>
    </row>
    <row r="1913" spans="49:50" x14ac:dyDescent="0.15">
      <c r="AW1913" s="17"/>
      <c r="AX1913" s="17"/>
    </row>
    <row r="1914" spans="49:50" x14ac:dyDescent="0.15">
      <c r="AW1914" s="17"/>
      <c r="AX1914" s="17"/>
    </row>
    <row r="1915" spans="49:50" x14ac:dyDescent="0.15">
      <c r="AW1915" s="17"/>
      <c r="AX1915" s="17"/>
    </row>
    <row r="1916" spans="49:50" x14ac:dyDescent="0.15">
      <c r="AW1916" s="17"/>
      <c r="AX1916" s="17"/>
    </row>
    <row r="1917" spans="49:50" x14ac:dyDescent="0.15">
      <c r="AW1917" s="17"/>
      <c r="AX1917" s="17"/>
    </row>
    <row r="1918" spans="49:50" x14ac:dyDescent="0.15">
      <c r="AW1918" s="17"/>
      <c r="AX1918" s="17"/>
    </row>
    <row r="1919" spans="49:50" x14ac:dyDescent="0.15">
      <c r="AW1919" s="17"/>
      <c r="AX1919" s="17"/>
    </row>
    <row r="1920" spans="49:50" x14ac:dyDescent="0.15">
      <c r="AW1920" s="17"/>
      <c r="AX1920" s="17"/>
    </row>
    <row r="1921" spans="49:50" x14ac:dyDescent="0.15">
      <c r="AW1921" s="17"/>
      <c r="AX1921" s="17"/>
    </row>
    <row r="1922" spans="49:50" x14ac:dyDescent="0.15">
      <c r="AW1922" s="17"/>
      <c r="AX1922" s="17"/>
    </row>
    <row r="1923" spans="49:50" x14ac:dyDescent="0.15">
      <c r="AW1923" s="17"/>
      <c r="AX1923" s="17"/>
    </row>
    <row r="1924" spans="49:50" x14ac:dyDescent="0.15">
      <c r="AW1924" s="17"/>
      <c r="AX1924" s="17"/>
    </row>
    <row r="1925" spans="49:50" x14ac:dyDescent="0.15">
      <c r="AW1925" s="17"/>
      <c r="AX1925" s="17"/>
    </row>
    <row r="1926" spans="49:50" x14ac:dyDescent="0.15">
      <c r="AW1926" s="17"/>
      <c r="AX1926" s="17"/>
    </row>
    <row r="1927" spans="49:50" x14ac:dyDescent="0.15">
      <c r="AW1927" s="17"/>
      <c r="AX1927" s="17"/>
    </row>
    <row r="1928" spans="49:50" x14ac:dyDescent="0.15">
      <c r="AW1928" s="17"/>
      <c r="AX1928" s="17"/>
    </row>
    <row r="1929" spans="49:50" x14ac:dyDescent="0.15">
      <c r="AW1929" s="17"/>
      <c r="AX1929" s="17"/>
    </row>
    <row r="1930" spans="49:50" x14ac:dyDescent="0.15">
      <c r="AW1930" s="17"/>
      <c r="AX1930" s="17"/>
    </row>
    <row r="1931" spans="49:50" x14ac:dyDescent="0.15">
      <c r="AW1931" s="17"/>
      <c r="AX1931" s="17"/>
    </row>
    <row r="1932" spans="49:50" x14ac:dyDescent="0.15">
      <c r="AW1932" s="17"/>
      <c r="AX1932" s="17"/>
    </row>
    <row r="1933" spans="49:50" x14ac:dyDescent="0.15">
      <c r="AW1933" s="17"/>
      <c r="AX1933" s="17"/>
    </row>
    <row r="1934" spans="49:50" x14ac:dyDescent="0.15">
      <c r="AW1934" s="17"/>
      <c r="AX1934" s="17"/>
    </row>
    <row r="1935" spans="49:50" x14ac:dyDescent="0.15">
      <c r="AW1935" s="17"/>
      <c r="AX1935" s="17"/>
    </row>
    <row r="1936" spans="49:50" x14ac:dyDescent="0.15">
      <c r="AW1936" s="17"/>
      <c r="AX1936" s="17"/>
    </row>
    <row r="1937" spans="49:50" x14ac:dyDescent="0.15">
      <c r="AW1937" s="17"/>
      <c r="AX1937" s="17"/>
    </row>
    <row r="1938" spans="49:50" x14ac:dyDescent="0.15">
      <c r="AW1938" s="17"/>
      <c r="AX1938" s="17"/>
    </row>
    <row r="1939" spans="49:50" x14ac:dyDescent="0.15">
      <c r="AW1939" s="17"/>
      <c r="AX1939" s="17"/>
    </row>
    <row r="1940" spans="49:50" x14ac:dyDescent="0.15">
      <c r="AW1940" s="17"/>
      <c r="AX1940" s="17"/>
    </row>
    <row r="1941" spans="49:50" x14ac:dyDescent="0.15">
      <c r="AW1941" s="17"/>
      <c r="AX1941" s="17"/>
    </row>
    <row r="1942" spans="49:50" x14ac:dyDescent="0.15">
      <c r="AW1942" s="17"/>
      <c r="AX1942" s="17"/>
    </row>
    <row r="1943" spans="49:50" x14ac:dyDescent="0.15">
      <c r="AW1943" s="17"/>
      <c r="AX1943" s="17"/>
    </row>
    <row r="1944" spans="49:50" x14ac:dyDescent="0.15">
      <c r="AW1944" s="17"/>
      <c r="AX1944" s="17"/>
    </row>
    <row r="1945" spans="49:50" x14ac:dyDescent="0.15">
      <c r="AW1945" s="17"/>
      <c r="AX1945" s="17"/>
    </row>
    <row r="1946" spans="49:50" x14ac:dyDescent="0.15">
      <c r="AW1946" s="17"/>
      <c r="AX1946" s="17"/>
    </row>
    <row r="1947" spans="49:50" x14ac:dyDescent="0.15">
      <c r="AW1947" s="17"/>
      <c r="AX1947" s="17"/>
    </row>
    <row r="1948" spans="49:50" x14ac:dyDescent="0.15">
      <c r="AW1948" s="17"/>
      <c r="AX1948" s="17"/>
    </row>
    <row r="1949" spans="49:50" x14ac:dyDescent="0.15">
      <c r="AW1949" s="17"/>
      <c r="AX1949" s="17"/>
    </row>
    <row r="1950" spans="49:50" x14ac:dyDescent="0.15">
      <c r="AW1950" s="17"/>
      <c r="AX1950" s="17"/>
    </row>
    <row r="1951" spans="49:50" x14ac:dyDescent="0.15">
      <c r="AW1951" s="17"/>
      <c r="AX1951" s="17"/>
    </row>
    <row r="1952" spans="49:50" x14ac:dyDescent="0.15">
      <c r="AW1952" s="17"/>
      <c r="AX1952" s="17"/>
    </row>
    <row r="1953" spans="49:50" x14ac:dyDescent="0.15">
      <c r="AW1953" s="17"/>
      <c r="AX1953" s="17"/>
    </row>
    <row r="1954" spans="49:50" x14ac:dyDescent="0.15">
      <c r="AW1954" s="17"/>
      <c r="AX1954" s="17"/>
    </row>
    <row r="1955" spans="49:50" x14ac:dyDescent="0.15">
      <c r="AW1955" s="17"/>
      <c r="AX1955" s="17"/>
    </row>
    <row r="1956" spans="49:50" x14ac:dyDescent="0.15">
      <c r="AW1956" s="17"/>
      <c r="AX1956" s="17"/>
    </row>
    <row r="1957" spans="49:50" x14ac:dyDescent="0.15">
      <c r="AW1957" s="17"/>
      <c r="AX1957" s="17"/>
    </row>
    <row r="1958" spans="49:50" x14ac:dyDescent="0.15">
      <c r="AW1958" s="17"/>
      <c r="AX1958" s="17"/>
    </row>
    <row r="1959" spans="49:50" x14ac:dyDescent="0.15">
      <c r="AW1959" s="17"/>
      <c r="AX1959" s="17"/>
    </row>
    <row r="1960" spans="49:50" x14ac:dyDescent="0.15">
      <c r="AW1960" s="17"/>
      <c r="AX1960" s="17"/>
    </row>
    <row r="1961" spans="49:50" x14ac:dyDescent="0.15">
      <c r="AW1961" s="17"/>
      <c r="AX1961" s="17"/>
    </row>
    <row r="1962" spans="49:50" x14ac:dyDescent="0.15">
      <c r="AW1962" s="17"/>
      <c r="AX1962" s="17"/>
    </row>
    <row r="1963" spans="49:50" x14ac:dyDescent="0.15">
      <c r="AW1963" s="17"/>
      <c r="AX1963" s="17"/>
    </row>
    <row r="1964" spans="49:50" x14ac:dyDescent="0.15">
      <c r="AW1964" s="17"/>
      <c r="AX1964" s="17"/>
    </row>
    <row r="1965" spans="49:50" x14ac:dyDescent="0.15">
      <c r="AW1965" s="17"/>
      <c r="AX1965" s="17"/>
    </row>
    <row r="1966" spans="49:50" x14ac:dyDescent="0.15">
      <c r="AW1966" s="17"/>
      <c r="AX1966" s="17"/>
    </row>
    <row r="1967" spans="49:50" x14ac:dyDescent="0.15">
      <c r="AW1967" s="17"/>
      <c r="AX1967" s="17"/>
    </row>
    <row r="1968" spans="49:50" x14ac:dyDescent="0.15">
      <c r="AW1968" s="17"/>
      <c r="AX1968" s="17"/>
    </row>
    <row r="1969" spans="49:50" x14ac:dyDescent="0.15">
      <c r="AW1969" s="17"/>
      <c r="AX1969" s="17"/>
    </row>
    <row r="1970" spans="49:50" x14ac:dyDescent="0.15">
      <c r="AW1970" s="17"/>
      <c r="AX1970" s="17"/>
    </row>
    <row r="1971" spans="49:50" x14ac:dyDescent="0.15">
      <c r="AW1971" s="17"/>
      <c r="AX1971" s="17"/>
    </row>
    <row r="1972" spans="49:50" x14ac:dyDescent="0.15">
      <c r="AW1972" s="17"/>
      <c r="AX1972" s="17"/>
    </row>
    <row r="1973" spans="49:50" x14ac:dyDescent="0.15">
      <c r="AW1973" s="17"/>
      <c r="AX1973" s="17"/>
    </row>
    <row r="1974" spans="49:50" x14ac:dyDescent="0.15">
      <c r="AW1974" s="17"/>
      <c r="AX1974" s="17"/>
    </row>
    <row r="1975" spans="49:50" x14ac:dyDescent="0.15">
      <c r="AW1975" s="17"/>
      <c r="AX1975" s="17"/>
    </row>
    <row r="1976" spans="49:50" x14ac:dyDescent="0.15">
      <c r="AW1976" s="17"/>
      <c r="AX1976" s="17"/>
    </row>
    <row r="1977" spans="49:50" x14ac:dyDescent="0.15">
      <c r="AW1977" s="17"/>
      <c r="AX1977" s="17"/>
    </row>
    <row r="1978" spans="49:50" x14ac:dyDescent="0.15">
      <c r="AW1978" s="17"/>
      <c r="AX1978" s="17"/>
    </row>
    <row r="1979" spans="49:50" x14ac:dyDescent="0.15">
      <c r="AW1979" s="17"/>
      <c r="AX1979" s="17"/>
    </row>
    <row r="1980" spans="49:50" x14ac:dyDescent="0.15">
      <c r="AW1980" s="17"/>
      <c r="AX1980" s="17"/>
    </row>
    <row r="1981" spans="49:50" x14ac:dyDescent="0.15">
      <c r="AW1981" s="17"/>
      <c r="AX1981" s="17"/>
    </row>
    <row r="1982" spans="49:50" x14ac:dyDescent="0.15">
      <c r="AW1982" s="17"/>
      <c r="AX1982" s="17"/>
    </row>
    <row r="1983" spans="49:50" x14ac:dyDescent="0.15">
      <c r="AW1983" s="17"/>
      <c r="AX1983" s="17"/>
    </row>
    <row r="1984" spans="49:50" x14ac:dyDescent="0.15">
      <c r="AW1984" s="17"/>
      <c r="AX1984" s="17"/>
    </row>
    <row r="1985" spans="49:50" x14ac:dyDescent="0.15">
      <c r="AW1985" s="17"/>
      <c r="AX1985" s="17"/>
    </row>
    <row r="1986" spans="49:50" x14ac:dyDescent="0.15">
      <c r="AW1986" s="17"/>
      <c r="AX1986" s="17"/>
    </row>
    <row r="1987" spans="49:50" x14ac:dyDescent="0.15">
      <c r="AW1987" s="17"/>
      <c r="AX1987" s="17"/>
    </row>
    <row r="1988" spans="49:50" x14ac:dyDescent="0.15">
      <c r="AW1988" s="17"/>
      <c r="AX1988" s="17"/>
    </row>
    <row r="1989" spans="49:50" x14ac:dyDescent="0.15">
      <c r="AW1989" s="17"/>
      <c r="AX1989" s="17"/>
    </row>
    <row r="1990" spans="49:50" x14ac:dyDescent="0.15">
      <c r="AW1990" s="17"/>
      <c r="AX1990" s="17"/>
    </row>
    <row r="1991" spans="49:50" x14ac:dyDescent="0.15">
      <c r="AW1991" s="17"/>
      <c r="AX1991" s="17"/>
    </row>
    <row r="1992" spans="49:50" x14ac:dyDescent="0.15">
      <c r="AW1992" s="17"/>
      <c r="AX1992" s="17"/>
    </row>
    <row r="1993" spans="49:50" x14ac:dyDescent="0.15">
      <c r="AW1993" s="17"/>
      <c r="AX1993" s="17"/>
    </row>
    <row r="1994" spans="49:50" x14ac:dyDescent="0.15">
      <c r="AW1994" s="17"/>
      <c r="AX1994" s="17"/>
    </row>
    <row r="1995" spans="49:50" x14ac:dyDescent="0.15">
      <c r="AW1995" s="17"/>
      <c r="AX1995" s="17"/>
    </row>
    <row r="1996" spans="49:50" x14ac:dyDescent="0.15">
      <c r="AW1996" s="17"/>
      <c r="AX1996" s="17"/>
    </row>
    <row r="1997" spans="49:50" x14ac:dyDescent="0.15">
      <c r="AW1997" s="17"/>
      <c r="AX1997" s="17"/>
    </row>
    <row r="1998" spans="49:50" x14ac:dyDescent="0.15">
      <c r="AW1998" s="17"/>
      <c r="AX1998" s="17"/>
    </row>
    <row r="1999" spans="49:50" x14ac:dyDescent="0.15">
      <c r="AW1999" s="17"/>
      <c r="AX1999" s="17"/>
    </row>
    <row r="2000" spans="49:50" x14ac:dyDescent="0.15">
      <c r="AW2000" s="17"/>
      <c r="AX2000" s="17"/>
    </row>
    <row r="2001" spans="49:50" x14ac:dyDescent="0.15">
      <c r="AW2001" s="17"/>
      <c r="AX2001" s="17"/>
    </row>
    <row r="2002" spans="49:50" x14ac:dyDescent="0.15">
      <c r="AW2002" s="17"/>
      <c r="AX2002" s="17"/>
    </row>
    <row r="2003" spans="49:50" x14ac:dyDescent="0.15">
      <c r="AW2003" s="17"/>
      <c r="AX2003" s="17"/>
    </row>
    <row r="2004" spans="49:50" x14ac:dyDescent="0.15">
      <c r="AW2004" s="17"/>
      <c r="AX2004" s="17"/>
    </row>
    <row r="2005" spans="49:50" x14ac:dyDescent="0.15">
      <c r="AW2005" s="17"/>
      <c r="AX2005" s="17"/>
    </row>
    <row r="2006" spans="49:50" x14ac:dyDescent="0.15">
      <c r="AW2006" s="17"/>
      <c r="AX2006" s="17"/>
    </row>
    <row r="2007" spans="49:50" x14ac:dyDescent="0.15">
      <c r="AW2007" s="17"/>
      <c r="AX2007" s="17"/>
    </row>
    <row r="2008" spans="49:50" x14ac:dyDescent="0.15">
      <c r="AW2008" s="17"/>
      <c r="AX2008" s="17"/>
    </row>
    <row r="2009" spans="49:50" x14ac:dyDescent="0.15">
      <c r="AW2009" s="17"/>
      <c r="AX2009" s="17"/>
    </row>
    <row r="2010" spans="49:50" x14ac:dyDescent="0.15">
      <c r="AW2010" s="17"/>
      <c r="AX2010" s="17"/>
    </row>
    <row r="2011" spans="49:50" x14ac:dyDescent="0.15">
      <c r="AW2011" s="17"/>
      <c r="AX2011" s="17"/>
    </row>
    <row r="2012" spans="49:50" x14ac:dyDescent="0.15">
      <c r="AW2012" s="17"/>
      <c r="AX2012" s="17"/>
    </row>
    <row r="2013" spans="49:50" x14ac:dyDescent="0.15">
      <c r="AW2013" s="17"/>
      <c r="AX2013" s="17"/>
    </row>
    <row r="2014" spans="49:50" x14ac:dyDescent="0.15">
      <c r="AW2014" s="17"/>
      <c r="AX2014" s="17"/>
    </row>
    <row r="2015" spans="49:50" x14ac:dyDescent="0.15">
      <c r="AW2015" s="17"/>
      <c r="AX2015" s="17"/>
    </row>
    <row r="2016" spans="49:50" x14ac:dyDescent="0.15">
      <c r="AW2016" s="17"/>
      <c r="AX2016" s="17"/>
    </row>
    <row r="2017" spans="49:50" x14ac:dyDescent="0.15">
      <c r="AW2017" s="17"/>
      <c r="AX2017" s="17"/>
    </row>
    <row r="2018" spans="49:50" x14ac:dyDescent="0.15">
      <c r="AW2018" s="17"/>
      <c r="AX2018" s="17"/>
    </row>
    <row r="2019" spans="49:50" x14ac:dyDescent="0.15">
      <c r="AW2019" s="17"/>
      <c r="AX2019" s="17"/>
    </row>
    <row r="2020" spans="49:50" x14ac:dyDescent="0.15">
      <c r="AW2020" s="17"/>
      <c r="AX2020" s="17"/>
    </row>
    <row r="2021" spans="49:50" x14ac:dyDescent="0.15">
      <c r="AW2021" s="17"/>
      <c r="AX2021" s="17"/>
    </row>
    <row r="2022" spans="49:50" x14ac:dyDescent="0.15">
      <c r="AW2022" s="17"/>
      <c r="AX2022" s="17"/>
    </row>
    <row r="2023" spans="49:50" x14ac:dyDescent="0.15">
      <c r="AW2023" s="17"/>
      <c r="AX2023" s="17"/>
    </row>
    <row r="2024" spans="49:50" x14ac:dyDescent="0.15">
      <c r="AW2024" s="17"/>
      <c r="AX2024" s="17"/>
    </row>
    <row r="2025" spans="49:50" x14ac:dyDescent="0.15">
      <c r="AW2025" s="17"/>
      <c r="AX2025" s="17"/>
    </row>
    <row r="2026" spans="49:50" x14ac:dyDescent="0.15">
      <c r="AW2026" s="17"/>
      <c r="AX2026" s="17"/>
    </row>
    <row r="2027" spans="49:50" x14ac:dyDescent="0.15">
      <c r="AW2027" s="17"/>
      <c r="AX2027" s="17"/>
    </row>
    <row r="2028" spans="49:50" x14ac:dyDescent="0.15">
      <c r="AW2028" s="17"/>
      <c r="AX2028" s="17"/>
    </row>
    <row r="2029" spans="49:50" x14ac:dyDescent="0.15">
      <c r="AW2029" s="17"/>
      <c r="AX2029" s="17"/>
    </row>
    <row r="2030" spans="49:50" x14ac:dyDescent="0.15">
      <c r="AW2030" s="17"/>
      <c r="AX2030" s="17"/>
    </row>
    <row r="2031" spans="49:50" x14ac:dyDescent="0.15">
      <c r="AW2031" s="17"/>
      <c r="AX2031" s="17"/>
    </row>
    <row r="2032" spans="49:50" x14ac:dyDescent="0.15">
      <c r="AW2032" s="17"/>
      <c r="AX2032" s="17"/>
    </row>
    <row r="2033" spans="49:50" x14ac:dyDescent="0.15">
      <c r="AW2033" s="17"/>
      <c r="AX2033" s="17"/>
    </row>
    <row r="2034" spans="49:50" x14ac:dyDescent="0.15">
      <c r="AW2034" s="17"/>
      <c r="AX2034" s="17"/>
    </row>
    <row r="2035" spans="49:50" x14ac:dyDescent="0.15">
      <c r="AW2035" s="17"/>
      <c r="AX2035" s="17"/>
    </row>
    <row r="2036" spans="49:50" x14ac:dyDescent="0.15">
      <c r="AW2036" s="17"/>
      <c r="AX2036" s="17"/>
    </row>
    <row r="2037" spans="49:50" x14ac:dyDescent="0.15">
      <c r="AW2037" s="17"/>
      <c r="AX2037" s="17"/>
    </row>
    <row r="2038" spans="49:50" x14ac:dyDescent="0.15">
      <c r="AW2038" s="17"/>
      <c r="AX2038" s="17"/>
    </row>
    <row r="2039" spans="49:50" x14ac:dyDescent="0.15">
      <c r="AW2039" s="17"/>
      <c r="AX2039" s="17"/>
    </row>
    <row r="2040" spans="49:50" x14ac:dyDescent="0.15">
      <c r="AW2040" s="17"/>
      <c r="AX2040" s="17"/>
    </row>
    <row r="2041" spans="49:50" x14ac:dyDescent="0.15">
      <c r="AW2041" s="17"/>
      <c r="AX2041" s="17"/>
    </row>
    <row r="2042" spans="49:50" x14ac:dyDescent="0.15">
      <c r="AW2042" s="17"/>
      <c r="AX2042" s="17"/>
    </row>
    <row r="2043" spans="49:50" x14ac:dyDescent="0.15">
      <c r="AW2043" s="17"/>
      <c r="AX2043" s="17"/>
    </row>
    <row r="2044" spans="49:50" x14ac:dyDescent="0.15">
      <c r="AW2044" s="17"/>
      <c r="AX2044" s="17"/>
    </row>
    <row r="2045" spans="49:50" x14ac:dyDescent="0.15">
      <c r="AW2045" s="17"/>
      <c r="AX2045" s="17"/>
    </row>
    <row r="2046" spans="49:50" x14ac:dyDescent="0.15">
      <c r="AW2046" s="17"/>
      <c r="AX2046" s="17"/>
    </row>
    <row r="2047" spans="49:50" x14ac:dyDescent="0.15">
      <c r="AW2047" s="17"/>
      <c r="AX2047" s="17"/>
    </row>
    <row r="2048" spans="49:50" x14ac:dyDescent="0.15">
      <c r="AW2048" s="17"/>
      <c r="AX2048" s="17"/>
    </row>
    <row r="2049" spans="49:50" x14ac:dyDescent="0.15">
      <c r="AW2049" s="17"/>
      <c r="AX2049" s="17"/>
    </row>
    <row r="2050" spans="49:50" x14ac:dyDescent="0.15">
      <c r="AW2050" s="17"/>
      <c r="AX2050" s="17"/>
    </row>
    <row r="2051" spans="49:50" x14ac:dyDescent="0.15">
      <c r="AW2051" s="17"/>
      <c r="AX2051" s="17"/>
    </row>
    <row r="2052" spans="49:50" x14ac:dyDescent="0.15">
      <c r="AW2052" s="17"/>
      <c r="AX2052" s="17"/>
    </row>
    <row r="2053" spans="49:50" x14ac:dyDescent="0.15">
      <c r="AW2053" s="17"/>
      <c r="AX2053" s="17"/>
    </row>
    <row r="2054" spans="49:50" x14ac:dyDescent="0.15">
      <c r="AW2054" s="17"/>
      <c r="AX2054" s="17"/>
    </row>
    <row r="2055" spans="49:50" x14ac:dyDescent="0.15">
      <c r="AW2055" s="17"/>
      <c r="AX2055" s="17"/>
    </row>
    <row r="2056" spans="49:50" x14ac:dyDescent="0.15">
      <c r="AW2056" s="17"/>
      <c r="AX2056" s="17"/>
    </row>
    <row r="2057" spans="49:50" x14ac:dyDescent="0.15">
      <c r="AW2057" s="17"/>
      <c r="AX2057" s="17"/>
    </row>
    <row r="2058" spans="49:50" x14ac:dyDescent="0.15">
      <c r="AW2058" s="17"/>
      <c r="AX2058" s="17"/>
    </row>
    <row r="2059" spans="49:50" x14ac:dyDescent="0.15">
      <c r="AW2059" s="17"/>
      <c r="AX2059" s="17"/>
    </row>
    <row r="2060" spans="49:50" x14ac:dyDescent="0.15">
      <c r="AW2060" s="17"/>
      <c r="AX2060" s="17"/>
    </row>
    <row r="2061" spans="49:50" x14ac:dyDescent="0.15">
      <c r="AW2061" s="17"/>
      <c r="AX2061" s="17"/>
    </row>
    <row r="2062" spans="49:50" x14ac:dyDescent="0.15">
      <c r="AW2062" s="17"/>
      <c r="AX2062" s="17"/>
    </row>
    <row r="2063" spans="49:50" x14ac:dyDescent="0.15">
      <c r="AW2063" s="17"/>
      <c r="AX2063" s="17"/>
    </row>
    <row r="2064" spans="49:50" x14ac:dyDescent="0.15">
      <c r="AW2064" s="17"/>
      <c r="AX2064" s="17"/>
    </row>
    <row r="2065" spans="49:50" x14ac:dyDescent="0.15">
      <c r="AW2065" s="17"/>
      <c r="AX2065" s="17"/>
    </row>
    <row r="2066" spans="49:50" x14ac:dyDescent="0.15">
      <c r="AW2066" s="17"/>
      <c r="AX2066" s="17"/>
    </row>
    <row r="2067" spans="49:50" x14ac:dyDescent="0.15">
      <c r="AW2067" s="17"/>
      <c r="AX2067" s="17"/>
    </row>
    <row r="2068" spans="49:50" x14ac:dyDescent="0.15">
      <c r="AW2068" s="17"/>
      <c r="AX2068" s="17"/>
    </row>
    <row r="2069" spans="49:50" x14ac:dyDescent="0.15">
      <c r="AW2069" s="17"/>
      <c r="AX2069" s="17"/>
    </row>
    <row r="2070" spans="49:50" x14ac:dyDescent="0.15">
      <c r="AW2070" s="17"/>
      <c r="AX2070" s="17"/>
    </row>
    <row r="2071" spans="49:50" x14ac:dyDescent="0.15">
      <c r="AW2071" s="17"/>
      <c r="AX2071" s="17"/>
    </row>
    <row r="2072" spans="49:50" x14ac:dyDescent="0.15">
      <c r="AW2072" s="17"/>
      <c r="AX2072" s="17"/>
    </row>
    <row r="2073" spans="49:50" x14ac:dyDescent="0.15">
      <c r="AW2073" s="17"/>
      <c r="AX2073" s="17"/>
    </row>
    <row r="2074" spans="49:50" x14ac:dyDescent="0.15">
      <c r="AW2074" s="17"/>
      <c r="AX2074" s="17"/>
    </row>
    <row r="2075" spans="49:50" x14ac:dyDescent="0.15">
      <c r="AW2075" s="17"/>
      <c r="AX2075" s="17"/>
    </row>
    <row r="2076" spans="49:50" x14ac:dyDescent="0.15">
      <c r="AW2076" s="17"/>
      <c r="AX2076" s="17"/>
    </row>
    <row r="2077" spans="49:50" x14ac:dyDescent="0.15">
      <c r="AW2077" s="17"/>
      <c r="AX2077" s="17"/>
    </row>
    <row r="2078" spans="49:50" x14ac:dyDescent="0.15">
      <c r="AW2078" s="17"/>
      <c r="AX2078" s="17"/>
    </row>
    <row r="2079" spans="49:50" x14ac:dyDescent="0.15">
      <c r="AW2079" s="17"/>
      <c r="AX2079" s="17"/>
    </row>
    <row r="2080" spans="49:50" x14ac:dyDescent="0.15">
      <c r="AW2080" s="17"/>
      <c r="AX2080" s="17"/>
    </row>
    <row r="2081" spans="49:50" x14ac:dyDescent="0.15">
      <c r="AW2081" s="17"/>
      <c r="AX2081" s="17"/>
    </row>
    <row r="2082" spans="49:50" x14ac:dyDescent="0.15">
      <c r="AW2082" s="17"/>
      <c r="AX2082" s="17"/>
    </row>
    <row r="2083" spans="49:50" x14ac:dyDescent="0.15">
      <c r="AW2083" s="17"/>
      <c r="AX2083" s="17"/>
    </row>
    <row r="2084" spans="49:50" x14ac:dyDescent="0.15">
      <c r="AW2084" s="17"/>
      <c r="AX2084" s="17"/>
    </row>
    <row r="2085" spans="49:50" x14ac:dyDescent="0.15">
      <c r="AW2085" s="17"/>
      <c r="AX2085" s="17"/>
    </row>
    <row r="2086" spans="49:50" x14ac:dyDescent="0.15">
      <c r="AW2086" s="17"/>
      <c r="AX2086" s="17"/>
    </row>
    <row r="2087" spans="49:50" x14ac:dyDescent="0.15">
      <c r="AW2087" s="17"/>
      <c r="AX2087" s="17"/>
    </row>
    <row r="2088" spans="49:50" x14ac:dyDescent="0.15">
      <c r="AW2088" s="17"/>
      <c r="AX2088" s="17"/>
    </row>
    <row r="2089" spans="49:50" x14ac:dyDescent="0.15">
      <c r="AW2089" s="17"/>
      <c r="AX2089" s="17"/>
    </row>
    <row r="2090" spans="49:50" x14ac:dyDescent="0.15">
      <c r="AW2090" s="17"/>
      <c r="AX2090" s="17"/>
    </row>
    <row r="2091" spans="49:50" x14ac:dyDescent="0.15">
      <c r="AW2091" s="17"/>
      <c r="AX2091" s="17"/>
    </row>
    <row r="2092" spans="49:50" x14ac:dyDescent="0.15">
      <c r="AW2092" s="17"/>
      <c r="AX2092" s="17"/>
    </row>
    <row r="2093" spans="49:50" x14ac:dyDescent="0.15">
      <c r="AW2093" s="17"/>
      <c r="AX2093" s="17"/>
    </row>
    <row r="2094" spans="49:50" x14ac:dyDescent="0.15">
      <c r="AW2094" s="17"/>
      <c r="AX2094" s="17"/>
    </row>
    <row r="2095" spans="49:50" x14ac:dyDescent="0.15">
      <c r="AW2095" s="17"/>
      <c r="AX2095" s="17"/>
    </row>
    <row r="2096" spans="49:50" x14ac:dyDescent="0.15">
      <c r="AW2096" s="17"/>
      <c r="AX2096" s="17"/>
    </row>
    <row r="2097" spans="49:50" x14ac:dyDescent="0.15">
      <c r="AW2097" s="17"/>
      <c r="AX2097" s="17"/>
    </row>
    <row r="2098" spans="49:50" x14ac:dyDescent="0.15">
      <c r="AW2098" s="17"/>
      <c r="AX2098" s="17"/>
    </row>
    <row r="2099" spans="49:50" x14ac:dyDescent="0.15">
      <c r="AW2099" s="17"/>
      <c r="AX2099" s="17"/>
    </row>
    <row r="2100" spans="49:50" x14ac:dyDescent="0.15">
      <c r="AW2100" s="17"/>
      <c r="AX2100" s="17"/>
    </row>
    <row r="2101" spans="49:50" x14ac:dyDescent="0.15">
      <c r="AW2101" s="17"/>
      <c r="AX2101" s="17"/>
    </row>
    <row r="2102" spans="49:50" x14ac:dyDescent="0.15">
      <c r="AW2102" s="17"/>
      <c r="AX2102" s="17"/>
    </row>
    <row r="2103" spans="49:50" x14ac:dyDescent="0.15">
      <c r="AW2103" s="17"/>
      <c r="AX2103" s="17"/>
    </row>
    <row r="2104" spans="49:50" x14ac:dyDescent="0.15">
      <c r="AW2104" s="17"/>
      <c r="AX2104" s="17"/>
    </row>
    <row r="2105" spans="49:50" x14ac:dyDescent="0.15">
      <c r="AW2105" s="17"/>
      <c r="AX2105" s="17"/>
    </row>
    <row r="2106" spans="49:50" x14ac:dyDescent="0.15">
      <c r="AW2106" s="17"/>
      <c r="AX2106" s="17"/>
    </row>
    <row r="2107" spans="49:50" x14ac:dyDescent="0.15">
      <c r="AW2107" s="17"/>
      <c r="AX2107" s="17"/>
    </row>
    <row r="2108" spans="49:50" x14ac:dyDescent="0.15">
      <c r="AW2108" s="17"/>
      <c r="AX2108" s="17"/>
    </row>
    <row r="2109" spans="49:50" x14ac:dyDescent="0.15">
      <c r="AW2109" s="17"/>
      <c r="AX2109" s="17"/>
    </row>
    <row r="2110" spans="49:50" x14ac:dyDescent="0.15">
      <c r="AW2110" s="17"/>
      <c r="AX2110" s="17"/>
    </row>
    <row r="2111" spans="49:50" x14ac:dyDescent="0.15">
      <c r="AW2111" s="17"/>
      <c r="AX2111" s="17"/>
    </row>
    <row r="2112" spans="49:50" x14ac:dyDescent="0.15">
      <c r="AW2112" s="17"/>
      <c r="AX2112" s="17"/>
    </row>
    <row r="2113" spans="49:50" x14ac:dyDescent="0.15">
      <c r="AW2113" s="17"/>
      <c r="AX2113" s="17"/>
    </row>
    <row r="2114" spans="49:50" x14ac:dyDescent="0.15">
      <c r="AW2114" s="17"/>
      <c r="AX2114" s="17"/>
    </row>
    <row r="2115" spans="49:50" x14ac:dyDescent="0.15">
      <c r="AW2115" s="17"/>
      <c r="AX2115" s="17"/>
    </row>
    <row r="2116" spans="49:50" x14ac:dyDescent="0.15">
      <c r="AW2116" s="17"/>
      <c r="AX2116" s="17"/>
    </row>
    <row r="2117" spans="49:50" x14ac:dyDescent="0.15">
      <c r="AW2117" s="17"/>
      <c r="AX2117" s="17"/>
    </row>
    <row r="2118" spans="49:50" x14ac:dyDescent="0.15">
      <c r="AW2118" s="17"/>
      <c r="AX2118" s="17"/>
    </row>
    <row r="2119" spans="49:50" x14ac:dyDescent="0.15">
      <c r="AW2119" s="17"/>
      <c r="AX2119" s="17"/>
    </row>
    <row r="2120" spans="49:50" x14ac:dyDescent="0.15">
      <c r="AW2120" s="17"/>
      <c r="AX2120" s="17"/>
    </row>
    <row r="2121" spans="49:50" x14ac:dyDescent="0.15">
      <c r="AW2121" s="17"/>
      <c r="AX2121" s="17"/>
    </row>
    <row r="2122" spans="49:50" x14ac:dyDescent="0.15">
      <c r="AW2122" s="17"/>
      <c r="AX2122" s="17"/>
    </row>
    <row r="2123" spans="49:50" x14ac:dyDescent="0.15">
      <c r="AW2123" s="17"/>
      <c r="AX2123" s="17"/>
    </row>
    <row r="2124" spans="49:50" x14ac:dyDescent="0.15">
      <c r="AW2124" s="17"/>
      <c r="AX2124" s="17"/>
    </row>
    <row r="2125" spans="49:50" x14ac:dyDescent="0.15">
      <c r="AW2125" s="17"/>
      <c r="AX2125" s="17"/>
    </row>
    <row r="2126" spans="49:50" x14ac:dyDescent="0.15">
      <c r="AW2126" s="17"/>
      <c r="AX2126" s="17"/>
    </row>
    <row r="2127" spans="49:50" x14ac:dyDescent="0.15">
      <c r="AW2127" s="17"/>
      <c r="AX2127" s="17"/>
    </row>
    <row r="2128" spans="49:50" x14ac:dyDescent="0.15">
      <c r="AW2128" s="17"/>
      <c r="AX2128" s="17"/>
    </row>
    <row r="2129" spans="49:50" x14ac:dyDescent="0.15">
      <c r="AW2129" s="17"/>
      <c r="AX2129" s="17"/>
    </row>
    <row r="2130" spans="49:50" x14ac:dyDescent="0.15">
      <c r="AW2130" s="17"/>
      <c r="AX2130" s="17"/>
    </row>
    <row r="2131" spans="49:50" x14ac:dyDescent="0.15">
      <c r="AW2131" s="17"/>
      <c r="AX2131" s="17"/>
    </row>
    <row r="2132" spans="49:50" x14ac:dyDescent="0.15">
      <c r="AW2132" s="17"/>
      <c r="AX2132" s="17"/>
    </row>
    <row r="2133" spans="49:50" x14ac:dyDescent="0.15">
      <c r="AW2133" s="17"/>
      <c r="AX2133" s="17"/>
    </row>
    <row r="2134" spans="49:50" x14ac:dyDescent="0.15">
      <c r="AW2134" s="17"/>
      <c r="AX2134" s="17"/>
    </row>
    <row r="2135" spans="49:50" x14ac:dyDescent="0.15">
      <c r="AW2135" s="17"/>
      <c r="AX2135" s="17"/>
    </row>
    <row r="2136" spans="49:50" x14ac:dyDescent="0.15">
      <c r="AW2136" s="17"/>
      <c r="AX2136" s="17"/>
    </row>
    <row r="2137" spans="49:50" x14ac:dyDescent="0.15">
      <c r="AW2137" s="17"/>
      <c r="AX2137" s="17"/>
    </row>
    <row r="2138" spans="49:50" x14ac:dyDescent="0.15">
      <c r="AW2138" s="17"/>
      <c r="AX2138" s="17"/>
    </row>
    <row r="2139" spans="49:50" x14ac:dyDescent="0.15">
      <c r="AW2139" s="17"/>
      <c r="AX2139" s="17"/>
    </row>
    <row r="2140" spans="49:50" x14ac:dyDescent="0.15">
      <c r="AW2140" s="17"/>
      <c r="AX2140" s="17"/>
    </row>
    <row r="2141" spans="49:50" x14ac:dyDescent="0.15">
      <c r="AW2141" s="17"/>
      <c r="AX2141" s="17"/>
    </row>
    <row r="2142" spans="49:50" x14ac:dyDescent="0.15">
      <c r="AW2142" s="17"/>
      <c r="AX2142" s="17"/>
    </row>
    <row r="2143" spans="49:50" x14ac:dyDescent="0.15">
      <c r="AW2143" s="17"/>
      <c r="AX2143" s="17"/>
    </row>
    <row r="2144" spans="49:50" x14ac:dyDescent="0.15">
      <c r="AW2144" s="17"/>
      <c r="AX2144" s="17"/>
    </row>
    <row r="2145" spans="49:50" x14ac:dyDescent="0.15">
      <c r="AW2145" s="17"/>
      <c r="AX2145" s="17"/>
    </row>
    <row r="2146" spans="49:50" x14ac:dyDescent="0.15">
      <c r="AW2146" s="17"/>
      <c r="AX2146" s="17"/>
    </row>
    <row r="2147" spans="49:50" x14ac:dyDescent="0.15">
      <c r="AW2147" s="17"/>
      <c r="AX2147" s="17"/>
    </row>
    <row r="2148" spans="49:50" x14ac:dyDescent="0.15">
      <c r="AW2148" s="17"/>
      <c r="AX2148" s="17"/>
    </row>
    <row r="2149" spans="49:50" x14ac:dyDescent="0.15">
      <c r="AW2149" s="17"/>
      <c r="AX2149" s="17"/>
    </row>
    <row r="2150" spans="49:50" x14ac:dyDescent="0.15">
      <c r="AW2150" s="17"/>
      <c r="AX2150" s="17"/>
    </row>
    <row r="2151" spans="49:50" x14ac:dyDescent="0.15">
      <c r="AW2151" s="17"/>
      <c r="AX2151" s="17"/>
    </row>
    <row r="2152" spans="49:50" x14ac:dyDescent="0.15">
      <c r="AW2152" s="17"/>
      <c r="AX2152" s="17"/>
    </row>
    <row r="2153" spans="49:50" x14ac:dyDescent="0.15">
      <c r="AW2153" s="17"/>
      <c r="AX2153" s="17"/>
    </row>
    <row r="2154" spans="49:50" x14ac:dyDescent="0.15">
      <c r="AW2154" s="17"/>
      <c r="AX2154" s="17"/>
    </row>
    <row r="2155" spans="49:50" x14ac:dyDescent="0.15">
      <c r="AW2155" s="17"/>
      <c r="AX2155" s="17"/>
    </row>
    <row r="2156" spans="49:50" x14ac:dyDescent="0.15">
      <c r="AW2156" s="17"/>
      <c r="AX2156" s="17"/>
    </row>
    <row r="2157" spans="49:50" x14ac:dyDescent="0.15">
      <c r="AW2157" s="17"/>
      <c r="AX2157" s="17"/>
    </row>
    <row r="2158" spans="49:50" x14ac:dyDescent="0.15">
      <c r="AW2158" s="17"/>
      <c r="AX2158" s="17"/>
    </row>
    <row r="2159" spans="49:50" x14ac:dyDescent="0.15">
      <c r="AW2159" s="17"/>
      <c r="AX2159" s="17"/>
    </row>
    <row r="2160" spans="49:50" x14ac:dyDescent="0.15">
      <c r="AW2160" s="17"/>
      <c r="AX2160" s="17"/>
    </row>
    <row r="2161" spans="49:50" x14ac:dyDescent="0.15">
      <c r="AW2161" s="17"/>
      <c r="AX2161" s="17"/>
    </row>
    <row r="2162" spans="49:50" x14ac:dyDescent="0.15">
      <c r="AW2162" s="17"/>
      <c r="AX2162" s="17"/>
    </row>
    <row r="2163" spans="49:50" x14ac:dyDescent="0.15">
      <c r="AW2163" s="17"/>
      <c r="AX2163" s="17"/>
    </row>
    <row r="2164" spans="49:50" x14ac:dyDescent="0.15">
      <c r="AW2164" s="17"/>
      <c r="AX2164" s="17"/>
    </row>
    <row r="2165" spans="49:50" x14ac:dyDescent="0.15">
      <c r="AW2165" s="17"/>
      <c r="AX2165" s="17"/>
    </row>
    <row r="2166" spans="49:50" x14ac:dyDescent="0.15">
      <c r="AW2166" s="17"/>
      <c r="AX2166" s="17"/>
    </row>
    <row r="2167" spans="49:50" x14ac:dyDescent="0.15">
      <c r="AW2167" s="17"/>
      <c r="AX2167" s="17"/>
    </row>
    <row r="2168" spans="49:50" x14ac:dyDescent="0.15">
      <c r="AW2168" s="17"/>
      <c r="AX2168" s="17"/>
    </row>
    <row r="2169" spans="49:50" x14ac:dyDescent="0.15">
      <c r="AW2169" s="17"/>
      <c r="AX2169" s="17"/>
    </row>
    <row r="2170" spans="49:50" x14ac:dyDescent="0.15">
      <c r="AW2170" s="17"/>
      <c r="AX2170" s="17"/>
    </row>
    <row r="2171" spans="49:50" x14ac:dyDescent="0.15">
      <c r="AW2171" s="17"/>
      <c r="AX2171" s="17"/>
    </row>
    <row r="2172" spans="49:50" x14ac:dyDescent="0.15">
      <c r="AW2172" s="17"/>
      <c r="AX2172" s="17"/>
    </row>
    <row r="2173" spans="49:50" x14ac:dyDescent="0.15">
      <c r="AW2173" s="17"/>
      <c r="AX2173" s="17"/>
    </row>
    <row r="2174" spans="49:50" x14ac:dyDescent="0.15">
      <c r="AW2174" s="17"/>
      <c r="AX2174" s="17"/>
    </row>
    <row r="2175" spans="49:50" x14ac:dyDescent="0.15">
      <c r="AW2175" s="17"/>
      <c r="AX2175" s="17"/>
    </row>
    <row r="2176" spans="49:50" x14ac:dyDescent="0.15">
      <c r="AW2176" s="17"/>
      <c r="AX2176" s="17"/>
    </row>
    <row r="2177" spans="49:50" x14ac:dyDescent="0.15">
      <c r="AW2177" s="17"/>
      <c r="AX2177" s="17"/>
    </row>
    <row r="2178" spans="49:50" x14ac:dyDescent="0.15">
      <c r="AW2178" s="17"/>
      <c r="AX2178" s="17"/>
    </row>
    <row r="2179" spans="49:50" x14ac:dyDescent="0.15">
      <c r="AW2179" s="17"/>
      <c r="AX2179" s="17"/>
    </row>
    <row r="2180" spans="49:50" x14ac:dyDescent="0.15">
      <c r="AW2180" s="17"/>
      <c r="AX2180" s="17"/>
    </row>
    <row r="2181" spans="49:50" x14ac:dyDescent="0.15">
      <c r="AW2181" s="17"/>
      <c r="AX2181" s="17"/>
    </row>
    <row r="2182" spans="49:50" x14ac:dyDescent="0.15">
      <c r="AW2182" s="17"/>
      <c r="AX2182" s="17"/>
    </row>
    <row r="2183" spans="49:50" x14ac:dyDescent="0.15">
      <c r="AW2183" s="17"/>
      <c r="AX2183" s="17"/>
    </row>
    <row r="2184" spans="49:50" x14ac:dyDescent="0.15">
      <c r="AW2184" s="17"/>
      <c r="AX2184" s="17"/>
    </row>
    <row r="2185" spans="49:50" x14ac:dyDescent="0.15">
      <c r="AW2185" s="17"/>
      <c r="AX2185" s="17"/>
    </row>
    <row r="2186" spans="49:50" x14ac:dyDescent="0.15">
      <c r="AW2186" s="17"/>
      <c r="AX2186" s="17"/>
    </row>
    <row r="2187" spans="49:50" x14ac:dyDescent="0.15">
      <c r="AW2187" s="17"/>
      <c r="AX2187" s="17"/>
    </row>
    <row r="2188" spans="49:50" x14ac:dyDescent="0.15">
      <c r="AW2188" s="17"/>
      <c r="AX2188" s="17"/>
    </row>
    <row r="2189" spans="49:50" x14ac:dyDescent="0.15">
      <c r="AW2189" s="17"/>
      <c r="AX2189" s="17"/>
    </row>
    <row r="2190" spans="49:50" x14ac:dyDescent="0.15">
      <c r="AW2190" s="17"/>
      <c r="AX2190" s="17"/>
    </row>
    <row r="2191" spans="49:50" x14ac:dyDescent="0.15">
      <c r="AW2191" s="17"/>
      <c r="AX2191" s="17"/>
    </row>
    <row r="2192" spans="49:50" x14ac:dyDescent="0.15">
      <c r="AW2192" s="17"/>
      <c r="AX2192" s="17"/>
    </row>
    <row r="2193" spans="49:50" x14ac:dyDescent="0.15">
      <c r="AW2193" s="17"/>
      <c r="AX2193" s="17"/>
    </row>
    <row r="2194" spans="49:50" x14ac:dyDescent="0.15">
      <c r="AW2194" s="17"/>
      <c r="AX2194" s="17"/>
    </row>
    <row r="2195" spans="49:50" x14ac:dyDescent="0.15">
      <c r="AW2195" s="17"/>
      <c r="AX2195" s="17"/>
    </row>
    <row r="2196" spans="49:50" x14ac:dyDescent="0.15">
      <c r="AW2196" s="17"/>
      <c r="AX2196" s="17"/>
    </row>
    <row r="2197" spans="49:50" x14ac:dyDescent="0.15">
      <c r="AW2197" s="17"/>
      <c r="AX2197" s="17"/>
    </row>
    <row r="2198" spans="49:50" x14ac:dyDescent="0.15">
      <c r="AW2198" s="17"/>
      <c r="AX2198" s="17"/>
    </row>
    <row r="2199" spans="49:50" x14ac:dyDescent="0.15">
      <c r="AW2199" s="17"/>
      <c r="AX2199" s="17"/>
    </row>
    <row r="2200" spans="49:50" x14ac:dyDescent="0.15">
      <c r="AW2200" s="17"/>
      <c r="AX2200" s="17"/>
    </row>
    <row r="2201" spans="49:50" x14ac:dyDescent="0.15">
      <c r="AW2201" s="17"/>
      <c r="AX2201" s="17"/>
    </row>
    <row r="2202" spans="49:50" x14ac:dyDescent="0.15">
      <c r="AW2202" s="17"/>
      <c r="AX2202" s="17"/>
    </row>
    <row r="2203" spans="49:50" x14ac:dyDescent="0.15">
      <c r="AW2203" s="17"/>
      <c r="AX2203" s="17"/>
    </row>
    <row r="2204" spans="49:50" x14ac:dyDescent="0.15">
      <c r="AW2204" s="17"/>
      <c r="AX2204" s="17"/>
    </row>
    <row r="2205" spans="49:50" x14ac:dyDescent="0.15">
      <c r="AW2205" s="17"/>
      <c r="AX2205" s="17"/>
    </row>
    <row r="2206" spans="49:50" x14ac:dyDescent="0.15">
      <c r="AW2206" s="17"/>
      <c r="AX2206" s="17"/>
    </row>
    <row r="2207" spans="49:50" x14ac:dyDescent="0.15">
      <c r="AW2207" s="17"/>
      <c r="AX2207" s="17"/>
    </row>
    <row r="2208" spans="49:50" x14ac:dyDescent="0.15">
      <c r="AW2208" s="17"/>
      <c r="AX2208" s="17"/>
    </row>
    <row r="2209" spans="49:50" x14ac:dyDescent="0.15">
      <c r="AW2209" s="17"/>
      <c r="AX2209" s="17"/>
    </row>
    <row r="2210" spans="49:50" x14ac:dyDescent="0.15">
      <c r="AW2210" s="17"/>
      <c r="AX2210" s="17"/>
    </row>
    <row r="2211" spans="49:50" x14ac:dyDescent="0.15">
      <c r="AW2211" s="17"/>
      <c r="AX2211" s="17"/>
    </row>
    <row r="2212" spans="49:50" x14ac:dyDescent="0.15">
      <c r="AW2212" s="17"/>
      <c r="AX2212" s="17"/>
    </row>
    <row r="2213" spans="49:50" x14ac:dyDescent="0.15">
      <c r="AW2213" s="17"/>
      <c r="AX2213" s="17"/>
    </row>
    <row r="2214" spans="49:50" x14ac:dyDescent="0.15">
      <c r="AW2214" s="17"/>
      <c r="AX2214" s="17"/>
    </row>
    <row r="2215" spans="49:50" x14ac:dyDescent="0.15">
      <c r="AW2215" s="17"/>
      <c r="AX2215" s="17"/>
    </row>
    <row r="2216" spans="49:50" x14ac:dyDescent="0.15">
      <c r="AW2216" s="17"/>
      <c r="AX2216" s="17"/>
    </row>
    <row r="2217" spans="49:50" x14ac:dyDescent="0.15">
      <c r="AW2217" s="17"/>
      <c r="AX2217" s="17"/>
    </row>
    <row r="2218" spans="49:50" x14ac:dyDescent="0.15">
      <c r="AW2218" s="17"/>
      <c r="AX2218" s="17"/>
    </row>
    <row r="2219" spans="49:50" x14ac:dyDescent="0.15">
      <c r="AW2219" s="17"/>
      <c r="AX2219" s="17"/>
    </row>
    <row r="2220" spans="49:50" x14ac:dyDescent="0.15">
      <c r="AW2220" s="17"/>
      <c r="AX2220" s="17"/>
    </row>
    <row r="2221" spans="49:50" x14ac:dyDescent="0.15">
      <c r="AW2221" s="17"/>
      <c r="AX2221" s="17"/>
    </row>
    <row r="2222" spans="49:50" x14ac:dyDescent="0.15">
      <c r="AW2222" s="17"/>
      <c r="AX2222" s="17"/>
    </row>
    <row r="2223" spans="49:50" x14ac:dyDescent="0.15">
      <c r="AW2223" s="17"/>
      <c r="AX2223" s="17"/>
    </row>
    <row r="2224" spans="49:50" x14ac:dyDescent="0.15">
      <c r="AW2224" s="17"/>
      <c r="AX2224" s="17"/>
    </row>
    <row r="2225" spans="49:50" x14ac:dyDescent="0.15">
      <c r="AW2225" s="17"/>
      <c r="AX2225" s="17"/>
    </row>
    <row r="2226" spans="49:50" x14ac:dyDescent="0.15">
      <c r="AW2226" s="17"/>
      <c r="AX2226" s="17"/>
    </row>
    <row r="2227" spans="49:50" x14ac:dyDescent="0.15">
      <c r="AW2227" s="17"/>
      <c r="AX2227" s="17"/>
    </row>
    <row r="2228" spans="49:50" x14ac:dyDescent="0.15">
      <c r="AW2228" s="17"/>
      <c r="AX2228" s="17"/>
    </row>
    <row r="2229" spans="49:50" x14ac:dyDescent="0.15">
      <c r="AW2229" s="17"/>
      <c r="AX2229" s="17"/>
    </row>
    <row r="2230" spans="49:50" x14ac:dyDescent="0.15">
      <c r="AW2230" s="17"/>
      <c r="AX2230" s="17"/>
    </row>
    <row r="2231" spans="49:50" x14ac:dyDescent="0.15">
      <c r="AW2231" s="17"/>
      <c r="AX2231" s="17"/>
    </row>
    <row r="2232" spans="49:50" x14ac:dyDescent="0.15">
      <c r="AW2232" s="17"/>
      <c r="AX2232" s="17"/>
    </row>
    <row r="2233" spans="49:50" x14ac:dyDescent="0.15">
      <c r="AW2233" s="17"/>
      <c r="AX2233" s="17"/>
    </row>
    <row r="2234" spans="49:50" x14ac:dyDescent="0.15">
      <c r="AW2234" s="17"/>
      <c r="AX2234" s="17"/>
    </row>
    <row r="2235" spans="49:50" x14ac:dyDescent="0.15">
      <c r="AW2235" s="17"/>
      <c r="AX2235" s="17"/>
    </row>
    <row r="2236" spans="49:50" x14ac:dyDescent="0.15">
      <c r="AW2236" s="17"/>
      <c r="AX2236" s="17"/>
    </row>
    <row r="2237" spans="49:50" x14ac:dyDescent="0.15">
      <c r="AW2237" s="17"/>
      <c r="AX2237" s="17"/>
    </row>
    <row r="2238" spans="49:50" x14ac:dyDescent="0.15">
      <c r="AW2238" s="17"/>
      <c r="AX2238" s="17"/>
    </row>
    <row r="2239" spans="49:50" x14ac:dyDescent="0.15">
      <c r="AW2239" s="17"/>
      <c r="AX2239" s="17"/>
    </row>
    <row r="2240" spans="49:50" x14ac:dyDescent="0.15">
      <c r="AW2240" s="17"/>
      <c r="AX2240" s="17"/>
    </row>
    <row r="2241" spans="49:50" x14ac:dyDescent="0.15">
      <c r="AW2241" s="17"/>
      <c r="AX2241" s="17"/>
    </row>
    <row r="2242" spans="49:50" x14ac:dyDescent="0.15">
      <c r="AW2242" s="17"/>
      <c r="AX2242" s="17"/>
    </row>
    <row r="2243" spans="49:50" x14ac:dyDescent="0.15">
      <c r="AW2243" s="17"/>
      <c r="AX2243" s="17"/>
    </row>
    <row r="2244" spans="49:50" x14ac:dyDescent="0.15">
      <c r="AW2244" s="17"/>
      <c r="AX2244" s="17"/>
    </row>
    <row r="2245" spans="49:50" x14ac:dyDescent="0.15">
      <c r="AW2245" s="17"/>
      <c r="AX2245" s="17"/>
    </row>
    <row r="2246" spans="49:50" x14ac:dyDescent="0.15">
      <c r="AW2246" s="17"/>
      <c r="AX2246" s="17"/>
    </row>
    <row r="2247" spans="49:50" x14ac:dyDescent="0.15">
      <c r="AW2247" s="17"/>
      <c r="AX2247" s="17"/>
    </row>
    <row r="2248" spans="49:50" x14ac:dyDescent="0.15">
      <c r="AW2248" s="17"/>
      <c r="AX2248" s="17"/>
    </row>
    <row r="2249" spans="49:50" x14ac:dyDescent="0.15">
      <c r="AW2249" s="17"/>
      <c r="AX2249" s="17"/>
    </row>
    <row r="2250" spans="49:50" x14ac:dyDescent="0.15">
      <c r="AW2250" s="17"/>
      <c r="AX2250" s="17"/>
    </row>
    <row r="2251" spans="49:50" x14ac:dyDescent="0.15">
      <c r="AW2251" s="17"/>
      <c r="AX2251" s="17"/>
    </row>
    <row r="2252" spans="49:50" x14ac:dyDescent="0.15">
      <c r="AW2252" s="17"/>
      <c r="AX2252" s="17"/>
    </row>
    <row r="2253" spans="49:50" x14ac:dyDescent="0.15">
      <c r="AW2253" s="17"/>
      <c r="AX2253" s="17"/>
    </row>
    <row r="2254" spans="49:50" x14ac:dyDescent="0.15">
      <c r="AW2254" s="17"/>
      <c r="AX2254" s="17"/>
    </row>
    <row r="2255" spans="49:50" x14ac:dyDescent="0.15">
      <c r="AW2255" s="17"/>
      <c r="AX2255" s="17"/>
    </row>
    <row r="2256" spans="49:50" x14ac:dyDescent="0.15">
      <c r="AW2256" s="17"/>
      <c r="AX2256" s="17"/>
    </row>
    <row r="2257" spans="49:50" x14ac:dyDescent="0.15">
      <c r="AW2257" s="17"/>
      <c r="AX2257" s="17"/>
    </row>
    <row r="2258" spans="49:50" x14ac:dyDescent="0.15">
      <c r="AW2258" s="17"/>
      <c r="AX2258" s="17"/>
    </row>
    <row r="2259" spans="49:50" x14ac:dyDescent="0.15">
      <c r="AW2259" s="17"/>
      <c r="AX2259" s="17"/>
    </row>
    <row r="2260" spans="49:50" x14ac:dyDescent="0.15">
      <c r="AW2260" s="17"/>
      <c r="AX2260" s="17"/>
    </row>
    <row r="2261" spans="49:50" x14ac:dyDescent="0.15">
      <c r="AW2261" s="17"/>
      <c r="AX2261" s="17"/>
    </row>
    <row r="2262" spans="49:50" x14ac:dyDescent="0.15">
      <c r="AW2262" s="17"/>
      <c r="AX2262" s="17"/>
    </row>
    <row r="2263" spans="49:50" x14ac:dyDescent="0.15">
      <c r="AW2263" s="17"/>
      <c r="AX2263" s="17"/>
    </row>
    <row r="2264" spans="49:50" x14ac:dyDescent="0.15">
      <c r="AW2264" s="17"/>
      <c r="AX2264" s="17"/>
    </row>
    <row r="2265" spans="49:50" x14ac:dyDescent="0.15">
      <c r="AW2265" s="17"/>
      <c r="AX2265" s="17"/>
    </row>
    <row r="2266" spans="49:50" x14ac:dyDescent="0.15">
      <c r="AW2266" s="17"/>
      <c r="AX2266" s="17"/>
    </row>
    <row r="2267" spans="49:50" x14ac:dyDescent="0.15">
      <c r="AW2267" s="17"/>
      <c r="AX2267" s="17"/>
    </row>
    <row r="2268" spans="49:50" x14ac:dyDescent="0.15">
      <c r="AW2268" s="17"/>
      <c r="AX2268" s="17"/>
    </row>
    <row r="2269" spans="49:50" x14ac:dyDescent="0.15">
      <c r="AW2269" s="17"/>
      <c r="AX2269" s="17"/>
    </row>
    <row r="2270" spans="49:50" x14ac:dyDescent="0.15">
      <c r="AW2270" s="17"/>
      <c r="AX2270" s="17"/>
    </row>
    <row r="2271" spans="49:50" x14ac:dyDescent="0.15">
      <c r="AW2271" s="17"/>
      <c r="AX2271" s="17"/>
    </row>
    <row r="2272" spans="49:50" x14ac:dyDescent="0.15">
      <c r="AW2272" s="17"/>
      <c r="AX2272" s="17"/>
    </row>
    <row r="2273" spans="49:50" x14ac:dyDescent="0.15">
      <c r="AW2273" s="17"/>
      <c r="AX2273" s="17"/>
    </row>
    <row r="2274" spans="49:50" x14ac:dyDescent="0.15">
      <c r="AW2274" s="17"/>
      <c r="AX2274" s="17"/>
    </row>
    <row r="2275" spans="49:50" x14ac:dyDescent="0.15">
      <c r="AW2275" s="17"/>
      <c r="AX2275" s="17"/>
    </row>
    <row r="2276" spans="49:50" x14ac:dyDescent="0.15">
      <c r="AW2276" s="17"/>
      <c r="AX2276" s="17"/>
    </row>
    <row r="2277" spans="49:50" x14ac:dyDescent="0.15">
      <c r="AW2277" s="17"/>
      <c r="AX2277" s="17"/>
    </row>
    <row r="2278" spans="49:50" x14ac:dyDescent="0.15">
      <c r="AW2278" s="17"/>
      <c r="AX2278" s="17"/>
    </row>
    <row r="2279" spans="49:50" x14ac:dyDescent="0.15">
      <c r="AW2279" s="17"/>
      <c r="AX2279" s="17"/>
    </row>
    <row r="2280" spans="49:50" x14ac:dyDescent="0.15">
      <c r="AW2280" s="17"/>
      <c r="AX2280" s="17"/>
    </row>
    <row r="2281" spans="49:50" x14ac:dyDescent="0.15">
      <c r="AW2281" s="17"/>
      <c r="AX2281" s="17"/>
    </row>
    <row r="2282" spans="49:50" x14ac:dyDescent="0.15">
      <c r="AW2282" s="17"/>
      <c r="AX2282" s="17"/>
    </row>
    <row r="2283" spans="49:50" x14ac:dyDescent="0.15">
      <c r="AW2283" s="17"/>
      <c r="AX2283" s="17"/>
    </row>
    <row r="2284" spans="49:50" x14ac:dyDescent="0.15">
      <c r="AW2284" s="17"/>
      <c r="AX2284" s="17"/>
    </row>
    <row r="2285" spans="49:50" x14ac:dyDescent="0.15">
      <c r="AW2285" s="17"/>
      <c r="AX2285" s="17"/>
    </row>
    <row r="2286" spans="49:50" x14ac:dyDescent="0.15">
      <c r="AW2286" s="17"/>
      <c r="AX2286" s="17"/>
    </row>
    <row r="2287" spans="49:50" x14ac:dyDescent="0.15">
      <c r="AW2287" s="17"/>
      <c r="AX2287" s="17"/>
    </row>
    <row r="2288" spans="49:50" x14ac:dyDescent="0.15">
      <c r="AW2288" s="17"/>
      <c r="AX2288" s="17"/>
    </row>
    <row r="2289" spans="49:50" x14ac:dyDescent="0.15">
      <c r="AW2289" s="17"/>
      <c r="AX2289" s="17"/>
    </row>
    <row r="2290" spans="49:50" x14ac:dyDescent="0.15">
      <c r="AW2290" s="17"/>
      <c r="AX2290" s="17"/>
    </row>
    <row r="2291" spans="49:50" x14ac:dyDescent="0.15">
      <c r="AW2291" s="17"/>
      <c r="AX2291" s="17"/>
    </row>
    <row r="2292" spans="49:50" x14ac:dyDescent="0.15">
      <c r="AW2292" s="17"/>
      <c r="AX2292" s="17"/>
    </row>
    <row r="2293" spans="49:50" x14ac:dyDescent="0.15">
      <c r="AW2293" s="17"/>
      <c r="AX2293" s="17"/>
    </row>
    <row r="2294" spans="49:50" x14ac:dyDescent="0.15">
      <c r="AW2294" s="17"/>
      <c r="AX2294" s="17"/>
    </row>
    <row r="2295" spans="49:50" x14ac:dyDescent="0.15">
      <c r="AW2295" s="17"/>
      <c r="AX2295" s="17"/>
    </row>
    <row r="2296" spans="49:50" x14ac:dyDescent="0.15">
      <c r="AW2296" s="17"/>
      <c r="AX2296" s="17"/>
    </row>
    <row r="2297" spans="49:50" x14ac:dyDescent="0.15">
      <c r="AW2297" s="17"/>
      <c r="AX2297" s="17"/>
    </row>
    <row r="2298" spans="49:50" x14ac:dyDescent="0.15">
      <c r="AW2298" s="17"/>
      <c r="AX2298" s="17"/>
    </row>
    <row r="2299" spans="49:50" x14ac:dyDescent="0.15">
      <c r="AW2299" s="17"/>
      <c r="AX2299" s="17"/>
    </row>
    <row r="2300" spans="49:50" x14ac:dyDescent="0.15">
      <c r="AW2300" s="17"/>
      <c r="AX2300" s="17"/>
    </row>
    <row r="2301" spans="49:50" x14ac:dyDescent="0.15">
      <c r="AW2301" s="17"/>
      <c r="AX2301" s="17"/>
    </row>
    <row r="2302" spans="49:50" x14ac:dyDescent="0.15">
      <c r="AW2302" s="17"/>
      <c r="AX2302" s="17"/>
    </row>
    <row r="2303" spans="49:50" x14ac:dyDescent="0.15">
      <c r="AW2303" s="17"/>
      <c r="AX2303" s="17"/>
    </row>
    <row r="2304" spans="49:50" x14ac:dyDescent="0.15">
      <c r="AW2304" s="17"/>
      <c r="AX2304" s="17"/>
    </row>
    <row r="2305" spans="49:50" x14ac:dyDescent="0.15">
      <c r="AW2305" s="17"/>
      <c r="AX2305" s="17"/>
    </row>
    <row r="2306" spans="49:50" x14ac:dyDescent="0.15">
      <c r="AW2306" s="17"/>
      <c r="AX2306" s="17"/>
    </row>
    <row r="2307" spans="49:50" x14ac:dyDescent="0.15">
      <c r="AW2307" s="17"/>
      <c r="AX2307" s="17"/>
    </row>
    <row r="2308" spans="49:50" x14ac:dyDescent="0.15">
      <c r="AW2308" s="17"/>
      <c r="AX2308" s="17"/>
    </row>
    <row r="2309" spans="49:50" x14ac:dyDescent="0.15">
      <c r="AW2309" s="17"/>
      <c r="AX2309" s="17"/>
    </row>
    <row r="2310" spans="49:50" x14ac:dyDescent="0.15">
      <c r="AW2310" s="17"/>
      <c r="AX2310" s="17"/>
    </row>
    <row r="2311" spans="49:50" x14ac:dyDescent="0.15">
      <c r="AW2311" s="17"/>
      <c r="AX2311" s="17"/>
    </row>
    <row r="2312" spans="49:50" x14ac:dyDescent="0.15">
      <c r="AW2312" s="17"/>
      <c r="AX2312" s="17"/>
    </row>
    <row r="2313" spans="49:50" x14ac:dyDescent="0.15">
      <c r="AW2313" s="17"/>
      <c r="AX2313" s="17"/>
    </row>
    <row r="2314" spans="49:50" x14ac:dyDescent="0.15">
      <c r="AW2314" s="17"/>
      <c r="AX2314" s="17"/>
    </row>
    <row r="2315" spans="49:50" x14ac:dyDescent="0.15">
      <c r="AW2315" s="17"/>
      <c r="AX2315" s="17"/>
    </row>
    <row r="2316" spans="49:50" x14ac:dyDescent="0.15">
      <c r="AW2316" s="17"/>
      <c r="AX2316" s="17"/>
    </row>
    <row r="2317" spans="49:50" x14ac:dyDescent="0.15">
      <c r="AW2317" s="17"/>
      <c r="AX2317" s="17"/>
    </row>
    <row r="2318" spans="49:50" x14ac:dyDescent="0.15">
      <c r="AW2318" s="17"/>
      <c r="AX2318" s="17"/>
    </row>
    <row r="2319" spans="49:50" x14ac:dyDescent="0.15">
      <c r="AW2319" s="17"/>
      <c r="AX2319" s="17"/>
    </row>
    <row r="2320" spans="49:50" x14ac:dyDescent="0.15">
      <c r="AW2320" s="17"/>
      <c r="AX2320" s="17"/>
    </row>
    <row r="2321" spans="49:50" x14ac:dyDescent="0.15">
      <c r="AW2321" s="17"/>
      <c r="AX2321" s="17"/>
    </row>
    <row r="2322" spans="49:50" x14ac:dyDescent="0.15">
      <c r="AW2322" s="17"/>
      <c r="AX2322" s="17"/>
    </row>
    <row r="2323" spans="49:50" x14ac:dyDescent="0.15">
      <c r="AW2323" s="17"/>
      <c r="AX2323" s="17"/>
    </row>
    <row r="2324" spans="49:50" x14ac:dyDescent="0.15">
      <c r="AW2324" s="17"/>
      <c r="AX2324" s="17"/>
    </row>
    <row r="2325" spans="49:50" x14ac:dyDescent="0.15">
      <c r="AW2325" s="17"/>
      <c r="AX2325" s="17"/>
    </row>
    <row r="2326" spans="49:50" x14ac:dyDescent="0.15">
      <c r="AW2326" s="17"/>
      <c r="AX2326" s="17"/>
    </row>
    <row r="2327" spans="49:50" x14ac:dyDescent="0.15">
      <c r="AW2327" s="17"/>
      <c r="AX2327" s="17"/>
    </row>
    <row r="2328" spans="49:50" x14ac:dyDescent="0.15">
      <c r="AW2328" s="17"/>
      <c r="AX2328" s="17"/>
    </row>
    <row r="2329" spans="49:50" x14ac:dyDescent="0.15">
      <c r="AW2329" s="17"/>
      <c r="AX2329" s="17"/>
    </row>
    <row r="2330" spans="49:50" x14ac:dyDescent="0.15">
      <c r="AW2330" s="17"/>
      <c r="AX2330" s="17"/>
    </row>
    <row r="2331" spans="49:50" x14ac:dyDescent="0.15">
      <c r="AW2331" s="17"/>
      <c r="AX2331" s="17"/>
    </row>
    <row r="2332" spans="49:50" x14ac:dyDescent="0.15">
      <c r="AW2332" s="17"/>
      <c r="AX2332" s="17"/>
    </row>
    <row r="2333" spans="49:50" x14ac:dyDescent="0.15">
      <c r="AW2333" s="17"/>
      <c r="AX2333" s="17"/>
    </row>
    <row r="2334" spans="49:50" x14ac:dyDescent="0.15">
      <c r="AW2334" s="17"/>
      <c r="AX2334" s="17"/>
    </row>
    <row r="2335" spans="49:50" x14ac:dyDescent="0.15">
      <c r="AW2335" s="17"/>
      <c r="AX2335" s="17"/>
    </row>
    <row r="2336" spans="49:50" x14ac:dyDescent="0.15">
      <c r="AW2336" s="17"/>
      <c r="AX2336" s="17"/>
    </row>
    <row r="2337" spans="49:50" x14ac:dyDescent="0.15">
      <c r="AW2337" s="17"/>
      <c r="AX2337" s="17"/>
    </row>
    <row r="2338" spans="49:50" x14ac:dyDescent="0.15">
      <c r="AW2338" s="17"/>
      <c r="AX2338" s="17"/>
    </row>
    <row r="2339" spans="49:50" x14ac:dyDescent="0.15">
      <c r="AW2339" s="17"/>
      <c r="AX2339" s="17"/>
    </row>
    <row r="2340" spans="49:50" x14ac:dyDescent="0.15">
      <c r="AW2340" s="17"/>
      <c r="AX2340" s="17"/>
    </row>
    <row r="2341" spans="49:50" x14ac:dyDescent="0.15">
      <c r="AW2341" s="17"/>
      <c r="AX2341" s="17"/>
    </row>
    <row r="2342" spans="49:50" x14ac:dyDescent="0.15">
      <c r="AW2342" s="17"/>
      <c r="AX2342" s="17"/>
    </row>
    <row r="2343" spans="49:50" x14ac:dyDescent="0.15">
      <c r="AW2343" s="17"/>
      <c r="AX2343" s="17"/>
    </row>
    <row r="2344" spans="49:50" x14ac:dyDescent="0.15">
      <c r="AW2344" s="17"/>
      <c r="AX2344" s="17"/>
    </row>
    <row r="2345" spans="49:50" x14ac:dyDescent="0.15">
      <c r="AW2345" s="17"/>
      <c r="AX2345" s="17"/>
    </row>
    <row r="2346" spans="49:50" x14ac:dyDescent="0.15">
      <c r="AW2346" s="17"/>
      <c r="AX2346" s="17"/>
    </row>
    <row r="2347" spans="49:50" x14ac:dyDescent="0.15">
      <c r="AW2347" s="17"/>
      <c r="AX2347" s="17"/>
    </row>
    <row r="2348" spans="49:50" x14ac:dyDescent="0.15">
      <c r="AW2348" s="17"/>
      <c r="AX2348" s="17"/>
    </row>
    <row r="2349" spans="49:50" x14ac:dyDescent="0.15">
      <c r="AW2349" s="17"/>
      <c r="AX2349" s="17"/>
    </row>
    <row r="2350" spans="49:50" x14ac:dyDescent="0.15">
      <c r="AW2350" s="17"/>
      <c r="AX2350" s="17"/>
    </row>
    <row r="2351" spans="49:50" x14ac:dyDescent="0.15">
      <c r="AW2351" s="17"/>
      <c r="AX2351" s="17"/>
    </row>
    <row r="2352" spans="49:50" x14ac:dyDescent="0.15">
      <c r="AW2352" s="17"/>
      <c r="AX2352" s="17"/>
    </row>
    <row r="2353" spans="49:50" x14ac:dyDescent="0.15">
      <c r="AW2353" s="17"/>
      <c r="AX2353" s="17"/>
    </row>
    <row r="2354" spans="49:50" x14ac:dyDescent="0.15">
      <c r="AW2354" s="17"/>
      <c r="AX2354" s="17"/>
    </row>
    <row r="2355" spans="49:50" x14ac:dyDescent="0.15">
      <c r="AW2355" s="17"/>
      <c r="AX2355" s="17"/>
    </row>
    <row r="2356" spans="49:50" x14ac:dyDescent="0.15">
      <c r="AW2356" s="17"/>
      <c r="AX2356" s="17"/>
    </row>
    <row r="2357" spans="49:50" x14ac:dyDescent="0.15">
      <c r="AW2357" s="17"/>
      <c r="AX2357" s="17"/>
    </row>
    <row r="2358" spans="49:50" x14ac:dyDescent="0.15">
      <c r="AW2358" s="17"/>
      <c r="AX2358" s="17"/>
    </row>
    <row r="2359" spans="49:50" x14ac:dyDescent="0.15">
      <c r="AW2359" s="17"/>
      <c r="AX2359" s="17"/>
    </row>
    <row r="2360" spans="49:50" x14ac:dyDescent="0.15">
      <c r="AW2360" s="17"/>
      <c r="AX2360" s="17"/>
    </row>
    <row r="2361" spans="49:50" x14ac:dyDescent="0.15">
      <c r="AW2361" s="17"/>
      <c r="AX2361" s="17"/>
    </row>
    <row r="2362" spans="49:50" x14ac:dyDescent="0.15">
      <c r="AW2362" s="17"/>
      <c r="AX2362" s="17"/>
    </row>
    <row r="2363" spans="49:50" x14ac:dyDescent="0.15">
      <c r="AW2363" s="17"/>
      <c r="AX2363" s="17"/>
    </row>
    <row r="2364" spans="49:50" x14ac:dyDescent="0.15">
      <c r="AW2364" s="17"/>
      <c r="AX2364" s="17"/>
    </row>
    <row r="2365" spans="49:50" x14ac:dyDescent="0.15">
      <c r="AW2365" s="17"/>
      <c r="AX2365" s="17"/>
    </row>
    <row r="2366" spans="49:50" x14ac:dyDescent="0.15">
      <c r="AW2366" s="17"/>
      <c r="AX2366" s="17"/>
    </row>
    <row r="2367" spans="49:50" x14ac:dyDescent="0.15">
      <c r="AW2367" s="17"/>
      <c r="AX2367" s="17"/>
    </row>
    <row r="2368" spans="49:50" x14ac:dyDescent="0.15">
      <c r="AW2368" s="17"/>
      <c r="AX2368" s="17"/>
    </row>
    <row r="2369" spans="49:50" x14ac:dyDescent="0.15">
      <c r="AW2369" s="17"/>
      <c r="AX2369" s="17"/>
    </row>
    <row r="2370" spans="49:50" x14ac:dyDescent="0.15">
      <c r="AW2370" s="17"/>
      <c r="AX2370" s="17"/>
    </row>
    <row r="2371" spans="49:50" x14ac:dyDescent="0.15">
      <c r="AW2371" s="17"/>
      <c r="AX2371" s="17"/>
    </row>
    <row r="2372" spans="49:50" x14ac:dyDescent="0.15">
      <c r="AW2372" s="17"/>
      <c r="AX2372" s="17"/>
    </row>
    <row r="2373" spans="49:50" x14ac:dyDescent="0.15">
      <c r="AW2373" s="17"/>
      <c r="AX2373" s="17"/>
    </row>
    <row r="2374" spans="49:50" x14ac:dyDescent="0.15">
      <c r="AW2374" s="17"/>
      <c r="AX2374" s="17"/>
    </row>
    <row r="2375" spans="49:50" x14ac:dyDescent="0.15">
      <c r="AW2375" s="17"/>
      <c r="AX2375" s="17"/>
    </row>
    <row r="2376" spans="49:50" x14ac:dyDescent="0.15">
      <c r="AW2376" s="17"/>
      <c r="AX2376" s="17"/>
    </row>
    <row r="2377" spans="49:50" x14ac:dyDescent="0.15">
      <c r="AW2377" s="17"/>
      <c r="AX2377" s="17"/>
    </row>
    <row r="2378" spans="49:50" x14ac:dyDescent="0.15">
      <c r="AW2378" s="17"/>
      <c r="AX2378" s="17"/>
    </row>
    <row r="2379" spans="49:50" x14ac:dyDescent="0.15">
      <c r="AW2379" s="17"/>
      <c r="AX2379" s="17"/>
    </row>
    <row r="2380" spans="49:50" x14ac:dyDescent="0.15">
      <c r="AW2380" s="17"/>
      <c r="AX2380" s="17"/>
    </row>
    <row r="2381" spans="49:50" x14ac:dyDescent="0.15">
      <c r="AW2381" s="17"/>
      <c r="AX2381" s="17"/>
    </row>
    <row r="2382" spans="49:50" x14ac:dyDescent="0.15">
      <c r="AW2382" s="17"/>
      <c r="AX2382" s="17"/>
    </row>
    <row r="2383" spans="49:50" x14ac:dyDescent="0.15">
      <c r="AW2383" s="17"/>
      <c r="AX2383" s="17"/>
    </row>
    <row r="2384" spans="49:50" x14ac:dyDescent="0.15">
      <c r="AW2384" s="17"/>
      <c r="AX2384" s="17"/>
    </row>
    <row r="2385" spans="49:50" x14ac:dyDescent="0.15">
      <c r="AW2385" s="17"/>
      <c r="AX2385" s="17"/>
    </row>
    <row r="2386" spans="49:50" x14ac:dyDescent="0.15">
      <c r="AW2386" s="17"/>
      <c r="AX2386" s="17"/>
    </row>
    <row r="2387" spans="49:50" x14ac:dyDescent="0.15">
      <c r="AW2387" s="17"/>
      <c r="AX2387" s="17"/>
    </row>
    <row r="2388" spans="49:50" x14ac:dyDescent="0.15">
      <c r="AW2388" s="17"/>
      <c r="AX2388" s="17"/>
    </row>
    <row r="2389" spans="49:50" x14ac:dyDescent="0.15">
      <c r="AW2389" s="17"/>
      <c r="AX2389" s="17"/>
    </row>
    <row r="2390" spans="49:50" x14ac:dyDescent="0.15">
      <c r="AW2390" s="17"/>
      <c r="AX2390" s="17"/>
    </row>
    <row r="2391" spans="49:50" x14ac:dyDescent="0.15">
      <c r="AW2391" s="17"/>
      <c r="AX2391" s="17"/>
    </row>
    <row r="2392" spans="49:50" x14ac:dyDescent="0.15">
      <c r="AW2392" s="17"/>
      <c r="AX2392" s="17"/>
    </row>
    <row r="2393" spans="49:50" x14ac:dyDescent="0.15">
      <c r="AW2393" s="17"/>
      <c r="AX2393" s="17"/>
    </row>
    <row r="2394" spans="49:50" x14ac:dyDescent="0.15">
      <c r="AW2394" s="17"/>
      <c r="AX2394" s="17"/>
    </row>
    <row r="2395" spans="49:50" x14ac:dyDescent="0.15">
      <c r="AW2395" s="17"/>
      <c r="AX2395" s="17"/>
    </row>
    <row r="2396" spans="49:50" x14ac:dyDescent="0.15">
      <c r="AW2396" s="17"/>
      <c r="AX2396" s="17"/>
    </row>
    <row r="2397" spans="49:50" x14ac:dyDescent="0.15">
      <c r="AW2397" s="17"/>
      <c r="AX2397" s="17"/>
    </row>
    <row r="2398" spans="49:50" x14ac:dyDescent="0.15">
      <c r="AW2398" s="17"/>
      <c r="AX2398" s="17"/>
    </row>
    <row r="2399" spans="49:50" x14ac:dyDescent="0.15">
      <c r="AW2399" s="17"/>
      <c r="AX2399" s="17"/>
    </row>
    <row r="2400" spans="49:50" x14ac:dyDescent="0.15">
      <c r="AW2400" s="17"/>
      <c r="AX2400" s="17"/>
    </row>
    <row r="2401" spans="49:50" x14ac:dyDescent="0.15">
      <c r="AW2401" s="17"/>
      <c r="AX2401" s="17"/>
    </row>
    <row r="2402" spans="49:50" x14ac:dyDescent="0.15">
      <c r="AW2402" s="17"/>
      <c r="AX2402" s="17"/>
    </row>
    <row r="2403" spans="49:50" x14ac:dyDescent="0.15">
      <c r="AW2403" s="17"/>
      <c r="AX2403" s="17"/>
    </row>
    <row r="2404" spans="49:50" x14ac:dyDescent="0.15">
      <c r="AW2404" s="17"/>
      <c r="AX2404" s="17"/>
    </row>
    <row r="2405" spans="49:50" x14ac:dyDescent="0.15">
      <c r="AW2405" s="17"/>
      <c r="AX2405" s="17"/>
    </row>
    <row r="2406" spans="49:50" x14ac:dyDescent="0.15">
      <c r="AW2406" s="17"/>
      <c r="AX2406" s="17"/>
    </row>
    <row r="2407" spans="49:50" x14ac:dyDescent="0.15">
      <c r="AW2407" s="17"/>
      <c r="AX2407" s="17"/>
    </row>
    <row r="2408" spans="49:50" x14ac:dyDescent="0.15">
      <c r="AW2408" s="17"/>
      <c r="AX2408" s="17"/>
    </row>
    <row r="2409" spans="49:50" x14ac:dyDescent="0.15">
      <c r="AW2409" s="17"/>
      <c r="AX2409" s="17"/>
    </row>
    <row r="2410" spans="49:50" x14ac:dyDescent="0.15">
      <c r="AW2410" s="17"/>
      <c r="AX2410" s="17"/>
    </row>
    <row r="2411" spans="49:50" x14ac:dyDescent="0.15">
      <c r="AW2411" s="17"/>
      <c r="AX2411" s="17"/>
    </row>
    <row r="2412" spans="49:50" x14ac:dyDescent="0.15">
      <c r="AW2412" s="17"/>
      <c r="AX2412" s="17"/>
    </row>
    <row r="2413" spans="49:50" x14ac:dyDescent="0.15">
      <c r="AW2413" s="17"/>
      <c r="AX2413" s="17"/>
    </row>
    <row r="2414" spans="49:50" x14ac:dyDescent="0.15">
      <c r="AW2414" s="17"/>
      <c r="AX2414" s="17"/>
    </row>
    <row r="2415" spans="49:50" x14ac:dyDescent="0.15">
      <c r="AW2415" s="17"/>
      <c r="AX2415" s="17"/>
    </row>
    <row r="2416" spans="49:50" x14ac:dyDescent="0.15">
      <c r="AW2416" s="17"/>
      <c r="AX2416" s="17"/>
    </row>
    <row r="2417" spans="49:50" x14ac:dyDescent="0.15">
      <c r="AW2417" s="17"/>
      <c r="AX2417" s="17"/>
    </row>
    <row r="2418" spans="49:50" x14ac:dyDescent="0.15">
      <c r="AW2418" s="17"/>
      <c r="AX2418" s="17"/>
    </row>
    <row r="2419" spans="49:50" x14ac:dyDescent="0.15">
      <c r="AW2419" s="17"/>
      <c r="AX2419" s="17"/>
    </row>
    <row r="2420" spans="49:50" x14ac:dyDescent="0.15">
      <c r="AW2420" s="17"/>
      <c r="AX2420" s="17"/>
    </row>
    <row r="2421" spans="49:50" x14ac:dyDescent="0.15">
      <c r="AW2421" s="17"/>
      <c r="AX2421" s="17"/>
    </row>
    <row r="2422" spans="49:50" x14ac:dyDescent="0.15">
      <c r="AW2422" s="17"/>
      <c r="AX2422" s="17"/>
    </row>
    <row r="2423" spans="49:50" x14ac:dyDescent="0.15">
      <c r="AW2423" s="17"/>
      <c r="AX2423" s="17"/>
    </row>
    <row r="2424" spans="49:50" x14ac:dyDescent="0.15">
      <c r="AW2424" s="17"/>
      <c r="AX2424" s="17"/>
    </row>
    <row r="2425" spans="49:50" x14ac:dyDescent="0.15">
      <c r="AW2425" s="17"/>
      <c r="AX2425" s="17"/>
    </row>
    <row r="2426" spans="49:50" x14ac:dyDescent="0.15">
      <c r="AW2426" s="17"/>
      <c r="AX2426" s="17"/>
    </row>
    <row r="2427" spans="49:50" x14ac:dyDescent="0.15">
      <c r="AW2427" s="17"/>
      <c r="AX2427" s="17"/>
    </row>
    <row r="2428" spans="49:50" x14ac:dyDescent="0.15">
      <c r="AW2428" s="17"/>
      <c r="AX2428" s="17"/>
    </row>
    <row r="2429" spans="49:50" x14ac:dyDescent="0.15">
      <c r="AW2429" s="17"/>
      <c r="AX2429" s="17"/>
    </row>
    <row r="2430" spans="49:50" x14ac:dyDescent="0.15">
      <c r="AW2430" s="17"/>
      <c r="AX2430" s="17"/>
    </row>
    <row r="2431" spans="49:50" x14ac:dyDescent="0.15">
      <c r="AW2431" s="17"/>
      <c r="AX2431" s="17"/>
    </row>
    <row r="2432" spans="49:50" x14ac:dyDescent="0.15">
      <c r="AW2432" s="17"/>
      <c r="AX2432" s="17"/>
    </row>
    <row r="2433" spans="49:50" x14ac:dyDescent="0.15">
      <c r="AW2433" s="17"/>
      <c r="AX2433" s="17"/>
    </row>
    <row r="2434" spans="49:50" x14ac:dyDescent="0.15">
      <c r="AW2434" s="17"/>
      <c r="AX2434" s="17"/>
    </row>
    <row r="2435" spans="49:50" x14ac:dyDescent="0.15">
      <c r="AW2435" s="17"/>
      <c r="AX2435" s="17"/>
    </row>
    <row r="2436" spans="49:50" x14ac:dyDescent="0.15">
      <c r="AW2436" s="17"/>
      <c r="AX2436" s="17"/>
    </row>
    <row r="2437" spans="49:50" x14ac:dyDescent="0.15">
      <c r="AW2437" s="17"/>
      <c r="AX2437" s="17"/>
    </row>
    <row r="2438" spans="49:50" x14ac:dyDescent="0.15">
      <c r="AW2438" s="17"/>
      <c r="AX2438" s="17"/>
    </row>
    <row r="2439" spans="49:50" x14ac:dyDescent="0.15">
      <c r="AW2439" s="17"/>
      <c r="AX2439" s="17"/>
    </row>
    <row r="2440" spans="49:50" x14ac:dyDescent="0.15">
      <c r="AW2440" s="17"/>
      <c r="AX2440" s="17"/>
    </row>
    <row r="2441" spans="49:50" x14ac:dyDescent="0.15">
      <c r="AW2441" s="17"/>
      <c r="AX2441" s="17"/>
    </row>
    <row r="2442" spans="49:50" x14ac:dyDescent="0.15">
      <c r="AW2442" s="17"/>
      <c r="AX2442" s="17"/>
    </row>
    <row r="2443" spans="49:50" x14ac:dyDescent="0.15">
      <c r="AW2443" s="17"/>
      <c r="AX2443" s="17"/>
    </row>
    <row r="2444" spans="49:50" x14ac:dyDescent="0.15">
      <c r="AW2444" s="17"/>
      <c r="AX2444" s="17"/>
    </row>
    <row r="2445" spans="49:50" x14ac:dyDescent="0.15">
      <c r="AW2445" s="17"/>
      <c r="AX2445" s="17"/>
    </row>
    <row r="2446" spans="49:50" x14ac:dyDescent="0.15">
      <c r="AW2446" s="17"/>
      <c r="AX2446" s="17"/>
    </row>
    <row r="2447" spans="49:50" x14ac:dyDescent="0.15">
      <c r="AW2447" s="17"/>
      <c r="AX2447" s="17"/>
    </row>
    <row r="2448" spans="49:50" x14ac:dyDescent="0.15">
      <c r="AW2448" s="17"/>
      <c r="AX2448" s="17"/>
    </row>
    <row r="2449" spans="49:50" x14ac:dyDescent="0.15">
      <c r="AW2449" s="17"/>
      <c r="AX2449" s="17"/>
    </row>
    <row r="2450" spans="49:50" x14ac:dyDescent="0.15">
      <c r="AW2450" s="17"/>
      <c r="AX2450" s="17"/>
    </row>
    <row r="2451" spans="49:50" x14ac:dyDescent="0.15">
      <c r="AW2451" s="17"/>
      <c r="AX2451" s="17"/>
    </row>
    <row r="2452" spans="49:50" x14ac:dyDescent="0.15">
      <c r="AW2452" s="17"/>
      <c r="AX2452" s="17"/>
    </row>
    <row r="2453" spans="49:50" x14ac:dyDescent="0.15">
      <c r="AW2453" s="17"/>
      <c r="AX2453" s="17"/>
    </row>
    <row r="2454" spans="49:50" x14ac:dyDescent="0.15">
      <c r="AW2454" s="17"/>
      <c r="AX2454" s="17"/>
    </row>
    <row r="2455" spans="49:50" x14ac:dyDescent="0.15">
      <c r="AW2455" s="17"/>
      <c r="AX2455" s="17"/>
    </row>
    <row r="2456" spans="49:50" x14ac:dyDescent="0.15">
      <c r="AW2456" s="17"/>
      <c r="AX2456" s="17"/>
    </row>
    <row r="2457" spans="49:50" x14ac:dyDescent="0.15">
      <c r="AW2457" s="17"/>
      <c r="AX2457" s="17"/>
    </row>
    <row r="2458" spans="49:50" x14ac:dyDescent="0.15">
      <c r="AW2458" s="17"/>
      <c r="AX2458" s="17"/>
    </row>
    <row r="2459" spans="49:50" x14ac:dyDescent="0.15">
      <c r="AW2459" s="17"/>
      <c r="AX2459" s="17"/>
    </row>
    <row r="2460" spans="49:50" x14ac:dyDescent="0.15">
      <c r="AW2460" s="17"/>
      <c r="AX2460" s="17"/>
    </row>
    <row r="2461" spans="49:50" x14ac:dyDescent="0.15">
      <c r="AW2461" s="17"/>
      <c r="AX2461" s="17"/>
    </row>
    <row r="2462" spans="49:50" x14ac:dyDescent="0.15">
      <c r="AW2462" s="17"/>
      <c r="AX2462" s="17"/>
    </row>
    <row r="2463" spans="49:50" x14ac:dyDescent="0.15">
      <c r="AW2463" s="17"/>
      <c r="AX2463" s="17"/>
    </row>
    <row r="2464" spans="49:50" x14ac:dyDescent="0.15">
      <c r="AW2464" s="17"/>
      <c r="AX2464" s="17"/>
    </row>
    <row r="2465" spans="49:50" x14ac:dyDescent="0.15">
      <c r="AW2465" s="17"/>
      <c r="AX2465" s="17"/>
    </row>
    <row r="2466" spans="49:50" x14ac:dyDescent="0.15">
      <c r="AW2466" s="17"/>
      <c r="AX2466" s="17"/>
    </row>
    <row r="2467" spans="49:50" x14ac:dyDescent="0.15">
      <c r="AW2467" s="17"/>
      <c r="AX2467" s="17"/>
    </row>
    <row r="2468" spans="49:50" x14ac:dyDescent="0.15">
      <c r="AW2468" s="17"/>
      <c r="AX2468" s="17"/>
    </row>
    <row r="2469" spans="49:50" x14ac:dyDescent="0.15">
      <c r="AW2469" s="17"/>
      <c r="AX2469" s="17"/>
    </row>
    <row r="2470" spans="49:50" x14ac:dyDescent="0.15">
      <c r="AW2470" s="17"/>
      <c r="AX2470" s="17"/>
    </row>
    <row r="2471" spans="49:50" x14ac:dyDescent="0.15">
      <c r="AW2471" s="17"/>
      <c r="AX2471" s="17"/>
    </row>
    <row r="2472" spans="49:50" x14ac:dyDescent="0.15">
      <c r="AW2472" s="17"/>
      <c r="AX2472" s="17"/>
    </row>
    <row r="2473" spans="49:50" x14ac:dyDescent="0.15">
      <c r="AW2473" s="17"/>
      <c r="AX2473" s="17"/>
    </row>
    <row r="2474" spans="49:50" x14ac:dyDescent="0.15">
      <c r="AW2474" s="17"/>
      <c r="AX2474" s="17"/>
    </row>
    <row r="2475" spans="49:50" x14ac:dyDescent="0.15">
      <c r="AW2475" s="17"/>
      <c r="AX2475" s="17"/>
    </row>
    <row r="2476" spans="49:50" x14ac:dyDescent="0.15">
      <c r="AW2476" s="17"/>
      <c r="AX2476" s="17"/>
    </row>
    <row r="2477" spans="49:50" x14ac:dyDescent="0.15">
      <c r="AW2477" s="17"/>
      <c r="AX2477" s="17"/>
    </row>
    <row r="2478" spans="49:50" x14ac:dyDescent="0.15">
      <c r="AW2478" s="17"/>
      <c r="AX2478" s="17"/>
    </row>
    <row r="2479" spans="49:50" x14ac:dyDescent="0.15">
      <c r="AW2479" s="17"/>
      <c r="AX2479" s="17"/>
    </row>
    <row r="2480" spans="49:50" x14ac:dyDescent="0.15">
      <c r="AW2480" s="17"/>
      <c r="AX2480" s="17"/>
    </row>
    <row r="2481" spans="49:50" x14ac:dyDescent="0.15">
      <c r="AW2481" s="17"/>
      <c r="AX2481" s="17"/>
    </row>
    <row r="2482" spans="49:50" x14ac:dyDescent="0.15">
      <c r="AW2482" s="17"/>
      <c r="AX2482" s="17"/>
    </row>
    <row r="2483" spans="49:50" x14ac:dyDescent="0.15">
      <c r="AW2483" s="17"/>
      <c r="AX2483" s="17"/>
    </row>
    <row r="2484" spans="49:50" x14ac:dyDescent="0.15">
      <c r="AW2484" s="17"/>
      <c r="AX2484" s="17"/>
    </row>
    <row r="2485" spans="49:50" x14ac:dyDescent="0.15">
      <c r="AW2485" s="17"/>
      <c r="AX2485" s="17"/>
    </row>
    <row r="2486" spans="49:50" x14ac:dyDescent="0.15">
      <c r="AW2486" s="17"/>
      <c r="AX2486" s="17"/>
    </row>
    <row r="2487" spans="49:50" x14ac:dyDescent="0.15">
      <c r="AW2487" s="17"/>
      <c r="AX2487" s="17"/>
    </row>
    <row r="2488" spans="49:50" x14ac:dyDescent="0.15">
      <c r="AW2488" s="17"/>
      <c r="AX2488" s="17"/>
    </row>
    <row r="2489" spans="49:50" x14ac:dyDescent="0.15">
      <c r="AW2489" s="17"/>
      <c r="AX2489" s="17"/>
    </row>
    <row r="2490" spans="49:50" x14ac:dyDescent="0.15">
      <c r="AW2490" s="17"/>
      <c r="AX2490" s="17"/>
    </row>
    <row r="2491" spans="49:50" x14ac:dyDescent="0.15">
      <c r="AW2491" s="17"/>
      <c r="AX2491" s="17"/>
    </row>
    <row r="2492" spans="49:50" x14ac:dyDescent="0.15">
      <c r="AW2492" s="17"/>
      <c r="AX2492" s="17"/>
    </row>
    <row r="2493" spans="49:50" x14ac:dyDescent="0.15">
      <c r="AW2493" s="17"/>
      <c r="AX2493" s="17"/>
    </row>
    <row r="2494" spans="49:50" x14ac:dyDescent="0.15">
      <c r="AW2494" s="17"/>
      <c r="AX2494" s="17"/>
    </row>
    <row r="2495" spans="49:50" x14ac:dyDescent="0.15">
      <c r="AW2495" s="17"/>
      <c r="AX2495" s="17"/>
    </row>
    <row r="2496" spans="49:50" x14ac:dyDescent="0.15">
      <c r="AW2496" s="17"/>
      <c r="AX2496" s="17"/>
    </row>
    <row r="2497" spans="49:50" x14ac:dyDescent="0.15">
      <c r="AW2497" s="17"/>
      <c r="AX2497" s="17"/>
    </row>
    <row r="2498" spans="49:50" x14ac:dyDescent="0.15">
      <c r="AW2498" s="17"/>
      <c r="AX2498" s="17"/>
    </row>
    <row r="2499" spans="49:50" x14ac:dyDescent="0.15">
      <c r="AW2499" s="17"/>
      <c r="AX2499" s="17"/>
    </row>
    <row r="2500" spans="49:50" x14ac:dyDescent="0.15">
      <c r="AW2500" s="17"/>
      <c r="AX2500" s="17"/>
    </row>
    <row r="2501" spans="49:50" x14ac:dyDescent="0.15">
      <c r="AW2501" s="17"/>
      <c r="AX2501" s="17"/>
    </row>
    <row r="2502" spans="49:50" x14ac:dyDescent="0.15">
      <c r="AW2502" s="17"/>
      <c r="AX2502" s="17"/>
    </row>
    <row r="2503" spans="49:50" x14ac:dyDescent="0.15">
      <c r="AW2503" s="17"/>
      <c r="AX2503" s="17"/>
    </row>
    <row r="2504" spans="49:50" x14ac:dyDescent="0.15">
      <c r="AW2504" s="17"/>
      <c r="AX2504" s="17"/>
    </row>
    <row r="2505" spans="49:50" x14ac:dyDescent="0.15">
      <c r="AW2505" s="17"/>
      <c r="AX2505" s="17"/>
    </row>
    <row r="2506" spans="49:50" x14ac:dyDescent="0.15">
      <c r="AW2506" s="17"/>
      <c r="AX2506" s="17"/>
    </row>
    <row r="2507" spans="49:50" x14ac:dyDescent="0.15">
      <c r="AW2507" s="17"/>
      <c r="AX2507" s="17"/>
    </row>
    <row r="2508" spans="49:50" x14ac:dyDescent="0.15">
      <c r="AW2508" s="17"/>
      <c r="AX2508" s="17"/>
    </row>
    <row r="2509" spans="49:50" x14ac:dyDescent="0.15">
      <c r="AW2509" s="17"/>
      <c r="AX2509" s="17"/>
    </row>
    <row r="2510" spans="49:50" x14ac:dyDescent="0.15">
      <c r="AW2510" s="17"/>
      <c r="AX2510" s="17"/>
    </row>
    <row r="2511" spans="49:50" x14ac:dyDescent="0.15">
      <c r="AW2511" s="17"/>
      <c r="AX2511" s="17"/>
    </row>
    <row r="2512" spans="49:50" x14ac:dyDescent="0.15">
      <c r="AW2512" s="17"/>
      <c r="AX2512" s="17"/>
    </row>
    <row r="2513" spans="49:50" x14ac:dyDescent="0.15">
      <c r="AW2513" s="17"/>
      <c r="AX2513" s="17"/>
    </row>
    <row r="2514" spans="49:50" x14ac:dyDescent="0.15">
      <c r="AW2514" s="17"/>
      <c r="AX2514" s="17"/>
    </row>
    <row r="2515" spans="49:50" x14ac:dyDescent="0.15">
      <c r="AW2515" s="17"/>
      <c r="AX2515" s="17"/>
    </row>
    <row r="2516" spans="49:50" x14ac:dyDescent="0.15">
      <c r="AW2516" s="17"/>
      <c r="AX2516" s="17"/>
    </row>
    <row r="2517" spans="49:50" x14ac:dyDescent="0.15">
      <c r="AW2517" s="17"/>
      <c r="AX2517" s="17"/>
    </row>
    <row r="2518" spans="49:50" x14ac:dyDescent="0.15">
      <c r="AW2518" s="17"/>
      <c r="AX2518" s="17"/>
    </row>
    <row r="2519" spans="49:50" x14ac:dyDescent="0.15">
      <c r="AW2519" s="17"/>
      <c r="AX2519" s="17"/>
    </row>
    <row r="2520" spans="49:50" x14ac:dyDescent="0.15">
      <c r="AW2520" s="17"/>
      <c r="AX2520" s="17"/>
    </row>
    <row r="2521" spans="49:50" x14ac:dyDescent="0.15">
      <c r="AW2521" s="17"/>
      <c r="AX2521" s="17"/>
    </row>
    <row r="2522" spans="49:50" x14ac:dyDescent="0.15">
      <c r="AW2522" s="17"/>
      <c r="AX2522" s="17"/>
    </row>
    <row r="2523" spans="49:50" x14ac:dyDescent="0.15">
      <c r="AW2523" s="17"/>
      <c r="AX2523" s="17"/>
    </row>
    <row r="2524" spans="49:50" x14ac:dyDescent="0.15">
      <c r="AW2524" s="17"/>
      <c r="AX2524" s="17"/>
    </row>
    <row r="2525" spans="49:50" x14ac:dyDescent="0.15">
      <c r="AW2525" s="17"/>
      <c r="AX2525" s="17"/>
    </row>
    <row r="2526" spans="49:50" x14ac:dyDescent="0.15">
      <c r="AW2526" s="17"/>
      <c r="AX2526" s="17"/>
    </row>
    <row r="2527" spans="49:50" x14ac:dyDescent="0.15">
      <c r="AW2527" s="17"/>
      <c r="AX2527" s="17"/>
    </row>
    <row r="2528" spans="49:50" x14ac:dyDescent="0.15">
      <c r="AW2528" s="17"/>
      <c r="AX2528" s="17"/>
    </row>
    <row r="2529" spans="49:50" x14ac:dyDescent="0.15">
      <c r="AW2529" s="17"/>
      <c r="AX2529" s="17"/>
    </row>
    <row r="2530" spans="49:50" x14ac:dyDescent="0.15">
      <c r="AW2530" s="17"/>
      <c r="AX2530" s="17"/>
    </row>
    <row r="2531" spans="49:50" x14ac:dyDescent="0.15">
      <c r="AW2531" s="17"/>
      <c r="AX2531" s="17"/>
    </row>
    <row r="2532" spans="49:50" x14ac:dyDescent="0.15">
      <c r="AW2532" s="17"/>
      <c r="AX2532" s="17"/>
    </row>
    <row r="2533" spans="49:50" x14ac:dyDescent="0.15">
      <c r="AW2533" s="17"/>
      <c r="AX2533" s="17"/>
    </row>
    <row r="2534" spans="49:50" x14ac:dyDescent="0.15">
      <c r="AW2534" s="17"/>
      <c r="AX2534" s="17"/>
    </row>
    <row r="2535" spans="49:50" x14ac:dyDescent="0.15">
      <c r="AW2535" s="17"/>
      <c r="AX2535" s="17"/>
    </row>
    <row r="2536" spans="49:50" x14ac:dyDescent="0.15">
      <c r="AW2536" s="17"/>
      <c r="AX2536" s="17"/>
    </row>
    <row r="2537" spans="49:50" x14ac:dyDescent="0.15">
      <c r="AW2537" s="17"/>
      <c r="AX2537" s="17"/>
    </row>
    <row r="2538" spans="49:50" x14ac:dyDescent="0.15">
      <c r="AW2538" s="17"/>
      <c r="AX2538" s="17"/>
    </row>
    <row r="2539" spans="49:50" x14ac:dyDescent="0.15">
      <c r="AW2539" s="17"/>
      <c r="AX2539" s="17"/>
    </row>
    <row r="2540" spans="49:50" x14ac:dyDescent="0.15">
      <c r="AW2540" s="17"/>
      <c r="AX2540" s="17"/>
    </row>
    <row r="2541" spans="49:50" x14ac:dyDescent="0.15">
      <c r="AW2541" s="17"/>
      <c r="AX2541" s="17"/>
    </row>
    <row r="2542" spans="49:50" x14ac:dyDescent="0.15">
      <c r="AW2542" s="17"/>
      <c r="AX2542" s="17"/>
    </row>
    <row r="2543" spans="49:50" x14ac:dyDescent="0.15">
      <c r="AW2543" s="17"/>
      <c r="AX2543" s="17"/>
    </row>
    <row r="2544" spans="49:50" x14ac:dyDescent="0.15">
      <c r="AW2544" s="17"/>
      <c r="AX2544" s="17"/>
    </row>
    <row r="2545" spans="49:50" x14ac:dyDescent="0.15">
      <c r="AW2545" s="17"/>
      <c r="AX2545" s="17"/>
    </row>
    <row r="2546" spans="49:50" x14ac:dyDescent="0.15">
      <c r="AW2546" s="17"/>
      <c r="AX2546" s="17"/>
    </row>
    <row r="2547" spans="49:50" x14ac:dyDescent="0.15">
      <c r="AW2547" s="17"/>
      <c r="AX2547" s="17"/>
    </row>
    <row r="2548" spans="49:50" x14ac:dyDescent="0.15">
      <c r="AW2548" s="17"/>
      <c r="AX2548" s="17"/>
    </row>
    <row r="2549" spans="49:50" x14ac:dyDescent="0.15">
      <c r="AW2549" s="17"/>
      <c r="AX2549" s="17"/>
    </row>
    <row r="2550" spans="49:50" x14ac:dyDescent="0.15">
      <c r="AW2550" s="17"/>
      <c r="AX2550" s="17"/>
    </row>
    <row r="2551" spans="49:50" x14ac:dyDescent="0.15">
      <c r="AW2551" s="17"/>
      <c r="AX2551" s="17"/>
    </row>
    <row r="2552" spans="49:50" x14ac:dyDescent="0.15">
      <c r="AW2552" s="17"/>
      <c r="AX2552" s="17"/>
    </row>
    <row r="2553" spans="49:50" x14ac:dyDescent="0.15">
      <c r="AW2553" s="17"/>
      <c r="AX2553" s="17"/>
    </row>
    <row r="2554" spans="49:50" x14ac:dyDescent="0.15">
      <c r="AW2554" s="17"/>
      <c r="AX2554" s="17"/>
    </row>
    <row r="2555" spans="49:50" x14ac:dyDescent="0.15">
      <c r="AW2555" s="17"/>
      <c r="AX2555" s="17"/>
    </row>
    <row r="2556" spans="49:50" x14ac:dyDescent="0.15">
      <c r="AW2556" s="17"/>
      <c r="AX2556" s="17"/>
    </row>
    <row r="2557" spans="49:50" x14ac:dyDescent="0.15">
      <c r="AW2557" s="17"/>
      <c r="AX2557" s="17"/>
    </row>
    <row r="2558" spans="49:50" x14ac:dyDescent="0.15">
      <c r="AW2558" s="17"/>
      <c r="AX2558" s="17"/>
    </row>
    <row r="2559" spans="49:50" x14ac:dyDescent="0.15">
      <c r="AW2559" s="17"/>
      <c r="AX2559" s="17"/>
    </row>
    <row r="2560" spans="49:50" x14ac:dyDescent="0.15">
      <c r="AW2560" s="17"/>
      <c r="AX2560" s="17"/>
    </row>
    <row r="2561" spans="49:50" x14ac:dyDescent="0.15">
      <c r="AW2561" s="17"/>
      <c r="AX2561" s="17"/>
    </row>
    <row r="2562" spans="49:50" x14ac:dyDescent="0.15">
      <c r="AW2562" s="17"/>
      <c r="AX2562" s="17"/>
    </row>
    <row r="2563" spans="49:50" x14ac:dyDescent="0.15">
      <c r="AW2563" s="17"/>
      <c r="AX2563" s="17"/>
    </row>
    <row r="2564" spans="49:50" x14ac:dyDescent="0.15">
      <c r="AW2564" s="17"/>
      <c r="AX2564" s="17"/>
    </row>
    <row r="2565" spans="49:50" x14ac:dyDescent="0.15">
      <c r="AW2565" s="17"/>
      <c r="AX2565" s="17"/>
    </row>
    <row r="2566" spans="49:50" x14ac:dyDescent="0.15">
      <c r="AW2566" s="17"/>
      <c r="AX2566" s="17"/>
    </row>
    <row r="2567" spans="49:50" x14ac:dyDescent="0.15">
      <c r="AW2567" s="17"/>
      <c r="AX2567" s="17"/>
    </row>
    <row r="2568" spans="49:50" x14ac:dyDescent="0.15">
      <c r="AW2568" s="17"/>
      <c r="AX2568" s="17"/>
    </row>
    <row r="2569" spans="49:50" x14ac:dyDescent="0.15">
      <c r="AW2569" s="17"/>
      <c r="AX2569" s="17"/>
    </row>
    <row r="2570" spans="49:50" x14ac:dyDescent="0.15">
      <c r="AW2570" s="17"/>
      <c r="AX2570" s="17"/>
    </row>
    <row r="2571" spans="49:50" x14ac:dyDescent="0.15">
      <c r="AW2571" s="17"/>
      <c r="AX2571" s="17"/>
    </row>
    <row r="2572" spans="49:50" x14ac:dyDescent="0.15">
      <c r="AW2572" s="17"/>
      <c r="AX2572" s="17"/>
    </row>
    <row r="2573" spans="49:50" x14ac:dyDescent="0.15">
      <c r="AW2573" s="17"/>
      <c r="AX2573" s="17"/>
    </row>
    <row r="2574" spans="49:50" x14ac:dyDescent="0.15">
      <c r="AW2574" s="17"/>
      <c r="AX2574" s="17"/>
    </row>
    <row r="2575" spans="49:50" x14ac:dyDescent="0.15">
      <c r="AW2575" s="17"/>
      <c r="AX2575" s="17"/>
    </row>
    <row r="2576" spans="49:50" x14ac:dyDescent="0.15">
      <c r="AW2576" s="17"/>
      <c r="AX2576" s="17"/>
    </row>
    <row r="2577" spans="49:50" x14ac:dyDescent="0.15">
      <c r="AW2577" s="17"/>
      <c r="AX2577" s="17"/>
    </row>
    <row r="2578" spans="49:50" x14ac:dyDescent="0.15">
      <c r="AW2578" s="17"/>
      <c r="AX2578" s="17"/>
    </row>
    <row r="2579" spans="49:50" x14ac:dyDescent="0.15">
      <c r="AW2579" s="17"/>
      <c r="AX2579" s="17"/>
    </row>
    <row r="2580" spans="49:50" x14ac:dyDescent="0.15">
      <c r="AW2580" s="17"/>
      <c r="AX2580" s="17"/>
    </row>
    <row r="2581" spans="49:50" x14ac:dyDescent="0.15">
      <c r="AW2581" s="17"/>
      <c r="AX2581" s="17"/>
    </row>
    <row r="2582" spans="49:50" x14ac:dyDescent="0.15">
      <c r="AW2582" s="17"/>
      <c r="AX2582" s="17"/>
    </row>
    <row r="2583" spans="49:50" x14ac:dyDescent="0.15">
      <c r="AW2583" s="17"/>
      <c r="AX2583" s="17"/>
    </row>
    <row r="2584" spans="49:50" x14ac:dyDescent="0.15">
      <c r="AW2584" s="17"/>
      <c r="AX2584" s="17"/>
    </row>
    <row r="2585" spans="49:50" x14ac:dyDescent="0.15">
      <c r="AW2585" s="17"/>
      <c r="AX2585" s="17"/>
    </row>
    <row r="2586" spans="49:50" x14ac:dyDescent="0.15">
      <c r="AW2586" s="17"/>
      <c r="AX2586" s="17"/>
    </row>
    <row r="2587" spans="49:50" x14ac:dyDescent="0.15">
      <c r="AW2587" s="17"/>
      <c r="AX2587" s="17"/>
    </row>
    <row r="2588" spans="49:50" x14ac:dyDescent="0.15">
      <c r="AW2588" s="17"/>
      <c r="AX2588" s="17"/>
    </row>
    <row r="2589" spans="49:50" x14ac:dyDescent="0.15">
      <c r="AW2589" s="17"/>
      <c r="AX2589" s="17"/>
    </row>
    <row r="2590" spans="49:50" x14ac:dyDescent="0.15">
      <c r="AW2590" s="17"/>
      <c r="AX2590" s="17"/>
    </row>
    <row r="2591" spans="49:50" x14ac:dyDescent="0.15">
      <c r="AW2591" s="17"/>
      <c r="AX2591" s="17"/>
    </row>
    <row r="2592" spans="49:50" x14ac:dyDescent="0.15">
      <c r="AW2592" s="17"/>
      <c r="AX2592" s="17"/>
    </row>
    <row r="2593" spans="49:50" x14ac:dyDescent="0.15">
      <c r="AW2593" s="17"/>
      <c r="AX2593" s="17"/>
    </row>
    <row r="2594" spans="49:50" x14ac:dyDescent="0.15">
      <c r="AW2594" s="17"/>
      <c r="AX2594" s="17"/>
    </row>
    <row r="2595" spans="49:50" x14ac:dyDescent="0.15">
      <c r="AW2595" s="17"/>
      <c r="AX2595" s="17"/>
    </row>
    <row r="2596" spans="49:50" x14ac:dyDescent="0.15">
      <c r="AW2596" s="17"/>
      <c r="AX2596" s="17"/>
    </row>
    <row r="2597" spans="49:50" x14ac:dyDescent="0.15">
      <c r="AW2597" s="17"/>
      <c r="AX2597" s="17"/>
    </row>
    <row r="2598" spans="49:50" x14ac:dyDescent="0.15">
      <c r="AW2598" s="17"/>
      <c r="AX2598" s="17"/>
    </row>
    <row r="2599" spans="49:50" x14ac:dyDescent="0.15">
      <c r="AW2599" s="17"/>
      <c r="AX2599" s="17"/>
    </row>
    <row r="2600" spans="49:50" x14ac:dyDescent="0.15">
      <c r="AW2600" s="17"/>
      <c r="AX2600" s="17"/>
    </row>
    <row r="2601" spans="49:50" x14ac:dyDescent="0.15">
      <c r="AW2601" s="17"/>
      <c r="AX2601" s="17"/>
    </row>
    <row r="2602" spans="49:50" x14ac:dyDescent="0.15">
      <c r="AW2602" s="17"/>
      <c r="AX2602" s="17"/>
    </row>
    <row r="2603" spans="49:50" x14ac:dyDescent="0.15">
      <c r="AW2603" s="17"/>
      <c r="AX2603" s="17"/>
    </row>
    <row r="2604" spans="49:50" x14ac:dyDescent="0.15">
      <c r="AW2604" s="17"/>
      <c r="AX2604" s="17"/>
    </row>
    <row r="2605" spans="49:50" x14ac:dyDescent="0.15">
      <c r="AW2605" s="17"/>
      <c r="AX2605" s="17"/>
    </row>
    <row r="2606" spans="49:50" x14ac:dyDescent="0.15">
      <c r="AW2606" s="17"/>
      <c r="AX2606" s="17"/>
    </row>
    <row r="2607" spans="49:50" x14ac:dyDescent="0.15">
      <c r="AW2607" s="17"/>
      <c r="AX2607" s="17"/>
    </row>
    <row r="2608" spans="49:50" x14ac:dyDescent="0.15">
      <c r="AW2608" s="17"/>
      <c r="AX2608" s="17"/>
    </row>
    <row r="2609" spans="49:50" x14ac:dyDescent="0.15">
      <c r="AW2609" s="17"/>
      <c r="AX2609" s="17"/>
    </row>
    <row r="2610" spans="49:50" x14ac:dyDescent="0.15">
      <c r="AW2610" s="17"/>
      <c r="AX2610" s="17"/>
    </row>
    <row r="2611" spans="49:50" x14ac:dyDescent="0.15">
      <c r="AW2611" s="17"/>
      <c r="AX2611" s="17"/>
    </row>
    <row r="2612" spans="49:50" x14ac:dyDescent="0.15">
      <c r="AW2612" s="17"/>
      <c r="AX2612" s="17"/>
    </row>
    <row r="2613" spans="49:50" x14ac:dyDescent="0.15">
      <c r="AW2613" s="17"/>
      <c r="AX2613" s="17"/>
    </row>
    <row r="2614" spans="49:50" x14ac:dyDescent="0.15">
      <c r="AW2614" s="17"/>
      <c r="AX2614" s="17"/>
    </row>
    <row r="2615" spans="49:50" x14ac:dyDescent="0.15">
      <c r="AW2615" s="17"/>
      <c r="AX2615" s="17"/>
    </row>
    <row r="2616" spans="49:50" x14ac:dyDescent="0.15">
      <c r="AW2616" s="17"/>
      <c r="AX2616" s="17"/>
    </row>
    <row r="2617" spans="49:50" x14ac:dyDescent="0.15">
      <c r="AW2617" s="17"/>
      <c r="AX2617" s="17"/>
    </row>
    <row r="2618" spans="49:50" x14ac:dyDescent="0.15">
      <c r="AW2618" s="17"/>
      <c r="AX2618" s="17"/>
    </row>
    <row r="2619" spans="49:50" x14ac:dyDescent="0.15">
      <c r="AW2619" s="17"/>
      <c r="AX2619" s="17"/>
    </row>
    <row r="2620" spans="49:50" x14ac:dyDescent="0.15">
      <c r="AW2620" s="17"/>
      <c r="AX2620" s="17"/>
    </row>
    <row r="2621" spans="49:50" x14ac:dyDescent="0.15">
      <c r="AW2621" s="17"/>
      <c r="AX2621" s="17"/>
    </row>
    <row r="2622" spans="49:50" x14ac:dyDescent="0.15">
      <c r="AW2622" s="17"/>
      <c r="AX2622" s="17"/>
    </row>
    <row r="2623" spans="49:50" x14ac:dyDescent="0.15">
      <c r="AW2623" s="17"/>
      <c r="AX2623" s="17"/>
    </row>
    <row r="2624" spans="49:50" x14ac:dyDescent="0.15">
      <c r="AW2624" s="17"/>
      <c r="AX2624" s="17"/>
    </row>
    <row r="2625" spans="49:50" x14ac:dyDescent="0.15">
      <c r="AW2625" s="17"/>
      <c r="AX2625" s="17"/>
    </row>
    <row r="2626" spans="49:50" x14ac:dyDescent="0.15">
      <c r="AW2626" s="17"/>
      <c r="AX2626" s="17"/>
    </row>
    <row r="2627" spans="49:50" x14ac:dyDescent="0.15">
      <c r="AW2627" s="17"/>
      <c r="AX2627" s="17"/>
    </row>
    <row r="2628" spans="49:50" x14ac:dyDescent="0.15">
      <c r="AW2628" s="17"/>
      <c r="AX2628" s="17"/>
    </row>
    <row r="2629" spans="49:50" x14ac:dyDescent="0.15">
      <c r="AW2629" s="17"/>
      <c r="AX2629" s="17"/>
    </row>
    <row r="2630" spans="49:50" x14ac:dyDescent="0.15">
      <c r="AW2630" s="17"/>
      <c r="AX2630" s="17"/>
    </row>
    <row r="2631" spans="49:50" x14ac:dyDescent="0.15">
      <c r="AW2631" s="17"/>
      <c r="AX2631" s="17"/>
    </row>
    <row r="2632" spans="49:50" x14ac:dyDescent="0.15">
      <c r="AW2632" s="17"/>
      <c r="AX2632" s="17"/>
    </row>
    <row r="2633" spans="49:50" x14ac:dyDescent="0.15">
      <c r="AW2633" s="17"/>
      <c r="AX2633" s="17"/>
    </row>
    <row r="2634" spans="49:50" x14ac:dyDescent="0.15">
      <c r="AW2634" s="17"/>
      <c r="AX2634" s="17"/>
    </row>
    <row r="2635" spans="49:50" x14ac:dyDescent="0.15">
      <c r="AW2635" s="17"/>
      <c r="AX2635" s="17"/>
    </row>
    <row r="2636" spans="49:50" x14ac:dyDescent="0.15">
      <c r="AW2636" s="17"/>
      <c r="AX2636" s="17"/>
    </row>
    <row r="2637" spans="49:50" x14ac:dyDescent="0.15">
      <c r="AW2637" s="17"/>
      <c r="AX2637" s="17"/>
    </row>
    <row r="2638" spans="49:50" x14ac:dyDescent="0.15">
      <c r="AW2638" s="17"/>
      <c r="AX2638" s="17"/>
    </row>
    <row r="2639" spans="49:50" x14ac:dyDescent="0.15">
      <c r="AW2639" s="17"/>
      <c r="AX2639" s="17"/>
    </row>
    <row r="2640" spans="49:50" x14ac:dyDescent="0.15">
      <c r="AW2640" s="17"/>
      <c r="AX2640" s="17"/>
    </row>
    <row r="2641" spans="49:50" x14ac:dyDescent="0.15">
      <c r="AW2641" s="17"/>
      <c r="AX2641" s="17"/>
    </row>
    <row r="2642" spans="49:50" x14ac:dyDescent="0.15">
      <c r="AW2642" s="17"/>
      <c r="AX2642" s="17"/>
    </row>
    <row r="2643" spans="49:50" x14ac:dyDescent="0.15">
      <c r="AW2643" s="17"/>
      <c r="AX2643" s="17"/>
    </row>
    <row r="2644" spans="49:50" x14ac:dyDescent="0.15">
      <c r="AW2644" s="17"/>
      <c r="AX2644" s="17"/>
    </row>
    <row r="2645" spans="49:50" x14ac:dyDescent="0.15">
      <c r="AW2645" s="17"/>
      <c r="AX2645" s="17"/>
    </row>
    <row r="2646" spans="49:50" x14ac:dyDescent="0.15">
      <c r="AW2646" s="17"/>
      <c r="AX2646" s="17"/>
    </row>
    <row r="2647" spans="49:50" x14ac:dyDescent="0.15">
      <c r="AW2647" s="17"/>
      <c r="AX2647" s="17"/>
    </row>
    <row r="2648" spans="49:50" x14ac:dyDescent="0.15">
      <c r="AW2648" s="17"/>
      <c r="AX2648" s="17"/>
    </row>
    <row r="2649" spans="49:50" x14ac:dyDescent="0.15">
      <c r="AW2649" s="17"/>
      <c r="AX2649" s="17"/>
    </row>
    <row r="2650" spans="49:50" x14ac:dyDescent="0.15">
      <c r="AW2650" s="17"/>
      <c r="AX2650" s="17"/>
    </row>
    <row r="2651" spans="49:50" x14ac:dyDescent="0.15">
      <c r="AW2651" s="17"/>
      <c r="AX2651" s="17"/>
    </row>
    <row r="2652" spans="49:50" x14ac:dyDescent="0.15">
      <c r="AW2652" s="17"/>
      <c r="AX2652" s="17"/>
    </row>
    <row r="2653" spans="49:50" x14ac:dyDescent="0.15">
      <c r="AW2653" s="17"/>
      <c r="AX2653" s="17"/>
    </row>
    <row r="2654" spans="49:50" x14ac:dyDescent="0.15">
      <c r="AW2654" s="17"/>
      <c r="AX2654" s="17"/>
    </row>
    <row r="2655" spans="49:50" x14ac:dyDescent="0.15">
      <c r="AW2655" s="17"/>
      <c r="AX2655" s="17"/>
    </row>
    <row r="2656" spans="49:50" x14ac:dyDescent="0.15">
      <c r="AW2656" s="17"/>
      <c r="AX2656" s="17"/>
    </row>
    <row r="2657" spans="49:50" x14ac:dyDescent="0.15">
      <c r="AW2657" s="17"/>
      <c r="AX2657" s="17"/>
    </row>
    <row r="2658" spans="49:50" x14ac:dyDescent="0.15">
      <c r="AW2658" s="17"/>
      <c r="AX2658" s="17"/>
    </row>
    <row r="2659" spans="49:50" x14ac:dyDescent="0.15">
      <c r="AW2659" s="17"/>
      <c r="AX2659" s="17"/>
    </row>
    <row r="2660" spans="49:50" x14ac:dyDescent="0.15">
      <c r="AW2660" s="17"/>
      <c r="AX2660" s="17"/>
    </row>
    <row r="2661" spans="49:50" x14ac:dyDescent="0.15">
      <c r="AW2661" s="17"/>
      <c r="AX2661" s="17"/>
    </row>
    <row r="2662" spans="49:50" x14ac:dyDescent="0.15">
      <c r="AW2662" s="17"/>
      <c r="AX2662" s="17"/>
    </row>
    <row r="2663" spans="49:50" x14ac:dyDescent="0.15">
      <c r="AW2663" s="17"/>
      <c r="AX2663" s="17"/>
    </row>
    <row r="2664" spans="49:50" x14ac:dyDescent="0.15">
      <c r="AW2664" s="17"/>
      <c r="AX2664" s="17"/>
    </row>
    <row r="2665" spans="49:50" x14ac:dyDescent="0.15">
      <c r="AW2665" s="17"/>
      <c r="AX2665" s="17"/>
    </row>
    <row r="2666" spans="49:50" x14ac:dyDescent="0.15">
      <c r="AW2666" s="17"/>
      <c r="AX2666" s="17"/>
    </row>
    <row r="2667" spans="49:50" x14ac:dyDescent="0.15">
      <c r="AW2667" s="17"/>
      <c r="AX2667" s="17"/>
    </row>
    <row r="2668" spans="49:50" x14ac:dyDescent="0.15">
      <c r="AW2668" s="17"/>
      <c r="AX2668" s="17"/>
    </row>
    <row r="2669" spans="49:50" x14ac:dyDescent="0.15">
      <c r="AW2669" s="17"/>
      <c r="AX2669" s="17"/>
    </row>
    <row r="2670" spans="49:50" x14ac:dyDescent="0.15">
      <c r="AW2670" s="17"/>
      <c r="AX2670" s="17"/>
    </row>
    <row r="2671" spans="49:50" x14ac:dyDescent="0.15">
      <c r="AW2671" s="17"/>
      <c r="AX2671" s="17"/>
    </row>
    <row r="2672" spans="49:50" x14ac:dyDescent="0.15">
      <c r="AW2672" s="17"/>
      <c r="AX2672" s="17"/>
    </row>
    <row r="2673" spans="49:50" x14ac:dyDescent="0.15">
      <c r="AW2673" s="17"/>
      <c r="AX2673" s="17"/>
    </row>
    <row r="2674" spans="49:50" x14ac:dyDescent="0.15">
      <c r="AW2674" s="17"/>
      <c r="AX2674" s="17"/>
    </row>
    <row r="2675" spans="49:50" x14ac:dyDescent="0.15">
      <c r="AW2675" s="17"/>
      <c r="AX2675" s="17"/>
    </row>
    <row r="2676" spans="49:50" x14ac:dyDescent="0.15">
      <c r="AW2676" s="17"/>
      <c r="AX2676" s="17"/>
    </row>
    <row r="2677" spans="49:50" x14ac:dyDescent="0.15">
      <c r="AW2677" s="17"/>
      <c r="AX2677" s="17"/>
    </row>
    <row r="2678" spans="49:50" x14ac:dyDescent="0.15">
      <c r="AW2678" s="17"/>
      <c r="AX2678" s="17"/>
    </row>
    <row r="2679" spans="49:50" x14ac:dyDescent="0.15">
      <c r="AW2679" s="17"/>
      <c r="AX2679" s="17"/>
    </row>
    <row r="2680" spans="49:50" x14ac:dyDescent="0.15">
      <c r="AW2680" s="17"/>
      <c r="AX2680" s="17"/>
    </row>
    <row r="2681" spans="49:50" x14ac:dyDescent="0.15">
      <c r="AW2681" s="17"/>
      <c r="AX2681" s="17"/>
    </row>
    <row r="2682" spans="49:50" x14ac:dyDescent="0.15">
      <c r="AW2682" s="17"/>
      <c r="AX2682" s="17"/>
    </row>
    <row r="2683" spans="49:50" x14ac:dyDescent="0.15">
      <c r="AW2683" s="17"/>
      <c r="AX2683" s="17"/>
    </row>
    <row r="2684" spans="49:50" x14ac:dyDescent="0.15">
      <c r="AW2684" s="17"/>
      <c r="AX2684" s="17"/>
    </row>
    <row r="2685" spans="49:50" x14ac:dyDescent="0.15">
      <c r="AW2685" s="17"/>
      <c r="AX2685" s="17"/>
    </row>
    <row r="2686" spans="49:50" x14ac:dyDescent="0.15">
      <c r="AW2686" s="17"/>
      <c r="AX2686" s="17"/>
    </row>
    <row r="2687" spans="49:50" x14ac:dyDescent="0.15">
      <c r="AW2687" s="17"/>
      <c r="AX2687" s="17"/>
    </row>
    <row r="2688" spans="49:50" x14ac:dyDescent="0.15">
      <c r="AW2688" s="17"/>
      <c r="AX2688" s="17"/>
    </row>
    <row r="2689" spans="49:50" x14ac:dyDescent="0.15">
      <c r="AW2689" s="17"/>
      <c r="AX2689" s="17"/>
    </row>
    <row r="2690" spans="49:50" x14ac:dyDescent="0.15">
      <c r="AW2690" s="17"/>
      <c r="AX2690" s="17"/>
    </row>
    <row r="2691" spans="49:50" x14ac:dyDescent="0.15">
      <c r="AW2691" s="17"/>
      <c r="AX2691" s="17"/>
    </row>
    <row r="2692" spans="49:50" x14ac:dyDescent="0.15">
      <c r="AW2692" s="17"/>
      <c r="AX2692" s="17"/>
    </row>
    <row r="2693" spans="49:50" x14ac:dyDescent="0.15">
      <c r="AW2693" s="17"/>
      <c r="AX2693" s="17"/>
    </row>
    <row r="2694" spans="49:50" x14ac:dyDescent="0.15">
      <c r="AW2694" s="17"/>
      <c r="AX2694" s="17"/>
    </row>
    <row r="2695" spans="49:50" x14ac:dyDescent="0.15">
      <c r="AW2695" s="17"/>
      <c r="AX2695" s="17"/>
    </row>
    <row r="2696" spans="49:50" x14ac:dyDescent="0.15">
      <c r="AW2696" s="17"/>
      <c r="AX2696" s="17"/>
    </row>
    <row r="2697" spans="49:50" x14ac:dyDescent="0.15">
      <c r="AW2697" s="17"/>
      <c r="AX2697" s="17"/>
    </row>
    <row r="2698" spans="49:50" x14ac:dyDescent="0.15">
      <c r="AW2698" s="17"/>
      <c r="AX2698" s="17"/>
    </row>
    <row r="2699" spans="49:50" x14ac:dyDescent="0.15">
      <c r="AW2699" s="17"/>
      <c r="AX2699" s="17"/>
    </row>
    <row r="2700" spans="49:50" x14ac:dyDescent="0.15">
      <c r="AW2700" s="17"/>
      <c r="AX2700" s="17"/>
    </row>
    <row r="2701" spans="49:50" x14ac:dyDescent="0.15">
      <c r="AW2701" s="17"/>
      <c r="AX2701" s="17"/>
    </row>
    <row r="2702" spans="49:50" x14ac:dyDescent="0.15">
      <c r="AW2702" s="17"/>
      <c r="AX2702" s="17"/>
    </row>
    <row r="2703" spans="49:50" x14ac:dyDescent="0.15">
      <c r="AW2703" s="17"/>
      <c r="AX2703" s="17"/>
    </row>
    <row r="2704" spans="49:50" x14ac:dyDescent="0.15">
      <c r="AW2704" s="17"/>
      <c r="AX2704" s="17"/>
    </row>
    <row r="2705" spans="49:50" x14ac:dyDescent="0.15">
      <c r="AW2705" s="17"/>
      <c r="AX2705" s="17"/>
    </row>
    <row r="2706" spans="49:50" x14ac:dyDescent="0.15">
      <c r="AW2706" s="17"/>
      <c r="AX2706" s="17"/>
    </row>
    <row r="2707" spans="49:50" x14ac:dyDescent="0.15">
      <c r="AW2707" s="17"/>
      <c r="AX2707" s="17"/>
    </row>
    <row r="2708" spans="49:50" x14ac:dyDescent="0.15">
      <c r="AW2708" s="17"/>
      <c r="AX2708" s="17"/>
    </row>
    <row r="2709" spans="49:50" x14ac:dyDescent="0.15">
      <c r="AW2709" s="17"/>
      <c r="AX2709" s="17"/>
    </row>
    <row r="2710" spans="49:50" x14ac:dyDescent="0.15">
      <c r="AW2710" s="17"/>
      <c r="AX2710" s="17"/>
    </row>
    <row r="2711" spans="49:50" x14ac:dyDescent="0.15">
      <c r="AW2711" s="17"/>
      <c r="AX2711" s="17"/>
    </row>
    <row r="2712" spans="49:50" x14ac:dyDescent="0.15">
      <c r="AW2712" s="17"/>
      <c r="AX2712" s="17"/>
    </row>
    <row r="2713" spans="49:50" x14ac:dyDescent="0.15">
      <c r="AW2713" s="17"/>
      <c r="AX2713" s="17"/>
    </row>
    <row r="2714" spans="49:50" x14ac:dyDescent="0.15">
      <c r="AW2714" s="17"/>
      <c r="AX2714" s="17"/>
    </row>
    <row r="2715" spans="49:50" x14ac:dyDescent="0.15">
      <c r="AW2715" s="17"/>
      <c r="AX2715" s="17"/>
    </row>
    <row r="2716" spans="49:50" x14ac:dyDescent="0.15">
      <c r="AW2716" s="17"/>
      <c r="AX2716" s="17"/>
    </row>
    <row r="2717" spans="49:50" x14ac:dyDescent="0.15">
      <c r="AW2717" s="17"/>
      <c r="AX2717" s="17"/>
    </row>
    <row r="2718" spans="49:50" x14ac:dyDescent="0.15">
      <c r="AW2718" s="17"/>
      <c r="AX2718" s="17"/>
    </row>
    <row r="2719" spans="49:50" x14ac:dyDescent="0.15">
      <c r="AW2719" s="17"/>
      <c r="AX2719" s="17"/>
    </row>
    <row r="2720" spans="49:50" x14ac:dyDescent="0.15">
      <c r="AW2720" s="17"/>
      <c r="AX2720" s="17"/>
    </row>
    <row r="2721" spans="49:50" x14ac:dyDescent="0.15">
      <c r="AW2721" s="17"/>
      <c r="AX2721" s="17"/>
    </row>
    <row r="2722" spans="49:50" x14ac:dyDescent="0.15">
      <c r="AW2722" s="17"/>
      <c r="AX2722" s="17"/>
    </row>
    <row r="2723" spans="49:50" x14ac:dyDescent="0.15">
      <c r="AW2723" s="17"/>
      <c r="AX2723" s="17"/>
    </row>
    <row r="2724" spans="49:50" x14ac:dyDescent="0.15">
      <c r="AW2724" s="17"/>
      <c r="AX2724" s="17"/>
    </row>
    <row r="2725" spans="49:50" x14ac:dyDescent="0.15">
      <c r="AW2725" s="17"/>
      <c r="AX2725" s="17"/>
    </row>
    <row r="2726" spans="49:50" x14ac:dyDescent="0.15">
      <c r="AW2726" s="17"/>
      <c r="AX2726" s="17"/>
    </row>
    <row r="2727" spans="49:50" x14ac:dyDescent="0.15">
      <c r="AW2727" s="17"/>
      <c r="AX2727" s="17"/>
    </row>
    <row r="2728" spans="49:50" x14ac:dyDescent="0.15">
      <c r="AW2728" s="17"/>
      <c r="AX2728" s="17"/>
    </row>
    <row r="2729" spans="49:50" x14ac:dyDescent="0.15">
      <c r="AW2729" s="17"/>
      <c r="AX2729" s="17"/>
    </row>
    <row r="2730" spans="49:50" x14ac:dyDescent="0.15">
      <c r="AW2730" s="17"/>
      <c r="AX2730" s="17"/>
    </row>
    <row r="2731" spans="49:50" x14ac:dyDescent="0.15">
      <c r="AW2731" s="17"/>
      <c r="AX2731" s="17"/>
    </row>
    <row r="2732" spans="49:50" x14ac:dyDescent="0.15">
      <c r="AW2732" s="17"/>
      <c r="AX2732" s="17"/>
    </row>
    <row r="2733" spans="49:50" x14ac:dyDescent="0.15">
      <c r="AW2733" s="17"/>
      <c r="AX2733" s="17"/>
    </row>
    <row r="2734" spans="49:50" x14ac:dyDescent="0.15">
      <c r="AW2734" s="17"/>
      <c r="AX2734" s="17"/>
    </row>
    <row r="2735" spans="49:50" x14ac:dyDescent="0.15">
      <c r="AW2735" s="17"/>
      <c r="AX2735" s="17"/>
    </row>
    <row r="2736" spans="49:50" x14ac:dyDescent="0.15">
      <c r="AW2736" s="17"/>
      <c r="AX2736" s="17"/>
    </row>
    <row r="2737" spans="49:50" x14ac:dyDescent="0.15">
      <c r="AW2737" s="17"/>
      <c r="AX2737" s="17"/>
    </row>
    <row r="2738" spans="49:50" x14ac:dyDescent="0.15">
      <c r="AW2738" s="17"/>
      <c r="AX2738" s="17"/>
    </row>
    <row r="2739" spans="49:50" x14ac:dyDescent="0.15">
      <c r="AW2739" s="17"/>
      <c r="AX2739" s="17"/>
    </row>
    <row r="2740" spans="49:50" x14ac:dyDescent="0.15">
      <c r="AW2740" s="17"/>
      <c r="AX2740" s="17"/>
    </row>
    <row r="2741" spans="49:50" x14ac:dyDescent="0.15">
      <c r="AW2741" s="17"/>
      <c r="AX2741" s="17"/>
    </row>
    <row r="2742" spans="49:50" x14ac:dyDescent="0.15">
      <c r="AW2742" s="17"/>
      <c r="AX2742" s="17"/>
    </row>
    <row r="2743" spans="49:50" x14ac:dyDescent="0.15">
      <c r="AW2743" s="17"/>
      <c r="AX2743" s="17"/>
    </row>
    <row r="2744" spans="49:50" x14ac:dyDescent="0.15">
      <c r="AW2744" s="17"/>
      <c r="AX2744" s="17"/>
    </row>
    <row r="2745" spans="49:50" x14ac:dyDescent="0.15">
      <c r="AW2745" s="17"/>
      <c r="AX2745" s="17"/>
    </row>
    <row r="2746" spans="49:50" x14ac:dyDescent="0.15">
      <c r="AW2746" s="17"/>
      <c r="AX2746" s="17"/>
    </row>
    <row r="2747" spans="49:50" x14ac:dyDescent="0.15">
      <c r="AW2747" s="17"/>
      <c r="AX2747" s="17"/>
    </row>
    <row r="2748" spans="49:50" x14ac:dyDescent="0.15">
      <c r="AW2748" s="17"/>
      <c r="AX2748" s="17"/>
    </row>
    <row r="2749" spans="49:50" x14ac:dyDescent="0.15">
      <c r="AW2749" s="17"/>
      <c r="AX2749" s="17"/>
    </row>
    <row r="2750" spans="49:50" x14ac:dyDescent="0.15">
      <c r="AW2750" s="17"/>
      <c r="AX2750" s="17"/>
    </row>
    <row r="2751" spans="49:50" x14ac:dyDescent="0.15">
      <c r="AW2751" s="17"/>
      <c r="AX2751" s="17"/>
    </row>
    <row r="2752" spans="49:50" x14ac:dyDescent="0.15">
      <c r="AW2752" s="17"/>
      <c r="AX2752" s="17"/>
    </row>
    <row r="2753" spans="49:50" x14ac:dyDescent="0.15">
      <c r="AW2753" s="17"/>
      <c r="AX2753" s="17"/>
    </row>
    <row r="2754" spans="49:50" x14ac:dyDescent="0.15">
      <c r="AW2754" s="17"/>
      <c r="AX2754" s="17"/>
    </row>
  </sheetData>
  <sheetProtection selectLockedCells="1"/>
  <phoneticPr fontId="4" type="noConversion"/>
  <pageMargins left="0.75" right="0.75" top="1" bottom="1" header="0.5" footer="0.5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Interface</vt:lpstr>
      <vt:lpstr>Calculations</vt:lpstr>
    </vt:vector>
  </TitlesOfParts>
  <Manager/>
  <Company>Chemical Engineering, MIT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Walther</dc:creator>
  <cp:keywords/>
  <dc:description/>
  <cp:lastModifiedBy>Andrew Ahn</cp:lastModifiedBy>
  <cp:revision/>
  <dcterms:created xsi:type="dcterms:W3CDTF">2005-02-02T18:12:42Z</dcterms:created>
  <dcterms:modified xsi:type="dcterms:W3CDTF">2023-09-14T02:36:43Z</dcterms:modified>
  <cp:category/>
  <cp:contentStatus/>
</cp:coreProperties>
</file>